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35" windowWidth="14805" windowHeight="7980" tabRatio="760" activeTab="5"/>
  </bookViews>
  <sheets>
    <sheet name="中大 &amp; 中债" sheetId="1" r:id="rId1"/>
    <sheet name="历史收益率比较" sheetId="4" r:id="rId2"/>
    <sheet name="中债收益率曲线（银行间）" sheetId="2" r:id="rId3"/>
    <sheet name="Bumped Curves" sheetId="7" r:id="rId4"/>
    <sheet name="Bumped Curve Snap" sheetId="8" r:id="rId5"/>
    <sheet name="portfolio Analysis" sheetId="9" r:id="rId6"/>
    <sheet name="portfolio Analysis2" sheetId="10" r:id="rId7"/>
    <sheet name="Sheet1" sheetId="11" r:id="rId8"/>
  </sheets>
  <functionGroups builtInGroupCount="17"/>
  <definedNames>
    <definedName name="curveStart">'Bumped Curves'!$A$6</definedName>
    <definedName name="_xlnm.Print_Area" localSheetId="6">'portfolio Analysis2'!$A$1:$X$2433</definedName>
    <definedName name="solver_adj" localSheetId="5" hidden="1">'portfolio Analysis'!$E$40:$E$41</definedName>
    <definedName name="solver_adj" localSheetId="6" hidden="1">'portfolio Analysis2'!$E$40:$E$42</definedName>
    <definedName name="solver_cvg" localSheetId="5" hidden="1">0.0001</definedName>
    <definedName name="solver_cvg" localSheetId="6" hidden="1">0.0001</definedName>
    <definedName name="solver_drv" localSheetId="5" hidden="1">2</definedName>
    <definedName name="solver_drv" localSheetId="6" hidden="1">1</definedName>
    <definedName name="solver_eng" localSheetId="5" hidden="1">1</definedName>
    <definedName name="solver_eng" localSheetId="6" hidden="1">1</definedName>
    <definedName name="solver_est" localSheetId="5" hidden="1">1</definedName>
    <definedName name="solver_est" localSheetId="6" hidden="1">1</definedName>
    <definedName name="solver_itr" localSheetId="5" hidden="1">2147483647</definedName>
    <definedName name="solver_itr" localSheetId="6" hidden="1">2147483647</definedName>
    <definedName name="solver_mip" localSheetId="5" hidden="1">2147483647</definedName>
    <definedName name="solver_mip" localSheetId="6" hidden="1">2147483647</definedName>
    <definedName name="solver_mni" localSheetId="5" hidden="1">30</definedName>
    <definedName name="solver_mni" localSheetId="6" hidden="1">30</definedName>
    <definedName name="solver_mrt" localSheetId="5" hidden="1">0.075</definedName>
    <definedName name="solver_mrt" localSheetId="6" hidden="1">0.075</definedName>
    <definedName name="solver_msl" localSheetId="5" hidden="1">2</definedName>
    <definedName name="solver_msl" localSheetId="6" hidden="1">2</definedName>
    <definedName name="solver_neg" localSheetId="5" hidden="1">1</definedName>
    <definedName name="solver_neg" localSheetId="6" hidden="1">1</definedName>
    <definedName name="solver_nod" localSheetId="5" hidden="1">2147483647</definedName>
    <definedName name="solver_nod" localSheetId="6" hidden="1">2147483647</definedName>
    <definedName name="solver_num" localSheetId="5" hidden="1">0</definedName>
    <definedName name="solver_num" localSheetId="6" hidden="1">0</definedName>
    <definedName name="solver_nwt" localSheetId="5" hidden="1">1</definedName>
    <definedName name="solver_nwt" localSheetId="6" hidden="1">1</definedName>
    <definedName name="solver_opt" localSheetId="5" hidden="1">'portfolio Analysis'!$F$48</definedName>
    <definedName name="solver_opt" localSheetId="6" hidden="1">'portfolio Analysis2'!$F$44</definedName>
    <definedName name="solver_pre" localSheetId="5" hidden="1">0.000001</definedName>
    <definedName name="solver_pre" localSheetId="6" hidden="1">0.000001</definedName>
    <definedName name="solver_rbv" localSheetId="5" hidden="1">2</definedName>
    <definedName name="solver_rbv" localSheetId="6" hidden="1">1</definedName>
    <definedName name="solver_rlx" localSheetId="5" hidden="1">2</definedName>
    <definedName name="solver_rlx" localSheetId="6" hidden="1">2</definedName>
    <definedName name="solver_rsd" localSheetId="5" hidden="1">0</definedName>
    <definedName name="solver_rsd" localSheetId="6" hidden="1">0</definedName>
    <definedName name="solver_scl" localSheetId="5" hidden="1">2</definedName>
    <definedName name="solver_scl" localSheetId="6" hidden="1">1</definedName>
    <definedName name="solver_sho" localSheetId="5" hidden="1">2</definedName>
    <definedName name="solver_sho" localSheetId="6" hidden="1">2</definedName>
    <definedName name="solver_ssz" localSheetId="5" hidden="1">100</definedName>
    <definedName name="solver_ssz" localSheetId="6" hidden="1">100</definedName>
    <definedName name="solver_tim" localSheetId="5" hidden="1">2147483647</definedName>
    <definedName name="solver_tim" localSheetId="6" hidden="1">2147483647</definedName>
    <definedName name="solver_tol" localSheetId="5" hidden="1">0.01</definedName>
    <definedName name="solver_tol" localSheetId="6" hidden="1">0.01</definedName>
    <definedName name="solver_typ" localSheetId="5" hidden="1">2</definedName>
    <definedName name="solver_typ" localSheetId="6" hidden="1">2</definedName>
    <definedName name="solver_val" localSheetId="5" hidden="1">0</definedName>
    <definedName name="solver_val" localSheetId="6" hidden="1">0</definedName>
    <definedName name="solver_ver" localSheetId="5" hidden="1">3</definedName>
    <definedName name="solver_ver" localSheetId="6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D2" i="1" l="1"/>
  <c r="AB50" i="9" l="1"/>
  <c r="O1212" i="10" l="1"/>
  <c r="O1211" i="10"/>
  <c r="P1212" i="10"/>
  <c r="P1211" i="10"/>
  <c r="S95" i="10" l="1"/>
  <c r="S94" i="10"/>
  <c r="S93" i="10"/>
  <c r="S92" i="10"/>
  <c r="S91" i="10"/>
  <c r="S90" i="10"/>
  <c r="S89" i="10"/>
  <c r="Q63" i="10"/>
  <c r="Q62" i="10"/>
  <c r="Q52" i="10"/>
  <c r="I11" i="11" a="1"/>
  <c r="I12" i="11" s="1"/>
  <c r="D11" i="11" a="1"/>
  <c r="D11" i="11" s="1"/>
  <c r="E13" i="11" l="1"/>
  <c r="F12" i="11"/>
  <c r="D12" i="11"/>
  <c r="E11" i="11"/>
  <c r="F13" i="11"/>
  <c r="D13" i="11"/>
  <c r="E12" i="11"/>
  <c r="F11" i="11"/>
  <c r="I13" i="11"/>
  <c r="I11" i="11"/>
  <c r="D16" i="11" l="1" a="1"/>
  <c r="D18" i="11" s="1"/>
  <c r="O1212" i="9"/>
  <c r="O1211" i="9"/>
  <c r="S1173" i="10"/>
  <c r="K1163" i="10"/>
  <c r="D17" i="11" l="1"/>
  <c r="D16" i="11"/>
  <c r="K1173" i="10" l="1"/>
  <c r="K1164" i="10"/>
  <c r="K1170" i="10"/>
  <c r="J17" i="10"/>
  <c r="K1165" i="10"/>
  <c r="S1175" i="10" l="1"/>
  <c r="S1176" i="10"/>
  <c r="S1177" i="10"/>
  <c r="S1178" i="10"/>
  <c r="S1179" i="10"/>
  <c r="S1180" i="10"/>
  <c r="S1181" i="10"/>
  <c r="S1182" i="10"/>
  <c r="S1183" i="10"/>
  <c r="S1184" i="10"/>
  <c r="S1185" i="10"/>
  <c r="S1186" i="10"/>
  <c r="S1187" i="10"/>
  <c r="S1188" i="10"/>
  <c r="S1189" i="10"/>
  <c r="S1190" i="10"/>
  <c r="S1191" i="10"/>
  <c r="S1192" i="10"/>
  <c r="S1193" i="10"/>
  <c r="S1194" i="10"/>
  <c r="S1195" i="10"/>
  <c r="S1196" i="10"/>
  <c r="S1197" i="10"/>
  <c r="S1198" i="10"/>
  <c r="S1199" i="10"/>
  <c r="S1200" i="10"/>
  <c r="S1201" i="10"/>
  <c r="S1202" i="10"/>
  <c r="S1203" i="10"/>
  <c r="S1174" i="10"/>
  <c r="J46" i="10"/>
  <c r="D42" i="10"/>
  <c r="B2" i="8"/>
  <c r="H2" i="8" s="1"/>
  <c r="H217" i="8"/>
  <c r="K1166" i="10"/>
  <c r="N19" i="10"/>
  <c r="N18" i="10"/>
  <c r="O19" i="10"/>
  <c r="M19" i="10"/>
  <c r="O18" i="10"/>
  <c r="P19" i="10"/>
  <c r="P18" i="10"/>
  <c r="Q19" i="10"/>
  <c r="Q18" i="10"/>
  <c r="R19" i="10"/>
  <c r="R18" i="10"/>
  <c r="S19" i="10"/>
  <c r="F17" i="10"/>
  <c r="S18" i="10"/>
  <c r="T19" i="10"/>
  <c r="T18" i="10"/>
  <c r="M18" i="10"/>
  <c r="G17" i="10"/>
  <c r="H17" i="10"/>
  <c r="K1167" i="10"/>
  <c r="K1168" i="10"/>
  <c r="I17" i="10"/>
  <c r="P21" i="10"/>
  <c r="O21" i="10"/>
  <c r="N21" i="10"/>
  <c r="K17" i="10"/>
  <c r="M21" i="10"/>
  <c r="T21" i="10"/>
  <c r="S21" i="10"/>
  <c r="R21" i="10"/>
  <c r="Q21" i="10"/>
  <c r="P63" i="10" l="1"/>
  <c r="P90" i="10"/>
  <c r="C2" i="8"/>
  <c r="E2" i="8"/>
  <c r="G2" i="8"/>
  <c r="I2" i="8"/>
  <c r="D2" i="8"/>
  <c r="F2" i="8"/>
  <c r="J2" i="8"/>
  <c r="D217" i="8"/>
  <c r="G217" i="8"/>
  <c r="C217" i="8"/>
  <c r="I217" i="8"/>
  <c r="E217" i="8"/>
  <c r="J217" i="8"/>
  <c r="F217" i="8"/>
  <c r="R20" i="10"/>
  <c r="N20" i="10"/>
  <c r="K1169" i="10"/>
  <c r="R17" i="10"/>
  <c r="N17" i="10"/>
  <c r="T20" i="10"/>
  <c r="T17" i="10" s="1"/>
  <c r="P20" i="10"/>
  <c r="P17" i="10" s="1"/>
  <c r="M20" i="10"/>
  <c r="S20" i="10"/>
  <c r="Q20" i="10"/>
  <c r="O20" i="10"/>
  <c r="K1171" i="10"/>
  <c r="K1172" i="10" s="1"/>
  <c r="B2421" i="10" l="1"/>
  <c r="G1259" i="10" s="1"/>
  <c r="B2401" i="10"/>
  <c r="G1239" i="10" s="1"/>
  <c r="H1265" i="10"/>
  <c r="G1265" i="10"/>
  <c r="F1265" i="10"/>
  <c r="H1264" i="10"/>
  <c r="G1264" i="10"/>
  <c r="F1264" i="10"/>
  <c r="H1263" i="10"/>
  <c r="G1263" i="10"/>
  <c r="F1263" i="10"/>
  <c r="H1262" i="10"/>
  <c r="G1262" i="10"/>
  <c r="F1262" i="10"/>
  <c r="H1261" i="10"/>
  <c r="G1261" i="10"/>
  <c r="F1261" i="10"/>
  <c r="H1260" i="10"/>
  <c r="G1260" i="10"/>
  <c r="F1260" i="10"/>
  <c r="H1259" i="10"/>
  <c r="F1259" i="10"/>
  <c r="H1258" i="10"/>
  <c r="G1258" i="10"/>
  <c r="F1258" i="10"/>
  <c r="H1257" i="10"/>
  <c r="G1257" i="10"/>
  <c r="F1257" i="10"/>
  <c r="H1256" i="10"/>
  <c r="G1256" i="10"/>
  <c r="F1256" i="10"/>
  <c r="H1255" i="10"/>
  <c r="G1255" i="10"/>
  <c r="F1255" i="10"/>
  <c r="H1254" i="10"/>
  <c r="G1254" i="10"/>
  <c r="F1254" i="10"/>
  <c r="H1253" i="10"/>
  <c r="G1253" i="10"/>
  <c r="F1253" i="10"/>
  <c r="H1252" i="10"/>
  <c r="G1252" i="10"/>
  <c r="F1252" i="10"/>
  <c r="H1251" i="10"/>
  <c r="G1251" i="10"/>
  <c r="F1251" i="10"/>
  <c r="H1250" i="10"/>
  <c r="G1250" i="10"/>
  <c r="F1250" i="10"/>
  <c r="H1249" i="10"/>
  <c r="G1249" i="10"/>
  <c r="F1249" i="10"/>
  <c r="H1248" i="10"/>
  <c r="G1248" i="10"/>
  <c r="F1248" i="10"/>
  <c r="H1247" i="10"/>
  <c r="G1247" i="10"/>
  <c r="F1247" i="10"/>
  <c r="H1246" i="10"/>
  <c r="G1246" i="10"/>
  <c r="F1246" i="10"/>
  <c r="H1245" i="10"/>
  <c r="G1245" i="10"/>
  <c r="F1245" i="10"/>
  <c r="H1244" i="10"/>
  <c r="G1244" i="10"/>
  <c r="F1244" i="10"/>
  <c r="H1243" i="10"/>
  <c r="G1243" i="10"/>
  <c r="F1243" i="10"/>
  <c r="H1242" i="10"/>
  <c r="G1242" i="10"/>
  <c r="F1242" i="10"/>
  <c r="H1241" i="10"/>
  <c r="G1241" i="10"/>
  <c r="F1241" i="10"/>
  <c r="H1240" i="10"/>
  <c r="G1240" i="10"/>
  <c r="F1240" i="10"/>
  <c r="H1239" i="10"/>
  <c r="F1239" i="10"/>
  <c r="H1238" i="10"/>
  <c r="G1238" i="10"/>
  <c r="F1238" i="10"/>
  <c r="H1237" i="10"/>
  <c r="G1237" i="10"/>
  <c r="F1237" i="10"/>
  <c r="H1236" i="10"/>
  <c r="G1236" i="10"/>
  <c r="F1236" i="10"/>
  <c r="H1235" i="10"/>
  <c r="G1235" i="10"/>
  <c r="F1235" i="10"/>
  <c r="H1234" i="10"/>
  <c r="G1234" i="10"/>
  <c r="F1234" i="10"/>
  <c r="H1233" i="10"/>
  <c r="G1233" i="10"/>
  <c r="F1233" i="10"/>
  <c r="H1232" i="10"/>
  <c r="G1232" i="10"/>
  <c r="F1232" i="10"/>
  <c r="H1231" i="10"/>
  <c r="G1231" i="10"/>
  <c r="F1231" i="10"/>
  <c r="H1230" i="10"/>
  <c r="G1230" i="10"/>
  <c r="F1230" i="10"/>
  <c r="H1229" i="10"/>
  <c r="G1229" i="10"/>
  <c r="F1229" i="10"/>
  <c r="H1228" i="10"/>
  <c r="G1228" i="10"/>
  <c r="F1228" i="10"/>
  <c r="H1227" i="10"/>
  <c r="G1227" i="10"/>
  <c r="F1227" i="10"/>
  <c r="H1226" i="10"/>
  <c r="G1226" i="10"/>
  <c r="F1226" i="10"/>
  <c r="H1225" i="10"/>
  <c r="G1225" i="10"/>
  <c r="F1225" i="10"/>
  <c r="H1224" i="10"/>
  <c r="G1224" i="10"/>
  <c r="F1224" i="10"/>
  <c r="H1223" i="10"/>
  <c r="G1223" i="10"/>
  <c r="F1223" i="10"/>
  <c r="H1222" i="10"/>
  <c r="G1222" i="10"/>
  <c r="F1222" i="10"/>
  <c r="H1221" i="10"/>
  <c r="G1221" i="10"/>
  <c r="F1221" i="10"/>
  <c r="H1220" i="10"/>
  <c r="G1220" i="10"/>
  <c r="F1220" i="10"/>
  <c r="H1219" i="10"/>
  <c r="G1219" i="10"/>
  <c r="F1219" i="10"/>
  <c r="H1218" i="10"/>
  <c r="G1218" i="10"/>
  <c r="F1218" i="10"/>
  <c r="H1217" i="10"/>
  <c r="G1217" i="10"/>
  <c r="F1217" i="10"/>
  <c r="H1216" i="10"/>
  <c r="G1216" i="10"/>
  <c r="F1216" i="10"/>
  <c r="H1215" i="10"/>
  <c r="G1215" i="10"/>
  <c r="F1215" i="10"/>
  <c r="H1214" i="10"/>
  <c r="G1214" i="10"/>
  <c r="F1214" i="10"/>
  <c r="H1213" i="10"/>
  <c r="G1213" i="10"/>
  <c r="F1213" i="10"/>
  <c r="H1212" i="10"/>
  <c r="G1212" i="10"/>
  <c r="F1212" i="10"/>
  <c r="R1203" i="10"/>
  <c r="Q1203" i="10"/>
  <c r="P1203" i="10"/>
  <c r="O1203" i="10"/>
  <c r="N1203" i="10"/>
  <c r="M1203" i="10"/>
  <c r="L1203" i="10"/>
  <c r="K1203" i="10"/>
  <c r="R1202" i="10"/>
  <c r="Q1202" i="10"/>
  <c r="P1202" i="10"/>
  <c r="O1202" i="10"/>
  <c r="N1202" i="10"/>
  <c r="M1202" i="10"/>
  <c r="L1202" i="10"/>
  <c r="K1202" i="10"/>
  <c r="R1201" i="10"/>
  <c r="Q1201" i="10"/>
  <c r="P1201" i="10"/>
  <c r="O1201" i="10"/>
  <c r="N1201" i="10"/>
  <c r="M1201" i="10"/>
  <c r="L1201" i="10"/>
  <c r="K1201" i="10"/>
  <c r="R1200" i="10"/>
  <c r="Q1200" i="10"/>
  <c r="P1200" i="10"/>
  <c r="O1200" i="10"/>
  <c r="N1200" i="10"/>
  <c r="M1200" i="10"/>
  <c r="L1200" i="10"/>
  <c r="K1200" i="10"/>
  <c r="R1199" i="10"/>
  <c r="Q1199" i="10"/>
  <c r="P1199" i="10"/>
  <c r="O1199" i="10"/>
  <c r="N1199" i="10"/>
  <c r="M1199" i="10"/>
  <c r="L1199" i="10"/>
  <c r="K1199" i="10"/>
  <c r="R1198" i="10"/>
  <c r="Q1198" i="10"/>
  <c r="P1198" i="10"/>
  <c r="O1198" i="10"/>
  <c r="N1198" i="10"/>
  <c r="M1198" i="10"/>
  <c r="L1198" i="10"/>
  <c r="K1198" i="10"/>
  <c r="R1197" i="10"/>
  <c r="Q1197" i="10"/>
  <c r="P1197" i="10"/>
  <c r="O1197" i="10"/>
  <c r="N1197" i="10"/>
  <c r="M1197" i="10"/>
  <c r="L1197" i="10"/>
  <c r="K1197" i="10"/>
  <c r="R1196" i="10"/>
  <c r="Q1196" i="10"/>
  <c r="P1196" i="10"/>
  <c r="O1196" i="10"/>
  <c r="N1196" i="10"/>
  <c r="M1196" i="10"/>
  <c r="L1196" i="10"/>
  <c r="K1196" i="10"/>
  <c r="R1195" i="10"/>
  <c r="Q1195" i="10"/>
  <c r="P1195" i="10"/>
  <c r="O1195" i="10"/>
  <c r="N1195" i="10"/>
  <c r="M1195" i="10"/>
  <c r="L1195" i="10"/>
  <c r="K1195" i="10"/>
  <c r="R1194" i="10"/>
  <c r="Q1194" i="10"/>
  <c r="P1194" i="10"/>
  <c r="O1194" i="10"/>
  <c r="N1194" i="10"/>
  <c r="M1194" i="10"/>
  <c r="L1194" i="10"/>
  <c r="K1194" i="10"/>
  <c r="R1193" i="10"/>
  <c r="Q1193" i="10"/>
  <c r="P1193" i="10"/>
  <c r="O1193" i="10"/>
  <c r="N1193" i="10"/>
  <c r="M1193" i="10"/>
  <c r="L1193" i="10"/>
  <c r="K1193" i="10"/>
  <c r="R1192" i="10"/>
  <c r="Q1192" i="10"/>
  <c r="P1192" i="10"/>
  <c r="O1192" i="10"/>
  <c r="N1192" i="10"/>
  <c r="M1192" i="10"/>
  <c r="L1192" i="10"/>
  <c r="K1192" i="10"/>
  <c r="R1191" i="10"/>
  <c r="Q1191" i="10"/>
  <c r="P1191" i="10"/>
  <c r="O1191" i="10"/>
  <c r="N1191" i="10"/>
  <c r="M1191" i="10"/>
  <c r="L1191" i="10"/>
  <c r="K1191" i="10"/>
  <c r="R1190" i="10"/>
  <c r="Q1190" i="10"/>
  <c r="P1190" i="10"/>
  <c r="O1190" i="10"/>
  <c r="N1190" i="10"/>
  <c r="M1190" i="10"/>
  <c r="L1190" i="10"/>
  <c r="K1190" i="10"/>
  <c r="R1189" i="10"/>
  <c r="Q1189" i="10"/>
  <c r="P1189" i="10"/>
  <c r="O1189" i="10"/>
  <c r="N1189" i="10"/>
  <c r="M1189" i="10"/>
  <c r="L1189" i="10"/>
  <c r="K1189" i="10"/>
  <c r="R1188" i="10"/>
  <c r="Q1188" i="10"/>
  <c r="P1188" i="10"/>
  <c r="O1188" i="10"/>
  <c r="N1188" i="10"/>
  <c r="M1188" i="10"/>
  <c r="L1188" i="10"/>
  <c r="K1188" i="10"/>
  <c r="R1187" i="10"/>
  <c r="Q1187" i="10"/>
  <c r="P1187" i="10"/>
  <c r="O1187" i="10"/>
  <c r="N1187" i="10"/>
  <c r="M1187" i="10"/>
  <c r="L1187" i="10"/>
  <c r="K1187" i="10"/>
  <c r="R1186" i="10"/>
  <c r="Q1186" i="10"/>
  <c r="P1186" i="10"/>
  <c r="O1186" i="10"/>
  <c r="N1186" i="10"/>
  <c r="M1186" i="10"/>
  <c r="L1186" i="10"/>
  <c r="K1186" i="10"/>
  <c r="R1185" i="10"/>
  <c r="Q1185" i="10"/>
  <c r="P1185" i="10"/>
  <c r="O1185" i="10"/>
  <c r="N1185" i="10"/>
  <c r="M1185" i="10"/>
  <c r="L1185" i="10"/>
  <c r="K1185" i="10"/>
  <c r="R1184" i="10"/>
  <c r="Q1184" i="10"/>
  <c r="P1184" i="10"/>
  <c r="O1184" i="10"/>
  <c r="N1184" i="10"/>
  <c r="M1184" i="10"/>
  <c r="L1184" i="10"/>
  <c r="K1184" i="10"/>
  <c r="R1183" i="10"/>
  <c r="Q1183" i="10"/>
  <c r="P1183" i="10"/>
  <c r="O1183" i="10"/>
  <c r="N1183" i="10"/>
  <c r="M1183" i="10"/>
  <c r="L1183" i="10"/>
  <c r="K1183" i="10"/>
  <c r="R1182" i="10"/>
  <c r="Q1182" i="10"/>
  <c r="P1182" i="10"/>
  <c r="O1182" i="10"/>
  <c r="N1182" i="10"/>
  <c r="M1182" i="10"/>
  <c r="L1182" i="10"/>
  <c r="K1182" i="10"/>
  <c r="R1181" i="10"/>
  <c r="Q1181" i="10"/>
  <c r="P1181" i="10"/>
  <c r="O1181" i="10"/>
  <c r="N1181" i="10"/>
  <c r="M1181" i="10"/>
  <c r="L1181" i="10"/>
  <c r="K1181" i="10"/>
  <c r="R1180" i="10"/>
  <c r="Q1180" i="10"/>
  <c r="P1180" i="10"/>
  <c r="O1180" i="10"/>
  <c r="N1180" i="10"/>
  <c r="M1180" i="10"/>
  <c r="L1180" i="10"/>
  <c r="K1180" i="10"/>
  <c r="R1179" i="10"/>
  <c r="Q1179" i="10"/>
  <c r="P1179" i="10"/>
  <c r="O1179" i="10"/>
  <c r="N1179" i="10"/>
  <c r="M1179" i="10"/>
  <c r="L1179" i="10"/>
  <c r="K1179" i="10"/>
  <c r="R1178" i="10"/>
  <c r="Q1178" i="10"/>
  <c r="P1178" i="10"/>
  <c r="O1178" i="10"/>
  <c r="N1178" i="10"/>
  <c r="M1178" i="10"/>
  <c r="L1178" i="10"/>
  <c r="K1178" i="10"/>
  <c r="R1177" i="10"/>
  <c r="Q1177" i="10"/>
  <c r="P1177" i="10"/>
  <c r="O1177" i="10"/>
  <c r="N1177" i="10"/>
  <c r="M1177" i="10"/>
  <c r="L1177" i="10"/>
  <c r="K1177" i="10"/>
  <c r="R1176" i="10"/>
  <c r="Q1176" i="10"/>
  <c r="P1176" i="10"/>
  <c r="O1176" i="10"/>
  <c r="N1176" i="10"/>
  <c r="M1176" i="10"/>
  <c r="L1176" i="10"/>
  <c r="K1176" i="10"/>
  <c r="R1175" i="10"/>
  <c r="Q1175" i="10"/>
  <c r="P1175" i="10"/>
  <c r="O1175" i="10"/>
  <c r="N1175" i="10"/>
  <c r="M1175" i="10"/>
  <c r="L1175" i="10"/>
  <c r="K1175" i="10"/>
  <c r="R1174" i="10"/>
  <c r="Q1174" i="10"/>
  <c r="P1174" i="10"/>
  <c r="O1174" i="10"/>
  <c r="N1174" i="10"/>
  <c r="M1174" i="10"/>
  <c r="L1174" i="10"/>
  <c r="K1174" i="10"/>
  <c r="R1173" i="10"/>
  <c r="Q1173" i="10"/>
  <c r="P1173" i="10"/>
  <c r="O1173" i="10"/>
  <c r="N1173" i="10"/>
  <c r="M1173" i="10"/>
  <c r="L1173" i="10"/>
  <c r="S85" i="10"/>
  <c r="Q90" i="10"/>
  <c r="Q89" i="10"/>
  <c r="S58" i="10"/>
  <c r="Q79" i="10"/>
  <c r="D40" i="10"/>
  <c r="M35" i="10"/>
  <c r="D41" i="10" s="1"/>
  <c r="M30" i="10"/>
  <c r="E29" i="10" s="1"/>
  <c r="J30" i="10"/>
  <c r="M29" i="10"/>
  <c r="M28" i="10"/>
  <c r="M27" i="10"/>
  <c r="M26" i="10"/>
  <c r="M25" i="10"/>
  <c r="M17" i="10"/>
  <c r="J11" i="10"/>
  <c r="D3" i="10"/>
  <c r="J8" i="10"/>
  <c r="Q17" i="10"/>
  <c r="J14" i="10"/>
  <c r="S17" i="10"/>
  <c r="J10" i="10"/>
  <c r="K10" i="10" s="1"/>
  <c r="J9" i="10"/>
  <c r="K9" i="10" s="1"/>
  <c r="J12" i="10"/>
  <c r="O17" i="10"/>
  <c r="J13" i="10"/>
  <c r="J7" i="10"/>
  <c r="H3" i="10"/>
  <c r="L10" i="10" s="1"/>
  <c r="L9" i="10"/>
  <c r="K11" i="10"/>
  <c r="L11" i="10" s="1"/>
  <c r="U36" i="10" l="1"/>
  <c r="Q36" i="10"/>
  <c r="O36" i="10"/>
  <c r="N36" i="10"/>
  <c r="R36" i="10"/>
  <c r="P36" i="10"/>
  <c r="T36" i="10"/>
  <c r="S36" i="10"/>
  <c r="K3" i="10"/>
  <c r="W1181" i="10"/>
  <c r="S8" i="4" a="1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R4" i="4"/>
  <c r="S5" i="4"/>
  <c r="O8" i="4" a="1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N4" i="4"/>
  <c r="O5" i="4"/>
  <c r="K8" i="4" a="1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J4" i="4"/>
  <c r="K5" i="4"/>
  <c r="G8" i="4" a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F4" i="4"/>
  <c r="G5" i="4"/>
  <c r="C8" i="4" a="1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B4" i="4"/>
  <c r="C5" i="4"/>
  <c r="C4" i="4"/>
  <c r="A2" i="4"/>
  <c r="K7" i="10"/>
  <c r="L7" i="10" s="1"/>
  <c r="K14" i="10"/>
  <c r="S11" i="10"/>
  <c r="Q11" i="10"/>
  <c r="O10" i="10"/>
  <c r="M10" i="10"/>
  <c r="K12" i="10"/>
  <c r="K8" i="10"/>
  <c r="R11" i="10"/>
  <c r="S10" i="10"/>
  <c r="S9" i="10"/>
  <c r="P11" i="10"/>
  <c r="Q10" i="10"/>
  <c r="Q9" i="10"/>
  <c r="O11" i="10"/>
  <c r="K13" i="10"/>
  <c r="M11" i="10"/>
  <c r="P10" i="10"/>
  <c r="P9" i="10"/>
  <c r="N10" i="10"/>
  <c r="N9" i="10"/>
  <c r="T10" i="10"/>
  <c r="T9" i="10"/>
  <c r="R10" i="10"/>
  <c r="R9" i="10"/>
  <c r="O9" i="10"/>
  <c r="M9" i="10"/>
  <c r="N11" i="10"/>
  <c r="T11" i="10"/>
  <c r="W1182" i="10" l="1"/>
  <c r="W1183" i="10" s="1"/>
  <c r="W1184" i="10" s="1"/>
  <c r="W1185" i="10" s="1"/>
  <c r="W1186" i="10" s="1"/>
  <c r="P27" i="10"/>
  <c r="P28" i="10"/>
  <c r="P30" i="10"/>
  <c r="Q27" i="10"/>
  <c r="N27" i="10"/>
  <c r="R27" i="10"/>
  <c r="Q28" i="10"/>
  <c r="N28" i="10"/>
  <c r="R28" i="10"/>
  <c r="O30" i="10"/>
  <c r="U30" i="10"/>
  <c r="T30" i="10"/>
  <c r="Q30" i="10"/>
  <c r="O27" i="10"/>
  <c r="S27" i="10"/>
  <c r="U27" i="10"/>
  <c r="O28" i="10"/>
  <c r="S28" i="10"/>
  <c r="U28" i="10"/>
  <c r="N30" i="10"/>
  <c r="R30" i="10"/>
  <c r="S30" i="10"/>
  <c r="V1181" i="10"/>
  <c r="G1213" i="9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60" i="9"/>
  <c r="G1261" i="9"/>
  <c r="G1262" i="9"/>
  <c r="G1263" i="9"/>
  <c r="G1264" i="9"/>
  <c r="G1265" i="9"/>
  <c r="G1212" i="9"/>
  <c r="H1213" i="9"/>
  <c r="H1214" i="9"/>
  <c r="H1215" i="9"/>
  <c r="H1216" i="9"/>
  <c r="H1217" i="9"/>
  <c r="H1218" i="9"/>
  <c r="H1219" i="9"/>
  <c r="H1220" i="9"/>
  <c r="H1221" i="9"/>
  <c r="H1222" i="9"/>
  <c r="H1223" i="9"/>
  <c r="H1224" i="9"/>
  <c r="H1225" i="9"/>
  <c r="H1226" i="9"/>
  <c r="H1227" i="9"/>
  <c r="H1228" i="9"/>
  <c r="H1229" i="9"/>
  <c r="H1230" i="9"/>
  <c r="H1231" i="9"/>
  <c r="H1232" i="9"/>
  <c r="H1233" i="9"/>
  <c r="H1234" i="9"/>
  <c r="H1235" i="9"/>
  <c r="H1236" i="9"/>
  <c r="H1237" i="9"/>
  <c r="H1238" i="9"/>
  <c r="H1239" i="9"/>
  <c r="H1240" i="9"/>
  <c r="H1241" i="9"/>
  <c r="H1242" i="9"/>
  <c r="H1243" i="9"/>
  <c r="H1244" i="9"/>
  <c r="H1245" i="9"/>
  <c r="H1246" i="9"/>
  <c r="H1247" i="9"/>
  <c r="H1248" i="9"/>
  <c r="H1249" i="9"/>
  <c r="H1250" i="9"/>
  <c r="H1251" i="9"/>
  <c r="H1252" i="9"/>
  <c r="H1253" i="9"/>
  <c r="H1254" i="9"/>
  <c r="H1255" i="9"/>
  <c r="H1256" i="9"/>
  <c r="H1257" i="9"/>
  <c r="H1258" i="9"/>
  <c r="H1259" i="9"/>
  <c r="H1260" i="9"/>
  <c r="H1261" i="9"/>
  <c r="H1262" i="9"/>
  <c r="H1263" i="9"/>
  <c r="H1264" i="9"/>
  <c r="H1265" i="9"/>
  <c r="H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12" i="9"/>
  <c r="B2421" i="9"/>
  <c r="G1259" i="9" s="1"/>
  <c r="B2401" i="9"/>
  <c r="G1239" i="9" s="1"/>
  <c r="L13" i="10"/>
  <c r="L12" i="10"/>
  <c r="T7" i="10"/>
  <c r="N7" i="10"/>
  <c r="Q7" i="10"/>
  <c r="O7" i="10"/>
  <c r="L8" i="10"/>
  <c r="L14" i="10"/>
  <c r="R7" i="10"/>
  <c r="S7" i="10"/>
  <c r="M7" i="10"/>
  <c r="P7" i="10"/>
  <c r="P25" i="10" l="1"/>
  <c r="S25" i="10"/>
  <c r="R25" i="10"/>
  <c r="O25" i="10"/>
  <c r="Q25" i="10"/>
  <c r="N25" i="10"/>
  <c r="U25" i="10"/>
  <c r="V1182" i="10"/>
  <c r="V1183" i="10" s="1"/>
  <c r="V1184" i="10" s="1"/>
  <c r="V1185" i="10" s="1"/>
  <c r="V1186" i="10" s="1"/>
  <c r="V1187" i="10" s="1"/>
  <c r="V1188" i="10" s="1"/>
  <c r="V1189" i="10" s="1"/>
  <c r="V1190" i="10" s="1"/>
  <c r="V1191" i="10" s="1"/>
  <c r="V1192" i="10" s="1"/>
  <c r="V1193" i="10" s="1"/>
  <c r="V1194" i="10" s="1"/>
  <c r="V1195" i="10" s="1"/>
  <c r="V1196" i="10" s="1"/>
  <c r="V1197" i="10" s="1"/>
  <c r="V1198" i="10" s="1"/>
  <c r="V1199" i="10" s="1"/>
  <c r="V1200" i="10" s="1"/>
  <c r="V1201" i="10" s="1"/>
  <c r="V1202" i="10" s="1"/>
  <c r="V1203" i="10" s="1"/>
  <c r="V1206" i="10" s="1"/>
  <c r="N1211" i="10" s="1"/>
  <c r="W1187" i="10"/>
  <c r="W1188" i="10" s="1"/>
  <c r="W1189" i="10" s="1"/>
  <c r="W1190" i="10" s="1"/>
  <c r="W1191" i="10" s="1"/>
  <c r="W1192" i="10" s="1"/>
  <c r="W1193" i="10" s="1"/>
  <c r="W1194" i="10" s="1"/>
  <c r="W1195" i="10" s="1"/>
  <c r="W1196" i="10" s="1"/>
  <c r="W1197" i="10" s="1"/>
  <c r="W1198" i="10" s="1"/>
  <c r="W1199" i="10" s="1"/>
  <c r="W1200" i="10" s="1"/>
  <c r="W1201" i="10" s="1"/>
  <c r="T28" i="10"/>
  <c r="T27" i="10"/>
  <c r="Q80" i="9"/>
  <c r="S95" i="9"/>
  <c r="S85" i="9"/>
  <c r="S68" i="9"/>
  <c r="Q63" i="9"/>
  <c r="Q90" i="9" s="1"/>
  <c r="Q62" i="9"/>
  <c r="Q89" i="9" s="1"/>
  <c r="Q52" i="9"/>
  <c r="Q79" i="9" s="1"/>
  <c r="S58" i="9"/>
  <c r="Q1173" i="9"/>
  <c r="R1173" i="9"/>
  <c r="P1173" i="9"/>
  <c r="O1173" i="9"/>
  <c r="N1173" i="9"/>
  <c r="M1173" i="9"/>
  <c r="L1173" i="9"/>
  <c r="K1173" i="9"/>
  <c r="K1175" i="9"/>
  <c r="L1175" i="9"/>
  <c r="M1175" i="9"/>
  <c r="N1175" i="9"/>
  <c r="O1175" i="9"/>
  <c r="P1175" i="9"/>
  <c r="Q1175" i="9"/>
  <c r="R1175" i="9"/>
  <c r="K1176" i="9"/>
  <c r="L1176" i="9"/>
  <c r="M1176" i="9"/>
  <c r="N1176" i="9"/>
  <c r="O1176" i="9"/>
  <c r="P1176" i="9"/>
  <c r="Q1176" i="9"/>
  <c r="R1176" i="9"/>
  <c r="K1177" i="9"/>
  <c r="L1177" i="9"/>
  <c r="M1177" i="9"/>
  <c r="N1177" i="9"/>
  <c r="O1177" i="9"/>
  <c r="P1177" i="9"/>
  <c r="Q1177" i="9"/>
  <c r="R1177" i="9"/>
  <c r="K1178" i="9"/>
  <c r="L1178" i="9"/>
  <c r="M1178" i="9"/>
  <c r="N1178" i="9"/>
  <c r="O1178" i="9"/>
  <c r="P1178" i="9"/>
  <c r="Q1178" i="9"/>
  <c r="R1178" i="9"/>
  <c r="K1179" i="9"/>
  <c r="L1179" i="9"/>
  <c r="M1179" i="9"/>
  <c r="N1179" i="9"/>
  <c r="O1179" i="9"/>
  <c r="P1179" i="9"/>
  <c r="Q1179" i="9"/>
  <c r="R1179" i="9"/>
  <c r="K1180" i="9"/>
  <c r="L1180" i="9"/>
  <c r="M1180" i="9"/>
  <c r="N1180" i="9"/>
  <c r="O1180" i="9"/>
  <c r="P1180" i="9"/>
  <c r="Q1180" i="9"/>
  <c r="R1180" i="9"/>
  <c r="K1181" i="9"/>
  <c r="L1181" i="9"/>
  <c r="M1181" i="9"/>
  <c r="N1181" i="9"/>
  <c r="O1181" i="9"/>
  <c r="P1181" i="9"/>
  <c r="Q1181" i="9"/>
  <c r="R1181" i="9"/>
  <c r="K1182" i="9"/>
  <c r="L1182" i="9"/>
  <c r="M1182" i="9"/>
  <c r="N1182" i="9"/>
  <c r="O1182" i="9"/>
  <c r="P1182" i="9"/>
  <c r="Q1182" i="9"/>
  <c r="R1182" i="9"/>
  <c r="K1183" i="9"/>
  <c r="L1183" i="9"/>
  <c r="M1183" i="9"/>
  <c r="N1183" i="9"/>
  <c r="O1183" i="9"/>
  <c r="P1183" i="9"/>
  <c r="Q1183" i="9"/>
  <c r="R1183" i="9"/>
  <c r="K1184" i="9"/>
  <c r="L1184" i="9"/>
  <c r="M1184" i="9"/>
  <c r="N1184" i="9"/>
  <c r="O1184" i="9"/>
  <c r="P1184" i="9"/>
  <c r="Q1184" i="9"/>
  <c r="R1184" i="9"/>
  <c r="K1185" i="9"/>
  <c r="L1185" i="9"/>
  <c r="M1185" i="9"/>
  <c r="N1185" i="9"/>
  <c r="O1185" i="9"/>
  <c r="P1185" i="9"/>
  <c r="Q1185" i="9"/>
  <c r="R1185" i="9"/>
  <c r="K1186" i="9"/>
  <c r="L1186" i="9"/>
  <c r="M1186" i="9"/>
  <c r="N1186" i="9"/>
  <c r="O1186" i="9"/>
  <c r="P1186" i="9"/>
  <c r="Q1186" i="9"/>
  <c r="R1186" i="9"/>
  <c r="K1187" i="9"/>
  <c r="L1187" i="9"/>
  <c r="M1187" i="9"/>
  <c r="N1187" i="9"/>
  <c r="O1187" i="9"/>
  <c r="P1187" i="9"/>
  <c r="Q1187" i="9"/>
  <c r="R1187" i="9"/>
  <c r="K1188" i="9"/>
  <c r="L1188" i="9"/>
  <c r="M1188" i="9"/>
  <c r="N1188" i="9"/>
  <c r="O1188" i="9"/>
  <c r="P1188" i="9"/>
  <c r="Q1188" i="9"/>
  <c r="R1188" i="9"/>
  <c r="K1189" i="9"/>
  <c r="L1189" i="9"/>
  <c r="M1189" i="9"/>
  <c r="N1189" i="9"/>
  <c r="O1189" i="9"/>
  <c r="P1189" i="9"/>
  <c r="Q1189" i="9"/>
  <c r="R1189" i="9"/>
  <c r="K1190" i="9"/>
  <c r="L1190" i="9"/>
  <c r="M1190" i="9"/>
  <c r="N1190" i="9"/>
  <c r="O1190" i="9"/>
  <c r="P1190" i="9"/>
  <c r="Q1190" i="9"/>
  <c r="R1190" i="9"/>
  <c r="K1191" i="9"/>
  <c r="L1191" i="9"/>
  <c r="M1191" i="9"/>
  <c r="N1191" i="9"/>
  <c r="O1191" i="9"/>
  <c r="P1191" i="9"/>
  <c r="Q1191" i="9"/>
  <c r="R1191" i="9"/>
  <c r="K1192" i="9"/>
  <c r="L1192" i="9"/>
  <c r="M1192" i="9"/>
  <c r="N1192" i="9"/>
  <c r="O1192" i="9"/>
  <c r="P1192" i="9"/>
  <c r="Q1192" i="9"/>
  <c r="R1192" i="9"/>
  <c r="K1193" i="9"/>
  <c r="L1193" i="9"/>
  <c r="M1193" i="9"/>
  <c r="N1193" i="9"/>
  <c r="O1193" i="9"/>
  <c r="P1193" i="9"/>
  <c r="Q1193" i="9"/>
  <c r="R1193" i="9"/>
  <c r="K1194" i="9"/>
  <c r="L1194" i="9"/>
  <c r="M1194" i="9"/>
  <c r="N1194" i="9"/>
  <c r="O1194" i="9"/>
  <c r="P1194" i="9"/>
  <c r="Q1194" i="9"/>
  <c r="R1194" i="9"/>
  <c r="K1195" i="9"/>
  <c r="L1195" i="9"/>
  <c r="M1195" i="9"/>
  <c r="N1195" i="9"/>
  <c r="O1195" i="9"/>
  <c r="P1195" i="9"/>
  <c r="Q1195" i="9"/>
  <c r="R1195" i="9"/>
  <c r="K1196" i="9"/>
  <c r="L1196" i="9"/>
  <c r="M1196" i="9"/>
  <c r="N1196" i="9"/>
  <c r="O1196" i="9"/>
  <c r="P1196" i="9"/>
  <c r="Q1196" i="9"/>
  <c r="R1196" i="9"/>
  <c r="K1197" i="9"/>
  <c r="L1197" i="9"/>
  <c r="M1197" i="9"/>
  <c r="N1197" i="9"/>
  <c r="O1197" i="9"/>
  <c r="P1197" i="9"/>
  <c r="Q1197" i="9"/>
  <c r="R1197" i="9"/>
  <c r="K1198" i="9"/>
  <c r="L1198" i="9"/>
  <c r="M1198" i="9"/>
  <c r="N1198" i="9"/>
  <c r="O1198" i="9"/>
  <c r="P1198" i="9"/>
  <c r="Q1198" i="9"/>
  <c r="R1198" i="9"/>
  <c r="K1199" i="9"/>
  <c r="L1199" i="9"/>
  <c r="M1199" i="9"/>
  <c r="N1199" i="9"/>
  <c r="O1199" i="9"/>
  <c r="P1199" i="9"/>
  <c r="Q1199" i="9"/>
  <c r="R1199" i="9"/>
  <c r="K1200" i="9"/>
  <c r="L1200" i="9"/>
  <c r="M1200" i="9"/>
  <c r="N1200" i="9"/>
  <c r="O1200" i="9"/>
  <c r="P1200" i="9"/>
  <c r="Q1200" i="9"/>
  <c r="R1200" i="9"/>
  <c r="K1201" i="9"/>
  <c r="L1201" i="9"/>
  <c r="M1201" i="9"/>
  <c r="N1201" i="9"/>
  <c r="O1201" i="9"/>
  <c r="P1201" i="9"/>
  <c r="Q1201" i="9"/>
  <c r="R1201" i="9"/>
  <c r="K1202" i="9"/>
  <c r="L1202" i="9"/>
  <c r="M1202" i="9"/>
  <c r="N1202" i="9"/>
  <c r="O1202" i="9"/>
  <c r="P1202" i="9"/>
  <c r="Q1202" i="9"/>
  <c r="R1202" i="9"/>
  <c r="K1203" i="9"/>
  <c r="L1203" i="9"/>
  <c r="M1203" i="9"/>
  <c r="N1203" i="9"/>
  <c r="O1203" i="9"/>
  <c r="P1203" i="9"/>
  <c r="Q1203" i="9"/>
  <c r="R1203" i="9"/>
  <c r="L1174" i="9"/>
  <c r="M1174" i="9"/>
  <c r="N1174" i="9"/>
  <c r="O1174" i="9"/>
  <c r="P1174" i="9"/>
  <c r="Q1174" i="9"/>
  <c r="R1174" i="9"/>
  <c r="K1174" i="9"/>
  <c r="O14" i="10"/>
  <c r="M14" i="10"/>
  <c r="N14" i="10"/>
  <c r="P14" i="10"/>
  <c r="O8" i="10"/>
  <c r="M8" i="10"/>
  <c r="N8" i="10"/>
  <c r="P8" i="10"/>
  <c r="O12" i="10"/>
  <c r="P12" i="10"/>
  <c r="M12" i="10"/>
  <c r="N12" i="10"/>
  <c r="P13" i="10"/>
  <c r="N13" i="10"/>
  <c r="M13" i="10"/>
  <c r="O13" i="10"/>
  <c r="R14" i="10"/>
  <c r="Q14" i="10"/>
  <c r="T14" i="10"/>
  <c r="S14" i="10"/>
  <c r="Q8" i="10"/>
  <c r="R8" i="10"/>
  <c r="S8" i="10"/>
  <c r="T8" i="10"/>
  <c r="Q12" i="10"/>
  <c r="R12" i="10"/>
  <c r="S12" i="10"/>
  <c r="T12" i="10"/>
  <c r="Q13" i="10"/>
  <c r="R13" i="10"/>
  <c r="S13" i="10"/>
  <c r="T13" i="10"/>
  <c r="T25" i="10" l="1"/>
  <c r="U35" i="10"/>
  <c r="T35" i="10"/>
  <c r="S35" i="10"/>
  <c r="R35" i="10"/>
  <c r="Q35" i="10"/>
  <c r="U29" i="10"/>
  <c r="S29" i="10"/>
  <c r="R29" i="10"/>
  <c r="Q29" i="10"/>
  <c r="U26" i="10"/>
  <c r="U31" i="10" s="1"/>
  <c r="S26" i="10"/>
  <c r="R26" i="10"/>
  <c r="R31" i="10" s="1"/>
  <c r="Q26" i="10"/>
  <c r="S34" i="10"/>
  <c r="S37" i="10" s="1"/>
  <c r="U34" i="10"/>
  <c r="T34" i="10"/>
  <c r="L40" i="10" s="1"/>
  <c r="Q34" i="10"/>
  <c r="R34" i="10"/>
  <c r="R37" i="10" s="1"/>
  <c r="O35" i="10"/>
  <c r="N35" i="10"/>
  <c r="F40" i="10" s="1"/>
  <c r="P35" i="10"/>
  <c r="N29" i="10"/>
  <c r="P29" i="10"/>
  <c r="O29" i="10"/>
  <c r="G38" i="10" s="1"/>
  <c r="O53" i="10" s="1"/>
  <c r="O80" i="10" s="1"/>
  <c r="P26" i="10"/>
  <c r="N26" i="10"/>
  <c r="T26" i="10" s="1"/>
  <c r="O26" i="10"/>
  <c r="P34" i="10"/>
  <c r="P37" i="10" s="1"/>
  <c r="N34" i="10"/>
  <c r="O34" i="10"/>
  <c r="G40" i="10" s="1"/>
  <c r="W1202" i="10"/>
  <c r="W1203" i="10" s="1"/>
  <c r="P31" i="10"/>
  <c r="V1205" i="10"/>
  <c r="N1212" i="10" s="1"/>
  <c r="J38" i="10"/>
  <c r="O56" i="10" s="1"/>
  <c r="O83" i="10" s="1"/>
  <c r="I38" i="10"/>
  <c r="O55" i="10" s="1"/>
  <c r="O82" i="10" s="1"/>
  <c r="Q31" i="10"/>
  <c r="U37" i="10"/>
  <c r="K38" i="10"/>
  <c r="H38" i="10"/>
  <c r="O54" i="10" s="1"/>
  <c r="O81" i="10" s="1"/>
  <c r="I40" i="10"/>
  <c r="S31" i="10"/>
  <c r="Q37" i="10"/>
  <c r="D40" i="9"/>
  <c r="J30" i="9"/>
  <c r="F38" i="10" l="1"/>
  <c r="O52" i="10" s="1"/>
  <c r="N31" i="10"/>
  <c r="O31" i="10"/>
  <c r="T37" i="10"/>
  <c r="N37" i="10"/>
  <c r="T29" i="10"/>
  <c r="T31" i="10" s="1"/>
  <c r="H40" i="10"/>
  <c r="H43" i="10" s="1"/>
  <c r="J40" i="10"/>
  <c r="J43" i="10" s="1"/>
  <c r="O37" i="10"/>
  <c r="K40" i="10"/>
  <c r="K43" i="10" s="1"/>
  <c r="W1206" i="10"/>
  <c r="W1205" i="10"/>
  <c r="F43" i="10"/>
  <c r="L38" i="10"/>
  <c r="G43" i="10"/>
  <c r="M38" i="10"/>
  <c r="O57" i="10"/>
  <c r="O84" i="10" s="1"/>
  <c r="I43" i="10"/>
  <c r="O79" i="10"/>
  <c r="W1181" i="9"/>
  <c r="M35" i="9"/>
  <c r="D41" i="9" s="1"/>
  <c r="M30" i="9"/>
  <c r="E29" i="9" s="1"/>
  <c r="M26" i="9"/>
  <c r="M27" i="9"/>
  <c r="M28" i="9"/>
  <c r="M29" i="9"/>
  <c r="M25" i="9"/>
  <c r="A4" i="8"/>
  <c r="A3" i="8"/>
  <c r="D3" i="8" s="1"/>
  <c r="J14" i="9"/>
  <c r="H3" i="9"/>
  <c r="D3" i="9"/>
  <c r="J13" i="9"/>
  <c r="J9" i="9"/>
  <c r="J10" i="9"/>
  <c r="J7" i="9"/>
  <c r="J8" i="9"/>
  <c r="J11" i="9"/>
  <c r="J12" i="9"/>
  <c r="B1" i="8"/>
  <c r="M40" i="10" l="1"/>
  <c r="F44" i="10"/>
  <c r="W1182" i="9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K3" i="9"/>
  <c r="O58" i="10"/>
  <c r="O85" i="10" s="1"/>
  <c r="M42" i="10"/>
  <c r="M44" i="10"/>
  <c r="V1181" i="9"/>
  <c r="A2" i="8"/>
  <c r="C3" i="8"/>
  <c r="G3" i="8"/>
  <c r="J3" i="8"/>
  <c r="F3" i="8"/>
  <c r="I3" i="8"/>
  <c r="E3" i="8"/>
  <c r="H3" i="8"/>
  <c r="C4" i="1"/>
  <c r="K11" i="9"/>
  <c r="L11" i="9" s="1"/>
  <c r="K8" i="9"/>
  <c r="K10" i="9"/>
  <c r="K13" i="9"/>
  <c r="K14" i="9"/>
  <c r="K9" i="9"/>
  <c r="K7" i="9"/>
  <c r="K12" i="9"/>
  <c r="I218" i="8"/>
  <c r="H218" i="8"/>
  <c r="F218" i="8"/>
  <c r="D218" i="8"/>
  <c r="J218" i="8"/>
  <c r="C218" i="8"/>
  <c r="G218" i="8"/>
  <c r="E218" i="8"/>
  <c r="A4" i="1"/>
  <c r="W1206" i="9" l="1"/>
  <c r="P1211" i="9" s="1"/>
  <c r="W1205" i="9"/>
  <c r="V1182" i="9"/>
  <c r="V1183" i="9" s="1"/>
  <c r="V1184" i="9" s="1"/>
  <c r="V1185" i="9" s="1"/>
  <c r="V1186" i="9" s="1"/>
  <c r="V1187" i="9" s="1"/>
  <c r="V1188" i="9" s="1"/>
  <c r="V1189" i="9" s="1"/>
  <c r="V1190" i="9" s="1"/>
  <c r="V1191" i="9" s="1"/>
  <c r="V1192" i="9" s="1"/>
  <c r="V1193" i="9" s="1"/>
  <c r="V1194" i="9" s="1"/>
  <c r="V1195" i="9" s="1"/>
  <c r="V1196" i="9" s="1"/>
  <c r="V1197" i="9" s="1"/>
  <c r="V1198" i="9" s="1"/>
  <c r="V1199" i="9" s="1"/>
  <c r="V1200" i="9" s="1"/>
  <c r="V1201" i="9" s="1"/>
  <c r="V1202" i="9" s="1"/>
  <c r="V1203" i="9" s="1"/>
  <c r="V1206" i="9" s="1"/>
  <c r="N1211" i="9" s="1"/>
  <c r="P1212" i="9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P11" i="9"/>
  <c r="N11" i="9"/>
  <c r="T11" i="9"/>
  <c r="R11" i="9"/>
  <c r="L14" i="9"/>
  <c r="L12" i="9"/>
  <c r="O11" i="9"/>
  <c r="M11" i="9"/>
  <c r="S11" i="9"/>
  <c r="Q11" i="9"/>
  <c r="L13" i="9"/>
  <c r="L10" i="9"/>
  <c r="L8" i="9"/>
  <c r="L7" i="9"/>
  <c r="L9" i="9"/>
  <c r="I4" i="8" a="1"/>
  <c r="D4" i="8" a="1"/>
  <c r="H4" i="8" a="1"/>
  <c r="E4" i="8" a="1"/>
  <c r="F4" i="8" a="1"/>
  <c r="G4" i="8" a="1"/>
  <c r="C4" i="8" a="1"/>
  <c r="J4" i="8" a="1"/>
  <c r="V1205" i="9" l="1"/>
  <c r="N1212" i="9" s="1"/>
  <c r="Q30" i="9"/>
  <c r="S30" i="9"/>
  <c r="O30" i="9"/>
  <c r="R30" i="9"/>
  <c r="T30" i="9"/>
  <c r="U30" i="9"/>
  <c r="N30" i="9"/>
  <c r="P30" i="9"/>
  <c r="J4" i="8"/>
  <c r="J6" i="8"/>
  <c r="J8" i="8"/>
  <c r="J10" i="8"/>
  <c r="J12" i="8"/>
  <c r="J14" i="8"/>
  <c r="J16" i="8"/>
  <c r="J18" i="8"/>
  <c r="J20" i="8"/>
  <c r="J22" i="8"/>
  <c r="J24" i="8"/>
  <c r="J26" i="8"/>
  <c r="J28" i="8"/>
  <c r="J30" i="8"/>
  <c r="J32" i="8"/>
  <c r="J34" i="8"/>
  <c r="J36" i="8"/>
  <c r="J38" i="8"/>
  <c r="J40" i="8"/>
  <c r="J42" i="8"/>
  <c r="J44" i="8"/>
  <c r="J46" i="8"/>
  <c r="J48" i="8"/>
  <c r="J50" i="8"/>
  <c r="J52" i="8"/>
  <c r="J54" i="8"/>
  <c r="J56" i="8"/>
  <c r="J58" i="8"/>
  <c r="J60" i="8"/>
  <c r="J62" i="8"/>
  <c r="J64" i="8"/>
  <c r="J66" i="8"/>
  <c r="J68" i="8"/>
  <c r="J70" i="8"/>
  <c r="J72" i="8"/>
  <c r="J74" i="8"/>
  <c r="J76" i="8"/>
  <c r="J78" i="8"/>
  <c r="J80" i="8"/>
  <c r="J82" i="8"/>
  <c r="J84" i="8"/>
  <c r="J86" i="8"/>
  <c r="J5" i="8"/>
  <c r="J7" i="8"/>
  <c r="J9" i="8"/>
  <c r="J11" i="8"/>
  <c r="J13" i="8"/>
  <c r="J15" i="8"/>
  <c r="J17" i="8"/>
  <c r="J19" i="8"/>
  <c r="J21" i="8"/>
  <c r="J23" i="8"/>
  <c r="J25" i="8"/>
  <c r="J27" i="8"/>
  <c r="J29" i="8"/>
  <c r="J31" i="8"/>
  <c r="J33" i="8"/>
  <c r="J35" i="8"/>
  <c r="J37" i="8"/>
  <c r="J39" i="8"/>
  <c r="J41" i="8"/>
  <c r="J43" i="8"/>
  <c r="J45" i="8"/>
  <c r="J47" i="8"/>
  <c r="J49" i="8"/>
  <c r="J51" i="8"/>
  <c r="J53" i="8"/>
  <c r="J55" i="8"/>
  <c r="J57" i="8"/>
  <c r="J59" i="8"/>
  <c r="J61" i="8"/>
  <c r="J63" i="8"/>
  <c r="J65" i="8"/>
  <c r="J67" i="8"/>
  <c r="J69" i="8"/>
  <c r="J71" i="8"/>
  <c r="J73" i="8"/>
  <c r="J75" i="8"/>
  <c r="J77" i="8"/>
  <c r="J79" i="8"/>
  <c r="J81" i="8"/>
  <c r="J83" i="8"/>
  <c r="J85" i="8"/>
  <c r="J87" i="8"/>
  <c r="J89" i="8"/>
  <c r="J91" i="8"/>
  <c r="J93" i="8"/>
  <c r="J95" i="8"/>
  <c r="J97" i="8"/>
  <c r="J99" i="8"/>
  <c r="J101" i="8"/>
  <c r="J103" i="8"/>
  <c r="J105" i="8"/>
  <c r="J107" i="8"/>
  <c r="J109" i="8"/>
  <c r="J111" i="8"/>
  <c r="J113" i="8"/>
  <c r="J115" i="8"/>
  <c r="J117" i="8"/>
  <c r="J119" i="8"/>
  <c r="J121" i="8"/>
  <c r="J123" i="8"/>
  <c r="J125" i="8"/>
  <c r="J127" i="8"/>
  <c r="J129" i="8"/>
  <c r="J131" i="8"/>
  <c r="J133" i="8"/>
  <c r="J135" i="8"/>
  <c r="J137" i="8"/>
  <c r="J139" i="8"/>
  <c r="J141" i="8"/>
  <c r="J143" i="8"/>
  <c r="J145" i="8"/>
  <c r="J147" i="8"/>
  <c r="J149" i="8"/>
  <c r="J151" i="8"/>
  <c r="J153" i="8"/>
  <c r="J155" i="8"/>
  <c r="J157" i="8"/>
  <c r="J159" i="8"/>
  <c r="J161" i="8"/>
  <c r="J163" i="8"/>
  <c r="J165" i="8"/>
  <c r="J167" i="8"/>
  <c r="J169" i="8"/>
  <c r="J171" i="8"/>
  <c r="J173" i="8"/>
  <c r="J175" i="8"/>
  <c r="J177" i="8"/>
  <c r="J179" i="8"/>
  <c r="J181" i="8"/>
  <c r="J183" i="8"/>
  <c r="J185" i="8"/>
  <c r="J187" i="8"/>
  <c r="J189" i="8"/>
  <c r="J191" i="8"/>
  <c r="J193" i="8"/>
  <c r="J88" i="8"/>
  <c r="J92" i="8"/>
  <c r="J96" i="8"/>
  <c r="J100" i="8"/>
  <c r="J104" i="8"/>
  <c r="J108" i="8"/>
  <c r="J112" i="8"/>
  <c r="J116" i="8"/>
  <c r="J120" i="8"/>
  <c r="J124" i="8"/>
  <c r="J128" i="8"/>
  <c r="J132" i="8"/>
  <c r="J136" i="8"/>
  <c r="J140" i="8"/>
  <c r="J144" i="8"/>
  <c r="J148" i="8"/>
  <c r="J152" i="8"/>
  <c r="J156" i="8"/>
  <c r="J160" i="8"/>
  <c r="J164" i="8"/>
  <c r="J168" i="8"/>
  <c r="J172" i="8"/>
  <c r="J176" i="8"/>
  <c r="J180" i="8"/>
  <c r="J184" i="8"/>
  <c r="J188" i="8"/>
  <c r="J192" i="8"/>
  <c r="J195" i="8"/>
  <c r="J197" i="8"/>
  <c r="J199" i="8"/>
  <c r="J201" i="8"/>
  <c r="J203" i="8"/>
  <c r="J205" i="8"/>
  <c r="J207" i="8"/>
  <c r="J209" i="8"/>
  <c r="J211" i="8"/>
  <c r="J213" i="8"/>
  <c r="J215" i="8"/>
  <c r="J90" i="8"/>
  <c r="J94" i="8"/>
  <c r="J98" i="8"/>
  <c r="J102" i="8"/>
  <c r="J106" i="8"/>
  <c r="J110" i="8"/>
  <c r="J114" i="8"/>
  <c r="J118" i="8"/>
  <c r="J122" i="8"/>
  <c r="J126" i="8"/>
  <c r="J130" i="8"/>
  <c r="J134" i="8"/>
  <c r="J138" i="8"/>
  <c r="J142" i="8"/>
  <c r="J146" i="8"/>
  <c r="J150" i="8"/>
  <c r="J154" i="8"/>
  <c r="J158" i="8"/>
  <c r="J162" i="8"/>
  <c r="J166" i="8"/>
  <c r="J170" i="8"/>
  <c r="J174" i="8"/>
  <c r="J178" i="8"/>
  <c r="J182" i="8"/>
  <c r="J186" i="8"/>
  <c r="J190" i="8"/>
  <c r="J194" i="8"/>
  <c r="J196" i="8"/>
  <c r="J198" i="8"/>
  <c r="J200" i="8"/>
  <c r="J202" i="8"/>
  <c r="J204" i="8"/>
  <c r="J206" i="8"/>
  <c r="J208" i="8"/>
  <c r="J210" i="8"/>
  <c r="J212" i="8"/>
  <c r="J214" i="8"/>
  <c r="H4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46" i="8"/>
  <c r="H48" i="8"/>
  <c r="H50" i="8"/>
  <c r="H52" i="8"/>
  <c r="H54" i="8"/>
  <c r="H56" i="8"/>
  <c r="H58" i="8"/>
  <c r="H60" i="8"/>
  <c r="H62" i="8"/>
  <c r="H64" i="8"/>
  <c r="H66" i="8"/>
  <c r="H68" i="8"/>
  <c r="H70" i="8"/>
  <c r="H72" i="8"/>
  <c r="H74" i="8"/>
  <c r="H76" i="8"/>
  <c r="H78" i="8"/>
  <c r="H80" i="8"/>
  <c r="H82" i="8"/>
  <c r="H84" i="8"/>
  <c r="H86" i="8"/>
  <c r="H88" i="8"/>
  <c r="H90" i="8"/>
  <c r="H92" i="8"/>
  <c r="H94" i="8"/>
  <c r="H96" i="8"/>
  <c r="H98" i="8"/>
  <c r="H100" i="8"/>
  <c r="H102" i="8"/>
  <c r="H104" i="8"/>
  <c r="H106" i="8"/>
  <c r="H108" i="8"/>
  <c r="H110" i="8"/>
  <c r="H112" i="8"/>
  <c r="H114" i="8"/>
  <c r="H116" i="8"/>
  <c r="H118" i="8"/>
  <c r="H120" i="8"/>
  <c r="H122" i="8"/>
  <c r="H124" i="8"/>
  <c r="H126" i="8"/>
  <c r="H128" i="8"/>
  <c r="H130" i="8"/>
  <c r="H132" i="8"/>
  <c r="H134" i="8"/>
  <c r="H136" i="8"/>
  <c r="H138" i="8"/>
  <c r="H140" i="8"/>
  <c r="H142" i="8"/>
  <c r="H144" i="8"/>
  <c r="H146" i="8"/>
  <c r="H148" i="8"/>
  <c r="H150" i="8"/>
  <c r="H152" i="8"/>
  <c r="H154" i="8"/>
  <c r="H156" i="8"/>
  <c r="H158" i="8"/>
  <c r="H160" i="8"/>
  <c r="H162" i="8"/>
  <c r="H164" i="8"/>
  <c r="H166" i="8"/>
  <c r="H168" i="8"/>
  <c r="H170" i="8"/>
  <c r="H172" i="8"/>
  <c r="H174" i="8"/>
  <c r="H176" i="8"/>
  <c r="H178" i="8"/>
  <c r="H180" i="8"/>
  <c r="H182" i="8"/>
  <c r="H184" i="8"/>
  <c r="H186" i="8"/>
  <c r="H188" i="8"/>
  <c r="H190" i="8"/>
  <c r="H192" i="8"/>
  <c r="H194" i="8"/>
  <c r="H196" i="8"/>
  <c r="H198" i="8"/>
  <c r="H200" i="8"/>
  <c r="H202" i="8"/>
  <c r="H204" i="8"/>
  <c r="H206" i="8"/>
  <c r="H208" i="8"/>
  <c r="H210" i="8"/>
  <c r="H212" i="8"/>
  <c r="H214" i="8"/>
  <c r="H5" i="8"/>
  <c r="H7" i="8"/>
  <c r="H9" i="8"/>
  <c r="H11" i="8"/>
  <c r="H13" i="8"/>
  <c r="H15" i="8"/>
  <c r="H17" i="8"/>
  <c r="H19" i="8"/>
  <c r="H21" i="8"/>
  <c r="H23" i="8"/>
  <c r="H25" i="8"/>
  <c r="H27" i="8"/>
  <c r="H29" i="8"/>
  <c r="H31" i="8"/>
  <c r="H33" i="8"/>
  <c r="H35" i="8"/>
  <c r="H37" i="8"/>
  <c r="H39" i="8"/>
  <c r="H41" i="8"/>
  <c r="H43" i="8"/>
  <c r="H45" i="8"/>
  <c r="H47" i="8"/>
  <c r="H49" i="8"/>
  <c r="H51" i="8"/>
  <c r="H53" i="8"/>
  <c r="H55" i="8"/>
  <c r="H57" i="8"/>
  <c r="H59" i="8"/>
  <c r="H61" i="8"/>
  <c r="H63" i="8"/>
  <c r="H65" i="8"/>
  <c r="H67" i="8"/>
  <c r="H69" i="8"/>
  <c r="H71" i="8"/>
  <c r="H73" i="8"/>
  <c r="H75" i="8"/>
  <c r="H77" i="8"/>
  <c r="H79" i="8"/>
  <c r="H81" i="8"/>
  <c r="H83" i="8"/>
  <c r="H85" i="8"/>
  <c r="H87" i="8"/>
  <c r="H89" i="8"/>
  <c r="H91" i="8"/>
  <c r="H93" i="8"/>
  <c r="H95" i="8"/>
  <c r="H97" i="8"/>
  <c r="H99" i="8"/>
  <c r="H101" i="8"/>
  <c r="H103" i="8"/>
  <c r="H105" i="8"/>
  <c r="H107" i="8"/>
  <c r="H109" i="8"/>
  <c r="H111" i="8"/>
  <c r="H113" i="8"/>
  <c r="H115" i="8"/>
  <c r="H117" i="8"/>
  <c r="H119" i="8"/>
  <c r="H121" i="8"/>
  <c r="H123" i="8"/>
  <c r="H125" i="8"/>
  <c r="H127" i="8"/>
  <c r="H129" i="8"/>
  <c r="H131" i="8"/>
  <c r="H133" i="8"/>
  <c r="H135" i="8"/>
  <c r="H137" i="8"/>
  <c r="H139" i="8"/>
  <c r="H141" i="8"/>
  <c r="H143" i="8"/>
  <c r="H145" i="8"/>
  <c r="H147" i="8"/>
  <c r="H149" i="8"/>
  <c r="H151" i="8"/>
  <c r="H153" i="8"/>
  <c r="H155" i="8"/>
  <c r="H157" i="8"/>
  <c r="H159" i="8"/>
  <c r="H161" i="8"/>
  <c r="H163" i="8"/>
  <c r="H165" i="8"/>
  <c r="H167" i="8"/>
  <c r="H169" i="8"/>
  <c r="H171" i="8"/>
  <c r="H173" i="8"/>
  <c r="H175" i="8"/>
  <c r="H177" i="8"/>
  <c r="H179" i="8"/>
  <c r="H181" i="8"/>
  <c r="H183" i="8"/>
  <c r="H185" i="8"/>
  <c r="H187" i="8"/>
  <c r="H189" i="8"/>
  <c r="H191" i="8"/>
  <c r="H193" i="8"/>
  <c r="H195" i="8"/>
  <c r="H197" i="8"/>
  <c r="H199" i="8"/>
  <c r="H201" i="8"/>
  <c r="H203" i="8"/>
  <c r="H205" i="8"/>
  <c r="H207" i="8"/>
  <c r="H209" i="8"/>
  <c r="H211" i="8"/>
  <c r="H213" i="8"/>
  <c r="H215" i="8"/>
  <c r="I5" i="8"/>
  <c r="I7" i="8"/>
  <c r="I9" i="8"/>
  <c r="I11" i="8"/>
  <c r="I13" i="8"/>
  <c r="I15" i="8"/>
  <c r="I17" i="8"/>
  <c r="I19" i="8"/>
  <c r="I21" i="8"/>
  <c r="I23" i="8"/>
  <c r="I25" i="8"/>
  <c r="I27" i="8"/>
  <c r="I29" i="8"/>
  <c r="I31" i="8"/>
  <c r="I33" i="8"/>
  <c r="I35" i="8"/>
  <c r="I37" i="8"/>
  <c r="I39" i="8"/>
  <c r="I41" i="8"/>
  <c r="I43" i="8"/>
  <c r="I45" i="8"/>
  <c r="I47" i="8"/>
  <c r="I49" i="8"/>
  <c r="I51" i="8"/>
  <c r="I53" i="8"/>
  <c r="I55" i="8"/>
  <c r="I57" i="8"/>
  <c r="I59" i="8"/>
  <c r="I61" i="8"/>
  <c r="I63" i="8"/>
  <c r="I65" i="8"/>
  <c r="I67" i="8"/>
  <c r="I69" i="8"/>
  <c r="I71" i="8"/>
  <c r="I73" i="8"/>
  <c r="I75" i="8"/>
  <c r="I77" i="8"/>
  <c r="I79" i="8"/>
  <c r="I81" i="8"/>
  <c r="I83" i="8"/>
  <c r="I85" i="8"/>
  <c r="I87" i="8"/>
  <c r="I89" i="8"/>
  <c r="I91" i="8"/>
  <c r="I93" i="8"/>
  <c r="I95" i="8"/>
  <c r="I97" i="8"/>
  <c r="I99" i="8"/>
  <c r="I101" i="8"/>
  <c r="I103" i="8"/>
  <c r="I105" i="8"/>
  <c r="I107" i="8"/>
  <c r="I109" i="8"/>
  <c r="I111" i="8"/>
  <c r="I113" i="8"/>
  <c r="I115" i="8"/>
  <c r="I117" i="8"/>
  <c r="I119" i="8"/>
  <c r="I121" i="8"/>
  <c r="I123" i="8"/>
  <c r="I125" i="8"/>
  <c r="I127" i="8"/>
  <c r="I129" i="8"/>
  <c r="I131" i="8"/>
  <c r="I133" i="8"/>
  <c r="I135" i="8"/>
  <c r="I137" i="8"/>
  <c r="I139" i="8"/>
  <c r="I141" i="8"/>
  <c r="I143" i="8"/>
  <c r="I145" i="8"/>
  <c r="I147" i="8"/>
  <c r="I149" i="8"/>
  <c r="I151" i="8"/>
  <c r="I153" i="8"/>
  <c r="I155" i="8"/>
  <c r="I157" i="8"/>
  <c r="I159" i="8"/>
  <c r="I161" i="8"/>
  <c r="I163" i="8"/>
  <c r="I165" i="8"/>
  <c r="I167" i="8"/>
  <c r="I169" i="8"/>
  <c r="I171" i="8"/>
  <c r="I173" i="8"/>
  <c r="I175" i="8"/>
  <c r="I177" i="8"/>
  <c r="I179" i="8"/>
  <c r="I181" i="8"/>
  <c r="I183" i="8"/>
  <c r="I185" i="8"/>
  <c r="I187" i="8"/>
  <c r="I189" i="8"/>
  <c r="I191" i="8"/>
  <c r="I193" i="8"/>
  <c r="I195" i="8"/>
  <c r="I197" i="8"/>
  <c r="I199" i="8"/>
  <c r="I201" i="8"/>
  <c r="I203" i="8"/>
  <c r="I205" i="8"/>
  <c r="I207" i="8"/>
  <c r="I209" i="8"/>
  <c r="I211" i="8"/>
  <c r="I213" i="8"/>
  <c r="I215" i="8"/>
  <c r="I4" i="8"/>
  <c r="I6" i="8"/>
  <c r="I8" i="8"/>
  <c r="I10" i="8"/>
  <c r="I12" i="8"/>
  <c r="I14" i="8"/>
  <c r="I16" i="8"/>
  <c r="I18" i="8"/>
  <c r="I20" i="8"/>
  <c r="I22" i="8"/>
  <c r="I24" i="8"/>
  <c r="I26" i="8"/>
  <c r="I28" i="8"/>
  <c r="I30" i="8"/>
  <c r="I32" i="8"/>
  <c r="I34" i="8"/>
  <c r="I36" i="8"/>
  <c r="I38" i="8"/>
  <c r="I40" i="8"/>
  <c r="I42" i="8"/>
  <c r="I44" i="8"/>
  <c r="I46" i="8"/>
  <c r="I48" i="8"/>
  <c r="I50" i="8"/>
  <c r="I52" i="8"/>
  <c r="I54" i="8"/>
  <c r="I56" i="8"/>
  <c r="I58" i="8"/>
  <c r="I60" i="8"/>
  <c r="I62" i="8"/>
  <c r="I64" i="8"/>
  <c r="I66" i="8"/>
  <c r="I68" i="8"/>
  <c r="I70" i="8"/>
  <c r="I72" i="8"/>
  <c r="I74" i="8"/>
  <c r="I76" i="8"/>
  <c r="I78" i="8"/>
  <c r="I80" i="8"/>
  <c r="I82" i="8"/>
  <c r="I84" i="8"/>
  <c r="I86" i="8"/>
  <c r="I88" i="8"/>
  <c r="I90" i="8"/>
  <c r="I92" i="8"/>
  <c r="I94" i="8"/>
  <c r="I96" i="8"/>
  <c r="I98" i="8"/>
  <c r="I100" i="8"/>
  <c r="I102" i="8"/>
  <c r="I104" i="8"/>
  <c r="I106" i="8"/>
  <c r="I108" i="8"/>
  <c r="I110" i="8"/>
  <c r="I112" i="8"/>
  <c r="I114" i="8"/>
  <c r="I116" i="8"/>
  <c r="I118" i="8"/>
  <c r="I120" i="8"/>
  <c r="I122" i="8"/>
  <c r="I124" i="8"/>
  <c r="I126" i="8"/>
  <c r="I128" i="8"/>
  <c r="I130" i="8"/>
  <c r="I132" i="8"/>
  <c r="I134" i="8"/>
  <c r="I136" i="8"/>
  <c r="I138" i="8"/>
  <c r="I140" i="8"/>
  <c r="I142" i="8"/>
  <c r="I144" i="8"/>
  <c r="I146" i="8"/>
  <c r="I148" i="8"/>
  <c r="I150" i="8"/>
  <c r="I152" i="8"/>
  <c r="I154" i="8"/>
  <c r="I156" i="8"/>
  <c r="I158" i="8"/>
  <c r="I160" i="8"/>
  <c r="I162" i="8"/>
  <c r="I164" i="8"/>
  <c r="I166" i="8"/>
  <c r="I168" i="8"/>
  <c r="I170" i="8"/>
  <c r="I172" i="8"/>
  <c r="I174" i="8"/>
  <c r="I176" i="8"/>
  <c r="I178" i="8"/>
  <c r="I180" i="8"/>
  <c r="I182" i="8"/>
  <c r="I184" i="8"/>
  <c r="I186" i="8"/>
  <c r="I188" i="8"/>
  <c r="I190" i="8"/>
  <c r="I192" i="8"/>
  <c r="I194" i="8"/>
  <c r="I196" i="8"/>
  <c r="I198" i="8"/>
  <c r="I200" i="8"/>
  <c r="I202" i="8"/>
  <c r="I204" i="8"/>
  <c r="I206" i="8"/>
  <c r="I208" i="8"/>
  <c r="I210" i="8"/>
  <c r="I212" i="8"/>
  <c r="I214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G34" i="8"/>
  <c r="G36" i="8"/>
  <c r="G38" i="8"/>
  <c r="G40" i="8"/>
  <c r="G42" i="8"/>
  <c r="G44" i="8"/>
  <c r="G46" i="8"/>
  <c r="G48" i="8"/>
  <c r="G50" i="8"/>
  <c r="G52" i="8"/>
  <c r="G54" i="8"/>
  <c r="G56" i="8"/>
  <c r="G58" i="8"/>
  <c r="G60" i="8"/>
  <c r="G62" i="8"/>
  <c r="G64" i="8"/>
  <c r="G66" i="8"/>
  <c r="G68" i="8"/>
  <c r="G70" i="8"/>
  <c r="G72" i="8"/>
  <c r="G74" i="8"/>
  <c r="G76" i="8"/>
  <c r="G78" i="8"/>
  <c r="G80" i="8"/>
  <c r="G82" i="8"/>
  <c r="G84" i="8"/>
  <c r="G86" i="8"/>
  <c r="G88" i="8"/>
  <c r="G90" i="8"/>
  <c r="G92" i="8"/>
  <c r="G94" i="8"/>
  <c r="G96" i="8"/>
  <c r="G98" i="8"/>
  <c r="G100" i="8"/>
  <c r="G102" i="8"/>
  <c r="G104" i="8"/>
  <c r="G106" i="8"/>
  <c r="G108" i="8"/>
  <c r="G110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G33" i="8"/>
  <c r="G35" i="8"/>
  <c r="G37" i="8"/>
  <c r="G39" i="8"/>
  <c r="G41" i="8"/>
  <c r="G43" i="8"/>
  <c r="G45" i="8"/>
  <c r="G47" i="8"/>
  <c r="G49" i="8"/>
  <c r="G51" i="8"/>
  <c r="G53" i="8"/>
  <c r="G55" i="8"/>
  <c r="G57" i="8"/>
  <c r="G59" i="8"/>
  <c r="G61" i="8"/>
  <c r="G63" i="8"/>
  <c r="G65" i="8"/>
  <c r="G67" i="8"/>
  <c r="G69" i="8"/>
  <c r="G71" i="8"/>
  <c r="G73" i="8"/>
  <c r="G75" i="8"/>
  <c r="G77" i="8"/>
  <c r="G79" i="8"/>
  <c r="G81" i="8"/>
  <c r="G83" i="8"/>
  <c r="G85" i="8"/>
  <c r="G87" i="8"/>
  <c r="G89" i="8"/>
  <c r="G91" i="8"/>
  <c r="G93" i="8"/>
  <c r="G95" i="8"/>
  <c r="G97" i="8"/>
  <c r="G99" i="8"/>
  <c r="G101" i="8"/>
  <c r="G103" i="8"/>
  <c r="G105" i="8"/>
  <c r="G107" i="8"/>
  <c r="G109" i="8"/>
  <c r="G111" i="8"/>
  <c r="G113" i="8"/>
  <c r="G115" i="8"/>
  <c r="G117" i="8"/>
  <c r="G119" i="8"/>
  <c r="G121" i="8"/>
  <c r="G123" i="8"/>
  <c r="G125" i="8"/>
  <c r="G127" i="8"/>
  <c r="G129" i="8"/>
  <c r="G131" i="8"/>
  <c r="G133" i="8"/>
  <c r="G135" i="8"/>
  <c r="G137" i="8"/>
  <c r="G139" i="8"/>
  <c r="G141" i="8"/>
  <c r="G143" i="8"/>
  <c r="G145" i="8"/>
  <c r="G147" i="8"/>
  <c r="G149" i="8"/>
  <c r="G151" i="8"/>
  <c r="G153" i="8"/>
  <c r="G155" i="8"/>
  <c r="G157" i="8"/>
  <c r="G159" i="8"/>
  <c r="G161" i="8"/>
  <c r="G163" i="8"/>
  <c r="G165" i="8"/>
  <c r="G167" i="8"/>
  <c r="G169" i="8"/>
  <c r="G171" i="8"/>
  <c r="G173" i="8"/>
  <c r="G175" i="8"/>
  <c r="G177" i="8"/>
  <c r="G179" i="8"/>
  <c r="G181" i="8"/>
  <c r="G183" i="8"/>
  <c r="G185" i="8"/>
  <c r="G112" i="8"/>
  <c r="G116" i="8"/>
  <c r="G120" i="8"/>
  <c r="G124" i="8"/>
  <c r="G128" i="8"/>
  <c r="G132" i="8"/>
  <c r="G136" i="8"/>
  <c r="G140" i="8"/>
  <c r="G144" i="8"/>
  <c r="G148" i="8"/>
  <c r="G152" i="8"/>
  <c r="G156" i="8"/>
  <c r="G160" i="8"/>
  <c r="G164" i="8"/>
  <c r="G168" i="8"/>
  <c r="G172" i="8"/>
  <c r="G176" i="8"/>
  <c r="G180" i="8"/>
  <c r="G184" i="8"/>
  <c r="G187" i="8"/>
  <c r="G189" i="8"/>
  <c r="G191" i="8"/>
  <c r="G193" i="8"/>
  <c r="G195" i="8"/>
  <c r="G197" i="8"/>
  <c r="G199" i="8"/>
  <c r="G201" i="8"/>
  <c r="G203" i="8"/>
  <c r="G205" i="8"/>
  <c r="G207" i="8"/>
  <c r="G209" i="8"/>
  <c r="G211" i="8"/>
  <c r="G213" i="8"/>
  <c r="G215" i="8"/>
  <c r="G114" i="8"/>
  <c r="G118" i="8"/>
  <c r="G122" i="8"/>
  <c r="G126" i="8"/>
  <c r="G130" i="8"/>
  <c r="G134" i="8"/>
  <c r="G138" i="8"/>
  <c r="G142" i="8"/>
  <c r="G146" i="8"/>
  <c r="G150" i="8"/>
  <c r="G154" i="8"/>
  <c r="G158" i="8"/>
  <c r="G162" i="8"/>
  <c r="G166" i="8"/>
  <c r="G170" i="8"/>
  <c r="G174" i="8"/>
  <c r="G178" i="8"/>
  <c r="G182" i="8"/>
  <c r="G186" i="8"/>
  <c r="G188" i="8"/>
  <c r="G190" i="8"/>
  <c r="G192" i="8"/>
  <c r="G194" i="8"/>
  <c r="G196" i="8"/>
  <c r="G198" i="8"/>
  <c r="G200" i="8"/>
  <c r="G202" i="8"/>
  <c r="G204" i="8"/>
  <c r="G206" i="8"/>
  <c r="G208" i="8"/>
  <c r="G210" i="8"/>
  <c r="G212" i="8"/>
  <c r="G214" i="8"/>
  <c r="F4" i="8"/>
  <c r="F6" i="8"/>
  <c r="F8" i="8"/>
  <c r="F10" i="8"/>
  <c r="F12" i="8"/>
  <c r="F14" i="8"/>
  <c r="F16" i="8"/>
  <c r="F18" i="8"/>
  <c r="F20" i="8"/>
  <c r="F22" i="8"/>
  <c r="F24" i="8"/>
  <c r="F26" i="8"/>
  <c r="F28" i="8"/>
  <c r="F30" i="8"/>
  <c r="F32" i="8"/>
  <c r="F34" i="8"/>
  <c r="F36" i="8"/>
  <c r="F38" i="8"/>
  <c r="F40" i="8"/>
  <c r="F42" i="8"/>
  <c r="F44" i="8"/>
  <c r="F46" i="8"/>
  <c r="F48" i="8"/>
  <c r="F50" i="8"/>
  <c r="F52" i="8"/>
  <c r="F54" i="8"/>
  <c r="F56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59" i="8"/>
  <c r="F61" i="8"/>
  <c r="F63" i="8"/>
  <c r="F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101" i="8"/>
  <c r="F103" i="8"/>
  <c r="F105" i="8"/>
  <c r="F107" i="8"/>
  <c r="F109" i="8"/>
  <c r="F111" i="8"/>
  <c r="F113" i="8"/>
  <c r="F115" i="8"/>
  <c r="F117" i="8"/>
  <c r="F119" i="8"/>
  <c r="F121" i="8"/>
  <c r="F123" i="8"/>
  <c r="F125" i="8"/>
  <c r="F127" i="8"/>
  <c r="F129" i="8"/>
  <c r="F131" i="8"/>
  <c r="F133" i="8"/>
  <c r="F135" i="8"/>
  <c r="F137" i="8"/>
  <c r="F139" i="8"/>
  <c r="F141" i="8"/>
  <c r="F143" i="8"/>
  <c r="F145" i="8"/>
  <c r="F147" i="8"/>
  <c r="F149" i="8"/>
  <c r="F151" i="8"/>
  <c r="F153" i="8"/>
  <c r="F155" i="8"/>
  <c r="F157" i="8"/>
  <c r="F159" i="8"/>
  <c r="F161" i="8"/>
  <c r="F163" i="8"/>
  <c r="F165" i="8"/>
  <c r="F167" i="8"/>
  <c r="F169" i="8"/>
  <c r="F171" i="8"/>
  <c r="F173" i="8"/>
  <c r="F175" i="8"/>
  <c r="F177" i="8"/>
  <c r="F179" i="8"/>
  <c r="F181" i="8"/>
  <c r="F183" i="8"/>
  <c r="F185" i="8"/>
  <c r="F187" i="8"/>
  <c r="F189" i="8"/>
  <c r="F191" i="8"/>
  <c r="F193" i="8"/>
  <c r="F195" i="8"/>
  <c r="F197" i="8"/>
  <c r="F199" i="8"/>
  <c r="F201" i="8"/>
  <c r="F203" i="8"/>
  <c r="F205" i="8"/>
  <c r="F207" i="8"/>
  <c r="F209" i="8"/>
  <c r="F211" i="8"/>
  <c r="F213" i="8"/>
  <c r="F215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8" i="8"/>
  <c r="F60" i="8"/>
  <c r="F62" i="8"/>
  <c r="F64" i="8"/>
  <c r="F66" i="8"/>
  <c r="F68" i="8"/>
  <c r="F70" i="8"/>
  <c r="F72" i="8"/>
  <c r="F74" i="8"/>
  <c r="F76" i="8"/>
  <c r="F78" i="8"/>
  <c r="F80" i="8"/>
  <c r="F82" i="8"/>
  <c r="F84" i="8"/>
  <c r="F86" i="8"/>
  <c r="F88" i="8"/>
  <c r="F90" i="8"/>
  <c r="F92" i="8"/>
  <c r="F94" i="8"/>
  <c r="F96" i="8"/>
  <c r="F98" i="8"/>
  <c r="F100" i="8"/>
  <c r="F102" i="8"/>
  <c r="F104" i="8"/>
  <c r="F106" i="8"/>
  <c r="F108" i="8"/>
  <c r="F110" i="8"/>
  <c r="F112" i="8"/>
  <c r="F114" i="8"/>
  <c r="F116" i="8"/>
  <c r="F118" i="8"/>
  <c r="F120" i="8"/>
  <c r="F122" i="8"/>
  <c r="F124" i="8"/>
  <c r="F126" i="8"/>
  <c r="F128" i="8"/>
  <c r="F130" i="8"/>
  <c r="F132" i="8"/>
  <c r="F134" i="8"/>
  <c r="F136" i="8"/>
  <c r="F138" i="8"/>
  <c r="F140" i="8"/>
  <c r="F142" i="8"/>
  <c r="F144" i="8"/>
  <c r="F146" i="8"/>
  <c r="F148" i="8"/>
  <c r="F150" i="8"/>
  <c r="F152" i="8"/>
  <c r="F154" i="8"/>
  <c r="F156" i="8"/>
  <c r="F158" i="8"/>
  <c r="F160" i="8"/>
  <c r="F162" i="8"/>
  <c r="F164" i="8"/>
  <c r="F166" i="8"/>
  <c r="F168" i="8"/>
  <c r="F170" i="8"/>
  <c r="F172" i="8"/>
  <c r="F174" i="8"/>
  <c r="F176" i="8"/>
  <c r="F178" i="8"/>
  <c r="F180" i="8"/>
  <c r="F182" i="8"/>
  <c r="F184" i="8"/>
  <c r="F186" i="8"/>
  <c r="F188" i="8"/>
  <c r="F190" i="8"/>
  <c r="F192" i="8"/>
  <c r="F194" i="8"/>
  <c r="F196" i="8"/>
  <c r="F198" i="8"/>
  <c r="F200" i="8"/>
  <c r="F202" i="8"/>
  <c r="F204" i="8"/>
  <c r="F206" i="8"/>
  <c r="F208" i="8"/>
  <c r="F210" i="8"/>
  <c r="F212" i="8"/>
  <c r="F214" i="8"/>
  <c r="E4" i="8"/>
  <c r="E6" i="8"/>
  <c r="E8" i="8"/>
  <c r="E10" i="8"/>
  <c r="E12" i="8"/>
  <c r="E14" i="8"/>
  <c r="E16" i="8"/>
  <c r="E18" i="8"/>
  <c r="E20" i="8"/>
  <c r="E22" i="8"/>
  <c r="E24" i="8"/>
  <c r="E26" i="8"/>
  <c r="E28" i="8"/>
  <c r="E30" i="8"/>
  <c r="E32" i="8"/>
  <c r="E34" i="8"/>
  <c r="E36" i="8"/>
  <c r="E38" i="8"/>
  <c r="E40" i="8"/>
  <c r="E42" i="8"/>
  <c r="E44" i="8"/>
  <c r="E46" i="8"/>
  <c r="E48" i="8"/>
  <c r="E50" i="8"/>
  <c r="E52" i="8"/>
  <c r="E54" i="8"/>
  <c r="E56" i="8"/>
  <c r="E58" i="8"/>
  <c r="E60" i="8"/>
  <c r="E62" i="8"/>
  <c r="E64" i="8"/>
  <c r="E66" i="8"/>
  <c r="E68" i="8"/>
  <c r="E70" i="8"/>
  <c r="E72" i="8"/>
  <c r="E74" i="8"/>
  <c r="E76" i="8"/>
  <c r="E78" i="8"/>
  <c r="E80" i="8"/>
  <c r="E82" i="8"/>
  <c r="E84" i="8"/>
  <c r="E86" i="8"/>
  <c r="E88" i="8"/>
  <c r="E90" i="8"/>
  <c r="E92" i="8"/>
  <c r="E94" i="8"/>
  <c r="E96" i="8"/>
  <c r="E98" i="8"/>
  <c r="E100" i="8"/>
  <c r="E102" i="8"/>
  <c r="E104" i="8"/>
  <c r="E106" i="8"/>
  <c r="E108" i="8"/>
  <c r="E110" i="8"/>
  <c r="E112" i="8"/>
  <c r="E114" i="8"/>
  <c r="E116" i="8"/>
  <c r="E118" i="8"/>
  <c r="E120" i="8"/>
  <c r="E122" i="8"/>
  <c r="E124" i="8"/>
  <c r="E5" i="8"/>
  <c r="E7" i="8"/>
  <c r="E9" i="8"/>
  <c r="E11" i="8"/>
  <c r="E13" i="8"/>
  <c r="E15" i="8"/>
  <c r="E17" i="8"/>
  <c r="E19" i="8"/>
  <c r="E21" i="8"/>
  <c r="E23" i="8"/>
  <c r="E25" i="8"/>
  <c r="E27" i="8"/>
  <c r="E29" i="8"/>
  <c r="E31" i="8"/>
  <c r="E33" i="8"/>
  <c r="E35" i="8"/>
  <c r="E37" i="8"/>
  <c r="E39" i="8"/>
  <c r="E41" i="8"/>
  <c r="E43" i="8"/>
  <c r="E45" i="8"/>
  <c r="E47" i="8"/>
  <c r="E49" i="8"/>
  <c r="E51" i="8"/>
  <c r="E53" i="8"/>
  <c r="E55" i="8"/>
  <c r="E57" i="8"/>
  <c r="E59" i="8"/>
  <c r="E61" i="8"/>
  <c r="E63" i="8"/>
  <c r="E65" i="8"/>
  <c r="E67" i="8"/>
  <c r="E69" i="8"/>
  <c r="E71" i="8"/>
  <c r="E73" i="8"/>
  <c r="E75" i="8"/>
  <c r="E77" i="8"/>
  <c r="E79" i="8"/>
  <c r="E81" i="8"/>
  <c r="E83" i="8"/>
  <c r="E85" i="8"/>
  <c r="E87" i="8"/>
  <c r="E89" i="8"/>
  <c r="E91" i="8"/>
  <c r="E93" i="8"/>
  <c r="E95" i="8"/>
  <c r="E97" i="8"/>
  <c r="E99" i="8"/>
  <c r="E101" i="8"/>
  <c r="E103" i="8"/>
  <c r="E105" i="8"/>
  <c r="E107" i="8"/>
  <c r="E109" i="8"/>
  <c r="E111" i="8"/>
  <c r="E113" i="8"/>
  <c r="E115" i="8"/>
  <c r="E117" i="8"/>
  <c r="E119" i="8"/>
  <c r="E121" i="8"/>
  <c r="E123" i="8"/>
  <c r="E125" i="8"/>
  <c r="E127" i="8"/>
  <c r="E129" i="8"/>
  <c r="E131" i="8"/>
  <c r="E133" i="8"/>
  <c r="E135" i="8"/>
  <c r="E137" i="8"/>
  <c r="E139" i="8"/>
  <c r="E141" i="8"/>
  <c r="E143" i="8"/>
  <c r="E145" i="8"/>
  <c r="E147" i="8"/>
  <c r="E149" i="8"/>
  <c r="E151" i="8"/>
  <c r="E153" i="8"/>
  <c r="E155" i="8"/>
  <c r="E157" i="8"/>
  <c r="E159" i="8"/>
  <c r="E161" i="8"/>
  <c r="E163" i="8"/>
  <c r="E165" i="8"/>
  <c r="E167" i="8"/>
  <c r="E169" i="8"/>
  <c r="E171" i="8"/>
  <c r="E173" i="8"/>
  <c r="E175" i="8"/>
  <c r="E177" i="8"/>
  <c r="E179" i="8"/>
  <c r="E181" i="8"/>
  <c r="E183" i="8"/>
  <c r="E185" i="8"/>
  <c r="E187" i="8"/>
  <c r="E189" i="8"/>
  <c r="E191" i="8"/>
  <c r="E193" i="8"/>
  <c r="E195" i="8"/>
  <c r="E197" i="8"/>
  <c r="E199" i="8"/>
  <c r="E201" i="8"/>
  <c r="E203" i="8"/>
  <c r="E205" i="8"/>
  <c r="E207" i="8"/>
  <c r="E209" i="8"/>
  <c r="E211" i="8"/>
  <c r="E213" i="8"/>
  <c r="E215" i="8"/>
  <c r="E126" i="8"/>
  <c r="E130" i="8"/>
  <c r="E134" i="8"/>
  <c r="E138" i="8"/>
  <c r="E142" i="8"/>
  <c r="E146" i="8"/>
  <c r="E150" i="8"/>
  <c r="E154" i="8"/>
  <c r="E158" i="8"/>
  <c r="E162" i="8"/>
  <c r="E166" i="8"/>
  <c r="E170" i="8"/>
  <c r="E174" i="8"/>
  <c r="E178" i="8"/>
  <c r="E182" i="8"/>
  <c r="E186" i="8"/>
  <c r="E190" i="8"/>
  <c r="E194" i="8"/>
  <c r="E198" i="8"/>
  <c r="E202" i="8"/>
  <c r="E206" i="8"/>
  <c r="E210" i="8"/>
  <c r="E214" i="8"/>
  <c r="E128" i="8"/>
  <c r="E132" i="8"/>
  <c r="E136" i="8"/>
  <c r="E140" i="8"/>
  <c r="E144" i="8"/>
  <c r="E148" i="8"/>
  <c r="E152" i="8"/>
  <c r="E156" i="8"/>
  <c r="E160" i="8"/>
  <c r="E164" i="8"/>
  <c r="E168" i="8"/>
  <c r="E172" i="8"/>
  <c r="E176" i="8"/>
  <c r="E180" i="8"/>
  <c r="E184" i="8"/>
  <c r="E188" i="8"/>
  <c r="E192" i="8"/>
  <c r="E196" i="8"/>
  <c r="E200" i="8"/>
  <c r="E204" i="8"/>
  <c r="E208" i="8"/>
  <c r="E212" i="8"/>
  <c r="D5" i="8"/>
  <c r="D7" i="8"/>
  <c r="D9" i="8"/>
  <c r="D11" i="8"/>
  <c r="D13" i="8"/>
  <c r="D15" i="8"/>
  <c r="D17" i="8"/>
  <c r="D19" i="8"/>
  <c r="D21" i="8"/>
  <c r="D23" i="8"/>
  <c r="D25" i="8"/>
  <c r="D27" i="8"/>
  <c r="D29" i="8"/>
  <c r="D31" i="8"/>
  <c r="D33" i="8"/>
  <c r="D35" i="8"/>
  <c r="D37" i="8"/>
  <c r="D39" i="8"/>
  <c r="D41" i="8"/>
  <c r="D43" i="8"/>
  <c r="D45" i="8"/>
  <c r="D47" i="8"/>
  <c r="D49" i="8"/>
  <c r="D51" i="8"/>
  <c r="D53" i="8"/>
  <c r="D55" i="8"/>
  <c r="D57" i="8"/>
  <c r="D59" i="8"/>
  <c r="D61" i="8"/>
  <c r="D63" i="8"/>
  <c r="D65" i="8"/>
  <c r="D67" i="8"/>
  <c r="D4" i="8"/>
  <c r="D6" i="8"/>
  <c r="D8" i="8"/>
  <c r="D10" i="8"/>
  <c r="D12" i="8"/>
  <c r="D14" i="8"/>
  <c r="D16" i="8"/>
  <c r="D18" i="8"/>
  <c r="D20" i="8"/>
  <c r="D22" i="8"/>
  <c r="D24" i="8"/>
  <c r="D26" i="8"/>
  <c r="D28" i="8"/>
  <c r="D30" i="8"/>
  <c r="D32" i="8"/>
  <c r="D34" i="8"/>
  <c r="D36" i="8"/>
  <c r="D38" i="8"/>
  <c r="D40" i="8"/>
  <c r="D42" i="8"/>
  <c r="D44" i="8"/>
  <c r="D46" i="8"/>
  <c r="D48" i="8"/>
  <c r="D50" i="8"/>
  <c r="D52" i="8"/>
  <c r="D54" i="8"/>
  <c r="D56" i="8"/>
  <c r="D58" i="8"/>
  <c r="D60" i="8"/>
  <c r="D62" i="8"/>
  <c r="D64" i="8"/>
  <c r="D66" i="8"/>
  <c r="D68" i="8"/>
  <c r="D70" i="8"/>
  <c r="D72" i="8"/>
  <c r="D74" i="8"/>
  <c r="D76" i="8"/>
  <c r="D78" i="8"/>
  <c r="D80" i="8"/>
  <c r="D82" i="8"/>
  <c r="D84" i="8"/>
  <c r="D86" i="8"/>
  <c r="D88" i="8"/>
  <c r="D90" i="8"/>
  <c r="D92" i="8"/>
  <c r="D94" i="8"/>
  <c r="D96" i="8"/>
  <c r="D98" i="8"/>
  <c r="D100" i="8"/>
  <c r="D102" i="8"/>
  <c r="D104" i="8"/>
  <c r="D106" i="8"/>
  <c r="D108" i="8"/>
  <c r="D110" i="8"/>
  <c r="D112" i="8"/>
  <c r="D114" i="8"/>
  <c r="D116" i="8"/>
  <c r="D118" i="8"/>
  <c r="D120" i="8"/>
  <c r="D122" i="8"/>
  <c r="D124" i="8"/>
  <c r="D126" i="8"/>
  <c r="D128" i="8"/>
  <c r="D130" i="8"/>
  <c r="D132" i="8"/>
  <c r="D134" i="8"/>
  <c r="D136" i="8"/>
  <c r="D138" i="8"/>
  <c r="D140" i="8"/>
  <c r="D142" i="8"/>
  <c r="D144" i="8"/>
  <c r="D146" i="8"/>
  <c r="D148" i="8"/>
  <c r="D150" i="8"/>
  <c r="D152" i="8"/>
  <c r="D154" i="8"/>
  <c r="D156" i="8"/>
  <c r="D158" i="8"/>
  <c r="D160" i="8"/>
  <c r="D162" i="8"/>
  <c r="D164" i="8"/>
  <c r="D166" i="8"/>
  <c r="D168" i="8"/>
  <c r="D170" i="8"/>
  <c r="D172" i="8"/>
  <c r="D174" i="8"/>
  <c r="D176" i="8"/>
  <c r="D178" i="8"/>
  <c r="D180" i="8"/>
  <c r="D182" i="8"/>
  <c r="D184" i="8"/>
  <c r="D186" i="8"/>
  <c r="D188" i="8"/>
  <c r="D190" i="8"/>
  <c r="D192" i="8"/>
  <c r="D194" i="8"/>
  <c r="D196" i="8"/>
  <c r="D198" i="8"/>
  <c r="D200" i="8"/>
  <c r="D202" i="8"/>
  <c r="D204" i="8"/>
  <c r="D206" i="8"/>
  <c r="D208" i="8"/>
  <c r="D210" i="8"/>
  <c r="D212" i="8"/>
  <c r="D214" i="8"/>
  <c r="D69" i="8"/>
  <c r="D73" i="8"/>
  <c r="D77" i="8"/>
  <c r="D81" i="8"/>
  <c r="D85" i="8"/>
  <c r="D89" i="8"/>
  <c r="D93" i="8"/>
  <c r="D97" i="8"/>
  <c r="D101" i="8"/>
  <c r="D105" i="8"/>
  <c r="D109" i="8"/>
  <c r="D113" i="8"/>
  <c r="D117" i="8"/>
  <c r="D121" i="8"/>
  <c r="D125" i="8"/>
  <c r="D129" i="8"/>
  <c r="D133" i="8"/>
  <c r="D137" i="8"/>
  <c r="D141" i="8"/>
  <c r="D145" i="8"/>
  <c r="D149" i="8"/>
  <c r="D153" i="8"/>
  <c r="D157" i="8"/>
  <c r="D161" i="8"/>
  <c r="D165" i="8"/>
  <c r="D169" i="8"/>
  <c r="D173" i="8"/>
  <c r="D177" i="8"/>
  <c r="D181" i="8"/>
  <c r="D185" i="8"/>
  <c r="D189" i="8"/>
  <c r="D193" i="8"/>
  <c r="D197" i="8"/>
  <c r="D201" i="8"/>
  <c r="D205" i="8"/>
  <c r="D209" i="8"/>
  <c r="D213" i="8"/>
  <c r="D71" i="8"/>
  <c r="D75" i="8"/>
  <c r="D79" i="8"/>
  <c r="D83" i="8"/>
  <c r="D87" i="8"/>
  <c r="D91" i="8"/>
  <c r="D95" i="8"/>
  <c r="D99" i="8"/>
  <c r="D103" i="8"/>
  <c r="D107" i="8"/>
  <c r="D111" i="8"/>
  <c r="D115" i="8"/>
  <c r="D119" i="8"/>
  <c r="D123" i="8"/>
  <c r="D127" i="8"/>
  <c r="D131" i="8"/>
  <c r="D135" i="8"/>
  <c r="D139" i="8"/>
  <c r="D143" i="8"/>
  <c r="D147" i="8"/>
  <c r="D151" i="8"/>
  <c r="D155" i="8"/>
  <c r="D159" i="8"/>
  <c r="D163" i="8"/>
  <c r="D167" i="8"/>
  <c r="D171" i="8"/>
  <c r="D175" i="8"/>
  <c r="D179" i="8"/>
  <c r="D183" i="8"/>
  <c r="D187" i="8"/>
  <c r="D191" i="8"/>
  <c r="D195" i="8"/>
  <c r="D199" i="8"/>
  <c r="D203" i="8"/>
  <c r="D207" i="8"/>
  <c r="D211" i="8"/>
  <c r="D215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5" i="8"/>
  <c r="C37" i="8"/>
  <c r="C39" i="8"/>
  <c r="C41" i="8"/>
  <c r="C43" i="8"/>
  <c r="C45" i="8"/>
  <c r="C47" i="8"/>
  <c r="C49" i="8"/>
  <c r="C4" i="8"/>
  <c r="C6" i="8"/>
  <c r="C8" i="8"/>
  <c r="C10" i="8"/>
  <c r="C12" i="8"/>
  <c r="C14" i="8"/>
  <c r="C16" i="8"/>
  <c r="C18" i="8"/>
  <c r="C20" i="8"/>
  <c r="C22" i="8"/>
  <c r="C24" i="8"/>
  <c r="C26" i="8"/>
  <c r="C28" i="8"/>
  <c r="C30" i="8"/>
  <c r="C32" i="8"/>
  <c r="C34" i="8"/>
  <c r="C36" i="8"/>
  <c r="C38" i="8"/>
  <c r="C40" i="8"/>
  <c r="C42" i="8"/>
  <c r="C44" i="8"/>
  <c r="C46" i="8"/>
  <c r="C48" i="8"/>
  <c r="C50" i="8"/>
  <c r="C52" i="8"/>
  <c r="C54" i="8"/>
  <c r="C56" i="8"/>
  <c r="C58" i="8"/>
  <c r="C60" i="8"/>
  <c r="C62" i="8"/>
  <c r="C64" i="8"/>
  <c r="C66" i="8"/>
  <c r="C68" i="8"/>
  <c r="C70" i="8"/>
  <c r="C72" i="8"/>
  <c r="C74" i="8"/>
  <c r="C76" i="8"/>
  <c r="C78" i="8"/>
  <c r="C80" i="8"/>
  <c r="C82" i="8"/>
  <c r="C84" i="8"/>
  <c r="C86" i="8"/>
  <c r="C88" i="8"/>
  <c r="C90" i="8"/>
  <c r="C92" i="8"/>
  <c r="C94" i="8"/>
  <c r="C96" i="8"/>
  <c r="C98" i="8"/>
  <c r="C100" i="8"/>
  <c r="C102" i="8"/>
  <c r="C104" i="8"/>
  <c r="C106" i="8"/>
  <c r="C108" i="8"/>
  <c r="C110" i="8"/>
  <c r="C112" i="8"/>
  <c r="C114" i="8"/>
  <c r="C116" i="8"/>
  <c r="C118" i="8"/>
  <c r="C120" i="8"/>
  <c r="C122" i="8"/>
  <c r="C124" i="8"/>
  <c r="C126" i="8"/>
  <c r="C128" i="8"/>
  <c r="C130" i="8"/>
  <c r="C132" i="8"/>
  <c r="C134" i="8"/>
  <c r="C136" i="8"/>
  <c r="C138" i="8"/>
  <c r="C140" i="8"/>
  <c r="C142" i="8"/>
  <c r="C144" i="8"/>
  <c r="C146" i="8"/>
  <c r="C148" i="8"/>
  <c r="C150" i="8"/>
  <c r="C152" i="8"/>
  <c r="C154" i="8"/>
  <c r="C156" i="8"/>
  <c r="C158" i="8"/>
  <c r="C160" i="8"/>
  <c r="C162" i="8"/>
  <c r="C164" i="8"/>
  <c r="C166" i="8"/>
  <c r="C168" i="8"/>
  <c r="C170" i="8"/>
  <c r="C172" i="8"/>
  <c r="C51" i="8"/>
  <c r="C55" i="8"/>
  <c r="C59" i="8"/>
  <c r="C63" i="8"/>
  <c r="C67" i="8"/>
  <c r="C71" i="8"/>
  <c r="C75" i="8"/>
  <c r="C79" i="8"/>
  <c r="C83" i="8"/>
  <c r="C87" i="8"/>
  <c r="C91" i="8"/>
  <c r="C95" i="8"/>
  <c r="C99" i="8"/>
  <c r="C103" i="8"/>
  <c r="C107" i="8"/>
  <c r="C111" i="8"/>
  <c r="C115" i="8"/>
  <c r="C119" i="8"/>
  <c r="C123" i="8"/>
  <c r="C127" i="8"/>
  <c r="C131" i="8"/>
  <c r="C135" i="8"/>
  <c r="C139" i="8"/>
  <c r="C143" i="8"/>
  <c r="C147" i="8"/>
  <c r="C151" i="8"/>
  <c r="C155" i="8"/>
  <c r="C159" i="8"/>
  <c r="C163" i="8"/>
  <c r="C167" i="8"/>
  <c r="C171" i="8"/>
  <c r="C174" i="8"/>
  <c r="C176" i="8"/>
  <c r="C178" i="8"/>
  <c r="C180" i="8"/>
  <c r="C182" i="8"/>
  <c r="C184" i="8"/>
  <c r="C186" i="8"/>
  <c r="C188" i="8"/>
  <c r="C190" i="8"/>
  <c r="C192" i="8"/>
  <c r="C194" i="8"/>
  <c r="C196" i="8"/>
  <c r="C198" i="8"/>
  <c r="C200" i="8"/>
  <c r="C202" i="8"/>
  <c r="C204" i="8"/>
  <c r="C206" i="8"/>
  <c r="C208" i="8"/>
  <c r="C210" i="8"/>
  <c r="C212" i="8"/>
  <c r="C214" i="8"/>
  <c r="C53" i="8"/>
  <c r="C57" i="8"/>
  <c r="C61" i="8"/>
  <c r="C65" i="8"/>
  <c r="C69" i="8"/>
  <c r="C73" i="8"/>
  <c r="C77" i="8"/>
  <c r="C81" i="8"/>
  <c r="C85" i="8"/>
  <c r="C89" i="8"/>
  <c r="C93" i="8"/>
  <c r="C97" i="8"/>
  <c r="C101" i="8"/>
  <c r="C105" i="8"/>
  <c r="C109" i="8"/>
  <c r="C113" i="8"/>
  <c r="C117" i="8"/>
  <c r="C121" i="8"/>
  <c r="C125" i="8"/>
  <c r="C129" i="8"/>
  <c r="C133" i="8"/>
  <c r="C137" i="8"/>
  <c r="C141" i="8"/>
  <c r="C145" i="8"/>
  <c r="C149" i="8"/>
  <c r="C153" i="8"/>
  <c r="C157" i="8"/>
  <c r="C161" i="8"/>
  <c r="C165" i="8"/>
  <c r="C169" i="8"/>
  <c r="C173" i="8"/>
  <c r="C175" i="8"/>
  <c r="C177" i="8"/>
  <c r="C179" i="8"/>
  <c r="C181" i="8"/>
  <c r="C183" i="8"/>
  <c r="C185" i="8"/>
  <c r="C187" i="8"/>
  <c r="C189" i="8"/>
  <c r="C191" i="8"/>
  <c r="C193" i="8"/>
  <c r="C195" i="8"/>
  <c r="C197" i="8"/>
  <c r="C199" i="8"/>
  <c r="C201" i="8"/>
  <c r="C203" i="8"/>
  <c r="C205" i="8"/>
  <c r="C207" i="8"/>
  <c r="C209" i="8"/>
  <c r="C211" i="8"/>
  <c r="C213" i="8"/>
  <c r="C215" i="8"/>
  <c r="T7" i="9"/>
  <c r="M7" i="9"/>
  <c r="T9" i="9"/>
  <c r="S9" i="9"/>
  <c r="T8" i="9"/>
  <c r="S8" i="9"/>
  <c r="T12" i="9"/>
  <c r="S12" i="9"/>
  <c r="T10" i="9"/>
  <c r="S10" i="9"/>
  <c r="T14" i="9"/>
  <c r="S14" i="9"/>
  <c r="T13" i="9"/>
  <c r="S13" i="9"/>
  <c r="R7" i="9"/>
  <c r="S7" i="9"/>
  <c r="R9" i="9"/>
  <c r="Q9" i="9"/>
  <c r="R8" i="9"/>
  <c r="Q8" i="9"/>
  <c r="R12" i="9"/>
  <c r="Q12" i="9"/>
  <c r="R10" i="9"/>
  <c r="Q10" i="9"/>
  <c r="R14" i="9"/>
  <c r="Q14" i="9"/>
  <c r="R13" i="9"/>
  <c r="Q13" i="9"/>
  <c r="P7" i="9"/>
  <c r="Q7" i="9"/>
  <c r="P9" i="9"/>
  <c r="O9" i="9"/>
  <c r="P8" i="9"/>
  <c r="O8" i="9"/>
  <c r="P12" i="9"/>
  <c r="O12" i="9"/>
  <c r="P10" i="9"/>
  <c r="O10" i="9"/>
  <c r="P14" i="9"/>
  <c r="O14" i="9"/>
  <c r="P13" i="9"/>
  <c r="O13" i="9"/>
  <c r="N7" i="9"/>
  <c r="O7" i="9"/>
  <c r="N9" i="9"/>
  <c r="M9" i="9"/>
  <c r="N8" i="9"/>
  <c r="M8" i="9"/>
  <c r="N12" i="9"/>
  <c r="M12" i="9"/>
  <c r="N10" i="9"/>
  <c r="M10" i="9"/>
  <c r="N14" i="9"/>
  <c r="M14" i="9"/>
  <c r="N13" i="9"/>
  <c r="M13" i="9"/>
  <c r="T35" i="9" l="1"/>
  <c r="U35" i="9"/>
  <c r="S35" i="9"/>
  <c r="N35" i="9"/>
  <c r="O35" i="9"/>
  <c r="S34" i="9"/>
  <c r="Q34" i="9"/>
  <c r="O34" i="9"/>
  <c r="Q35" i="9"/>
  <c r="R35" i="9"/>
  <c r="P35" i="9"/>
  <c r="R34" i="9"/>
  <c r="R36" i="9" s="1"/>
  <c r="P34" i="9"/>
  <c r="P36" i="9" s="1"/>
  <c r="N34" i="9"/>
  <c r="N36" i="9" s="1"/>
  <c r="U34" i="9"/>
  <c r="T34" i="9"/>
  <c r="T36" i="9" s="1"/>
  <c r="O28" i="9"/>
  <c r="P28" i="9"/>
  <c r="Q27" i="9"/>
  <c r="S29" i="9"/>
  <c r="R29" i="9"/>
  <c r="P25" i="9"/>
  <c r="S25" i="9"/>
  <c r="U26" i="9"/>
  <c r="Q26" i="9"/>
  <c r="U28" i="9"/>
  <c r="N28" i="9"/>
  <c r="R27" i="9"/>
  <c r="U27" i="9"/>
  <c r="Q29" i="9"/>
  <c r="O29" i="9"/>
  <c r="Q25" i="9"/>
  <c r="U25" i="9"/>
  <c r="N26" i="9"/>
  <c r="S28" i="9"/>
  <c r="N27" i="9"/>
  <c r="O27" i="9"/>
  <c r="P29" i="9"/>
  <c r="R25" i="9"/>
  <c r="S26" i="9"/>
  <c r="R26" i="9"/>
  <c r="R28" i="9"/>
  <c r="Q28" i="9"/>
  <c r="S27" i="9"/>
  <c r="P27" i="9"/>
  <c r="N29" i="9"/>
  <c r="U29" i="9"/>
  <c r="N25" i="9"/>
  <c r="O25" i="9"/>
  <c r="P26" i="9"/>
  <c r="O26" i="9"/>
  <c r="T25" i="9"/>
  <c r="T29" i="9" l="1"/>
  <c r="N31" i="9"/>
  <c r="U36" i="9"/>
  <c r="T27" i="9"/>
  <c r="T26" i="9"/>
  <c r="I38" i="9"/>
  <c r="O55" i="9" s="1"/>
  <c r="O82" i="9" s="1"/>
  <c r="H38" i="9"/>
  <c r="O54" i="9" s="1"/>
  <c r="O81" i="9" s="1"/>
  <c r="O36" i="9"/>
  <c r="S36" i="9"/>
  <c r="G38" i="9"/>
  <c r="O53" i="9" s="1"/>
  <c r="O80" i="9" s="1"/>
  <c r="J38" i="9"/>
  <c r="O56" i="9" s="1"/>
  <c r="O83" i="9" s="1"/>
  <c r="U31" i="9"/>
  <c r="T28" i="9"/>
  <c r="S31" i="9"/>
  <c r="Q36" i="9"/>
  <c r="F38" i="9"/>
  <c r="O52" i="9" s="1"/>
  <c r="Q31" i="9"/>
  <c r="K38" i="9"/>
  <c r="O57" i="9" s="1"/>
  <c r="O84" i="9" s="1"/>
  <c r="R31" i="9"/>
  <c r="P31" i="9"/>
  <c r="O31" i="9"/>
  <c r="T31" i="9" l="1"/>
  <c r="L38" i="9"/>
  <c r="O58" i="9"/>
  <c r="O85" i="9" s="1"/>
  <c r="M38" i="9"/>
  <c r="O79" i="9"/>
  <c r="A46" i="4"/>
  <c r="B46" i="4" s="1"/>
  <c r="A47" i="4"/>
  <c r="B47" i="4" s="1"/>
  <c r="A48" i="4"/>
  <c r="B48" i="4" s="1"/>
  <c r="A49" i="4"/>
  <c r="B49" i="4" s="1"/>
  <c r="A50" i="4"/>
  <c r="B50" i="4" s="1"/>
  <c r="A51" i="4"/>
  <c r="B51" i="4" s="1"/>
  <c r="A52" i="4"/>
  <c r="B52" i="4" s="1"/>
  <c r="A53" i="4"/>
  <c r="B53" i="4" s="1"/>
  <c r="A54" i="4"/>
  <c r="B54" i="4" s="1"/>
  <c r="A55" i="4"/>
  <c r="B55" i="4" s="1"/>
  <c r="A56" i="4"/>
  <c r="B56" i="4" s="1"/>
  <c r="A57" i="4"/>
  <c r="B57" i="4" s="1"/>
  <c r="A58" i="4"/>
  <c r="B58" i="4" s="1"/>
  <c r="A59" i="4"/>
  <c r="B59" i="4" s="1"/>
  <c r="A60" i="4"/>
  <c r="B60" i="4" s="1"/>
  <c r="A61" i="4"/>
  <c r="B61" i="4" s="1"/>
  <c r="A62" i="4"/>
  <c r="B62" i="4" s="1"/>
  <c r="A63" i="4"/>
  <c r="B63" i="4" s="1"/>
  <c r="A64" i="4"/>
  <c r="B64" i="4" s="1"/>
  <c r="A65" i="4"/>
  <c r="B65" i="4" s="1"/>
  <c r="A66" i="4"/>
  <c r="B66" i="4" s="1"/>
  <c r="A67" i="4"/>
  <c r="B67" i="4" s="1"/>
  <c r="A68" i="4"/>
  <c r="B68" i="4" s="1"/>
  <c r="A69" i="4"/>
  <c r="B69" i="4" s="1"/>
  <c r="A70" i="4"/>
  <c r="B70" i="4" s="1"/>
  <c r="A71" i="4"/>
  <c r="B71" i="4" s="1"/>
  <c r="A72" i="4"/>
  <c r="B72" i="4" s="1"/>
  <c r="A73" i="4"/>
  <c r="B73" i="4" s="1"/>
  <c r="A74" i="4"/>
  <c r="B74" i="4" s="1"/>
  <c r="A75" i="4"/>
  <c r="B75" i="4" s="1"/>
  <c r="A45" i="4"/>
  <c r="B45" i="4" s="1"/>
  <c r="E2" i="4"/>
  <c r="B31" i="4"/>
  <c r="B12" i="4"/>
  <c r="B24" i="4"/>
  <c r="F35" i="4"/>
  <c r="F10" i="4"/>
  <c r="B22" i="4"/>
  <c r="F24" i="4"/>
  <c r="B27" i="4"/>
  <c r="F31" i="4"/>
  <c r="F16" i="4"/>
  <c r="B19" i="4"/>
  <c r="B16" i="4"/>
  <c r="F26" i="4"/>
  <c r="F34" i="4"/>
  <c r="F37" i="4"/>
  <c r="F9" i="4"/>
  <c r="F13" i="4"/>
  <c r="Q2" i="4"/>
  <c r="B25" i="4"/>
  <c r="B20" i="4"/>
  <c r="B17" i="4"/>
  <c r="R27" i="4"/>
  <c r="F25" i="4"/>
  <c r="B10" i="4"/>
  <c r="R34" i="4"/>
  <c r="R22" i="4"/>
  <c r="B11" i="4"/>
  <c r="F18" i="4"/>
  <c r="F21" i="4"/>
  <c r="B30" i="4"/>
  <c r="F28" i="4"/>
  <c r="B9" i="4"/>
  <c r="F30" i="4"/>
  <c r="R25" i="4"/>
  <c r="B13" i="4"/>
  <c r="F14" i="4"/>
  <c r="R9" i="4"/>
  <c r="R14" i="4"/>
  <c r="B38" i="4"/>
  <c r="F36" i="4"/>
  <c r="F8" i="4"/>
  <c r="F11" i="4"/>
  <c r="F15" i="4"/>
  <c r="F38" i="4"/>
  <c r="R19" i="4"/>
  <c r="F17" i="4"/>
  <c r="B15" i="4"/>
  <c r="R29" i="4"/>
  <c r="F27" i="4"/>
  <c r="B8" i="4"/>
  <c r="R36" i="4"/>
  <c r="F33" i="4"/>
  <c r="F12" i="4"/>
  <c r="F20" i="4"/>
  <c r="F23" i="4"/>
  <c r="B28" i="4"/>
  <c r="R31" i="4"/>
  <c r="I2" i="4"/>
  <c r="F32" i="4"/>
  <c r="R23" i="4"/>
  <c r="J24" i="4"/>
  <c r="J32" i="4"/>
  <c r="B35" i="4"/>
  <c r="R15" i="4"/>
  <c r="R21" i="4"/>
  <c r="J21" i="4"/>
  <c r="R20" i="4"/>
  <c r="R13" i="4"/>
  <c r="J31" i="4"/>
  <c r="J23" i="4"/>
  <c r="J19" i="4"/>
  <c r="J22" i="4"/>
  <c r="J17" i="4"/>
  <c r="J14" i="4"/>
  <c r="J37" i="4"/>
  <c r="B36" i="4"/>
  <c r="B33" i="4"/>
  <c r="B14" i="4"/>
  <c r="B26" i="4"/>
  <c r="B37" i="4"/>
  <c r="R37" i="4"/>
  <c r="R8" i="4"/>
  <c r="F19" i="4"/>
  <c r="F22" i="4"/>
  <c r="B29" i="4"/>
  <c r="R30" i="4"/>
  <c r="F29" i="4"/>
  <c r="R33" i="4"/>
  <c r="B34" i="4"/>
  <c r="B23" i="4"/>
  <c r="B21" i="4"/>
  <c r="B18" i="4"/>
  <c r="R26" i="4"/>
  <c r="M2" i="4"/>
  <c r="N33" i="4"/>
  <c r="J28" i="4"/>
  <c r="R35" i="4"/>
  <c r="N20" i="4"/>
  <c r="N28" i="4"/>
  <c r="J38" i="4"/>
  <c r="J8" i="4"/>
  <c r="B32" i="4"/>
  <c r="R17" i="4"/>
  <c r="N32" i="4"/>
  <c r="J15" i="4"/>
  <c r="R18" i="4"/>
  <c r="R11" i="4"/>
  <c r="N37" i="4"/>
  <c r="N13" i="4"/>
  <c r="N23" i="4"/>
  <c r="N29" i="4"/>
  <c r="N19" i="4"/>
  <c r="J33" i="4"/>
  <c r="J25" i="4"/>
  <c r="J9" i="4"/>
  <c r="J10" i="4"/>
  <c r="J12" i="4"/>
  <c r="R16" i="4"/>
  <c r="N10" i="4"/>
  <c r="J35" i="4"/>
  <c r="J13" i="4"/>
  <c r="N17" i="4"/>
  <c r="J18" i="4"/>
  <c r="R38" i="4"/>
  <c r="R10" i="4"/>
  <c r="R28" i="4"/>
  <c r="R12" i="4"/>
  <c r="R24" i="4"/>
  <c r="R32" i="4"/>
  <c r="J11" i="4"/>
  <c r="J16" i="4"/>
  <c r="J34" i="4"/>
  <c r="J26" i="4"/>
  <c r="J27" i="4"/>
  <c r="J29" i="4"/>
  <c r="J20" i="4"/>
  <c r="J36" i="4"/>
  <c r="J30" i="4"/>
  <c r="N27" i="4"/>
  <c r="N15" i="4"/>
  <c r="N11" i="4"/>
  <c r="N18" i="4"/>
  <c r="N24" i="4"/>
  <c r="N36" i="4"/>
  <c r="N35" i="4"/>
  <c r="N38" i="4"/>
  <c r="N21" i="4"/>
  <c r="N34" i="4"/>
  <c r="N30" i="4"/>
  <c r="N9" i="4"/>
  <c r="N14" i="4"/>
  <c r="N12" i="4"/>
  <c r="N31" i="4"/>
  <c r="N25" i="4"/>
  <c r="N26" i="4"/>
  <c r="N16" i="4"/>
  <c r="N22" i="4"/>
  <c r="N8" i="4"/>
  <c r="O4" i="4" l="1"/>
  <c r="K4" i="4"/>
  <c r="S4" i="4"/>
  <c r="G4" i="4"/>
  <c r="C7" i="4"/>
  <c r="C44" i="4" s="1"/>
  <c r="S7" i="4"/>
  <c r="G44" i="4" s="1"/>
  <c r="O7" i="4"/>
  <c r="F44" i="4" s="1"/>
  <c r="K7" i="4"/>
  <c r="E44" i="4" s="1"/>
  <c r="G7" i="4"/>
  <c r="D44" i="4" s="1"/>
  <c r="B10" i="1"/>
  <c r="B44" i="1" s="1"/>
  <c r="E2" i="1"/>
  <c r="B11" i="1"/>
  <c r="B45" i="1" l="1"/>
  <c r="D40" i="1"/>
  <c r="F40" i="1" s="1"/>
  <c r="D36" i="1"/>
  <c r="F36" i="1" s="1"/>
  <c r="D32" i="1"/>
  <c r="F32" i="1" s="1"/>
  <c r="D28" i="1"/>
  <c r="F28" i="1" s="1"/>
  <c r="D24" i="1"/>
  <c r="F24" i="1" s="1"/>
  <c r="D20" i="1"/>
  <c r="F20" i="1" s="1"/>
  <c r="D16" i="1"/>
  <c r="F16" i="1" s="1"/>
  <c r="D12" i="1"/>
  <c r="F12" i="1" s="1"/>
  <c r="D37" i="1"/>
  <c r="F37" i="1" s="1"/>
  <c r="D25" i="1"/>
  <c r="F25" i="1" s="1"/>
  <c r="D13" i="1"/>
  <c r="F13" i="1" s="1"/>
  <c r="D39" i="1"/>
  <c r="F39" i="1" s="1"/>
  <c r="D35" i="1"/>
  <c r="F35" i="1" s="1"/>
  <c r="D31" i="1"/>
  <c r="F31" i="1" s="1"/>
  <c r="D27" i="1"/>
  <c r="F27" i="1" s="1"/>
  <c r="D23" i="1"/>
  <c r="F23" i="1" s="1"/>
  <c r="D19" i="1"/>
  <c r="F19" i="1" s="1"/>
  <c r="D15" i="1"/>
  <c r="F15" i="1" s="1"/>
  <c r="D11" i="1"/>
  <c r="F11" i="1" s="1"/>
  <c r="D29" i="1"/>
  <c r="F29" i="1" s="1"/>
  <c r="D17" i="1"/>
  <c r="F17" i="1" s="1"/>
  <c r="D38" i="1"/>
  <c r="F38" i="1" s="1"/>
  <c r="D34" i="1"/>
  <c r="F34" i="1" s="1"/>
  <c r="D30" i="1"/>
  <c r="F30" i="1" s="1"/>
  <c r="D26" i="1"/>
  <c r="F26" i="1" s="1"/>
  <c r="D22" i="1"/>
  <c r="F22" i="1" s="1"/>
  <c r="D18" i="1"/>
  <c r="F18" i="1" s="1"/>
  <c r="D14" i="1"/>
  <c r="F14" i="1" s="1"/>
  <c r="D10" i="1"/>
  <c r="F10" i="1" s="1"/>
  <c r="D33" i="1"/>
  <c r="F33" i="1" s="1"/>
  <c r="D21" i="1"/>
  <c r="F21" i="1" s="1"/>
  <c r="B12" i="1"/>
  <c r="B46" i="1" l="1"/>
  <c r="B13" i="1"/>
  <c r="B47" i="1" l="1"/>
  <c r="L40" i="9"/>
  <c r="B14" i="1"/>
  <c r="B48" i="1" l="1"/>
  <c r="F40" i="9"/>
  <c r="F43" i="9" s="1"/>
  <c r="K40" i="9"/>
  <c r="K43" i="9" s="1"/>
  <c r="G40" i="9"/>
  <c r="G43" i="9" s="1"/>
  <c r="I40" i="9"/>
  <c r="I43" i="9" s="1"/>
  <c r="J40" i="9"/>
  <c r="J43" i="9" s="1"/>
  <c r="H40" i="9"/>
  <c r="H43" i="9" s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E10" i="1" a="1"/>
  <c r="C10" i="1" a="1"/>
  <c r="B74" i="1" l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M44" i="9"/>
  <c r="M40" i="9"/>
  <c r="M42" i="9" s="1"/>
  <c r="C13" i="1"/>
  <c r="C47" i="1" s="1"/>
  <c r="D47" i="1" s="1"/>
  <c r="C10" i="1"/>
  <c r="C44" i="1" s="1"/>
  <c r="D44" i="1" s="1"/>
  <c r="C39" i="1"/>
  <c r="C73" i="1" s="1"/>
  <c r="D73" i="1" s="1"/>
  <c r="C15" i="1"/>
  <c r="C49" i="1" s="1"/>
  <c r="D49" i="1" s="1"/>
  <c r="C23" i="1"/>
  <c r="C57" i="1" s="1"/>
  <c r="D57" i="1" s="1"/>
  <c r="C16" i="1"/>
  <c r="C50" i="1" s="1"/>
  <c r="D50" i="1" s="1"/>
  <c r="C33" i="1"/>
  <c r="C67" i="1" s="1"/>
  <c r="D67" i="1" s="1"/>
  <c r="C19" i="1"/>
  <c r="C53" i="1" s="1"/>
  <c r="D53" i="1" s="1"/>
  <c r="C18" i="1"/>
  <c r="C52" i="1" s="1"/>
  <c r="D52" i="1" s="1"/>
  <c r="C37" i="1"/>
  <c r="C71" i="1" s="1"/>
  <c r="D71" i="1" s="1"/>
  <c r="C26" i="1"/>
  <c r="C60" i="1" s="1"/>
  <c r="D60" i="1" s="1"/>
  <c r="C36" i="1"/>
  <c r="C70" i="1" s="1"/>
  <c r="D70" i="1" s="1"/>
  <c r="C35" i="1"/>
  <c r="C69" i="1" s="1"/>
  <c r="D69" i="1" s="1"/>
  <c r="C34" i="1"/>
  <c r="C68" i="1" s="1"/>
  <c r="D68" i="1" s="1"/>
  <c r="C17" i="1"/>
  <c r="C51" i="1" s="1"/>
  <c r="D51" i="1" s="1"/>
  <c r="C11" i="1"/>
  <c r="C45" i="1" s="1"/>
  <c r="D45" i="1" s="1"/>
  <c r="C31" i="1"/>
  <c r="C65" i="1" s="1"/>
  <c r="D65" i="1" s="1"/>
  <c r="C40" i="1"/>
  <c r="C74" i="1" s="1"/>
  <c r="D74" i="1" s="1"/>
  <c r="C22" i="1"/>
  <c r="C56" i="1" s="1"/>
  <c r="D56" i="1" s="1"/>
  <c r="C30" i="1"/>
  <c r="C64" i="1" s="1"/>
  <c r="D64" i="1" s="1"/>
  <c r="C12" i="1"/>
  <c r="C46" i="1" s="1"/>
  <c r="D46" i="1" s="1"/>
  <c r="C20" i="1"/>
  <c r="C54" i="1" s="1"/>
  <c r="D54" i="1" s="1"/>
  <c r="C27" i="1"/>
  <c r="C61" i="1" s="1"/>
  <c r="D61" i="1" s="1"/>
  <c r="C14" i="1"/>
  <c r="C48" i="1" s="1"/>
  <c r="D48" i="1" s="1"/>
  <c r="C29" i="1"/>
  <c r="C63" i="1" s="1"/>
  <c r="D63" i="1" s="1"/>
  <c r="C28" i="1"/>
  <c r="C62" i="1" s="1"/>
  <c r="D62" i="1" s="1"/>
  <c r="C25" i="1"/>
  <c r="C59" i="1" s="1"/>
  <c r="D59" i="1" s="1"/>
  <c r="C21" i="1"/>
  <c r="C55" i="1" s="1"/>
  <c r="D55" i="1" s="1"/>
  <c r="C24" i="1"/>
  <c r="C58" i="1" s="1"/>
  <c r="D58" i="1" s="1"/>
  <c r="C32" i="1"/>
  <c r="C66" i="1" s="1"/>
  <c r="D66" i="1" s="1"/>
  <c r="C38" i="1"/>
  <c r="C72" i="1" s="1"/>
  <c r="D72" i="1" s="1"/>
  <c r="E37" i="1"/>
  <c r="E15" i="1"/>
  <c r="E12" i="1"/>
  <c r="E21" i="1"/>
  <c r="E27" i="1"/>
  <c r="E25" i="1"/>
  <c r="E33" i="1"/>
  <c r="E20" i="1"/>
  <c r="E13" i="1"/>
  <c r="E39" i="1"/>
  <c r="E19" i="1"/>
  <c r="E30" i="1"/>
  <c r="E26" i="1"/>
  <c r="E28" i="1"/>
  <c r="E18" i="1"/>
  <c r="E23" i="1"/>
  <c r="E31" i="1"/>
  <c r="E10" i="1"/>
  <c r="E40" i="1"/>
  <c r="E24" i="1"/>
  <c r="E16" i="1"/>
  <c r="E32" i="1"/>
  <c r="E36" i="1"/>
  <c r="E22" i="1"/>
  <c r="E34" i="1"/>
  <c r="E11" i="1"/>
  <c r="E17" i="1"/>
  <c r="E29" i="1"/>
  <c r="E35" i="1"/>
  <c r="E38" i="1"/>
  <c r="E14" i="1"/>
</calcChain>
</file>

<file path=xl/sharedStrings.xml><?xml version="1.0" encoding="utf-8"?>
<sst xmlns="http://schemas.openxmlformats.org/spreadsheetml/2006/main" count="15660" uniqueCount="1340">
  <si>
    <t>银行间固定利率国债收益率曲线(中债即期)</t>
  </si>
  <si>
    <t>0.00 年</t>
  </si>
  <si>
    <t>1.0 年</t>
  </si>
  <si>
    <t>2.0 年</t>
  </si>
  <si>
    <t>3.0 年</t>
  </si>
  <si>
    <t>4.0 年</t>
  </si>
  <si>
    <t>5.0 年</t>
  </si>
  <si>
    <t>6.0 年</t>
  </si>
  <si>
    <t>7.0 年</t>
  </si>
  <si>
    <t>8.0 年</t>
  </si>
  <si>
    <t>9.0 年</t>
  </si>
  <si>
    <t>10.0 年</t>
  </si>
  <si>
    <t>11.0 年</t>
  </si>
  <si>
    <t>12.0 年</t>
  </si>
  <si>
    <t>13.0 年</t>
  </si>
  <si>
    <t>14.0 年</t>
  </si>
  <si>
    <t>15.0 年</t>
  </si>
  <si>
    <t>16.0 年</t>
  </si>
  <si>
    <t>17.0 年</t>
  </si>
  <si>
    <t>18.0 年</t>
  </si>
  <si>
    <t>19.0 年</t>
  </si>
  <si>
    <t>20.0 年</t>
  </si>
  <si>
    <t>21.0 年</t>
  </si>
  <si>
    <t>22.0 年</t>
  </si>
  <si>
    <t>23.0 年</t>
  </si>
  <si>
    <t>24.0 年</t>
  </si>
  <si>
    <t>25.0 年</t>
  </si>
  <si>
    <t>26.0 年</t>
  </si>
  <si>
    <t>27.0 年</t>
  </si>
  <si>
    <t>28.0 年</t>
  </si>
  <si>
    <t>29.0 年</t>
  </si>
  <si>
    <t>30.0 年</t>
  </si>
  <si>
    <r>
      <rPr>
        <sz val="11"/>
        <color theme="1"/>
        <rFont val="宋体"/>
        <family val="2"/>
      </rPr>
      <t>报告时间</t>
    </r>
    <phoneticPr fontId="4" type="noConversion"/>
  </si>
  <si>
    <r>
      <rPr>
        <sz val="11"/>
        <color theme="1"/>
        <rFont val="宋体"/>
        <family val="2"/>
      </rPr>
      <t>路径</t>
    </r>
    <phoneticPr fontId="4" type="noConversion"/>
  </si>
  <si>
    <r>
      <rPr>
        <sz val="11"/>
        <color theme="1"/>
        <rFont val="宋体"/>
        <family val="2"/>
      </rPr>
      <t>收益率曲线</t>
    </r>
    <phoneticPr fontId="4" type="noConversion"/>
  </si>
  <si>
    <r>
      <rPr>
        <sz val="11"/>
        <color theme="1"/>
        <rFont val="宋体"/>
        <family val="2"/>
      </rPr>
      <t>读取收益率曲线</t>
    </r>
    <phoneticPr fontId="4" type="noConversion"/>
  </si>
  <si>
    <r>
      <rPr>
        <sz val="11"/>
        <color theme="1"/>
        <rFont val="宋体"/>
        <family val="2"/>
      </rPr>
      <t>时间</t>
    </r>
    <phoneticPr fontId="4" type="noConversion"/>
  </si>
  <si>
    <t>中债公司即期收益率</t>
    <phoneticPr fontId="4" type="noConversion"/>
  </si>
  <si>
    <t>中债公司折现因子</t>
    <phoneticPr fontId="4" type="noConversion"/>
  </si>
  <si>
    <t>中大期货即期收益率</t>
    <phoneticPr fontId="4" type="noConversion"/>
  </si>
  <si>
    <t>中大期货折现因子</t>
    <phoneticPr fontId="4" type="noConversion"/>
  </si>
  <si>
    <r>
      <rPr>
        <sz val="11"/>
        <color theme="1"/>
        <rFont val="宋体"/>
        <family val="2"/>
      </rPr>
      <t>报告时间</t>
    </r>
    <phoneticPr fontId="4" type="noConversion"/>
  </si>
  <si>
    <r>
      <rPr>
        <sz val="11"/>
        <color theme="1"/>
        <rFont val="宋体"/>
        <family val="2"/>
      </rPr>
      <t>一周前</t>
    </r>
    <phoneticPr fontId="4" type="noConversion"/>
  </si>
  <si>
    <r>
      <rPr>
        <sz val="11"/>
        <color theme="1"/>
        <rFont val="宋体"/>
        <family val="2"/>
      </rPr>
      <t>一月前</t>
    </r>
    <phoneticPr fontId="4" type="noConversion"/>
  </si>
  <si>
    <r>
      <rPr>
        <sz val="11"/>
        <color theme="1"/>
        <rFont val="宋体"/>
        <family val="2"/>
      </rPr>
      <t>一季前</t>
    </r>
    <phoneticPr fontId="4" type="noConversion"/>
  </si>
  <si>
    <r>
      <rPr>
        <sz val="11"/>
        <color theme="1"/>
        <rFont val="宋体"/>
        <family val="2"/>
      </rPr>
      <t>一年前</t>
    </r>
    <phoneticPr fontId="4" type="noConversion"/>
  </si>
  <si>
    <r>
      <rPr>
        <sz val="11"/>
        <color theme="1"/>
        <rFont val="宋体"/>
        <family val="2"/>
      </rPr>
      <t>读取曲线</t>
    </r>
    <phoneticPr fontId="4" type="noConversion"/>
  </si>
  <si>
    <r>
      <rPr>
        <sz val="11"/>
        <color theme="1"/>
        <rFont val="宋体"/>
        <family val="2"/>
      </rPr>
      <t>日期</t>
    </r>
    <phoneticPr fontId="4" type="noConversion"/>
  </si>
  <si>
    <r>
      <rPr>
        <b/>
        <sz val="11"/>
        <color theme="1"/>
        <rFont val="宋体"/>
        <family val="3"/>
        <charset val="134"/>
      </rPr>
      <t>期限</t>
    </r>
    <phoneticPr fontId="4" type="noConversion"/>
  </si>
  <si>
    <r>
      <rPr>
        <b/>
        <sz val="11"/>
        <color theme="1"/>
        <rFont val="宋体"/>
        <family val="3"/>
        <charset val="134"/>
      </rPr>
      <t>日期</t>
    </r>
    <phoneticPr fontId="4" type="noConversion"/>
  </si>
  <si>
    <t>Date</t>
    <phoneticPr fontId="4" type="noConversion"/>
  </si>
  <si>
    <t>Save Path</t>
    <phoneticPr fontId="4" type="noConversion"/>
  </si>
  <si>
    <t>Load Path</t>
    <phoneticPr fontId="4" type="noConversion"/>
  </si>
  <si>
    <t>Built Curves</t>
    <phoneticPr fontId="4" type="noConversion"/>
  </si>
  <si>
    <t>Base Curve</t>
    <phoneticPr fontId="4" type="noConversion"/>
  </si>
  <si>
    <t>CNY_Treasury_Live_Curve_2012-5-14_Calibrated_Curve_1</t>
    <phoneticPr fontId="4" type="noConversion"/>
  </si>
  <si>
    <t>CNY_Treasury_Live_Curve_2012-5-14_Calibrated_Curve_2</t>
    <phoneticPr fontId="4" type="noConversion"/>
  </si>
  <si>
    <t>CNY_Treasury_Live_Curve_2012-5-14_Calibrated_Curve_3</t>
    <phoneticPr fontId="4" type="noConversion"/>
  </si>
  <si>
    <t>CNY_Treasury_Live_Curve_2012-5-14_Calibrated_Curve_4</t>
    <phoneticPr fontId="4" type="noConversion"/>
  </si>
  <si>
    <t>CNY_Treasury_Live_Curve_2012-5-14_Calibrated_Curve_5</t>
    <phoneticPr fontId="4" type="noConversion"/>
  </si>
  <si>
    <t>CNY_Treasury_Live_Curve_2012-5-14_Calibrated_Curve_6</t>
    <phoneticPr fontId="4" type="noConversion"/>
  </si>
  <si>
    <t>CNY_Treasury_Live_Curve_2012-5-14_Calibrated_Curve_7</t>
    <phoneticPr fontId="4" type="noConversion"/>
  </si>
  <si>
    <t>CNY_Treasury_Live_Curve_2012-5-15_Calibrated_Curve_1</t>
    <phoneticPr fontId="4" type="noConversion"/>
  </si>
  <si>
    <t>CNY_Treasury_Live_Curve_2012-5-15_Calibrated_Curve_2</t>
    <phoneticPr fontId="4" type="noConversion"/>
  </si>
  <si>
    <t>CNY_Treasury_Live_Curve_2012-5-15_Calibrated_Curve_3</t>
    <phoneticPr fontId="4" type="noConversion"/>
  </si>
  <si>
    <t>CNY_Treasury_Live_Curve_2012-5-15_Calibrated_Curve_4</t>
    <phoneticPr fontId="4" type="noConversion"/>
  </si>
  <si>
    <t>CNY_Treasury_Live_Curve_2012-5-15_Calibrated_Curve_5</t>
    <phoneticPr fontId="4" type="noConversion"/>
  </si>
  <si>
    <t>CNY_Treasury_Live_Curve_2012-5-15_Calibrated_Curve_6</t>
    <phoneticPr fontId="4" type="noConversion"/>
  </si>
  <si>
    <t>CNY_Treasury_Live_Curve_2012-5-15_Calibrated_Curve_7</t>
    <phoneticPr fontId="4" type="noConversion"/>
  </si>
  <si>
    <t>CNY_Treasury_Live_Curve_2012-5-16_Calibrated_Curve_1</t>
    <phoneticPr fontId="4" type="noConversion"/>
  </si>
  <si>
    <t>CNY_Treasury_Live_Curve_2012-5-16_Calibrated_Curve_2</t>
    <phoneticPr fontId="4" type="noConversion"/>
  </si>
  <si>
    <t>CNY_Treasury_Live_Curve_2012-5-16_Calibrated_Curve_3</t>
    <phoneticPr fontId="4" type="noConversion"/>
  </si>
  <si>
    <t>CNY_Treasury_Live_Curve_2012-5-16_Calibrated_Curve_4</t>
    <phoneticPr fontId="4" type="noConversion"/>
  </si>
  <si>
    <t>CNY_Treasury_Live_Curve_2012-5-16_Calibrated_Curve_5</t>
    <phoneticPr fontId="4" type="noConversion"/>
  </si>
  <si>
    <t>CNY_Treasury_Live_Curve_2012-5-16_Calibrated_Curve_6</t>
    <phoneticPr fontId="4" type="noConversion"/>
  </si>
  <si>
    <t>CNY_Treasury_Live_Curve_2012-5-16_Calibrated_Curve_7</t>
    <phoneticPr fontId="4" type="noConversion"/>
  </si>
  <si>
    <t>CNY_Treasury_Live_Curve_2012-5-17_Calibrated_Curve_1</t>
    <phoneticPr fontId="4" type="noConversion"/>
  </si>
  <si>
    <t>CNY_Treasury_Live_Curve_2012-5-17_Calibrated_Curve_2</t>
    <phoneticPr fontId="4" type="noConversion"/>
  </si>
  <si>
    <t>CNY_Treasury_Live_Curve_2012-5-17_Calibrated_Curve_3</t>
    <phoneticPr fontId="4" type="noConversion"/>
  </si>
  <si>
    <t>CNY_Treasury_Live_Curve_2012-5-17_Calibrated_Curve_4</t>
    <phoneticPr fontId="4" type="noConversion"/>
  </si>
  <si>
    <t>CNY_Treasury_Live_Curve_2012-5-17_Calibrated_Curve_5</t>
    <phoneticPr fontId="4" type="noConversion"/>
  </si>
  <si>
    <t>CNY_Treasury_Live_Curve_2012-5-17_Calibrated_Curve_6</t>
    <phoneticPr fontId="4" type="noConversion"/>
  </si>
  <si>
    <t>CNY_Treasury_Live_Curve_2012-5-17_Calibrated_Curve_7</t>
    <phoneticPr fontId="4" type="noConversion"/>
  </si>
  <si>
    <t>CNY_Treasury_Live_Curve_2012-5-18_Calibrated_Curve_1</t>
    <phoneticPr fontId="4" type="noConversion"/>
  </si>
  <si>
    <t>CNY_Treasury_Live_Curve_2012-5-18_Calibrated_Curve_2</t>
    <phoneticPr fontId="4" type="noConversion"/>
  </si>
  <si>
    <t>CNY_Treasury_Live_Curve_2012-5-18_Calibrated_Curve_3</t>
    <phoneticPr fontId="4" type="noConversion"/>
  </si>
  <si>
    <t>CNY_Treasury_Live_Curve_2012-5-18_Calibrated_Curve_4</t>
    <phoneticPr fontId="4" type="noConversion"/>
  </si>
  <si>
    <t>CNY_Treasury_Live_Curve_2012-5-18_Calibrated_Curve_5</t>
    <phoneticPr fontId="4" type="noConversion"/>
  </si>
  <si>
    <t>CNY_Treasury_Live_Curve_2012-5-18_Calibrated_Curve_6</t>
    <phoneticPr fontId="4" type="noConversion"/>
  </si>
  <si>
    <t>CNY_Treasury_Live_Curve_2012-5-18_Calibrated_Curve_7</t>
    <phoneticPr fontId="4" type="noConversion"/>
  </si>
  <si>
    <t>CNY_Treasury_Live_Curve_2012-5-2_Calibrated_Curve_1</t>
    <phoneticPr fontId="4" type="noConversion"/>
  </si>
  <si>
    <t>CNY_Treasury_Live_Curve_2012-5-2_Calibrated_Curve_2</t>
    <phoneticPr fontId="4" type="noConversion"/>
  </si>
  <si>
    <t>CNY_Treasury_Live_Curve_2012-5-2_Calibrated_Curve_3</t>
    <phoneticPr fontId="4" type="noConversion"/>
  </si>
  <si>
    <t>CNY_Treasury_Live_Curve_2012-5-2_Calibrated_Curve_4</t>
    <phoneticPr fontId="4" type="noConversion"/>
  </si>
  <si>
    <t>CNY_Treasury_Live_Curve_2012-5-2_Calibrated_Curve_5</t>
    <phoneticPr fontId="4" type="noConversion"/>
  </si>
  <si>
    <t>CNY_Treasury_Live_Curve_2012-5-2_Calibrated_Curve_6</t>
    <phoneticPr fontId="4" type="noConversion"/>
  </si>
  <si>
    <t>CNY_Treasury_Live_Curve_2012-5-2_Calibrated_Curve_7</t>
    <phoneticPr fontId="4" type="noConversion"/>
  </si>
  <si>
    <t>CNY_Treasury_Live_Curve_2012-5-21_Calibrated_Curve_1</t>
    <phoneticPr fontId="4" type="noConversion"/>
  </si>
  <si>
    <t>CNY_Treasury_Live_Curve_2012-5-21_Calibrated_Curve_2</t>
    <phoneticPr fontId="4" type="noConversion"/>
  </si>
  <si>
    <t>CNY_Treasury_Live_Curve_2012-5-21_Calibrated_Curve_3</t>
    <phoneticPr fontId="4" type="noConversion"/>
  </si>
  <si>
    <t>CNY_Treasury_Live_Curve_2012-5-21_Calibrated_Curve_4</t>
    <phoneticPr fontId="4" type="noConversion"/>
  </si>
  <si>
    <t>CNY_Treasury_Live_Curve_2012-5-21_Calibrated_Curve_5</t>
    <phoneticPr fontId="4" type="noConversion"/>
  </si>
  <si>
    <t>CNY_Treasury_Live_Curve_2012-5-21_Calibrated_Curve_6</t>
    <phoneticPr fontId="4" type="noConversion"/>
  </si>
  <si>
    <t>CNY_Treasury_Live_Curve_2012-5-21_Calibrated_Curve_7</t>
    <phoneticPr fontId="4" type="noConversion"/>
  </si>
  <si>
    <t>CNY_Treasury_Live_Curve_2012-5-22_Calibrated_Curve_1</t>
    <phoneticPr fontId="4" type="noConversion"/>
  </si>
  <si>
    <t>CNY_Treasury_Live_Curve_2012-5-22_Calibrated_Curve_2</t>
    <phoneticPr fontId="4" type="noConversion"/>
  </si>
  <si>
    <t>CNY_Treasury_Live_Curve_2012-5-22_Calibrated_Curve_3</t>
    <phoneticPr fontId="4" type="noConversion"/>
  </si>
  <si>
    <t>CNY_Treasury_Live_Curve_2012-5-22_Calibrated_Curve_4</t>
    <phoneticPr fontId="4" type="noConversion"/>
  </si>
  <si>
    <t>CNY_Treasury_Live_Curve_2012-5-22_Calibrated_Curve_5</t>
    <phoneticPr fontId="4" type="noConversion"/>
  </si>
  <si>
    <t>CNY_Treasury_Live_Curve_2012-5-22_Calibrated_Curve_6</t>
    <phoneticPr fontId="4" type="noConversion"/>
  </si>
  <si>
    <t>CNY_Treasury_Live_Curve_2012-5-22_Calibrated_Curve_7</t>
    <phoneticPr fontId="4" type="noConversion"/>
  </si>
  <si>
    <t>CNY_Treasury_Live_Curve_2012-5-23_Calibrated_Curve_1</t>
    <phoneticPr fontId="4" type="noConversion"/>
  </si>
  <si>
    <t>CNY_Treasury_Live_Curve_2012-5-23_Calibrated_Curve_2</t>
    <phoneticPr fontId="4" type="noConversion"/>
  </si>
  <si>
    <t>CNY_Treasury_Live_Curve_2012-5-23_Calibrated_Curve_3</t>
    <phoneticPr fontId="4" type="noConversion"/>
  </si>
  <si>
    <t>CNY_Treasury_Live_Curve_2012-5-23_Calibrated_Curve_4</t>
    <phoneticPr fontId="4" type="noConversion"/>
  </si>
  <si>
    <t>CNY_Treasury_Live_Curve_2012-5-23_Calibrated_Curve_5</t>
    <phoneticPr fontId="4" type="noConversion"/>
  </si>
  <si>
    <t>CNY_Treasury_Live_Curve_2012-5-23_Calibrated_Curve_6</t>
    <phoneticPr fontId="4" type="noConversion"/>
  </si>
  <si>
    <t>CNY_Treasury_Live_Curve_2012-5-23_Calibrated_Curve_7</t>
    <phoneticPr fontId="4" type="noConversion"/>
  </si>
  <si>
    <t>CNY_Treasury_Live_Curve_2012-5-24_Calibrated_Curve_1</t>
    <phoneticPr fontId="4" type="noConversion"/>
  </si>
  <si>
    <t>CNY_Treasury_Live_Curve_2012-5-24_Calibrated_Curve_2</t>
    <phoneticPr fontId="4" type="noConversion"/>
  </si>
  <si>
    <t>CNY_Treasury_Live_Curve_2012-5-24_Calibrated_Curve_3</t>
    <phoneticPr fontId="4" type="noConversion"/>
  </si>
  <si>
    <t>CNY_Treasury_Live_Curve_2012-5-24_Calibrated_Curve_4</t>
    <phoneticPr fontId="4" type="noConversion"/>
  </si>
  <si>
    <t>CNY_Treasury_Live_Curve_2012-5-24_Calibrated_Curve_5</t>
    <phoneticPr fontId="4" type="noConversion"/>
  </si>
  <si>
    <t>CNY_Treasury_Live_Curve_2012-5-24_Calibrated_Curve_6</t>
    <phoneticPr fontId="4" type="noConversion"/>
  </si>
  <si>
    <t>CNY_Treasury_Live_Curve_2012-5-24_Calibrated_Curve_7</t>
    <phoneticPr fontId="4" type="noConversion"/>
  </si>
  <si>
    <t>CNY_Treasury_Live_Curve_2012-5-25_Calibrated_Curve_1</t>
    <phoneticPr fontId="4" type="noConversion"/>
  </si>
  <si>
    <t>CNY_Treasury_Live_Curve_2012-5-25_Calibrated_Curve_2</t>
    <phoneticPr fontId="4" type="noConversion"/>
  </si>
  <si>
    <t>CNY_Treasury_Live_Curve_2012-5-25_Calibrated_Curve_3</t>
    <phoneticPr fontId="4" type="noConversion"/>
  </si>
  <si>
    <t>CNY_Treasury_Live_Curve_2012-5-25_Calibrated_Curve_4</t>
    <phoneticPr fontId="4" type="noConversion"/>
  </si>
  <si>
    <t>CNY_Treasury_Live_Curve_2012-5-25_Calibrated_Curve_5</t>
    <phoneticPr fontId="4" type="noConversion"/>
  </si>
  <si>
    <t>CNY_Treasury_Live_Curve_2012-5-25_Calibrated_Curve_6</t>
    <phoneticPr fontId="4" type="noConversion"/>
  </si>
  <si>
    <t>CNY_Treasury_Live_Curve_2012-5-25_Calibrated_Curve_7</t>
    <phoneticPr fontId="4" type="noConversion"/>
  </si>
  <si>
    <t>CNY_Treasury_Live_Curve_2012-5-28_Calibrated_Curve_1</t>
    <phoneticPr fontId="4" type="noConversion"/>
  </si>
  <si>
    <t>CNY_Treasury_Live_Curve_2012-5-28_Calibrated_Curve_2</t>
    <phoneticPr fontId="4" type="noConversion"/>
  </si>
  <si>
    <t>CNY_Treasury_Live_Curve_2012-5-28_Calibrated_Curve_3</t>
    <phoneticPr fontId="4" type="noConversion"/>
  </si>
  <si>
    <t>CNY_Treasury_Live_Curve_2012-5-28_Calibrated_Curve_4</t>
    <phoneticPr fontId="4" type="noConversion"/>
  </si>
  <si>
    <t>CNY_Treasury_Live_Curve_2012-5-28_Calibrated_Curve_5</t>
    <phoneticPr fontId="4" type="noConversion"/>
  </si>
  <si>
    <t>CNY_Treasury_Live_Curve_2012-5-28_Calibrated_Curve_6</t>
    <phoneticPr fontId="4" type="noConversion"/>
  </si>
  <si>
    <t>CNY_Treasury_Live_Curve_2012-5-28_Calibrated_Curve_7</t>
    <phoneticPr fontId="4" type="noConversion"/>
  </si>
  <si>
    <t>CNY_Treasury_Live_Curve_2012-5-29_Calibrated_Curve_1</t>
    <phoneticPr fontId="4" type="noConversion"/>
  </si>
  <si>
    <t>CNY_Treasury_Live_Curve_2012-5-29_Calibrated_Curve_2</t>
    <phoneticPr fontId="4" type="noConversion"/>
  </si>
  <si>
    <t>CNY_Treasury_Live_Curve_2012-5-29_Calibrated_Curve_3</t>
    <phoneticPr fontId="4" type="noConversion"/>
  </si>
  <si>
    <t>CNY_Treasury_Live_Curve_2012-5-29_Calibrated_Curve_4</t>
    <phoneticPr fontId="4" type="noConversion"/>
  </si>
  <si>
    <t>CNY_Treasury_Live_Curve_2012-5-29_Calibrated_Curve_5</t>
    <phoneticPr fontId="4" type="noConversion"/>
  </si>
  <si>
    <t>CNY_Treasury_Live_Curve_2012-5-29_Calibrated_Curve_6</t>
    <phoneticPr fontId="4" type="noConversion"/>
  </si>
  <si>
    <t>CNY_Treasury_Live_Curve_2012-5-29_Calibrated_Curve_7</t>
    <phoneticPr fontId="4" type="noConversion"/>
  </si>
  <si>
    <t>CNY_Treasury_Live_Curve_2012-5-3_Calibrated_Curve_1</t>
    <phoneticPr fontId="4" type="noConversion"/>
  </si>
  <si>
    <t>CNY_Treasury_Live_Curve_2012-5-3_Calibrated_Curve_2</t>
    <phoneticPr fontId="4" type="noConversion"/>
  </si>
  <si>
    <t>CNY_Treasury_Live_Curve_2012-5-3_Calibrated_Curve_3</t>
    <phoneticPr fontId="4" type="noConversion"/>
  </si>
  <si>
    <t>CNY_Treasury_Live_Curve_2012-5-3_Calibrated_Curve_4</t>
    <phoneticPr fontId="4" type="noConversion"/>
  </si>
  <si>
    <t>CNY_Treasury_Live_Curve_2012-5-3_Calibrated_Curve_5</t>
    <phoneticPr fontId="4" type="noConversion"/>
  </si>
  <si>
    <t>CNY_Treasury_Live_Curve_2012-5-3_Calibrated_Curve_6</t>
    <phoneticPr fontId="4" type="noConversion"/>
  </si>
  <si>
    <t>CNY_Treasury_Live_Curve_2012-5-3_Calibrated_Curve_7</t>
    <phoneticPr fontId="4" type="noConversion"/>
  </si>
  <si>
    <t>CNY_Treasury_Live_Curve_2012-5-30_Calibrated_Curve_1</t>
    <phoneticPr fontId="4" type="noConversion"/>
  </si>
  <si>
    <t>CNY_Treasury_Live_Curve_2012-5-30_Calibrated_Curve_2</t>
    <phoneticPr fontId="4" type="noConversion"/>
  </si>
  <si>
    <t>CNY_Treasury_Live_Curve_2012-5-30_Calibrated_Curve_3</t>
    <phoneticPr fontId="4" type="noConversion"/>
  </si>
  <si>
    <t>CNY_Treasury_Live_Curve_2012-5-30_Calibrated_Curve_4</t>
    <phoneticPr fontId="4" type="noConversion"/>
  </si>
  <si>
    <t>CNY_Treasury_Live_Curve_2012-5-30_Calibrated_Curve_5</t>
    <phoneticPr fontId="4" type="noConversion"/>
  </si>
  <si>
    <t>CNY_Treasury_Live_Curve_2012-5-30_Calibrated_Curve_6</t>
    <phoneticPr fontId="4" type="noConversion"/>
  </si>
  <si>
    <t>CNY_Treasury_Live_Curve_2012-5-30_Calibrated_Curve_7</t>
    <phoneticPr fontId="4" type="noConversion"/>
  </si>
  <si>
    <t>CNY_Treasury_Live_Curve_2012-5-31_Calibrated_Curve_1</t>
    <phoneticPr fontId="4" type="noConversion"/>
  </si>
  <si>
    <t>CNY_Treasury_Live_Curve_2012-5-31_Calibrated_Curve_2</t>
    <phoneticPr fontId="4" type="noConversion"/>
  </si>
  <si>
    <t>CNY_Treasury_Live_Curve_2012-5-31_Calibrated_Curve_3</t>
    <phoneticPr fontId="4" type="noConversion"/>
  </si>
  <si>
    <t>CNY_Treasury_Live_Curve_2012-5-31_Calibrated_Curve_4</t>
    <phoneticPr fontId="4" type="noConversion"/>
  </si>
  <si>
    <t>CNY_Treasury_Live_Curve_2012-5-31_Calibrated_Curve_5</t>
    <phoneticPr fontId="4" type="noConversion"/>
  </si>
  <si>
    <t>CNY_Treasury_Live_Curve_2012-5-31_Calibrated_Curve_6</t>
    <phoneticPr fontId="4" type="noConversion"/>
  </si>
  <si>
    <t>CNY_Treasury_Live_Curve_2012-5-31_Calibrated_Curve_7</t>
    <phoneticPr fontId="4" type="noConversion"/>
  </si>
  <si>
    <t>CNY_Treasury_Live_Curve_2012-5-4_Calibrated_Curve_1</t>
    <phoneticPr fontId="4" type="noConversion"/>
  </si>
  <si>
    <t>CNY_Treasury_Live_Curve_2012-5-4_Calibrated_Curve_2</t>
    <phoneticPr fontId="4" type="noConversion"/>
  </si>
  <si>
    <t>CNY_Treasury_Live_Curve_2012-5-4_Calibrated_Curve_3</t>
    <phoneticPr fontId="4" type="noConversion"/>
  </si>
  <si>
    <t>CNY_Treasury_Live_Curve_2012-5-4_Calibrated_Curve_4</t>
    <phoneticPr fontId="4" type="noConversion"/>
  </si>
  <si>
    <t>CNY_Treasury_Live_Curve_2012-5-4_Calibrated_Curve_5</t>
    <phoneticPr fontId="4" type="noConversion"/>
  </si>
  <si>
    <t>CNY_Treasury_Live_Curve_2012-5-4_Calibrated_Curve_6</t>
    <phoneticPr fontId="4" type="noConversion"/>
  </si>
  <si>
    <t>CNY_Treasury_Live_Curve_2012-5-4_Calibrated_Curve_7</t>
    <phoneticPr fontId="4" type="noConversion"/>
  </si>
  <si>
    <t>CNY_Treasury_Live_Curve_2012-5-7_Calibrated_Curve_1</t>
    <phoneticPr fontId="4" type="noConversion"/>
  </si>
  <si>
    <t>CNY_Treasury_Live_Curve_2012-5-7_Calibrated_Curve_2</t>
    <phoneticPr fontId="4" type="noConversion"/>
  </si>
  <si>
    <t>CNY_Treasury_Live_Curve_2012-5-7_Calibrated_Curve_3</t>
    <phoneticPr fontId="4" type="noConversion"/>
  </si>
  <si>
    <t>CNY_Treasury_Live_Curve_2012-5-7_Calibrated_Curve_4</t>
    <phoneticPr fontId="4" type="noConversion"/>
  </si>
  <si>
    <t>CNY_Treasury_Live_Curve_2012-5-7_Calibrated_Curve_5</t>
    <phoneticPr fontId="4" type="noConversion"/>
  </si>
  <si>
    <t>CNY_Treasury_Live_Curve_2012-5-7_Calibrated_Curve_6</t>
    <phoneticPr fontId="4" type="noConversion"/>
  </si>
  <si>
    <t>CNY_Treasury_Live_Curve_2012-5-7_Calibrated_Curve_7</t>
    <phoneticPr fontId="4" type="noConversion"/>
  </si>
  <si>
    <t>CNY_Treasury_Live_Curve_2012-5-8_Calibrated_Curve_1</t>
    <phoneticPr fontId="4" type="noConversion"/>
  </si>
  <si>
    <t>CNY_Treasury_Live_Curve_2012-5-8_Calibrated_Curve_2</t>
    <phoneticPr fontId="4" type="noConversion"/>
  </si>
  <si>
    <t>CNY_Treasury_Live_Curve_2012-5-8_Calibrated_Curve_3</t>
    <phoneticPr fontId="4" type="noConversion"/>
  </si>
  <si>
    <t>CNY_Treasury_Live_Curve_2012-5-8_Calibrated_Curve_4</t>
    <phoneticPr fontId="4" type="noConversion"/>
  </si>
  <si>
    <t>CNY_Treasury_Live_Curve_2012-5-8_Calibrated_Curve_5</t>
    <phoneticPr fontId="4" type="noConversion"/>
  </si>
  <si>
    <t>CNY_Treasury_Live_Curve_2012-5-8_Calibrated_Curve_6</t>
    <phoneticPr fontId="4" type="noConversion"/>
  </si>
  <si>
    <t>CNY_Treasury_Live_Curve_2012-5-8_Calibrated_Curve_7</t>
    <phoneticPr fontId="4" type="noConversion"/>
  </si>
  <si>
    <t>CNY_Treasury_Live_Curve_2012-5-9_Calibrated_Curve_1</t>
    <phoneticPr fontId="4" type="noConversion"/>
  </si>
  <si>
    <t>CNY_Treasury_Live_Curve_2012-5-9_Calibrated_Curve_2</t>
    <phoneticPr fontId="4" type="noConversion"/>
  </si>
  <si>
    <t>CNY_Treasury_Live_Curve_2012-5-9_Calibrated_Curve_3</t>
    <phoneticPr fontId="4" type="noConversion"/>
  </si>
  <si>
    <t>CNY_Treasury_Live_Curve_2012-5-9_Calibrated_Curve_4</t>
    <phoneticPr fontId="4" type="noConversion"/>
  </si>
  <si>
    <t>CNY_Treasury_Live_Curve_2012-5-9_Calibrated_Curve_5</t>
    <phoneticPr fontId="4" type="noConversion"/>
  </si>
  <si>
    <t>CNY_Treasury_Live_Curve_2012-5-9_Calibrated_Curve_6</t>
    <phoneticPr fontId="4" type="noConversion"/>
  </si>
  <si>
    <t>CNY_Treasury_Live_Curve_2012-5-9_Calibrated_Curve_7</t>
    <phoneticPr fontId="4" type="noConversion"/>
  </si>
  <si>
    <t>CNY_Treasury_Live_Curve_2012-6-1_Calibrated_Curve_1</t>
    <phoneticPr fontId="4" type="noConversion"/>
  </si>
  <si>
    <t>CNY_Treasury_Live_Curve_2012-6-1_Calibrated_Curve_2</t>
    <phoneticPr fontId="4" type="noConversion"/>
  </si>
  <si>
    <t>CNY_Treasury_Live_Curve_2012-6-1_Calibrated_Curve_3</t>
    <phoneticPr fontId="4" type="noConversion"/>
  </si>
  <si>
    <t>CNY_Treasury_Live_Curve_2012-6-1_Calibrated_Curve_4</t>
    <phoneticPr fontId="4" type="noConversion"/>
  </si>
  <si>
    <t>CNY_Treasury_Live_Curve_2012-6-1_Calibrated_Curve_5</t>
    <phoneticPr fontId="4" type="noConversion"/>
  </si>
  <si>
    <t>CNY_Treasury_Live_Curve_2012-6-1_Calibrated_Curve_6</t>
    <phoneticPr fontId="4" type="noConversion"/>
  </si>
  <si>
    <t>CNY_Treasury_Live_Curve_2012-6-1_Calibrated_Curve_7</t>
    <phoneticPr fontId="4" type="noConversion"/>
  </si>
  <si>
    <t>CNY_Treasury_Live_Curve_2012-6-11_Calibrated_Curve_1</t>
    <phoneticPr fontId="4" type="noConversion"/>
  </si>
  <si>
    <t>CNY_Treasury_Live_Curve_2012-6-11_Calibrated_Curve_2</t>
    <phoneticPr fontId="4" type="noConversion"/>
  </si>
  <si>
    <t>CNY_Treasury_Live_Curve_2012-6-11_Calibrated_Curve_3</t>
    <phoneticPr fontId="4" type="noConversion"/>
  </si>
  <si>
    <t>CNY_Treasury_Live_Curve_2012-6-11_Calibrated_Curve_4</t>
    <phoneticPr fontId="4" type="noConversion"/>
  </si>
  <si>
    <t>CNY_Treasury_Live_Curve_2012-6-11_Calibrated_Curve_5</t>
    <phoneticPr fontId="4" type="noConversion"/>
  </si>
  <si>
    <t>CNY_Treasury_Live_Curve_2012-6-11_Calibrated_Curve_6</t>
    <phoneticPr fontId="4" type="noConversion"/>
  </si>
  <si>
    <t>CNY_Treasury_Live_Curve_2012-6-11_Calibrated_Curve_7</t>
    <phoneticPr fontId="4" type="noConversion"/>
  </si>
  <si>
    <t>CNY_Treasury_Live_Curve_2012-6-12_Calibrated_Curve_1</t>
    <phoneticPr fontId="4" type="noConversion"/>
  </si>
  <si>
    <t>CNY_Treasury_Live_Curve_2012-6-12_Calibrated_Curve_2</t>
    <phoneticPr fontId="4" type="noConversion"/>
  </si>
  <si>
    <t>CNY_Treasury_Live_Curve_2012-6-12_Calibrated_Curve_3</t>
    <phoneticPr fontId="4" type="noConversion"/>
  </si>
  <si>
    <t>CNY_Treasury_Live_Curve_2012-6-12_Calibrated_Curve_4</t>
    <phoneticPr fontId="4" type="noConversion"/>
  </si>
  <si>
    <t>CNY_Treasury_Live_Curve_2012-6-12_Calibrated_Curve_5</t>
    <phoneticPr fontId="4" type="noConversion"/>
  </si>
  <si>
    <t>CNY_Treasury_Live_Curve_2012-6-12_Calibrated_Curve_6</t>
    <phoneticPr fontId="4" type="noConversion"/>
  </si>
  <si>
    <t>CNY_Treasury_Live_Curve_2012-6-12_Calibrated_Curve_7</t>
    <phoneticPr fontId="4" type="noConversion"/>
  </si>
  <si>
    <t>CNY_Treasury_Live_Curve_2012-6-13_Calibrated_Curve_1</t>
    <phoneticPr fontId="4" type="noConversion"/>
  </si>
  <si>
    <t>CNY_Treasury_Live_Curve_2012-6-13_Calibrated_Curve_2</t>
    <phoneticPr fontId="4" type="noConversion"/>
  </si>
  <si>
    <t>CNY_Treasury_Live_Curve_2012-6-13_Calibrated_Curve_3</t>
    <phoneticPr fontId="4" type="noConversion"/>
  </si>
  <si>
    <t>CNY_Treasury_Live_Curve_2012-6-13_Calibrated_Curve_4</t>
    <phoneticPr fontId="4" type="noConversion"/>
  </si>
  <si>
    <t>CNY_Treasury_Live_Curve_2012-6-13_Calibrated_Curve_5</t>
    <phoneticPr fontId="4" type="noConversion"/>
  </si>
  <si>
    <t>CNY_Treasury_Live_Curve_2012-6-13_Calibrated_Curve_6</t>
    <phoneticPr fontId="4" type="noConversion"/>
  </si>
  <si>
    <t>CNY_Treasury_Live_Curve_2012-6-13_Calibrated_Curve_7</t>
    <phoneticPr fontId="4" type="noConversion"/>
  </si>
  <si>
    <t>CNY_Treasury_Live_Curve_2012-6-14_Calibrated_Curve_1</t>
    <phoneticPr fontId="4" type="noConversion"/>
  </si>
  <si>
    <t>CNY_Treasury_Live_Curve_2012-6-14_Calibrated_Curve_2</t>
    <phoneticPr fontId="4" type="noConversion"/>
  </si>
  <si>
    <t>CNY_Treasury_Live_Curve_2012-6-14_Calibrated_Curve_3</t>
    <phoneticPr fontId="4" type="noConversion"/>
  </si>
  <si>
    <t>CNY_Treasury_Live_Curve_2012-6-14_Calibrated_Curve_4</t>
    <phoneticPr fontId="4" type="noConversion"/>
  </si>
  <si>
    <t>CNY_Treasury_Live_Curve_2012-6-14_Calibrated_Curve_5</t>
    <phoneticPr fontId="4" type="noConversion"/>
  </si>
  <si>
    <t>CNY_Treasury_Live_Curve_2012-6-14_Calibrated_Curve_6</t>
    <phoneticPr fontId="4" type="noConversion"/>
  </si>
  <si>
    <t>CNY_Treasury_Live_Curve_2012-6-14_Calibrated_Curve_7</t>
    <phoneticPr fontId="4" type="noConversion"/>
  </si>
  <si>
    <t>CNY_Treasury_Live_Curve_2012-6-15_Calibrated_Curve_1</t>
    <phoneticPr fontId="4" type="noConversion"/>
  </si>
  <si>
    <t>CNY_Treasury_Live_Curve_2012-6-15_Calibrated_Curve_2</t>
    <phoneticPr fontId="4" type="noConversion"/>
  </si>
  <si>
    <t>CNY_Treasury_Live_Curve_2012-6-15_Calibrated_Curve_3</t>
    <phoneticPr fontId="4" type="noConversion"/>
  </si>
  <si>
    <t>CNY_Treasury_Live_Curve_2012-6-15_Calibrated_Curve_4</t>
    <phoneticPr fontId="4" type="noConversion"/>
  </si>
  <si>
    <t>CNY_Treasury_Live_Curve_2012-6-15_Calibrated_Curve_5</t>
    <phoneticPr fontId="4" type="noConversion"/>
  </si>
  <si>
    <t>CNY_Treasury_Live_Curve_2012-6-15_Calibrated_Curve_6</t>
    <phoneticPr fontId="4" type="noConversion"/>
  </si>
  <si>
    <t>CNY_Treasury_Live_Curve_2012-6-15_Calibrated_Curve_7</t>
    <phoneticPr fontId="4" type="noConversion"/>
  </si>
  <si>
    <t>CNY_Treasury_Live_Curve_2012-6-18_Calibrated_Curve_1</t>
    <phoneticPr fontId="4" type="noConversion"/>
  </si>
  <si>
    <t>CNY_Treasury_Live_Curve_2012-6-18_Calibrated_Curve_2</t>
    <phoneticPr fontId="4" type="noConversion"/>
  </si>
  <si>
    <t>CNY_Treasury_Live_Curve_2012-6-18_Calibrated_Curve_3</t>
    <phoneticPr fontId="4" type="noConversion"/>
  </si>
  <si>
    <t>CNY_Treasury_Live_Curve_2012-6-18_Calibrated_Curve_4</t>
    <phoneticPr fontId="4" type="noConversion"/>
  </si>
  <si>
    <t>CNY_Treasury_Live_Curve_2012-6-18_Calibrated_Curve_5</t>
    <phoneticPr fontId="4" type="noConversion"/>
  </si>
  <si>
    <t>CNY_Treasury_Live_Curve_2012-6-18_Calibrated_Curve_6</t>
    <phoneticPr fontId="4" type="noConversion"/>
  </si>
  <si>
    <t>CNY_Treasury_Live_Curve_2012-6-18_Calibrated_Curve_7</t>
    <phoneticPr fontId="4" type="noConversion"/>
  </si>
  <si>
    <t>CNY_Treasury_Live_Curve_2012-6-19_Calibrated_Curve_1</t>
    <phoneticPr fontId="4" type="noConversion"/>
  </si>
  <si>
    <t>CNY_Treasury_Live_Curve_2012-6-19_Calibrated_Curve_2</t>
    <phoneticPr fontId="4" type="noConversion"/>
  </si>
  <si>
    <t>CNY_Treasury_Live_Curve_2012-6-19_Calibrated_Curve_3</t>
    <phoneticPr fontId="4" type="noConversion"/>
  </si>
  <si>
    <t>CNY_Treasury_Live_Curve_2012-6-19_Calibrated_Curve_4</t>
    <phoneticPr fontId="4" type="noConversion"/>
  </si>
  <si>
    <t>CNY_Treasury_Live_Curve_2012-6-19_Calibrated_Curve_5</t>
    <phoneticPr fontId="4" type="noConversion"/>
  </si>
  <si>
    <t>CNY_Treasury_Live_Curve_2012-6-19_Calibrated_Curve_6</t>
    <phoneticPr fontId="4" type="noConversion"/>
  </si>
  <si>
    <t>CNY_Treasury_Live_Curve_2012-6-19_Calibrated_Curve_7</t>
    <phoneticPr fontId="4" type="noConversion"/>
  </si>
  <si>
    <t>CNY_Treasury_Live_Curve_2012-6-20_Calibrated_Curve_1</t>
    <phoneticPr fontId="4" type="noConversion"/>
  </si>
  <si>
    <t>CNY_Treasury_Live_Curve_2012-6-20_Calibrated_Curve_2</t>
    <phoneticPr fontId="4" type="noConversion"/>
  </si>
  <si>
    <t>CNY_Treasury_Live_Curve_2012-6-20_Calibrated_Curve_3</t>
    <phoneticPr fontId="4" type="noConversion"/>
  </si>
  <si>
    <t>CNY_Treasury_Live_Curve_2012-6-20_Calibrated_Curve_4</t>
    <phoneticPr fontId="4" type="noConversion"/>
  </si>
  <si>
    <t>CNY_Treasury_Live_Curve_2012-6-20_Calibrated_Curve_5</t>
    <phoneticPr fontId="4" type="noConversion"/>
  </si>
  <si>
    <t>CNY_Treasury_Live_Curve_2012-6-20_Calibrated_Curve_6</t>
    <phoneticPr fontId="4" type="noConversion"/>
  </si>
  <si>
    <t>CNY_Treasury_Live_Curve_2012-6-20_Calibrated_Curve_7</t>
    <phoneticPr fontId="4" type="noConversion"/>
  </si>
  <si>
    <t>CNY_Treasury_Live_Curve_2012-6-21_Calibrated_Curve_1</t>
    <phoneticPr fontId="4" type="noConversion"/>
  </si>
  <si>
    <t>CNY_Treasury_Live_Curve_2012-6-21_Calibrated_Curve_2</t>
    <phoneticPr fontId="4" type="noConversion"/>
  </si>
  <si>
    <t>CNY_Treasury_Live_Curve_2012-6-21_Calibrated_Curve_3</t>
    <phoneticPr fontId="4" type="noConversion"/>
  </si>
  <si>
    <t>CNY_Treasury_Live_Curve_2012-6-21_Calibrated_Curve_4</t>
    <phoneticPr fontId="4" type="noConversion"/>
  </si>
  <si>
    <t>CNY_Treasury_Live_Curve_2012-6-21_Calibrated_Curve_5</t>
    <phoneticPr fontId="4" type="noConversion"/>
  </si>
  <si>
    <t>CNY_Treasury_Live_Curve_2012-6-21_Calibrated_Curve_6</t>
    <phoneticPr fontId="4" type="noConversion"/>
  </si>
  <si>
    <t>CNY_Treasury_Live_Curve_2012-6-21_Calibrated_Curve_7</t>
    <phoneticPr fontId="4" type="noConversion"/>
  </si>
  <si>
    <t>CNY_Treasury_Live_Curve_2012-6-25_Calibrated_Curve_1</t>
    <phoneticPr fontId="4" type="noConversion"/>
  </si>
  <si>
    <t>CNY_Treasury_Live_Curve_2012-6-25_Calibrated_Curve_2</t>
    <phoneticPr fontId="4" type="noConversion"/>
  </si>
  <si>
    <t>CNY_Treasury_Live_Curve_2012-6-25_Calibrated_Curve_3</t>
    <phoneticPr fontId="4" type="noConversion"/>
  </si>
  <si>
    <t>CNY_Treasury_Live_Curve_2012-6-25_Calibrated_Curve_4</t>
    <phoneticPr fontId="4" type="noConversion"/>
  </si>
  <si>
    <t>CNY_Treasury_Live_Curve_2012-6-25_Calibrated_Curve_5</t>
    <phoneticPr fontId="4" type="noConversion"/>
  </si>
  <si>
    <t>CNY_Treasury_Live_Curve_2012-6-25_Calibrated_Curve_6</t>
    <phoneticPr fontId="4" type="noConversion"/>
  </si>
  <si>
    <t>CNY_Treasury_Live_Curve_2012-6-25_Calibrated_Curve_7</t>
    <phoneticPr fontId="4" type="noConversion"/>
  </si>
  <si>
    <t>CNY_Treasury_Live_Curve_2012-6-26_Calibrated_Curve_1</t>
    <phoneticPr fontId="4" type="noConversion"/>
  </si>
  <si>
    <t>CNY_Treasury_Live_Curve_2012-6-26_Calibrated_Curve_2</t>
    <phoneticPr fontId="4" type="noConversion"/>
  </si>
  <si>
    <t>CNY_Treasury_Live_Curve_2012-6-26_Calibrated_Curve_3</t>
    <phoneticPr fontId="4" type="noConversion"/>
  </si>
  <si>
    <t>CNY_Treasury_Live_Curve_2012-6-26_Calibrated_Curve_4</t>
    <phoneticPr fontId="4" type="noConversion"/>
  </si>
  <si>
    <t>CNY_Treasury_Live_Curve_2012-6-26_Calibrated_Curve_5</t>
    <phoneticPr fontId="4" type="noConversion"/>
  </si>
  <si>
    <t>CNY_Treasury_Live_Curve_2012-6-26_Calibrated_Curve_6</t>
    <phoneticPr fontId="4" type="noConversion"/>
  </si>
  <si>
    <t>CNY_Treasury_Live_Curve_2012-6-26_Calibrated_Curve_7</t>
    <phoneticPr fontId="4" type="noConversion"/>
  </si>
  <si>
    <t>CNY_Treasury_Live_Curve_2012-6-27_Calibrated_Curve_1</t>
    <phoneticPr fontId="4" type="noConversion"/>
  </si>
  <si>
    <t>CNY_Treasury_Live_Curve_2012-6-27_Calibrated_Curve_2</t>
    <phoneticPr fontId="4" type="noConversion"/>
  </si>
  <si>
    <t>CNY_Treasury_Live_Curve_2012-6-27_Calibrated_Curve_3</t>
    <phoneticPr fontId="4" type="noConversion"/>
  </si>
  <si>
    <t>CNY_Treasury_Live_Curve_2012-6-27_Calibrated_Curve_4</t>
    <phoneticPr fontId="4" type="noConversion"/>
  </si>
  <si>
    <t>CNY_Treasury_Live_Curve_2012-6-27_Calibrated_Curve_5</t>
    <phoneticPr fontId="4" type="noConversion"/>
  </si>
  <si>
    <t>CNY_Treasury_Live_Curve_2012-6-27_Calibrated_Curve_6</t>
    <phoneticPr fontId="4" type="noConversion"/>
  </si>
  <si>
    <t>CNY_Treasury_Live_Curve_2012-6-27_Calibrated_Curve_7</t>
    <phoneticPr fontId="4" type="noConversion"/>
  </si>
  <si>
    <t>CNY_Treasury_Live_Curve_2012-6-28_Calibrated_Curve_1</t>
    <phoneticPr fontId="4" type="noConversion"/>
  </si>
  <si>
    <t>CNY_Treasury_Live_Curve_2012-6-28_Calibrated_Curve_2</t>
    <phoneticPr fontId="4" type="noConversion"/>
  </si>
  <si>
    <t>CNY_Treasury_Live_Curve_2012-6-28_Calibrated_Curve_3</t>
    <phoneticPr fontId="4" type="noConversion"/>
  </si>
  <si>
    <t>CNY_Treasury_Live_Curve_2012-6-28_Calibrated_Curve_4</t>
    <phoneticPr fontId="4" type="noConversion"/>
  </si>
  <si>
    <t>CNY_Treasury_Live_Curve_2012-6-28_Calibrated_Curve_5</t>
    <phoneticPr fontId="4" type="noConversion"/>
  </si>
  <si>
    <t>CNY_Treasury_Live_Curve_2012-6-28_Calibrated_Curve_6</t>
    <phoneticPr fontId="4" type="noConversion"/>
  </si>
  <si>
    <t>CNY_Treasury_Live_Curve_2012-6-28_Calibrated_Curve_7</t>
    <phoneticPr fontId="4" type="noConversion"/>
  </si>
  <si>
    <t>CNY_Treasury_Live_Curve_2012-6-29_Calibrated_Curve_1</t>
    <phoneticPr fontId="4" type="noConversion"/>
  </si>
  <si>
    <t>CNY_Treasury_Live_Curve_2012-6-29_Calibrated_Curve_2</t>
    <phoneticPr fontId="4" type="noConversion"/>
  </si>
  <si>
    <t>CNY_Treasury_Live_Curve_2012-6-29_Calibrated_Curve_3</t>
    <phoneticPr fontId="4" type="noConversion"/>
  </si>
  <si>
    <t>CNY_Treasury_Live_Curve_2012-6-29_Calibrated_Curve_4</t>
    <phoneticPr fontId="4" type="noConversion"/>
  </si>
  <si>
    <t>CNY_Treasury_Live_Curve_2012-6-29_Calibrated_Curve_5</t>
    <phoneticPr fontId="4" type="noConversion"/>
  </si>
  <si>
    <t>CNY_Treasury_Live_Curve_2012-6-29_Calibrated_Curve_6</t>
    <phoneticPr fontId="4" type="noConversion"/>
  </si>
  <si>
    <t>CNY_Treasury_Live_Curve_2012-6-29_Calibrated_Curve_7</t>
    <phoneticPr fontId="4" type="noConversion"/>
  </si>
  <si>
    <t>CNY_Treasury_Live_Curve_2012-6-4_Calibrated_Curve_1</t>
    <phoneticPr fontId="4" type="noConversion"/>
  </si>
  <si>
    <t>CNY_Treasury_Live_Curve_2012-6-4_Calibrated_Curve_2</t>
    <phoneticPr fontId="4" type="noConversion"/>
  </si>
  <si>
    <t>CNY_Treasury_Live_Curve_2012-6-4_Calibrated_Curve_3</t>
    <phoneticPr fontId="4" type="noConversion"/>
  </si>
  <si>
    <t>CNY_Treasury_Live_Curve_2012-6-4_Calibrated_Curve_4</t>
    <phoneticPr fontId="4" type="noConversion"/>
  </si>
  <si>
    <t>CNY_Treasury_Live_Curve_2012-6-4_Calibrated_Curve_5</t>
    <phoneticPr fontId="4" type="noConversion"/>
  </si>
  <si>
    <t>CNY_Treasury_Live_Curve_2012-6-4_Calibrated_Curve_6</t>
    <phoneticPr fontId="4" type="noConversion"/>
  </si>
  <si>
    <t>CNY_Treasury_Live_Curve_2012-6-4_Calibrated_Curve_7</t>
    <phoneticPr fontId="4" type="noConversion"/>
  </si>
  <si>
    <t>CNY_Treasury_Live_Curve_2012-6-5_Calibrated_Curve_1</t>
    <phoneticPr fontId="4" type="noConversion"/>
  </si>
  <si>
    <t>CNY_Treasury_Live_Curve_2012-6-5_Calibrated_Curve_2</t>
    <phoneticPr fontId="4" type="noConversion"/>
  </si>
  <si>
    <t>CNY_Treasury_Live_Curve_2012-6-5_Calibrated_Curve_3</t>
    <phoneticPr fontId="4" type="noConversion"/>
  </si>
  <si>
    <t>CNY_Treasury_Live_Curve_2012-6-5_Calibrated_Curve_4</t>
    <phoneticPr fontId="4" type="noConversion"/>
  </si>
  <si>
    <t>CNY_Treasury_Live_Curve_2012-6-5_Calibrated_Curve_5</t>
    <phoneticPr fontId="4" type="noConversion"/>
  </si>
  <si>
    <t>CNY_Treasury_Live_Curve_2012-6-5_Calibrated_Curve_6</t>
    <phoneticPr fontId="4" type="noConversion"/>
  </si>
  <si>
    <t>CNY_Treasury_Live_Curve_2012-6-5_Calibrated_Curve_7</t>
    <phoneticPr fontId="4" type="noConversion"/>
  </si>
  <si>
    <t>CNY_Treasury_Live_Curve_2012-6-6_Calibrated_Curve_1</t>
    <phoneticPr fontId="4" type="noConversion"/>
  </si>
  <si>
    <t>CNY_Treasury_Live_Curve_2012-6-6_Calibrated_Curve_2</t>
    <phoneticPr fontId="4" type="noConversion"/>
  </si>
  <si>
    <t>CNY_Treasury_Live_Curve_2012-6-6_Calibrated_Curve_3</t>
    <phoneticPr fontId="4" type="noConversion"/>
  </si>
  <si>
    <t>CNY_Treasury_Live_Curve_2012-6-6_Calibrated_Curve_4</t>
    <phoneticPr fontId="4" type="noConversion"/>
  </si>
  <si>
    <t>CNY_Treasury_Live_Curve_2012-6-6_Calibrated_Curve_5</t>
    <phoneticPr fontId="4" type="noConversion"/>
  </si>
  <si>
    <t>CNY_Treasury_Live_Curve_2012-6-6_Calibrated_Curve_6</t>
    <phoneticPr fontId="4" type="noConversion"/>
  </si>
  <si>
    <t>CNY_Treasury_Live_Curve_2012-6-6_Calibrated_Curve_7</t>
    <phoneticPr fontId="4" type="noConversion"/>
  </si>
  <si>
    <t>CNY_Treasury_Live_Curve_2012-6-7_Calibrated_Curve_1</t>
    <phoneticPr fontId="4" type="noConversion"/>
  </si>
  <si>
    <t>CNY_Treasury_Live_Curve_2012-6-7_Calibrated_Curve_2</t>
    <phoneticPr fontId="4" type="noConversion"/>
  </si>
  <si>
    <t>CNY_Treasury_Live_Curve_2012-6-7_Calibrated_Curve_3</t>
    <phoneticPr fontId="4" type="noConversion"/>
  </si>
  <si>
    <t>CNY_Treasury_Live_Curve_2012-6-7_Calibrated_Curve_4</t>
    <phoneticPr fontId="4" type="noConversion"/>
  </si>
  <si>
    <t>CNY_Treasury_Live_Curve_2012-6-7_Calibrated_Curve_5</t>
    <phoneticPr fontId="4" type="noConversion"/>
  </si>
  <si>
    <t>CNY_Treasury_Live_Curve_2012-6-7_Calibrated_Curve_6</t>
    <phoneticPr fontId="4" type="noConversion"/>
  </si>
  <si>
    <t>CNY_Treasury_Live_Curve_2012-6-7_Calibrated_Curve_7</t>
    <phoneticPr fontId="4" type="noConversion"/>
  </si>
  <si>
    <t>CNY_Treasury_Live_Curve_2012-6-8_Calibrated_Curve_1</t>
    <phoneticPr fontId="4" type="noConversion"/>
  </si>
  <si>
    <t>CNY_Treasury_Live_Curve_2012-6-8_Calibrated_Curve_2</t>
    <phoneticPr fontId="4" type="noConversion"/>
  </si>
  <si>
    <t>CNY_Treasury_Live_Curve_2012-6-8_Calibrated_Curve_3</t>
    <phoneticPr fontId="4" type="noConversion"/>
  </si>
  <si>
    <t>CNY_Treasury_Live_Curve_2012-6-8_Calibrated_Curve_4</t>
    <phoneticPr fontId="4" type="noConversion"/>
  </si>
  <si>
    <t>CNY_Treasury_Live_Curve_2012-6-8_Calibrated_Curve_5</t>
    <phoneticPr fontId="4" type="noConversion"/>
  </si>
  <si>
    <t>CNY_Treasury_Live_Curve_2012-6-8_Calibrated_Curve_6</t>
    <phoneticPr fontId="4" type="noConversion"/>
  </si>
  <si>
    <t>CNY_Treasury_Live_Curve_2012-6-8_Calibrated_Curve_7</t>
    <phoneticPr fontId="4" type="noConversion"/>
  </si>
  <si>
    <t>CNY_Treasury_Live_Curve_2012-7-10_Calibrated_Curve_1</t>
    <phoneticPr fontId="4" type="noConversion"/>
  </si>
  <si>
    <t>CNY_Treasury_Live_Curve_2012-7-10_Calibrated_Curve_2</t>
    <phoneticPr fontId="4" type="noConversion"/>
  </si>
  <si>
    <t>CNY_Treasury_Live_Curve_2012-7-10_Calibrated_Curve_3</t>
    <phoneticPr fontId="4" type="noConversion"/>
  </si>
  <si>
    <t>CNY_Treasury_Live_Curve_2012-7-10_Calibrated_Curve_4</t>
    <phoneticPr fontId="4" type="noConversion"/>
  </si>
  <si>
    <t>CNY_Treasury_Live_Curve_2012-7-10_Calibrated_Curve_5</t>
    <phoneticPr fontId="4" type="noConversion"/>
  </si>
  <si>
    <t>CNY_Treasury_Live_Curve_2012-7-10_Calibrated_Curve_6</t>
    <phoneticPr fontId="4" type="noConversion"/>
  </si>
  <si>
    <t>CNY_Treasury_Live_Curve_2012-7-10_Calibrated_Curve_7</t>
    <phoneticPr fontId="4" type="noConversion"/>
  </si>
  <si>
    <t>CNY_Treasury_Live_Curve_2012-7-11_Calibrated_Curve_1</t>
    <phoneticPr fontId="4" type="noConversion"/>
  </si>
  <si>
    <t>CNY_Treasury_Live_Curve_2012-7-11_Calibrated_Curve_2</t>
    <phoneticPr fontId="4" type="noConversion"/>
  </si>
  <si>
    <t>CNY_Treasury_Live_Curve_2012-7-11_Calibrated_Curve_3</t>
    <phoneticPr fontId="4" type="noConversion"/>
  </si>
  <si>
    <t>CNY_Treasury_Live_Curve_2012-7-11_Calibrated_Curve_4</t>
    <phoneticPr fontId="4" type="noConversion"/>
  </si>
  <si>
    <t>CNY_Treasury_Live_Curve_2012-7-11_Calibrated_Curve_5</t>
    <phoneticPr fontId="4" type="noConversion"/>
  </si>
  <si>
    <t>CNY_Treasury_Live_Curve_2012-7-11_Calibrated_Curve_6</t>
    <phoneticPr fontId="4" type="noConversion"/>
  </si>
  <si>
    <t>CNY_Treasury_Live_Curve_2012-7-11_Calibrated_Curve_7</t>
    <phoneticPr fontId="4" type="noConversion"/>
  </si>
  <si>
    <t>CNY_Treasury_Live_Curve_2012-7-12_Calibrated_Curve_1</t>
    <phoneticPr fontId="4" type="noConversion"/>
  </si>
  <si>
    <t>CNY_Treasury_Live_Curve_2012-7-12_Calibrated_Curve_2</t>
    <phoneticPr fontId="4" type="noConversion"/>
  </si>
  <si>
    <t>CNY_Treasury_Live_Curve_2012-7-12_Calibrated_Curve_3</t>
    <phoneticPr fontId="4" type="noConversion"/>
  </si>
  <si>
    <t>CNY_Treasury_Live_Curve_2012-7-12_Calibrated_Curve_4</t>
    <phoneticPr fontId="4" type="noConversion"/>
  </si>
  <si>
    <t>CNY_Treasury_Live_Curve_2012-7-12_Calibrated_Curve_5</t>
    <phoneticPr fontId="4" type="noConversion"/>
  </si>
  <si>
    <t>CNY_Treasury_Live_Curve_2012-7-12_Calibrated_Curve_6</t>
    <phoneticPr fontId="4" type="noConversion"/>
  </si>
  <si>
    <t>CNY_Treasury_Live_Curve_2012-7-12_Calibrated_Curve_7</t>
    <phoneticPr fontId="4" type="noConversion"/>
  </si>
  <si>
    <t>CNY_Treasury_Live_Curve_2012-7-13_Calibrated_Curve_1</t>
    <phoneticPr fontId="4" type="noConversion"/>
  </si>
  <si>
    <t>CNY_Treasury_Live_Curve_2012-7-13_Calibrated_Curve_2</t>
    <phoneticPr fontId="4" type="noConversion"/>
  </si>
  <si>
    <t>CNY_Treasury_Live_Curve_2012-7-13_Calibrated_Curve_3</t>
    <phoneticPr fontId="4" type="noConversion"/>
  </si>
  <si>
    <t>CNY_Treasury_Live_Curve_2012-7-13_Calibrated_Curve_4</t>
    <phoneticPr fontId="4" type="noConversion"/>
  </si>
  <si>
    <t>CNY_Treasury_Live_Curve_2012-7-13_Calibrated_Curve_5</t>
    <phoneticPr fontId="4" type="noConversion"/>
  </si>
  <si>
    <t>CNY_Treasury_Live_Curve_2012-7-13_Calibrated_Curve_6</t>
    <phoneticPr fontId="4" type="noConversion"/>
  </si>
  <si>
    <t>CNY_Treasury_Live_Curve_2012-7-13_Calibrated_Curve_7</t>
    <phoneticPr fontId="4" type="noConversion"/>
  </si>
  <si>
    <t>CNY_Treasury_Live_Curve_2012-7-16_Calibrated_Curve_1</t>
    <phoneticPr fontId="4" type="noConversion"/>
  </si>
  <si>
    <t>CNY_Treasury_Live_Curve_2012-7-16_Calibrated_Curve_2</t>
    <phoneticPr fontId="4" type="noConversion"/>
  </si>
  <si>
    <t>CNY_Treasury_Live_Curve_2012-7-16_Calibrated_Curve_3</t>
    <phoneticPr fontId="4" type="noConversion"/>
  </si>
  <si>
    <t>CNY_Treasury_Live_Curve_2012-7-16_Calibrated_Curve_4</t>
    <phoneticPr fontId="4" type="noConversion"/>
  </si>
  <si>
    <t>CNY_Treasury_Live_Curve_2012-7-16_Calibrated_Curve_5</t>
    <phoneticPr fontId="4" type="noConversion"/>
  </si>
  <si>
    <t>CNY_Treasury_Live_Curve_2012-7-16_Calibrated_Curve_6</t>
    <phoneticPr fontId="4" type="noConversion"/>
  </si>
  <si>
    <t>CNY_Treasury_Live_Curve_2012-7-16_Calibrated_Curve_7</t>
    <phoneticPr fontId="4" type="noConversion"/>
  </si>
  <si>
    <t>CNY_Treasury_Live_Curve_2012-7-17_Calibrated_Curve_1</t>
    <phoneticPr fontId="4" type="noConversion"/>
  </si>
  <si>
    <t>CNY_Treasury_Live_Curve_2012-7-17_Calibrated_Curve_2</t>
    <phoneticPr fontId="4" type="noConversion"/>
  </si>
  <si>
    <t>CNY_Treasury_Live_Curve_2012-7-17_Calibrated_Curve_3</t>
    <phoneticPr fontId="4" type="noConversion"/>
  </si>
  <si>
    <t>CNY_Treasury_Live_Curve_2012-7-17_Calibrated_Curve_4</t>
    <phoneticPr fontId="4" type="noConversion"/>
  </si>
  <si>
    <t>CNY_Treasury_Live_Curve_2012-7-17_Calibrated_Curve_5</t>
    <phoneticPr fontId="4" type="noConversion"/>
  </si>
  <si>
    <t>CNY_Treasury_Live_Curve_2012-7-17_Calibrated_Curve_6</t>
    <phoneticPr fontId="4" type="noConversion"/>
  </si>
  <si>
    <t>CNY_Treasury_Live_Curve_2012-7-17_Calibrated_Curve_7</t>
    <phoneticPr fontId="4" type="noConversion"/>
  </si>
  <si>
    <t>CNY_Treasury_Live_Curve_2012-7-18_Calibrated_Curve_1</t>
    <phoneticPr fontId="4" type="noConversion"/>
  </si>
  <si>
    <t>CNY_Treasury_Live_Curve_2012-7-18_Calibrated_Curve_2</t>
    <phoneticPr fontId="4" type="noConversion"/>
  </si>
  <si>
    <t>CNY_Treasury_Live_Curve_2012-7-18_Calibrated_Curve_3</t>
    <phoneticPr fontId="4" type="noConversion"/>
  </si>
  <si>
    <t>CNY_Treasury_Live_Curve_2012-7-18_Calibrated_Curve_4</t>
    <phoneticPr fontId="4" type="noConversion"/>
  </si>
  <si>
    <t>CNY_Treasury_Live_Curve_2012-7-18_Calibrated_Curve_5</t>
    <phoneticPr fontId="4" type="noConversion"/>
  </si>
  <si>
    <t>CNY_Treasury_Live_Curve_2012-7-18_Calibrated_Curve_6</t>
    <phoneticPr fontId="4" type="noConversion"/>
  </si>
  <si>
    <t>CNY_Treasury_Live_Curve_2012-7-18_Calibrated_Curve_7</t>
    <phoneticPr fontId="4" type="noConversion"/>
  </si>
  <si>
    <t>CNY_Treasury_Live_Curve_2012-7-19_Calibrated_Curve_1</t>
    <phoneticPr fontId="4" type="noConversion"/>
  </si>
  <si>
    <t>CNY_Treasury_Live_Curve_2012-7-19_Calibrated_Curve_2</t>
    <phoneticPr fontId="4" type="noConversion"/>
  </si>
  <si>
    <t>CNY_Treasury_Live_Curve_2012-7-19_Calibrated_Curve_3</t>
    <phoneticPr fontId="4" type="noConversion"/>
  </si>
  <si>
    <t>CNY_Treasury_Live_Curve_2012-7-19_Calibrated_Curve_4</t>
    <phoneticPr fontId="4" type="noConversion"/>
  </si>
  <si>
    <t>CNY_Treasury_Live_Curve_2012-7-19_Calibrated_Curve_5</t>
    <phoneticPr fontId="4" type="noConversion"/>
  </si>
  <si>
    <t>CNY_Treasury_Live_Curve_2012-7-19_Calibrated_Curve_6</t>
    <phoneticPr fontId="4" type="noConversion"/>
  </si>
  <si>
    <t>CNY_Treasury_Live_Curve_2012-7-19_Calibrated_Curve_7</t>
    <phoneticPr fontId="4" type="noConversion"/>
  </si>
  <si>
    <t>CNY_Treasury_Live_Curve_2012-7-2_Calibrated_Curve_1</t>
    <phoneticPr fontId="4" type="noConversion"/>
  </si>
  <si>
    <t>CNY_Treasury_Live_Curve_2012-7-2_Calibrated_Curve_2</t>
    <phoneticPr fontId="4" type="noConversion"/>
  </si>
  <si>
    <t>CNY_Treasury_Live_Curve_2012-7-2_Calibrated_Curve_3</t>
    <phoneticPr fontId="4" type="noConversion"/>
  </si>
  <si>
    <t>CNY_Treasury_Live_Curve_2012-7-2_Calibrated_Curve_4</t>
    <phoneticPr fontId="4" type="noConversion"/>
  </si>
  <si>
    <t>CNY_Treasury_Live_Curve_2012-7-2_Calibrated_Curve_5</t>
    <phoneticPr fontId="4" type="noConversion"/>
  </si>
  <si>
    <t>CNY_Treasury_Live_Curve_2012-7-2_Calibrated_Curve_6</t>
    <phoneticPr fontId="4" type="noConversion"/>
  </si>
  <si>
    <t>CNY_Treasury_Live_Curve_2012-7-2_Calibrated_Curve_7</t>
    <phoneticPr fontId="4" type="noConversion"/>
  </si>
  <si>
    <t>CNY_Treasury_Live_Curve_2012-7-20_Calibrated_Curve_1</t>
    <phoneticPr fontId="4" type="noConversion"/>
  </si>
  <si>
    <t>CNY_Treasury_Live_Curve_2012-7-20_Calibrated_Curve_2</t>
    <phoneticPr fontId="4" type="noConversion"/>
  </si>
  <si>
    <t>CNY_Treasury_Live_Curve_2012-7-20_Calibrated_Curve_3</t>
    <phoneticPr fontId="4" type="noConversion"/>
  </si>
  <si>
    <t>CNY_Treasury_Live_Curve_2012-7-20_Calibrated_Curve_4</t>
    <phoneticPr fontId="4" type="noConversion"/>
  </si>
  <si>
    <t>CNY_Treasury_Live_Curve_2012-7-20_Calibrated_Curve_5</t>
    <phoneticPr fontId="4" type="noConversion"/>
  </si>
  <si>
    <t>CNY_Treasury_Live_Curve_2012-7-20_Calibrated_Curve_6</t>
    <phoneticPr fontId="4" type="noConversion"/>
  </si>
  <si>
    <t>CNY_Treasury_Live_Curve_2012-7-20_Calibrated_Curve_7</t>
    <phoneticPr fontId="4" type="noConversion"/>
  </si>
  <si>
    <t>CNY_Treasury_Live_Curve_2012-7-23_Calibrated_Curve_1</t>
    <phoneticPr fontId="4" type="noConversion"/>
  </si>
  <si>
    <t>CNY_Treasury_Live_Curve_2012-7-23_Calibrated_Curve_2</t>
    <phoneticPr fontId="4" type="noConversion"/>
  </si>
  <si>
    <t>CNY_Treasury_Live_Curve_2012-7-23_Calibrated_Curve_3</t>
    <phoneticPr fontId="4" type="noConversion"/>
  </si>
  <si>
    <t>CNY_Treasury_Live_Curve_2012-7-23_Calibrated_Curve_4</t>
    <phoneticPr fontId="4" type="noConversion"/>
  </si>
  <si>
    <t>CNY_Treasury_Live_Curve_2012-7-23_Calibrated_Curve_5</t>
    <phoneticPr fontId="4" type="noConversion"/>
  </si>
  <si>
    <t>CNY_Treasury_Live_Curve_2012-7-23_Calibrated_Curve_6</t>
    <phoneticPr fontId="4" type="noConversion"/>
  </si>
  <si>
    <t>CNY_Treasury_Live_Curve_2012-7-23_Calibrated_Curve_7</t>
    <phoneticPr fontId="4" type="noConversion"/>
  </si>
  <si>
    <t>CNY_Treasury_Live_Curve_2012-7-24_Calibrated_Curve_1</t>
    <phoneticPr fontId="4" type="noConversion"/>
  </si>
  <si>
    <t>CNY_Treasury_Live_Curve_2012-7-24_Calibrated_Curve_2</t>
    <phoneticPr fontId="4" type="noConversion"/>
  </si>
  <si>
    <t>CNY_Treasury_Live_Curve_2012-7-24_Calibrated_Curve_3</t>
    <phoneticPr fontId="4" type="noConversion"/>
  </si>
  <si>
    <t>CNY_Treasury_Live_Curve_2012-7-24_Calibrated_Curve_4</t>
    <phoneticPr fontId="4" type="noConversion"/>
  </si>
  <si>
    <t>CNY_Treasury_Live_Curve_2012-7-24_Calibrated_Curve_5</t>
    <phoneticPr fontId="4" type="noConversion"/>
  </si>
  <si>
    <t>CNY_Treasury_Live_Curve_2012-7-24_Calibrated_Curve_6</t>
    <phoneticPr fontId="4" type="noConversion"/>
  </si>
  <si>
    <t>CNY_Treasury_Live_Curve_2012-7-24_Calibrated_Curve_7</t>
    <phoneticPr fontId="4" type="noConversion"/>
  </si>
  <si>
    <t>CNY_Treasury_Live_Curve_2012-7-25_Calibrated_Curve_1</t>
    <phoneticPr fontId="4" type="noConversion"/>
  </si>
  <si>
    <t>CNY_Treasury_Live_Curve_2012-7-25_Calibrated_Curve_2</t>
    <phoneticPr fontId="4" type="noConversion"/>
  </si>
  <si>
    <t>CNY_Treasury_Live_Curve_2012-7-25_Calibrated_Curve_3</t>
    <phoneticPr fontId="4" type="noConversion"/>
  </si>
  <si>
    <t>CNY_Treasury_Live_Curve_2012-7-25_Calibrated_Curve_4</t>
    <phoneticPr fontId="4" type="noConversion"/>
  </si>
  <si>
    <t>CNY_Treasury_Live_Curve_2012-7-25_Calibrated_Curve_5</t>
    <phoneticPr fontId="4" type="noConversion"/>
  </si>
  <si>
    <t>CNY_Treasury_Live_Curve_2012-7-25_Calibrated_Curve_6</t>
    <phoneticPr fontId="4" type="noConversion"/>
  </si>
  <si>
    <t>CNY_Treasury_Live_Curve_2012-7-25_Calibrated_Curve_7</t>
    <phoneticPr fontId="4" type="noConversion"/>
  </si>
  <si>
    <t>CNY_Treasury_Live_Curve_2012-7-26_Calibrated_Curve_1</t>
    <phoneticPr fontId="4" type="noConversion"/>
  </si>
  <si>
    <t>CNY_Treasury_Live_Curve_2012-7-26_Calibrated_Curve_2</t>
    <phoneticPr fontId="4" type="noConversion"/>
  </si>
  <si>
    <t>CNY_Treasury_Live_Curve_2012-7-26_Calibrated_Curve_3</t>
    <phoneticPr fontId="4" type="noConversion"/>
  </si>
  <si>
    <t>CNY_Treasury_Live_Curve_2012-7-26_Calibrated_Curve_4</t>
    <phoneticPr fontId="4" type="noConversion"/>
  </si>
  <si>
    <t>CNY_Treasury_Live_Curve_2012-7-26_Calibrated_Curve_5</t>
    <phoneticPr fontId="4" type="noConversion"/>
  </si>
  <si>
    <t>CNY_Treasury_Live_Curve_2012-7-26_Calibrated_Curve_6</t>
    <phoneticPr fontId="4" type="noConversion"/>
  </si>
  <si>
    <t>CNY_Treasury_Live_Curve_2012-7-26_Calibrated_Curve_7</t>
    <phoneticPr fontId="4" type="noConversion"/>
  </si>
  <si>
    <t>CNY_Treasury_Live_Curve_2012-7-27_Calibrated_Curve_1</t>
    <phoneticPr fontId="4" type="noConversion"/>
  </si>
  <si>
    <t>CNY_Treasury_Live_Curve_2012-7-27_Calibrated_Curve_2</t>
    <phoneticPr fontId="4" type="noConversion"/>
  </si>
  <si>
    <t>CNY_Treasury_Live_Curve_2012-7-27_Calibrated_Curve_3</t>
    <phoneticPr fontId="4" type="noConversion"/>
  </si>
  <si>
    <t>CNY_Treasury_Live_Curve_2012-7-27_Calibrated_Curve_4</t>
    <phoneticPr fontId="4" type="noConversion"/>
  </si>
  <si>
    <t>CNY_Treasury_Live_Curve_2012-7-27_Calibrated_Curve_5</t>
    <phoneticPr fontId="4" type="noConversion"/>
  </si>
  <si>
    <t>CNY_Treasury_Live_Curve_2012-7-27_Calibrated_Curve_6</t>
    <phoneticPr fontId="4" type="noConversion"/>
  </si>
  <si>
    <t>CNY_Treasury_Live_Curve_2012-7-27_Calibrated_Curve_7</t>
    <phoneticPr fontId="4" type="noConversion"/>
  </si>
  <si>
    <t>CNY_Treasury_Live_Curve_2012-7-3_Calibrated_Curve_1</t>
    <phoneticPr fontId="4" type="noConversion"/>
  </si>
  <si>
    <t>CNY_Treasury_Live_Curve_2012-7-3_Calibrated_Curve_2</t>
    <phoneticPr fontId="4" type="noConversion"/>
  </si>
  <si>
    <t>CNY_Treasury_Live_Curve_2012-7-3_Calibrated_Curve_3</t>
    <phoneticPr fontId="4" type="noConversion"/>
  </si>
  <si>
    <t>CNY_Treasury_Live_Curve_2012-7-3_Calibrated_Curve_4</t>
    <phoneticPr fontId="4" type="noConversion"/>
  </si>
  <si>
    <t>CNY_Treasury_Live_Curve_2012-7-3_Calibrated_Curve_5</t>
    <phoneticPr fontId="4" type="noConversion"/>
  </si>
  <si>
    <t>CNY_Treasury_Live_Curve_2012-7-3_Calibrated_Curve_6</t>
    <phoneticPr fontId="4" type="noConversion"/>
  </si>
  <si>
    <t>CNY_Treasury_Live_Curve_2012-7-3_Calibrated_Curve_7</t>
    <phoneticPr fontId="4" type="noConversion"/>
  </si>
  <si>
    <t>CNY_Treasury_Live_Curve_2012-7-30_Calibrated_Curve_1</t>
    <phoneticPr fontId="4" type="noConversion"/>
  </si>
  <si>
    <t>CNY_Treasury_Live_Curve_2012-7-30_Calibrated_Curve_2</t>
    <phoneticPr fontId="4" type="noConversion"/>
  </si>
  <si>
    <t>CNY_Treasury_Live_Curve_2012-7-30_Calibrated_Curve_3</t>
    <phoneticPr fontId="4" type="noConversion"/>
  </si>
  <si>
    <t>CNY_Treasury_Live_Curve_2012-7-30_Calibrated_Curve_4</t>
    <phoneticPr fontId="4" type="noConversion"/>
  </si>
  <si>
    <t>CNY_Treasury_Live_Curve_2012-7-30_Calibrated_Curve_5</t>
    <phoneticPr fontId="4" type="noConversion"/>
  </si>
  <si>
    <t>CNY_Treasury_Live_Curve_2012-7-30_Calibrated_Curve_6</t>
    <phoneticPr fontId="4" type="noConversion"/>
  </si>
  <si>
    <t>CNY_Treasury_Live_Curve_2012-7-30_Calibrated_Curve_7</t>
    <phoneticPr fontId="4" type="noConversion"/>
  </si>
  <si>
    <t>CNY_Treasury_Live_Curve_2012-7-31_Calibrated_Curve_1</t>
    <phoneticPr fontId="4" type="noConversion"/>
  </si>
  <si>
    <t>CNY_Treasury_Live_Curve_2012-7-31_Calibrated_Curve_2</t>
    <phoneticPr fontId="4" type="noConversion"/>
  </si>
  <si>
    <t>CNY_Treasury_Live_Curve_2012-7-31_Calibrated_Curve_3</t>
    <phoneticPr fontId="4" type="noConversion"/>
  </si>
  <si>
    <t>CNY_Treasury_Live_Curve_2012-7-31_Calibrated_Curve_4</t>
    <phoneticPr fontId="4" type="noConversion"/>
  </si>
  <si>
    <t>CNY_Treasury_Live_Curve_2012-7-31_Calibrated_Curve_5</t>
    <phoneticPr fontId="4" type="noConversion"/>
  </si>
  <si>
    <t>CNY_Treasury_Live_Curve_2012-7-31_Calibrated_Curve_6</t>
    <phoneticPr fontId="4" type="noConversion"/>
  </si>
  <si>
    <t>CNY_Treasury_Live_Curve_2012-7-31_Calibrated_Curve_7</t>
    <phoneticPr fontId="4" type="noConversion"/>
  </si>
  <si>
    <t>CNY_Treasury_Live_Curve_2012-7-4_Calibrated_Curve_1</t>
    <phoneticPr fontId="4" type="noConversion"/>
  </si>
  <si>
    <t>CNY_Treasury_Live_Curve_2012-7-4_Calibrated_Curve_2</t>
    <phoneticPr fontId="4" type="noConversion"/>
  </si>
  <si>
    <t>CNY_Treasury_Live_Curve_2012-7-4_Calibrated_Curve_3</t>
    <phoneticPr fontId="4" type="noConversion"/>
  </si>
  <si>
    <t>CNY_Treasury_Live_Curve_2012-7-4_Calibrated_Curve_4</t>
    <phoneticPr fontId="4" type="noConversion"/>
  </si>
  <si>
    <t>CNY_Treasury_Live_Curve_2012-7-4_Calibrated_Curve_5</t>
    <phoneticPr fontId="4" type="noConversion"/>
  </si>
  <si>
    <t>CNY_Treasury_Live_Curve_2012-7-4_Calibrated_Curve_6</t>
    <phoneticPr fontId="4" type="noConversion"/>
  </si>
  <si>
    <t>CNY_Treasury_Live_Curve_2012-7-4_Calibrated_Curve_7</t>
    <phoneticPr fontId="4" type="noConversion"/>
  </si>
  <si>
    <t>CNY_Treasury_Live_Curve_2012-7-5_Calibrated_Curve_1</t>
    <phoneticPr fontId="4" type="noConversion"/>
  </si>
  <si>
    <t>CNY_Treasury_Live_Curve_2012-7-5_Calibrated_Curve_2</t>
    <phoneticPr fontId="4" type="noConversion"/>
  </si>
  <si>
    <t>CNY_Treasury_Live_Curve_2012-7-5_Calibrated_Curve_3</t>
    <phoneticPr fontId="4" type="noConversion"/>
  </si>
  <si>
    <t>CNY_Treasury_Live_Curve_2012-7-5_Calibrated_Curve_4</t>
    <phoneticPr fontId="4" type="noConversion"/>
  </si>
  <si>
    <t>CNY_Treasury_Live_Curve_2012-7-5_Calibrated_Curve_5</t>
    <phoneticPr fontId="4" type="noConversion"/>
  </si>
  <si>
    <t>CNY_Treasury_Live_Curve_2012-7-5_Calibrated_Curve_6</t>
    <phoneticPr fontId="4" type="noConversion"/>
  </si>
  <si>
    <t>CNY_Treasury_Live_Curve_2012-7-5_Calibrated_Curve_7</t>
    <phoneticPr fontId="4" type="noConversion"/>
  </si>
  <si>
    <t>CNY_Treasury_Live_Curve_2012-7-6_Calibrated_Curve_1</t>
    <phoneticPr fontId="4" type="noConversion"/>
  </si>
  <si>
    <t>CNY_Treasury_Live_Curve_2012-7-6_Calibrated_Curve_2</t>
    <phoneticPr fontId="4" type="noConversion"/>
  </si>
  <si>
    <t>CNY_Treasury_Live_Curve_2012-7-6_Calibrated_Curve_3</t>
    <phoneticPr fontId="4" type="noConversion"/>
  </si>
  <si>
    <t>CNY_Treasury_Live_Curve_2012-7-6_Calibrated_Curve_4</t>
    <phoneticPr fontId="4" type="noConversion"/>
  </si>
  <si>
    <t>CNY_Treasury_Live_Curve_2012-7-6_Calibrated_Curve_5</t>
    <phoneticPr fontId="4" type="noConversion"/>
  </si>
  <si>
    <t>CNY_Treasury_Live_Curve_2012-7-6_Calibrated_Curve_6</t>
    <phoneticPr fontId="4" type="noConversion"/>
  </si>
  <si>
    <t>CNY_Treasury_Live_Curve_2012-7-6_Calibrated_Curve_7</t>
    <phoneticPr fontId="4" type="noConversion"/>
  </si>
  <si>
    <t>CNY_Treasury_Live_Curve_2012-7-9_Calibrated_Curve_1</t>
    <phoneticPr fontId="4" type="noConversion"/>
  </si>
  <si>
    <t>CNY_Treasury_Live_Curve_2012-7-9_Calibrated_Curve_2</t>
    <phoneticPr fontId="4" type="noConversion"/>
  </si>
  <si>
    <t>CNY_Treasury_Live_Curve_2012-7-9_Calibrated_Curve_3</t>
    <phoneticPr fontId="4" type="noConversion"/>
  </si>
  <si>
    <t>CNY_Treasury_Live_Curve_2012-7-9_Calibrated_Curve_4</t>
    <phoneticPr fontId="4" type="noConversion"/>
  </si>
  <si>
    <t>CNY_Treasury_Live_Curve_2012-7-9_Calibrated_Curve_5</t>
    <phoneticPr fontId="4" type="noConversion"/>
  </si>
  <si>
    <t>CNY_Treasury_Live_Curve_2012-7-9_Calibrated_Curve_6</t>
    <phoneticPr fontId="4" type="noConversion"/>
  </si>
  <si>
    <t>CNY_Treasury_Live_Curve_2012-7-9_Calibrated_Curve_7</t>
    <phoneticPr fontId="4" type="noConversion"/>
  </si>
  <si>
    <t>CNY_Treasury_Live_Curve_2012-8-1_Calibrated_Curve_1</t>
    <phoneticPr fontId="4" type="noConversion"/>
  </si>
  <si>
    <t>CNY_Treasury_Live_Curve_2012-8-1_Calibrated_Curve_2</t>
    <phoneticPr fontId="4" type="noConversion"/>
  </si>
  <si>
    <t>CNY_Treasury_Live_Curve_2012-8-1_Calibrated_Curve_3</t>
    <phoneticPr fontId="4" type="noConversion"/>
  </si>
  <si>
    <t>CNY_Treasury_Live_Curve_2012-8-1_Calibrated_Curve_4</t>
    <phoneticPr fontId="4" type="noConversion"/>
  </si>
  <si>
    <t>CNY_Treasury_Live_Curve_2012-8-1_Calibrated_Curve_5</t>
    <phoneticPr fontId="4" type="noConversion"/>
  </si>
  <si>
    <t>CNY_Treasury_Live_Curve_2012-8-1_Calibrated_Curve_6</t>
    <phoneticPr fontId="4" type="noConversion"/>
  </si>
  <si>
    <t>CNY_Treasury_Live_Curve_2012-8-1_Calibrated_Curve_7</t>
    <phoneticPr fontId="4" type="noConversion"/>
  </si>
  <si>
    <t>CNY_Treasury_Live_Curve_2012-8-10_Calibrated_Curve_1</t>
    <phoneticPr fontId="4" type="noConversion"/>
  </si>
  <si>
    <t>CNY_Treasury_Live_Curve_2012-8-10_Calibrated_Curve_2</t>
    <phoneticPr fontId="4" type="noConversion"/>
  </si>
  <si>
    <t>CNY_Treasury_Live_Curve_2012-8-10_Calibrated_Curve_3</t>
    <phoneticPr fontId="4" type="noConversion"/>
  </si>
  <si>
    <t>CNY_Treasury_Live_Curve_2012-8-10_Calibrated_Curve_4</t>
    <phoneticPr fontId="4" type="noConversion"/>
  </si>
  <si>
    <t>CNY_Treasury_Live_Curve_2012-8-10_Calibrated_Curve_5</t>
    <phoneticPr fontId="4" type="noConversion"/>
  </si>
  <si>
    <t>CNY_Treasury_Live_Curve_2012-8-10_Calibrated_Curve_6</t>
    <phoneticPr fontId="4" type="noConversion"/>
  </si>
  <si>
    <t>CNY_Treasury_Live_Curve_2012-8-10_Calibrated_Curve_7</t>
    <phoneticPr fontId="4" type="noConversion"/>
  </si>
  <si>
    <t>CNY_Treasury_Live_Curve_2012-8-13_Calibrated_Curve_1</t>
    <phoneticPr fontId="4" type="noConversion"/>
  </si>
  <si>
    <t>CNY_Treasury_Live_Curve_2012-8-13_Calibrated_Curve_2</t>
    <phoneticPr fontId="4" type="noConversion"/>
  </si>
  <si>
    <t>CNY_Treasury_Live_Curve_2012-8-13_Calibrated_Curve_3</t>
    <phoneticPr fontId="4" type="noConversion"/>
  </si>
  <si>
    <t>CNY_Treasury_Live_Curve_2012-8-13_Calibrated_Curve_4</t>
    <phoneticPr fontId="4" type="noConversion"/>
  </si>
  <si>
    <t>CNY_Treasury_Live_Curve_2012-8-13_Calibrated_Curve_5</t>
    <phoneticPr fontId="4" type="noConversion"/>
  </si>
  <si>
    <t>CNY_Treasury_Live_Curve_2012-8-13_Calibrated_Curve_6</t>
    <phoneticPr fontId="4" type="noConversion"/>
  </si>
  <si>
    <t>CNY_Treasury_Live_Curve_2012-8-13_Calibrated_Curve_7</t>
    <phoneticPr fontId="4" type="noConversion"/>
  </si>
  <si>
    <t>CNY_Treasury_Live_Curve_2012-8-14_Calibrated_Curve_1</t>
    <phoneticPr fontId="4" type="noConversion"/>
  </si>
  <si>
    <t>CNY_Treasury_Live_Curve_2012-8-14_Calibrated_Curve_2</t>
    <phoneticPr fontId="4" type="noConversion"/>
  </si>
  <si>
    <t>CNY_Treasury_Live_Curve_2012-8-14_Calibrated_Curve_3</t>
    <phoneticPr fontId="4" type="noConversion"/>
  </si>
  <si>
    <t>CNY_Treasury_Live_Curve_2012-8-14_Calibrated_Curve_4</t>
    <phoneticPr fontId="4" type="noConversion"/>
  </si>
  <si>
    <t>CNY_Treasury_Live_Curve_2012-8-14_Calibrated_Curve_5</t>
    <phoneticPr fontId="4" type="noConversion"/>
  </si>
  <si>
    <t>CNY_Treasury_Live_Curve_2012-8-14_Calibrated_Curve_6</t>
    <phoneticPr fontId="4" type="noConversion"/>
  </si>
  <si>
    <t>CNY_Treasury_Live_Curve_2012-8-14_Calibrated_Curve_7</t>
    <phoneticPr fontId="4" type="noConversion"/>
  </si>
  <si>
    <t>CNY_Treasury_Live_Curve_2012-8-15_Calibrated_Curve_1</t>
    <phoneticPr fontId="4" type="noConversion"/>
  </si>
  <si>
    <t>CNY_Treasury_Live_Curve_2012-8-15_Calibrated_Curve_2</t>
    <phoneticPr fontId="4" type="noConversion"/>
  </si>
  <si>
    <t>CNY_Treasury_Live_Curve_2012-8-15_Calibrated_Curve_3</t>
    <phoneticPr fontId="4" type="noConversion"/>
  </si>
  <si>
    <t>CNY_Treasury_Live_Curve_2012-8-15_Calibrated_Curve_4</t>
    <phoneticPr fontId="4" type="noConversion"/>
  </si>
  <si>
    <t>CNY_Treasury_Live_Curve_2012-8-15_Calibrated_Curve_5</t>
    <phoneticPr fontId="4" type="noConversion"/>
  </si>
  <si>
    <t>CNY_Treasury_Live_Curve_2012-8-15_Calibrated_Curve_6</t>
    <phoneticPr fontId="4" type="noConversion"/>
  </si>
  <si>
    <t>CNY_Treasury_Live_Curve_2012-8-15_Calibrated_Curve_7</t>
    <phoneticPr fontId="4" type="noConversion"/>
  </si>
  <si>
    <t>CNY_Treasury_Live_Curve_2012-8-16_Calibrated_Curve_1</t>
    <phoneticPr fontId="4" type="noConversion"/>
  </si>
  <si>
    <t>CNY_Treasury_Live_Curve_2012-8-16_Calibrated_Curve_2</t>
    <phoneticPr fontId="4" type="noConversion"/>
  </si>
  <si>
    <t>CNY_Treasury_Live_Curve_2012-8-16_Calibrated_Curve_3</t>
    <phoneticPr fontId="4" type="noConversion"/>
  </si>
  <si>
    <t>CNY_Treasury_Live_Curve_2012-8-16_Calibrated_Curve_4</t>
    <phoneticPr fontId="4" type="noConversion"/>
  </si>
  <si>
    <t>CNY_Treasury_Live_Curve_2012-8-16_Calibrated_Curve_5</t>
    <phoneticPr fontId="4" type="noConversion"/>
  </si>
  <si>
    <t>CNY_Treasury_Live_Curve_2012-8-16_Calibrated_Curve_6</t>
    <phoneticPr fontId="4" type="noConversion"/>
  </si>
  <si>
    <t>CNY_Treasury_Live_Curve_2012-8-16_Calibrated_Curve_7</t>
    <phoneticPr fontId="4" type="noConversion"/>
  </si>
  <si>
    <t>CNY_Treasury_Live_Curve_2012-8-2_Calibrated_Curve_1</t>
    <phoneticPr fontId="4" type="noConversion"/>
  </si>
  <si>
    <t>CNY_Treasury_Live_Curve_2012-8-2_Calibrated_Curve_2</t>
    <phoneticPr fontId="4" type="noConversion"/>
  </si>
  <si>
    <t>CNY_Treasury_Live_Curve_2012-8-2_Calibrated_Curve_3</t>
    <phoneticPr fontId="4" type="noConversion"/>
  </si>
  <si>
    <t>CNY_Treasury_Live_Curve_2012-8-2_Calibrated_Curve_4</t>
    <phoneticPr fontId="4" type="noConversion"/>
  </si>
  <si>
    <t>CNY_Treasury_Live_Curve_2012-8-2_Calibrated_Curve_5</t>
    <phoneticPr fontId="4" type="noConversion"/>
  </si>
  <si>
    <t>CNY_Treasury_Live_Curve_2012-8-2_Calibrated_Curve_6</t>
    <phoneticPr fontId="4" type="noConversion"/>
  </si>
  <si>
    <t>CNY_Treasury_Live_Curve_2012-8-2_Calibrated_Curve_7</t>
    <phoneticPr fontId="4" type="noConversion"/>
  </si>
  <si>
    <t>CNY_Treasury_Live_Curve_2012-8-3_Calibrated_Curve_1</t>
    <phoneticPr fontId="4" type="noConversion"/>
  </si>
  <si>
    <t>CNY_Treasury_Live_Curve_2012-8-3_Calibrated_Curve_2</t>
    <phoneticPr fontId="4" type="noConversion"/>
  </si>
  <si>
    <t>CNY_Treasury_Live_Curve_2012-8-3_Calibrated_Curve_3</t>
    <phoneticPr fontId="4" type="noConversion"/>
  </si>
  <si>
    <t>CNY_Treasury_Live_Curve_2012-8-3_Calibrated_Curve_4</t>
    <phoneticPr fontId="4" type="noConversion"/>
  </si>
  <si>
    <t>CNY_Treasury_Live_Curve_2012-8-3_Calibrated_Curve_5</t>
    <phoneticPr fontId="4" type="noConversion"/>
  </si>
  <si>
    <t>CNY_Treasury_Live_Curve_2012-8-3_Calibrated_Curve_6</t>
    <phoneticPr fontId="4" type="noConversion"/>
  </si>
  <si>
    <t>CNY_Treasury_Live_Curve_2012-8-3_Calibrated_Curve_7</t>
    <phoneticPr fontId="4" type="noConversion"/>
  </si>
  <si>
    <t>CNY_Treasury_Live_Curve_2012-8-6_Calibrated_Curve_1</t>
    <phoneticPr fontId="4" type="noConversion"/>
  </si>
  <si>
    <t>CNY_Treasury_Live_Curve_2012-8-6_Calibrated_Curve_2</t>
    <phoneticPr fontId="4" type="noConversion"/>
  </si>
  <si>
    <t>CNY_Treasury_Live_Curve_2012-8-6_Calibrated_Curve_3</t>
    <phoneticPr fontId="4" type="noConversion"/>
  </si>
  <si>
    <t>CNY_Treasury_Live_Curve_2012-8-6_Calibrated_Curve_4</t>
    <phoneticPr fontId="4" type="noConversion"/>
  </si>
  <si>
    <t>CNY_Treasury_Live_Curve_2012-8-6_Calibrated_Curve_5</t>
    <phoneticPr fontId="4" type="noConversion"/>
  </si>
  <si>
    <t>CNY_Treasury_Live_Curve_2012-8-6_Calibrated_Curve_6</t>
    <phoneticPr fontId="4" type="noConversion"/>
  </si>
  <si>
    <t>CNY_Treasury_Live_Curve_2012-8-6_Calibrated_Curve_7</t>
    <phoneticPr fontId="4" type="noConversion"/>
  </si>
  <si>
    <t>CNY_Treasury_Live_Curve_2012-8-7_Calibrated_Curve_1</t>
    <phoneticPr fontId="4" type="noConversion"/>
  </si>
  <si>
    <t>CNY_Treasury_Live_Curve_2012-8-7_Calibrated_Curve_2</t>
    <phoneticPr fontId="4" type="noConversion"/>
  </si>
  <si>
    <t>CNY_Treasury_Live_Curve_2012-8-7_Calibrated_Curve_3</t>
    <phoneticPr fontId="4" type="noConversion"/>
  </si>
  <si>
    <t>CNY_Treasury_Live_Curve_2012-8-7_Calibrated_Curve_4</t>
    <phoneticPr fontId="4" type="noConversion"/>
  </si>
  <si>
    <t>CNY_Treasury_Live_Curve_2012-8-7_Calibrated_Curve_5</t>
    <phoneticPr fontId="4" type="noConversion"/>
  </si>
  <si>
    <t>CNY_Treasury_Live_Curve_2012-8-7_Calibrated_Curve_6</t>
    <phoneticPr fontId="4" type="noConversion"/>
  </si>
  <si>
    <t>CNY_Treasury_Live_Curve_2012-8-7_Calibrated_Curve_7</t>
    <phoneticPr fontId="4" type="noConversion"/>
  </si>
  <si>
    <t>CNY_Treasury_Live_Curve_2012-8-8_Calibrated_Curve_1</t>
    <phoneticPr fontId="4" type="noConversion"/>
  </si>
  <si>
    <t>CNY_Treasury_Live_Curve_2012-8-8_Calibrated_Curve_2</t>
    <phoneticPr fontId="4" type="noConversion"/>
  </si>
  <si>
    <t>CNY_Treasury_Live_Curve_2012-8-8_Calibrated_Curve_3</t>
    <phoneticPr fontId="4" type="noConversion"/>
  </si>
  <si>
    <t>CNY_Treasury_Live_Curve_2012-8-8_Calibrated_Curve_4</t>
    <phoneticPr fontId="4" type="noConversion"/>
  </si>
  <si>
    <t>CNY_Treasury_Live_Curve_2012-8-8_Calibrated_Curve_5</t>
    <phoneticPr fontId="4" type="noConversion"/>
  </si>
  <si>
    <t>CNY_Treasury_Live_Curve_2012-8-8_Calibrated_Curve_6</t>
    <phoneticPr fontId="4" type="noConversion"/>
  </si>
  <si>
    <t>CNY_Treasury_Live_Curve_2012-8-8_Calibrated_Curve_7</t>
    <phoneticPr fontId="4" type="noConversion"/>
  </si>
  <si>
    <t>CNY_Treasury_Live_Curve_2012-8-9_Calibrated_Curve_1</t>
    <phoneticPr fontId="4" type="noConversion"/>
  </si>
  <si>
    <t>CNY_Treasury_Live_Curve_2012-8-9_Calibrated_Curve_2</t>
    <phoneticPr fontId="4" type="noConversion"/>
  </si>
  <si>
    <t>CNY_Treasury_Live_Curve_2012-8-9_Calibrated_Curve_3</t>
    <phoneticPr fontId="4" type="noConversion"/>
  </si>
  <si>
    <t>CNY_Treasury_Live_Curve_2012-8-9_Calibrated_Curve_4</t>
    <phoneticPr fontId="4" type="noConversion"/>
  </si>
  <si>
    <t>CNY_Treasury_Live_Curve_2012-8-9_Calibrated_Curve_5</t>
    <phoneticPr fontId="4" type="noConversion"/>
  </si>
  <si>
    <t>CNY_Treasury_Live_Curve_2012-8-9_Calibrated_Curve_6</t>
    <phoneticPr fontId="4" type="noConversion"/>
  </si>
  <si>
    <t>CNY_Treasury_Live_Curve_2012-8-9_Calibrated_Curve_7</t>
    <phoneticPr fontId="4" type="noConversion"/>
  </si>
  <si>
    <t>移动后曲线</t>
    <phoneticPr fontId="4" type="noConversion"/>
  </si>
  <si>
    <t>基础曲线（2012年7月5日）</t>
    <phoneticPr fontId="4" type="noConversion"/>
  </si>
  <si>
    <t>Code</t>
  </si>
  <si>
    <t>Coupon</t>
  </si>
  <si>
    <t>Tenor</t>
  </si>
  <si>
    <t>Issue Date</t>
  </si>
  <si>
    <t>First Trading Date</t>
  </si>
  <si>
    <t>Expiry</t>
  </si>
  <si>
    <t>070003.IB</t>
  </si>
  <si>
    <t>6M</t>
  </si>
  <si>
    <t>100028.IB</t>
  </si>
  <si>
    <t>1Y</t>
  </si>
  <si>
    <t>100032.IB</t>
  </si>
  <si>
    <t>120005.IB</t>
  </si>
  <si>
    <t>110021.IB</t>
  </si>
  <si>
    <t>Close</t>
  </si>
  <si>
    <t>Avg. Price</t>
  </si>
  <si>
    <t>Full Price</t>
  </si>
  <si>
    <t>schedule</t>
    <phoneticPr fontId="4" type="noConversion"/>
  </si>
  <si>
    <t>Bond</t>
    <phoneticPr fontId="4" type="noConversion"/>
  </si>
  <si>
    <t>Accrued Int.</t>
    <phoneticPr fontId="4" type="noConversion"/>
  </si>
  <si>
    <t>Base</t>
    <phoneticPr fontId="4" type="noConversion"/>
  </si>
  <si>
    <t>1Y</t>
    <phoneticPr fontId="4" type="noConversion"/>
  </si>
  <si>
    <t>2Y</t>
    <phoneticPr fontId="4" type="noConversion"/>
  </si>
  <si>
    <t>5Y</t>
    <phoneticPr fontId="4" type="noConversion"/>
  </si>
  <si>
    <t>10Y</t>
    <phoneticPr fontId="4" type="noConversion"/>
  </si>
  <si>
    <t>20Y</t>
    <phoneticPr fontId="4" type="noConversion"/>
  </si>
  <si>
    <t>30Y</t>
    <phoneticPr fontId="4" type="noConversion"/>
  </si>
  <si>
    <t>Paralell</t>
    <phoneticPr fontId="4" type="noConversion"/>
  </si>
  <si>
    <t>120003.IB</t>
  </si>
  <si>
    <t>110024.IB</t>
  </si>
  <si>
    <t>TF1209</t>
    <phoneticPr fontId="4" type="noConversion"/>
  </si>
  <si>
    <r>
      <rPr>
        <b/>
        <sz val="11"/>
        <color theme="1"/>
        <rFont val="宋体"/>
        <family val="3"/>
        <charset val="134"/>
      </rPr>
      <t>资产组合</t>
    </r>
    <phoneticPr fontId="4" type="noConversion"/>
  </si>
  <si>
    <t>代码</t>
    <phoneticPr fontId="4" type="noConversion"/>
  </si>
  <si>
    <r>
      <rPr>
        <b/>
        <sz val="11"/>
        <color theme="1"/>
        <rFont val="宋体"/>
        <family val="3"/>
        <charset val="134"/>
      </rPr>
      <t>合计</t>
    </r>
    <phoneticPr fontId="4" type="noConversion"/>
  </si>
  <si>
    <r>
      <rPr>
        <b/>
        <sz val="11"/>
        <color theme="1"/>
        <rFont val="宋体"/>
        <family val="3"/>
        <charset val="134"/>
      </rPr>
      <t>平行</t>
    </r>
    <phoneticPr fontId="4" type="noConversion"/>
  </si>
  <si>
    <r>
      <rPr>
        <sz val="11"/>
        <color theme="1"/>
        <rFont val="宋体"/>
        <family val="3"/>
        <charset val="134"/>
      </rPr>
      <t>合计</t>
    </r>
    <phoneticPr fontId="4" type="noConversion"/>
  </si>
  <si>
    <r>
      <rPr>
        <sz val="11"/>
        <color theme="1"/>
        <rFont val="宋体"/>
        <family val="3"/>
        <charset val="134"/>
      </rPr>
      <t>对冲工具</t>
    </r>
    <phoneticPr fontId="4" type="noConversion"/>
  </si>
  <si>
    <t>120010.IB</t>
  </si>
  <si>
    <r>
      <rPr>
        <b/>
        <sz val="11"/>
        <color theme="1"/>
        <rFont val="宋体"/>
        <family val="2"/>
        <charset val="134"/>
      </rPr>
      <t>对冲头寸</t>
    </r>
    <r>
      <rPr>
        <b/>
        <sz val="11"/>
        <color theme="1"/>
        <rFont val="Times New Roman"/>
        <family val="1"/>
      </rPr>
      <t>(</t>
    </r>
    <r>
      <rPr>
        <b/>
        <sz val="11"/>
        <color theme="1"/>
        <rFont val="宋体"/>
        <family val="2"/>
        <charset val="134"/>
      </rPr>
      <t>百万）：</t>
    </r>
    <phoneticPr fontId="10" type="noConversion"/>
  </si>
  <si>
    <t>资产组合</t>
    <phoneticPr fontId="10" type="noConversion"/>
  </si>
  <si>
    <r>
      <rPr>
        <b/>
        <sz val="11"/>
        <color theme="1"/>
        <rFont val="宋体"/>
        <family val="2"/>
        <charset val="134"/>
      </rPr>
      <t>对冲工具</t>
    </r>
    <phoneticPr fontId="10" type="noConversion"/>
  </si>
  <si>
    <r>
      <rPr>
        <b/>
        <sz val="11"/>
        <color theme="1"/>
        <rFont val="宋体"/>
        <family val="2"/>
        <charset val="134"/>
      </rPr>
      <t>代码</t>
    </r>
    <phoneticPr fontId="10" type="noConversion"/>
  </si>
  <si>
    <r>
      <rPr>
        <b/>
        <sz val="11"/>
        <color theme="1"/>
        <rFont val="宋体"/>
        <family val="2"/>
        <charset val="134"/>
      </rPr>
      <t>全价</t>
    </r>
    <phoneticPr fontId="10" type="noConversion"/>
  </si>
  <si>
    <r>
      <rPr>
        <b/>
        <sz val="11"/>
        <color theme="1"/>
        <rFont val="宋体"/>
        <family val="2"/>
        <charset val="134"/>
      </rPr>
      <t>修正久期</t>
    </r>
    <phoneticPr fontId="10" type="noConversion"/>
  </si>
  <si>
    <r>
      <rPr>
        <b/>
        <sz val="11"/>
        <color theme="1"/>
        <rFont val="宋体"/>
        <family val="2"/>
        <charset val="134"/>
      </rPr>
      <t>头寸面值</t>
    </r>
    <r>
      <rPr>
        <b/>
        <sz val="11"/>
        <color theme="1"/>
        <rFont val="Times New Roman"/>
        <family val="1"/>
      </rPr>
      <t>(</t>
    </r>
    <r>
      <rPr>
        <b/>
        <sz val="11"/>
        <color theme="1"/>
        <rFont val="宋体"/>
        <family val="2"/>
        <charset val="134"/>
      </rPr>
      <t>百万</t>
    </r>
    <r>
      <rPr>
        <b/>
        <sz val="11"/>
        <color theme="1"/>
        <rFont val="Times New Roman"/>
        <family val="1"/>
      </rPr>
      <t>)</t>
    </r>
    <phoneticPr fontId="10" type="noConversion"/>
  </si>
  <si>
    <t>收盘价</t>
    <phoneticPr fontId="10" type="noConversion"/>
  </si>
  <si>
    <t>TF1209</t>
    <phoneticPr fontId="10" type="noConversion"/>
  </si>
  <si>
    <r>
      <rPr>
        <b/>
        <sz val="11"/>
        <color theme="1"/>
        <rFont val="宋体"/>
        <family val="2"/>
        <charset val="134"/>
      </rPr>
      <t>加权平均久期：</t>
    </r>
    <phoneticPr fontId="10" type="noConversion"/>
  </si>
  <si>
    <t>Total</t>
    <phoneticPr fontId="10" type="noConversion"/>
  </si>
  <si>
    <t>Date</t>
  </si>
  <si>
    <t>TF1209</t>
  </si>
  <si>
    <t>-</t>
  </si>
  <si>
    <t>原资产组合P/L</t>
  </si>
  <si>
    <t>对冲后资产组合P/L</t>
  </si>
  <si>
    <t>头寸</t>
    <phoneticPr fontId="10" type="noConversion"/>
  </si>
  <si>
    <t>TF1209</t>
    <phoneticPr fontId="10" type="noConversion"/>
  </si>
  <si>
    <t>120003.IB</t>
    <phoneticPr fontId="10" type="noConversion"/>
  </si>
  <si>
    <r>
      <t>1</t>
    </r>
    <r>
      <rPr>
        <sz val="11"/>
        <color theme="1"/>
        <rFont val="宋体"/>
        <family val="3"/>
        <charset val="134"/>
      </rPr>
      <t>年</t>
    </r>
    <phoneticPr fontId="10" type="noConversion"/>
  </si>
  <si>
    <r>
      <t>2</t>
    </r>
    <r>
      <rPr>
        <sz val="11"/>
        <color theme="1"/>
        <rFont val="宋体"/>
        <family val="3"/>
        <charset val="134"/>
      </rPr>
      <t>年</t>
    </r>
    <phoneticPr fontId="10" type="noConversion"/>
  </si>
  <si>
    <r>
      <t>5</t>
    </r>
    <r>
      <rPr>
        <sz val="11"/>
        <color theme="1"/>
        <rFont val="宋体"/>
        <family val="3"/>
        <charset val="134"/>
      </rPr>
      <t>年</t>
    </r>
    <phoneticPr fontId="10" type="noConversion"/>
  </si>
  <si>
    <r>
      <t>10</t>
    </r>
    <r>
      <rPr>
        <sz val="11"/>
        <color theme="1"/>
        <rFont val="宋体"/>
        <family val="3"/>
        <charset val="134"/>
      </rPr>
      <t>年</t>
    </r>
    <phoneticPr fontId="10" type="noConversion"/>
  </si>
  <si>
    <r>
      <t>20</t>
    </r>
    <r>
      <rPr>
        <sz val="11"/>
        <color theme="1"/>
        <rFont val="宋体"/>
        <family val="3"/>
        <charset val="134"/>
      </rPr>
      <t>年</t>
    </r>
    <phoneticPr fontId="10" type="noConversion"/>
  </si>
  <si>
    <r>
      <t>30</t>
    </r>
    <r>
      <rPr>
        <sz val="11"/>
        <color theme="1"/>
        <rFont val="宋体"/>
        <family val="3"/>
        <charset val="134"/>
      </rPr>
      <t>年</t>
    </r>
    <phoneticPr fontId="10" type="noConversion"/>
  </si>
  <si>
    <t>DV01</t>
  </si>
  <si>
    <t>残余风险</t>
    <phoneticPr fontId="10" type="noConversion"/>
  </si>
  <si>
    <t>（百万）</t>
    <phoneticPr fontId="10" type="noConversion"/>
  </si>
  <si>
    <t>RMS</t>
    <phoneticPr fontId="10" type="noConversion"/>
  </si>
  <si>
    <r>
      <rPr>
        <b/>
        <sz val="11"/>
        <color theme="1"/>
        <rFont val="宋体"/>
        <family val="3"/>
        <charset val="134"/>
      </rPr>
      <t>传统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0" type="noConversion"/>
  </si>
  <si>
    <r>
      <rPr>
        <b/>
        <sz val="11"/>
        <color theme="1"/>
        <rFont val="宋体"/>
        <family val="3"/>
        <charset val="134"/>
      </rPr>
      <t>关键利率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0" type="noConversion"/>
  </si>
  <si>
    <r>
      <rPr>
        <b/>
        <sz val="11"/>
        <color theme="1"/>
        <rFont val="宋体"/>
        <family val="2"/>
        <charset val="134"/>
      </rPr>
      <t>原资产组合</t>
    </r>
    <r>
      <rPr>
        <b/>
        <sz val="11"/>
        <color theme="1"/>
        <rFont val="Times New Roman"/>
        <family val="1"/>
      </rPr>
      <t>P/L</t>
    </r>
  </si>
  <si>
    <t>标准差（百万）</t>
  </si>
  <si>
    <r>
      <rPr>
        <b/>
        <sz val="11"/>
        <color theme="1"/>
        <rFont val="宋体"/>
        <family val="2"/>
        <charset val="134"/>
      </rPr>
      <t>传统</t>
    </r>
    <r>
      <rPr>
        <b/>
        <sz val="11"/>
        <color theme="1"/>
        <rFont val="Times New Roman"/>
        <family val="1"/>
      </rPr>
      <t>DV01</t>
    </r>
    <phoneticPr fontId="10" type="noConversion"/>
  </si>
  <si>
    <r>
      <rPr>
        <b/>
        <sz val="11"/>
        <color theme="1"/>
        <rFont val="宋体"/>
        <family val="3"/>
        <charset val="134"/>
      </rPr>
      <t>关键利率</t>
    </r>
    <r>
      <rPr>
        <b/>
        <sz val="11"/>
        <color theme="1"/>
        <rFont val="Times New Roman"/>
        <family val="1"/>
      </rPr>
      <t>DV01</t>
    </r>
    <phoneticPr fontId="10" type="noConversion"/>
  </si>
  <si>
    <t>原始风险</t>
    <phoneticPr fontId="10" type="noConversion"/>
  </si>
  <si>
    <t>原始头寸</t>
    <phoneticPr fontId="10" type="noConversion"/>
  </si>
  <si>
    <t>120010.IB</t>
    <phoneticPr fontId="10" type="noConversion"/>
  </si>
  <si>
    <t>-</t>
    <phoneticPr fontId="10" type="noConversion"/>
  </si>
  <si>
    <t>Swap_Curve_2012-8-20_Calibrated_Curve_8</t>
  </si>
  <si>
    <t>Swap_Curve_2012-8-21_Calibrated_Curve_8</t>
  </si>
  <si>
    <t>Swap_Curve_2012-8-22_Calibrated_Curve_8</t>
  </si>
  <si>
    <t>Swap_Curve_2012-8-23_Calibrated_Curve_8</t>
  </si>
  <si>
    <t>Swap_Curve_2012-8-24_Calibrated_Curve_8</t>
  </si>
  <si>
    <t>Swap_Curve_2012-8-3_Calibrated_Curve_8</t>
  </si>
  <si>
    <t>Swap_Curve_2012-8-6_Calibrated_Curve_8</t>
  </si>
  <si>
    <t>Swap_Curve_2012-8-7_Calibrated_Curve_8</t>
  </si>
  <si>
    <t>Swap_Curve_2012-8-8_Calibrated_Curve_8</t>
  </si>
  <si>
    <t>Swap_Curve_2012-8-9_Calibrated_Curve_8</t>
  </si>
  <si>
    <t>Paralell</t>
    <phoneticPr fontId="4" type="noConversion"/>
  </si>
  <si>
    <t>CNY_Treasury_Live_Curve_2012-7-10_Calibrated_Curve_1</t>
    <phoneticPr fontId="4" type="noConversion"/>
  </si>
  <si>
    <t>CNY_Treasury_Live_Curve_2012-7-10_Calibrated_Curve_2</t>
    <phoneticPr fontId="4" type="noConversion"/>
  </si>
  <si>
    <t>CNY_Treasury_Live_Curve_2012-7-10_Calibrated_Curve_3</t>
    <phoneticPr fontId="4" type="noConversion"/>
  </si>
  <si>
    <t>CNY_Treasury_Live_Curve_2012-7-10_Calibrated_Curve_4</t>
    <phoneticPr fontId="4" type="noConversion"/>
  </si>
  <si>
    <t>CNY_Treasury_Live_Curve_2012-7-10_Calibrated_Curve_5</t>
    <phoneticPr fontId="4" type="noConversion"/>
  </si>
  <si>
    <t>CNY_Treasury_Live_Curve_2012-7-10_Calibrated_Curve_6</t>
    <phoneticPr fontId="4" type="noConversion"/>
  </si>
  <si>
    <t>CNY_Treasury_Live_Curve_2012-7-10_Calibrated_Curve_7</t>
    <phoneticPr fontId="4" type="noConversion"/>
  </si>
  <si>
    <t>CNY_Treasury_Live_Curve_2012-7-10_Calibrated_Curve_8</t>
    <phoneticPr fontId="4" type="noConversion"/>
  </si>
  <si>
    <t>CNY_Treasury_Live_Curve_2012-7-11_Calibrated_Curve_1</t>
    <phoneticPr fontId="4" type="noConversion"/>
  </si>
  <si>
    <t>CNY_Treasury_Live_Curve_2012-7-11_Calibrated_Curve_2</t>
    <phoneticPr fontId="4" type="noConversion"/>
  </si>
  <si>
    <t>CNY_Treasury_Live_Curve_2012-7-11_Calibrated_Curve_3</t>
    <phoneticPr fontId="4" type="noConversion"/>
  </si>
  <si>
    <t>CNY_Treasury_Live_Curve_2012-7-11_Calibrated_Curve_4</t>
    <phoneticPr fontId="4" type="noConversion"/>
  </si>
  <si>
    <t>CNY_Treasury_Live_Curve_2012-7-11_Calibrated_Curve_5</t>
    <phoneticPr fontId="4" type="noConversion"/>
  </si>
  <si>
    <t>CNY_Treasury_Live_Curve_2012-7-11_Calibrated_Curve_6</t>
    <phoneticPr fontId="4" type="noConversion"/>
  </si>
  <si>
    <t>CNY_Treasury_Live_Curve_2012-7-11_Calibrated_Curve_7</t>
    <phoneticPr fontId="4" type="noConversion"/>
  </si>
  <si>
    <t>CNY_Treasury_Live_Curve_2012-7-11_Calibrated_Curve_8</t>
    <phoneticPr fontId="4" type="noConversion"/>
  </si>
  <si>
    <t>CNY_Treasury_Live_Curve_2012-7-12_Calibrated_Curve_1</t>
    <phoneticPr fontId="4" type="noConversion"/>
  </si>
  <si>
    <t>CNY_Treasury_Live_Curve_2012-7-12_Calibrated_Curve_2</t>
    <phoneticPr fontId="4" type="noConversion"/>
  </si>
  <si>
    <t>CNY_Treasury_Live_Curve_2012-7-12_Calibrated_Curve_3</t>
    <phoneticPr fontId="4" type="noConversion"/>
  </si>
  <si>
    <t>CNY_Treasury_Live_Curve_2012-7-12_Calibrated_Curve_4</t>
    <phoneticPr fontId="4" type="noConversion"/>
  </si>
  <si>
    <t>CNY_Treasury_Live_Curve_2012-7-12_Calibrated_Curve_5</t>
    <phoneticPr fontId="4" type="noConversion"/>
  </si>
  <si>
    <t>CNY_Treasury_Live_Curve_2012-7-12_Calibrated_Curve_6</t>
    <phoneticPr fontId="4" type="noConversion"/>
  </si>
  <si>
    <t>CNY_Treasury_Live_Curve_2012-7-12_Calibrated_Curve_7</t>
    <phoneticPr fontId="4" type="noConversion"/>
  </si>
  <si>
    <t>CNY_Treasury_Live_Curve_2012-7-12_Calibrated_Curve_8</t>
    <phoneticPr fontId="4" type="noConversion"/>
  </si>
  <si>
    <t>CNY_Treasury_Live_Curve_2012-7-13_Calibrated_Curve_1</t>
    <phoneticPr fontId="4" type="noConversion"/>
  </si>
  <si>
    <t>CNY_Treasury_Live_Curve_2012-7-13_Calibrated_Curve_2</t>
    <phoneticPr fontId="4" type="noConversion"/>
  </si>
  <si>
    <t>CNY_Treasury_Live_Curve_2012-7-13_Calibrated_Curve_3</t>
    <phoneticPr fontId="4" type="noConversion"/>
  </si>
  <si>
    <t>CNY_Treasury_Live_Curve_2012-7-13_Calibrated_Curve_4</t>
    <phoneticPr fontId="4" type="noConversion"/>
  </si>
  <si>
    <t>CNY_Treasury_Live_Curve_2012-7-13_Calibrated_Curve_5</t>
    <phoneticPr fontId="4" type="noConversion"/>
  </si>
  <si>
    <t>CNY_Treasury_Live_Curve_2012-7-13_Calibrated_Curve_6</t>
    <phoneticPr fontId="4" type="noConversion"/>
  </si>
  <si>
    <t>CNY_Treasury_Live_Curve_2012-7-13_Calibrated_Curve_7</t>
    <phoneticPr fontId="4" type="noConversion"/>
  </si>
  <si>
    <t>CNY_Treasury_Live_Curve_2012-7-13_Calibrated_Curve_8</t>
    <phoneticPr fontId="4" type="noConversion"/>
  </si>
  <si>
    <t>CNY_Treasury_Live_Curve_2012-7-16_Calibrated_Curve_1</t>
    <phoneticPr fontId="4" type="noConversion"/>
  </si>
  <si>
    <t>CNY_Treasury_Live_Curve_2012-7-16_Calibrated_Curve_2</t>
    <phoneticPr fontId="4" type="noConversion"/>
  </si>
  <si>
    <t>CNY_Treasury_Live_Curve_2012-7-16_Calibrated_Curve_3</t>
    <phoneticPr fontId="4" type="noConversion"/>
  </si>
  <si>
    <t>CNY_Treasury_Live_Curve_2012-7-16_Calibrated_Curve_4</t>
    <phoneticPr fontId="4" type="noConversion"/>
  </si>
  <si>
    <t>CNY_Treasury_Live_Curve_2012-7-16_Calibrated_Curve_5</t>
    <phoneticPr fontId="4" type="noConversion"/>
  </si>
  <si>
    <t>CNY_Treasury_Live_Curve_2012-7-16_Calibrated_Curve_6</t>
    <phoneticPr fontId="4" type="noConversion"/>
  </si>
  <si>
    <t>CNY_Treasury_Live_Curve_2012-7-16_Calibrated_Curve_7</t>
    <phoneticPr fontId="4" type="noConversion"/>
  </si>
  <si>
    <t>CNY_Treasury_Live_Curve_2012-7-16_Calibrated_Curve_8</t>
    <phoneticPr fontId="4" type="noConversion"/>
  </si>
  <si>
    <t>CNY_Treasury_Live_Curve_2012-7-17_Calibrated_Curve_1</t>
    <phoneticPr fontId="4" type="noConversion"/>
  </si>
  <si>
    <t>CNY_Treasury_Live_Curve_2012-7-17_Calibrated_Curve_2</t>
    <phoneticPr fontId="4" type="noConversion"/>
  </si>
  <si>
    <t>CNY_Treasury_Live_Curve_2012-7-17_Calibrated_Curve_3</t>
    <phoneticPr fontId="4" type="noConversion"/>
  </si>
  <si>
    <t>CNY_Treasury_Live_Curve_2012-7-17_Calibrated_Curve_4</t>
    <phoneticPr fontId="4" type="noConversion"/>
  </si>
  <si>
    <t>CNY_Treasury_Live_Curve_2012-7-17_Calibrated_Curve_5</t>
    <phoneticPr fontId="4" type="noConversion"/>
  </si>
  <si>
    <t>CNY_Treasury_Live_Curve_2012-7-17_Calibrated_Curve_6</t>
    <phoneticPr fontId="4" type="noConversion"/>
  </si>
  <si>
    <t>CNY_Treasury_Live_Curve_2012-7-17_Calibrated_Curve_7</t>
    <phoneticPr fontId="4" type="noConversion"/>
  </si>
  <si>
    <t>CNY_Treasury_Live_Curve_2012-7-17_Calibrated_Curve_8</t>
    <phoneticPr fontId="4" type="noConversion"/>
  </si>
  <si>
    <t>CNY_Treasury_Live_Curve_2012-7-18_Calibrated_Curve_1</t>
    <phoneticPr fontId="4" type="noConversion"/>
  </si>
  <si>
    <t>CNY_Treasury_Live_Curve_2012-7-18_Calibrated_Curve_2</t>
    <phoneticPr fontId="4" type="noConversion"/>
  </si>
  <si>
    <t>CNY_Treasury_Live_Curve_2012-7-18_Calibrated_Curve_3</t>
    <phoneticPr fontId="4" type="noConversion"/>
  </si>
  <si>
    <t>CNY_Treasury_Live_Curve_2012-7-18_Calibrated_Curve_4</t>
    <phoneticPr fontId="4" type="noConversion"/>
  </si>
  <si>
    <t>CNY_Treasury_Live_Curve_2012-7-18_Calibrated_Curve_5</t>
    <phoneticPr fontId="4" type="noConversion"/>
  </si>
  <si>
    <t>CNY_Treasury_Live_Curve_2012-7-18_Calibrated_Curve_6</t>
    <phoneticPr fontId="4" type="noConversion"/>
  </si>
  <si>
    <t>CNY_Treasury_Live_Curve_2012-7-18_Calibrated_Curve_7</t>
    <phoneticPr fontId="4" type="noConversion"/>
  </si>
  <si>
    <t>CNY_Treasury_Live_Curve_2012-7-18_Calibrated_Curve_8</t>
    <phoneticPr fontId="4" type="noConversion"/>
  </si>
  <si>
    <t>CNY_Treasury_Live_Curve_2012-7-19_Calibrated_Curve_1</t>
    <phoneticPr fontId="4" type="noConversion"/>
  </si>
  <si>
    <t>CNY_Treasury_Live_Curve_2012-7-19_Calibrated_Curve_2</t>
    <phoneticPr fontId="4" type="noConversion"/>
  </si>
  <si>
    <t>CNY_Treasury_Live_Curve_2012-7-19_Calibrated_Curve_3</t>
    <phoneticPr fontId="4" type="noConversion"/>
  </si>
  <si>
    <t>CNY_Treasury_Live_Curve_2012-7-19_Calibrated_Curve_4</t>
    <phoneticPr fontId="4" type="noConversion"/>
  </si>
  <si>
    <t>CNY_Treasury_Live_Curve_2012-7-19_Calibrated_Curve_5</t>
    <phoneticPr fontId="4" type="noConversion"/>
  </si>
  <si>
    <t>CNY_Treasury_Live_Curve_2012-7-19_Calibrated_Curve_6</t>
    <phoneticPr fontId="4" type="noConversion"/>
  </si>
  <si>
    <t>CNY_Treasury_Live_Curve_2012-7-19_Calibrated_Curve_7</t>
    <phoneticPr fontId="4" type="noConversion"/>
  </si>
  <si>
    <t>CNY_Treasury_Live_Curve_2012-7-19_Calibrated_Curve_8</t>
    <phoneticPr fontId="4" type="noConversion"/>
  </si>
  <si>
    <t>CNY_Treasury_Live_Curve_2012-7-2_Calibrated_Curve_1</t>
    <phoneticPr fontId="4" type="noConversion"/>
  </si>
  <si>
    <t>CNY_Treasury_Live_Curve_2012-7-2_Calibrated_Curve_2</t>
    <phoneticPr fontId="4" type="noConversion"/>
  </si>
  <si>
    <t>CNY_Treasury_Live_Curve_2012-7-2_Calibrated_Curve_3</t>
    <phoneticPr fontId="4" type="noConversion"/>
  </si>
  <si>
    <t>CNY_Treasury_Live_Curve_2012-7-2_Calibrated_Curve_4</t>
    <phoneticPr fontId="4" type="noConversion"/>
  </si>
  <si>
    <t>CNY_Treasury_Live_Curve_2012-7-2_Calibrated_Curve_5</t>
    <phoneticPr fontId="4" type="noConversion"/>
  </si>
  <si>
    <t>CNY_Treasury_Live_Curve_2012-7-2_Calibrated_Curve_6</t>
    <phoneticPr fontId="4" type="noConversion"/>
  </si>
  <si>
    <t>CNY_Treasury_Live_Curve_2012-7-2_Calibrated_Curve_7</t>
    <phoneticPr fontId="4" type="noConversion"/>
  </si>
  <si>
    <t>CNY_Treasury_Live_Curve_2012-7-2_Calibrated_Curve_8</t>
    <phoneticPr fontId="4" type="noConversion"/>
  </si>
  <si>
    <t>CNY_Treasury_Live_Curve_2012-7-20_Calibrated_Curve_1</t>
    <phoneticPr fontId="4" type="noConversion"/>
  </si>
  <si>
    <t>CNY_Treasury_Live_Curve_2012-7-20_Calibrated_Curve_2</t>
    <phoneticPr fontId="4" type="noConversion"/>
  </si>
  <si>
    <t>CNY_Treasury_Live_Curve_2012-7-20_Calibrated_Curve_3</t>
    <phoneticPr fontId="4" type="noConversion"/>
  </si>
  <si>
    <t>CNY_Treasury_Live_Curve_2012-7-20_Calibrated_Curve_4</t>
    <phoneticPr fontId="4" type="noConversion"/>
  </si>
  <si>
    <t>CNY_Treasury_Live_Curve_2012-7-20_Calibrated_Curve_5</t>
    <phoneticPr fontId="4" type="noConversion"/>
  </si>
  <si>
    <t>CNY_Treasury_Live_Curve_2012-7-20_Calibrated_Curve_6</t>
    <phoneticPr fontId="4" type="noConversion"/>
  </si>
  <si>
    <t>CNY_Treasury_Live_Curve_2012-7-20_Calibrated_Curve_7</t>
    <phoneticPr fontId="4" type="noConversion"/>
  </si>
  <si>
    <t>CNY_Treasury_Live_Curve_2012-7-20_Calibrated_Curve_8</t>
    <phoneticPr fontId="4" type="noConversion"/>
  </si>
  <si>
    <t>CNY_Treasury_Live_Curve_2012-7-23_Calibrated_Curve_1</t>
    <phoneticPr fontId="4" type="noConversion"/>
  </si>
  <si>
    <t>CNY_Treasury_Live_Curve_2012-7-23_Calibrated_Curve_2</t>
    <phoneticPr fontId="4" type="noConversion"/>
  </si>
  <si>
    <t>CNY_Treasury_Live_Curve_2012-7-23_Calibrated_Curve_3</t>
    <phoneticPr fontId="4" type="noConversion"/>
  </si>
  <si>
    <t>CNY_Treasury_Live_Curve_2012-7-23_Calibrated_Curve_4</t>
    <phoneticPr fontId="4" type="noConversion"/>
  </si>
  <si>
    <t>CNY_Treasury_Live_Curve_2012-7-23_Calibrated_Curve_5</t>
    <phoneticPr fontId="4" type="noConversion"/>
  </si>
  <si>
    <t>CNY_Treasury_Live_Curve_2012-7-23_Calibrated_Curve_6</t>
    <phoneticPr fontId="4" type="noConversion"/>
  </si>
  <si>
    <t>CNY_Treasury_Live_Curve_2012-7-23_Calibrated_Curve_7</t>
    <phoneticPr fontId="4" type="noConversion"/>
  </si>
  <si>
    <t>CNY_Treasury_Live_Curve_2012-7-23_Calibrated_Curve_8</t>
    <phoneticPr fontId="4" type="noConversion"/>
  </si>
  <si>
    <t>CNY_Treasury_Live_Curve_2012-7-24_Calibrated_Curve_1</t>
    <phoneticPr fontId="4" type="noConversion"/>
  </si>
  <si>
    <t>CNY_Treasury_Live_Curve_2012-7-24_Calibrated_Curve_2</t>
    <phoneticPr fontId="4" type="noConversion"/>
  </si>
  <si>
    <t>CNY_Treasury_Live_Curve_2012-7-24_Calibrated_Curve_3</t>
    <phoneticPr fontId="4" type="noConversion"/>
  </si>
  <si>
    <t>CNY_Treasury_Live_Curve_2012-7-24_Calibrated_Curve_4</t>
    <phoneticPr fontId="4" type="noConversion"/>
  </si>
  <si>
    <t>CNY_Treasury_Live_Curve_2012-7-24_Calibrated_Curve_5</t>
    <phoneticPr fontId="4" type="noConversion"/>
  </si>
  <si>
    <t>CNY_Treasury_Live_Curve_2012-7-24_Calibrated_Curve_6</t>
    <phoneticPr fontId="4" type="noConversion"/>
  </si>
  <si>
    <t>CNY_Treasury_Live_Curve_2012-7-24_Calibrated_Curve_7</t>
    <phoneticPr fontId="4" type="noConversion"/>
  </si>
  <si>
    <t>CNY_Treasury_Live_Curve_2012-7-24_Calibrated_Curve_8</t>
    <phoneticPr fontId="4" type="noConversion"/>
  </si>
  <si>
    <t>CNY_Treasury_Live_Curve_2012-7-25_Calibrated_Curve_1</t>
    <phoneticPr fontId="4" type="noConversion"/>
  </si>
  <si>
    <t>CNY_Treasury_Live_Curve_2012-7-25_Calibrated_Curve_2</t>
    <phoneticPr fontId="4" type="noConversion"/>
  </si>
  <si>
    <t>CNY_Treasury_Live_Curve_2012-7-25_Calibrated_Curve_3</t>
    <phoneticPr fontId="4" type="noConversion"/>
  </si>
  <si>
    <t>CNY_Treasury_Live_Curve_2012-7-25_Calibrated_Curve_4</t>
    <phoneticPr fontId="4" type="noConversion"/>
  </si>
  <si>
    <t>CNY_Treasury_Live_Curve_2012-7-25_Calibrated_Curve_5</t>
    <phoneticPr fontId="4" type="noConversion"/>
  </si>
  <si>
    <t>CNY_Treasury_Live_Curve_2012-7-25_Calibrated_Curve_6</t>
    <phoneticPr fontId="4" type="noConversion"/>
  </si>
  <si>
    <t>CNY_Treasury_Live_Curve_2012-7-25_Calibrated_Curve_7</t>
    <phoneticPr fontId="4" type="noConversion"/>
  </si>
  <si>
    <t>CNY_Treasury_Live_Curve_2012-7-25_Calibrated_Curve_8</t>
    <phoneticPr fontId="4" type="noConversion"/>
  </si>
  <si>
    <t>CNY_Treasury_Live_Curve_2012-7-26_Calibrated_Curve_1</t>
    <phoneticPr fontId="4" type="noConversion"/>
  </si>
  <si>
    <t>CNY_Treasury_Live_Curve_2012-7-26_Calibrated_Curve_2</t>
    <phoneticPr fontId="4" type="noConversion"/>
  </si>
  <si>
    <t>CNY_Treasury_Live_Curve_2012-7-26_Calibrated_Curve_3</t>
    <phoneticPr fontId="4" type="noConversion"/>
  </si>
  <si>
    <t>CNY_Treasury_Live_Curve_2012-7-26_Calibrated_Curve_4</t>
    <phoneticPr fontId="4" type="noConversion"/>
  </si>
  <si>
    <t>CNY_Treasury_Live_Curve_2012-7-26_Calibrated_Curve_5</t>
    <phoneticPr fontId="4" type="noConversion"/>
  </si>
  <si>
    <t>CNY_Treasury_Live_Curve_2012-7-26_Calibrated_Curve_6</t>
    <phoneticPr fontId="4" type="noConversion"/>
  </si>
  <si>
    <t>CNY_Treasury_Live_Curve_2012-7-26_Calibrated_Curve_7</t>
    <phoneticPr fontId="4" type="noConversion"/>
  </si>
  <si>
    <t>CNY_Treasury_Live_Curve_2012-7-26_Calibrated_Curve_8</t>
    <phoneticPr fontId="4" type="noConversion"/>
  </si>
  <si>
    <t>CNY_Treasury_Live_Curve_2012-7-27_Calibrated_Curve_1</t>
    <phoneticPr fontId="4" type="noConversion"/>
  </si>
  <si>
    <t>CNY_Treasury_Live_Curve_2012-7-27_Calibrated_Curve_2</t>
    <phoneticPr fontId="4" type="noConversion"/>
  </si>
  <si>
    <t>CNY_Treasury_Live_Curve_2012-7-27_Calibrated_Curve_3</t>
    <phoneticPr fontId="4" type="noConversion"/>
  </si>
  <si>
    <t>CNY_Treasury_Live_Curve_2012-7-27_Calibrated_Curve_4</t>
    <phoneticPr fontId="4" type="noConversion"/>
  </si>
  <si>
    <t>CNY_Treasury_Live_Curve_2012-7-27_Calibrated_Curve_5</t>
    <phoneticPr fontId="4" type="noConversion"/>
  </si>
  <si>
    <t>CNY_Treasury_Live_Curve_2012-7-27_Calibrated_Curve_6</t>
    <phoneticPr fontId="4" type="noConversion"/>
  </si>
  <si>
    <t>CNY_Treasury_Live_Curve_2012-7-27_Calibrated_Curve_7</t>
    <phoneticPr fontId="4" type="noConversion"/>
  </si>
  <si>
    <t>CNY_Treasury_Live_Curve_2012-7-27_Calibrated_Curve_8</t>
    <phoneticPr fontId="4" type="noConversion"/>
  </si>
  <si>
    <t>CNY_Treasury_Live_Curve_2012-7-3_Calibrated_Curve_1</t>
    <phoneticPr fontId="4" type="noConversion"/>
  </si>
  <si>
    <t>CNY_Treasury_Live_Curve_2012-7-3_Calibrated_Curve_2</t>
    <phoneticPr fontId="4" type="noConversion"/>
  </si>
  <si>
    <t>CNY_Treasury_Live_Curve_2012-7-3_Calibrated_Curve_3</t>
    <phoneticPr fontId="4" type="noConversion"/>
  </si>
  <si>
    <t>CNY_Treasury_Live_Curve_2012-7-3_Calibrated_Curve_4</t>
    <phoneticPr fontId="4" type="noConversion"/>
  </si>
  <si>
    <t>CNY_Treasury_Live_Curve_2012-7-3_Calibrated_Curve_5</t>
    <phoneticPr fontId="4" type="noConversion"/>
  </si>
  <si>
    <t>CNY_Treasury_Live_Curve_2012-7-3_Calibrated_Curve_6</t>
    <phoneticPr fontId="4" type="noConversion"/>
  </si>
  <si>
    <t>CNY_Treasury_Live_Curve_2012-7-3_Calibrated_Curve_7</t>
    <phoneticPr fontId="4" type="noConversion"/>
  </si>
  <si>
    <t>CNY_Treasury_Live_Curve_2012-7-3_Calibrated_Curve_8</t>
    <phoneticPr fontId="4" type="noConversion"/>
  </si>
  <si>
    <t>CNY_Treasury_Live_Curve_2012-7-30_Calibrated_Curve_1</t>
    <phoneticPr fontId="4" type="noConversion"/>
  </si>
  <si>
    <t>CNY_Treasury_Live_Curve_2012-7-30_Calibrated_Curve_2</t>
    <phoneticPr fontId="4" type="noConversion"/>
  </si>
  <si>
    <t>CNY_Treasury_Live_Curve_2012-7-30_Calibrated_Curve_3</t>
    <phoneticPr fontId="4" type="noConversion"/>
  </si>
  <si>
    <t>CNY_Treasury_Live_Curve_2012-7-30_Calibrated_Curve_4</t>
    <phoneticPr fontId="4" type="noConversion"/>
  </si>
  <si>
    <t>CNY_Treasury_Live_Curve_2012-7-30_Calibrated_Curve_5</t>
    <phoneticPr fontId="4" type="noConversion"/>
  </si>
  <si>
    <t>CNY_Treasury_Live_Curve_2012-7-30_Calibrated_Curve_6</t>
    <phoneticPr fontId="4" type="noConversion"/>
  </si>
  <si>
    <t>CNY_Treasury_Live_Curve_2012-7-30_Calibrated_Curve_7</t>
    <phoneticPr fontId="4" type="noConversion"/>
  </si>
  <si>
    <t>CNY_Treasury_Live_Curve_2012-7-30_Calibrated_Curve_8</t>
    <phoneticPr fontId="4" type="noConversion"/>
  </si>
  <si>
    <t>CNY_Treasury_Live_Curve_2012-7-31_Calibrated_Curve_1</t>
    <phoneticPr fontId="4" type="noConversion"/>
  </si>
  <si>
    <t>CNY_Treasury_Live_Curve_2012-7-31_Calibrated_Curve_2</t>
    <phoneticPr fontId="4" type="noConversion"/>
  </si>
  <si>
    <t>CNY_Treasury_Live_Curve_2012-7-31_Calibrated_Curve_3</t>
    <phoneticPr fontId="4" type="noConversion"/>
  </si>
  <si>
    <t>CNY_Treasury_Live_Curve_2012-7-31_Calibrated_Curve_4</t>
    <phoneticPr fontId="4" type="noConversion"/>
  </si>
  <si>
    <t>CNY_Treasury_Live_Curve_2012-7-31_Calibrated_Curve_5</t>
    <phoneticPr fontId="4" type="noConversion"/>
  </si>
  <si>
    <t>CNY_Treasury_Live_Curve_2012-7-31_Calibrated_Curve_6</t>
    <phoneticPr fontId="4" type="noConversion"/>
  </si>
  <si>
    <t>CNY_Treasury_Live_Curve_2012-7-31_Calibrated_Curve_7</t>
    <phoneticPr fontId="4" type="noConversion"/>
  </si>
  <si>
    <t>CNY_Treasury_Live_Curve_2012-7-31_Calibrated_Curve_8</t>
    <phoneticPr fontId="4" type="noConversion"/>
  </si>
  <si>
    <t>CNY_Treasury_Live_Curve_2012-7-4_Calibrated_Curve_1</t>
    <phoneticPr fontId="4" type="noConversion"/>
  </si>
  <si>
    <t>CNY_Treasury_Live_Curve_2012-7-4_Calibrated_Curve_2</t>
    <phoneticPr fontId="4" type="noConversion"/>
  </si>
  <si>
    <t>CNY_Treasury_Live_Curve_2012-7-4_Calibrated_Curve_3</t>
    <phoneticPr fontId="4" type="noConversion"/>
  </si>
  <si>
    <t>CNY_Treasury_Live_Curve_2012-7-4_Calibrated_Curve_4</t>
    <phoneticPr fontId="4" type="noConversion"/>
  </si>
  <si>
    <t>CNY_Treasury_Live_Curve_2012-7-4_Calibrated_Curve_5</t>
    <phoneticPr fontId="4" type="noConversion"/>
  </si>
  <si>
    <t>CNY_Treasury_Live_Curve_2012-7-4_Calibrated_Curve_6</t>
    <phoneticPr fontId="4" type="noConversion"/>
  </si>
  <si>
    <t>CNY_Treasury_Live_Curve_2012-7-4_Calibrated_Curve_7</t>
    <phoneticPr fontId="4" type="noConversion"/>
  </si>
  <si>
    <t>CNY_Treasury_Live_Curve_2012-7-4_Calibrated_Curve_8</t>
    <phoneticPr fontId="4" type="noConversion"/>
  </si>
  <si>
    <t>CNY_Treasury_Live_Curve_2012-7-5_Calibrated_Curve_1</t>
    <phoneticPr fontId="4" type="noConversion"/>
  </si>
  <si>
    <t>CNY_Treasury_Live_Curve_2012-7-5_Calibrated_Curve_2</t>
    <phoneticPr fontId="4" type="noConversion"/>
  </si>
  <si>
    <t>CNY_Treasury_Live_Curve_2012-7-5_Calibrated_Curve_3</t>
    <phoneticPr fontId="4" type="noConversion"/>
  </si>
  <si>
    <t>CNY_Treasury_Live_Curve_2012-7-5_Calibrated_Curve_4</t>
    <phoneticPr fontId="4" type="noConversion"/>
  </si>
  <si>
    <t>CNY_Treasury_Live_Curve_2012-7-5_Calibrated_Curve_5</t>
    <phoneticPr fontId="4" type="noConversion"/>
  </si>
  <si>
    <t>CNY_Treasury_Live_Curve_2012-7-5_Calibrated_Curve_6</t>
    <phoneticPr fontId="4" type="noConversion"/>
  </si>
  <si>
    <t>CNY_Treasury_Live_Curve_2012-7-5_Calibrated_Curve_7</t>
    <phoneticPr fontId="4" type="noConversion"/>
  </si>
  <si>
    <t>CNY_Treasury_Live_Curve_2012-7-5_Calibrated_Curve_8</t>
    <phoneticPr fontId="4" type="noConversion"/>
  </si>
  <si>
    <t>CNY_Treasury_Live_Curve_2012-7-6_Calibrated_Curve_1</t>
    <phoneticPr fontId="4" type="noConversion"/>
  </si>
  <si>
    <t>CNY_Treasury_Live_Curve_2012-7-6_Calibrated_Curve_2</t>
    <phoneticPr fontId="4" type="noConversion"/>
  </si>
  <si>
    <t>CNY_Treasury_Live_Curve_2012-7-6_Calibrated_Curve_3</t>
    <phoneticPr fontId="4" type="noConversion"/>
  </si>
  <si>
    <t>CNY_Treasury_Live_Curve_2012-7-6_Calibrated_Curve_4</t>
    <phoneticPr fontId="4" type="noConversion"/>
  </si>
  <si>
    <t>CNY_Treasury_Live_Curve_2012-7-6_Calibrated_Curve_5</t>
    <phoneticPr fontId="4" type="noConversion"/>
  </si>
  <si>
    <t>CNY_Treasury_Live_Curve_2012-7-6_Calibrated_Curve_6</t>
    <phoneticPr fontId="4" type="noConversion"/>
  </si>
  <si>
    <t>CNY_Treasury_Live_Curve_2012-7-6_Calibrated_Curve_7</t>
    <phoneticPr fontId="4" type="noConversion"/>
  </si>
  <si>
    <t>CNY_Treasury_Live_Curve_2012-7-6_Calibrated_Curve_8</t>
    <phoneticPr fontId="4" type="noConversion"/>
  </si>
  <si>
    <t>CNY_Treasury_Live_Curve_2012-7-9_Calibrated_Curve_1</t>
    <phoneticPr fontId="4" type="noConversion"/>
  </si>
  <si>
    <t>CNY_Treasury_Live_Curve_2012-7-9_Calibrated_Curve_2</t>
    <phoneticPr fontId="4" type="noConversion"/>
  </si>
  <si>
    <t>CNY_Treasury_Live_Curve_2012-7-9_Calibrated_Curve_3</t>
    <phoneticPr fontId="4" type="noConversion"/>
  </si>
  <si>
    <t>CNY_Treasury_Live_Curve_2012-7-9_Calibrated_Curve_4</t>
    <phoneticPr fontId="4" type="noConversion"/>
  </si>
  <si>
    <t>CNY_Treasury_Live_Curve_2012-7-9_Calibrated_Curve_5</t>
    <phoneticPr fontId="4" type="noConversion"/>
  </si>
  <si>
    <t>CNY_Treasury_Live_Curve_2012-7-9_Calibrated_Curve_6</t>
    <phoneticPr fontId="4" type="noConversion"/>
  </si>
  <si>
    <t>CNY_Treasury_Live_Curve_2012-7-9_Calibrated_Curve_7</t>
    <phoneticPr fontId="4" type="noConversion"/>
  </si>
  <si>
    <t>CNY_Treasury_Live_Curve_2012-7-9_Calibrated_Curve_8</t>
    <phoneticPr fontId="4" type="noConversion"/>
  </si>
  <si>
    <t>CNY_Treasury_Live_Curve_2012-8-1_Calibrated_Curve_1</t>
    <phoneticPr fontId="4" type="noConversion"/>
  </si>
  <si>
    <t>CNY_Treasury_Live_Curve_2012-8-1_Calibrated_Curve_2</t>
    <phoneticPr fontId="4" type="noConversion"/>
  </si>
  <si>
    <t>CNY_Treasury_Live_Curve_2012-8-1_Calibrated_Curve_3</t>
    <phoneticPr fontId="4" type="noConversion"/>
  </si>
  <si>
    <t>CNY_Treasury_Live_Curve_2012-8-1_Calibrated_Curve_4</t>
    <phoneticPr fontId="4" type="noConversion"/>
  </si>
  <si>
    <t>CNY_Treasury_Live_Curve_2012-8-1_Calibrated_Curve_5</t>
    <phoneticPr fontId="4" type="noConversion"/>
  </si>
  <si>
    <t>CNY_Treasury_Live_Curve_2012-8-1_Calibrated_Curve_6</t>
    <phoneticPr fontId="4" type="noConversion"/>
  </si>
  <si>
    <t>CNY_Treasury_Live_Curve_2012-8-1_Calibrated_Curve_7</t>
    <phoneticPr fontId="4" type="noConversion"/>
  </si>
  <si>
    <t>CNY_Treasury_Live_Curve_2012-8-1_Calibrated_Curve_8</t>
    <phoneticPr fontId="4" type="noConversion"/>
  </si>
  <si>
    <t>CNY_Treasury_Live_Curve_2012-8-10_Calibrated_Curve_1</t>
    <phoneticPr fontId="4" type="noConversion"/>
  </si>
  <si>
    <t>CNY_Treasury_Live_Curve_2012-8-10_Calibrated_Curve_2</t>
    <phoneticPr fontId="4" type="noConversion"/>
  </si>
  <si>
    <t>CNY_Treasury_Live_Curve_2012-8-10_Calibrated_Curve_3</t>
    <phoneticPr fontId="4" type="noConversion"/>
  </si>
  <si>
    <t>CNY_Treasury_Live_Curve_2012-8-10_Calibrated_Curve_4</t>
    <phoneticPr fontId="4" type="noConversion"/>
  </si>
  <si>
    <t>CNY_Treasury_Live_Curve_2012-8-10_Calibrated_Curve_5</t>
    <phoneticPr fontId="4" type="noConversion"/>
  </si>
  <si>
    <t>CNY_Treasury_Live_Curve_2012-8-10_Calibrated_Curve_6</t>
    <phoneticPr fontId="4" type="noConversion"/>
  </si>
  <si>
    <t>CNY_Treasury_Live_Curve_2012-8-10_Calibrated_Curve_7</t>
    <phoneticPr fontId="4" type="noConversion"/>
  </si>
  <si>
    <t>CNY_Treasury_Live_Curve_2012-8-10_Calibrated_Curve_8</t>
    <phoneticPr fontId="4" type="noConversion"/>
  </si>
  <si>
    <t>CNY_Treasury_Live_Curve_2012-8-13_Calibrated_Curve_1</t>
    <phoneticPr fontId="4" type="noConversion"/>
  </si>
  <si>
    <t>CNY_Treasury_Live_Curve_2012-8-13_Calibrated_Curve_2</t>
    <phoneticPr fontId="4" type="noConversion"/>
  </si>
  <si>
    <t>CNY_Treasury_Live_Curve_2012-8-13_Calibrated_Curve_3</t>
    <phoneticPr fontId="4" type="noConversion"/>
  </si>
  <si>
    <t>CNY_Treasury_Live_Curve_2012-8-13_Calibrated_Curve_4</t>
    <phoneticPr fontId="4" type="noConversion"/>
  </si>
  <si>
    <t>CNY_Treasury_Live_Curve_2012-8-13_Calibrated_Curve_5</t>
    <phoneticPr fontId="4" type="noConversion"/>
  </si>
  <si>
    <t>CNY_Treasury_Live_Curve_2012-8-13_Calibrated_Curve_6</t>
    <phoneticPr fontId="4" type="noConversion"/>
  </si>
  <si>
    <t>CNY_Treasury_Live_Curve_2012-8-13_Calibrated_Curve_7</t>
    <phoneticPr fontId="4" type="noConversion"/>
  </si>
  <si>
    <t>CNY_Treasury_Live_Curve_2012-8-13_Calibrated_Curve_8</t>
    <phoneticPr fontId="4" type="noConversion"/>
  </si>
  <si>
    <t>CNY_Treasury_Live_Curve_2012-8-14_Calibrated_Curve_1</t>
    <phoneticPr fontId="4" type="noConversion"/>
  </si>
  <si>
    <t>CNY_Treasury_Live_Curve_2012-8-14_Calibrated_Curve_2</t>
    <phoneticPr fontId="4" type="noConversion"/>
  </si>
  <si>
    <t>CNY_Treasury_Live_Curve_2012-8-14_Calibrated_Curve_3</t>
    <phoneticPr fontId="4" type="noConversion"/>
  </si>
  <si>
    <t>CNY_Treasury_Live_Curve_2012-8-14_Calibrated_Curve_4</t>
    <phoneticPr fontId="4" type="noConversion"/>
  </si>
  <si>
    <t>CNY_Treasury_Live_Curve_2012-8-14_Calibrated_Curve_5</t>
    <phoneticPr fontId="4" type="noConversion"/>
  </si>
  <si>
    <t>CNY_Treasury_Live_Curve_2012-8-14_Calibrated_Curve_6</t>
    <phoneticPr fontId="4" type="noConversion"/>
  </si>
  <si>
    <t>CNY_Treasury_Live_Curve_2012-8-14_Calibrated_Curve_7</t>
    <phoneticPr fontId="4" type="noConversion"/>
  </si>
  <si>
    <t>CNY_Treasury_Live_Curve_2012-8-14_Calibrated_Curve_8</t>
    <phoneticPr fontId="4" type="noConversion"/>
  </si>
  <si>
    <t>CNY_Treasury_Live_Curve_2012-8-15_Calibrated_Curve_1</t>
    <phoneticPr fontId="4" type="noConversion"/>
  </si>
  <si>
    <t>CNY_Treasury_Live_Curve_2012-8-15_Calibrated_Curve_2</t>
    <phoneticPr fontId="4" type="noConversion"/>
  </si>
  <si>
    <t>CNY_Treasury_Live_Curve_2012-8-15_Calibrated_Curve_3</t>
    <phoneticPr fontId="4" type="noConversion"/>
  </si>
  <si>
    <t>CNY_Treasury_Live_Curve_2012-8-15_Calibrated_Curve_4</t>
    <phoneticPr fontId="4" type="noConversion"/>
  </si>
  <si>
    <t>CNY_Treasury_Live_Curve_2012-8-15_Calibrated_Curve_5</t>
    <phoneticPr fontId="4" type="noConversion"/>
  </si>
  <si>
    <t>CNY_Treasury_Live_Curve_2012-8-15_Calibrated_Curve_6</t>
    <phoneticPr fontId="4" type="noConversion"/>
  </si>
  <si>
    <t>CNY_Treasury_Live_Curve_2012-8-15_Calibrated_Curve_7</t>
    <phoneticPr fontId="4" type="noConversion"/>
  </si>
  <si>
    <t>CNY_Treasury_Live_Curve_2012-8-15_Calibrated_Curve_8</t>
    <phoneticPr fontId="4" type="noConversion"/>
  </si>
  <si>
    <t>CNY_Treasury_Live_Curve_2012-8-16_Calibrated_Curve_1</t>
    <phoneticPr fontId="4" type="noConversion"/>
  </si>
  <si>
    <t>CNY_Treasury_Live_Curve_2012-8-16_Calibrated_Curve_2</t>
    <phoneticPr fontId="4" type="noConversion"/>
  </si>
  <si>
    <t>CNY_Treasury_Live_Curve_2012-8-16_Calibrated_Curve_3</t>
    <phoneticPr fontId="4" type="noConversion"/>
  </si>
  <si>
    <t>CNY_Treasury_Live_Curve_2012-8-16_Calibrated_Curve_4</t>
    <phoneticPr fontId="4" type="noConversion"/>
  </si>
  <si>
    <t>CNY_Treasury_Live_Curve_2012-8-16_Calibrated_Curve_5</t>
    <phoneticPr fontId="4" type="noConversion"/>
  </si>
  <si>
    <t>CNY_Treasury_Live_Curve_2012-8-16_Calibrated_Curve_6</t>
    <phoneticPr fontId="4" type="noConversion"/>
  </si>
  <si>
    <t>CNY_Treasury_Live_Curve_2012-8-16_Calibrated_Curve_7</t>
    <phoneticPr fontId="4" type="noConversion"/>
  </si>
  <si>
    <t>CNY_Treasury_Live_Curve_2012-8-16_Calibrated_Curve_8</t>
    <phoneticPr fontId="4" type="noConversion"/>
  </si>
  <si>
    <t>CNY_Treasury_Live_Curve_2012-8-17_Calibrated_Curve_1</t>
    <phoneticPr fontId="4" type="noConversion"/>
  </si>
  <si>
    <t>CNY_Treasury_Live_Curve_2012-8-17_Calibrated_Curve_2</t>
    <phoneticPr fontId="4" type="noConversion"/>
  </si>
  <si>
    <t>CNY_Treasury_Live_Curve_2012-8-17_Calibrated_Curve_3</t>
    <phoneticPr fontId="4" type="noConversion"/>
  </si>
  <si>
    <t>CNY_Treasury_Live_Curve_2012-8-17_Calibrated_Curve_4</t>
    <phoneticPr fontId="4" type="noConversion"/>
  </si>
  <si>
    <t>CNY_Treasury_Live_Curve_2012-8-17_Calibrated_Curve_5</t>
    <phoneticPr fontId="4" type="noConversion"/>
  </si>
  <si>
    <t>CNY_Treasury_Live_Curve_2012-8-17_Calibrated_Curve_6</t>
    <phoneticPr fontId="4" type="noConversion"/>
  </si>
  <si>
    <t>CNY_Treasury_Live_Curve_2012-8-17_Calibrated_Curve_7</t>
    <phoneticPr fontId="4" type="noConversion"/>
  </si>
  <si>
    <t>CNY_Treasury_Live_Curve_2012-8-17_Calibrated_Curve_8</t>
    <phoneticPr fontId="4" type="noConversion"/>
  </si>
  <si>
    <t>CNY_Treasury_Live_Curve_2012-8-2_Calibrated_Curve_1</t>
    <phoneticPr fontId="4" type="noConversion"/>
  </si>
  <si>
    <t>CNY_Treasury_Live_Curve_2012-8-2_Calibrated_Curve_2</t>
    <phoneticPr fontId="4" type="noConversion"/>
  </si>
  <si>
    <t>CNY_Treasury_Live_Curve_2012-8-2_Calibrated_Curve_3</t>
    <phoneticPr fontId="4" type="noConversion"/>
  </si>
  <si>
    <t>CNY_Treasury_Live_Curve_2012-8-2_Calibrated_Curve_4</t>
    <phoneticPr fontId="4" type="noConversion"/>
  </si>
  <si>
    <t>CNY_Treasury_Live_Curve_2012-8-2_Calibrated_Curve_5</t>
    <phoneticPr fontId="4" type="noConversion"/>
  </si>
  <si>
    <t>CNY_Treasury_Live_Curve_2012-8-2_Calibrated_Curve_6</t>
    <phoneticPr fontId="4" type="noConversion"/>
  </si>
  <si>
    <t>CNY_Treasury_Live_Curve_2012-8-2_Calibrated_Curve_7</t>
    <phoneticPr fontId="4" type="noConversion"/>
  </si>
  <si>
    <t>CNY_Treasury_Live_Curve_2012-8-2_Calibrated_Curve_8</t>
    <phoneticPr fontId="4" type="noConversion"/>
  </si>
  <si>
    <t>CNY_Treasury_Live_Curve_2012-8-20_Calibrated_Curve_1</t>
    <phoneticPr fontId="4" type="noConversion"/>
  </si>
  <si>
    <t>CNY_Treasury_Live_Curve_2012-8-20_Calibrated_Curve_2</t>
    <phoneticPr fontId="4" type="noConversion"/>
  </si>
  <si>
    <t>CNY_Treasury_Live_Curve_2012-8-20_Calibrated_Curve_3</t>
    <phoneticPr fontId="4" type="noConversion"/>
  </si>
  <si>
    <t>CNY_Treasury_Live_Curve_2012-8-20_Calibrated_Curve_4</t>
    <phoneticPr fontId="4" type="noConversion"/>
  </si>
  <si>
    <t>CNY_Treasury_Live_Curve_2012-8-20_Calibrated_Curve_5</t>
    <phoneticPr fontId="4" type="noConversion"/>
  </si>
  <si>
    <t>CNY_Treasury_Live_Curve_2012-8-20_Calibrated_Curve_6</t>
    <phoneticPr fontId="4" type="noConversion"/>
  </si>
  <si>
    <t>CNY_Treasury_Live_Curve_2012-8-20_Calibrated_Curve_7</t>
    <phoneticPr fontId="4" type="noConversion"/>
  </si>
  <si>
    <t>CNY_Treasury_Live_Curve_2012-8-20_Calibrated_Curve_8</t>
    <phoneticPr fontId="4" type="noConversion"/>
  </si>
  <si>
    <t>CNY_Treasury_Live_Curve_2012-8-21_Calibrated_Curve_1</t>
    <phoneticPr fontId="4" type="noConversion"/>
  </si>
  <si>
    <t>CNY_Treasury_Live_Curve_2012-8-21_Calibrated_Curve_2</t>
    <phoneticPr fontId="4" type="noConversion"/>
  </si>
  <si>
    <t>CNY_Treasury_Live_Curve_2012-8-21_Calibrated_Curve_3</t>
    <phoneticPr fontId="4" type="noConversion"/>
  </si>
  <si>
    <t>CNY_Treasury_Live_Curve_2012-8-21_Calibrated_Curve_4</t>
    <phoneticPr fontId="4" type="noConversion"/>
  </si>
  <si>
    <t>CNY_Treasury_Live_Curve_2012-8-21_Calibrated_Curve_5</t>
    <phoneticPr fontId="4" type="noConversion"/>
  </si>
  <si>
    <t>CNY_Treasury_Live_Curve_2012-8-21_Calibrated_Curve_6</t>
    <phoneticPr fontId="4" type="noConversion"/>
  </si>
  <si>
    <t>CNY_Treasury_Live_Curve_2012-8-21_Calibrated_Curve_7</t>
    <phoneticPr fontId="4" type="noConversion"/>
  </si>
  <si>
    <t>CNY_Treasury_Live_Curve_2012-8-21_Calibrated_Curve_8</t>
    <phoneticPr fontId="4" type="noConversion"/>
  </si>
  <si>
    <t>CNY_Treasury_Live_Curve_2012-8-22_Calibrated_Curve_1</t>
    <phoneticPr fontId="4" type="noConversion"/>
  </si>
  <si>
    <t>CNY_Treasury_Live_Curve_2012-8-22_Calibrated_Curve_2</t>
    <phoneticPr fontId="4" type="noConversion"/>
  </si>
  <si>
    <t>CNY_Treasury_Live_Curve_2012-8-22_Calibrated_Curve_3</t>
    <phoneticPr fontId="4" type="noConversion"/>
  </si>
  <si>
    <t>CNY_Treasury_Live_Curve_2012-8-22_Calibrated_Curve_4</t>
    <phoneticPr fontId="4" type="noConversion"/>
  </si>
  <si>
    <t>CNY_Treasury_Live_Curve_2012-8-22_Calibrated_Curve_5</t>
    <phoneticPr fontId="4" type="noConversion"/>
  </si>
  <si>
    <t>CNY_Treasury_Live_Curve_2012-8-22_Calibrated_Curve_6</t>
    <phoneticPr fontId="4" type="noConversion"/>
  </si>
  <si>
    <t>CNY_Treasury_Live_Curve_2012-8-22_Calibrated_Curve_7</t>
    <phoneticPr fontId="4" type="noConversion"/>
  </si>
  <si>
    <t>CNY_Treasury_Live_Curve_2012-8-22_Calibrated_Curve_8</t>
    <phoneticPr fontId="4" type="noConversion"/>
  </si>
  <si>
    <t>CNY_Treasury_Live_Curve_2012-8-23_Calibrated_Curve_1</t>
    <phoneticPr fontId="4" type="noConversion"/>
  </si>
  <si>
    <t>CNY_Treasury_Live_Curve_2012-8-23_Calibrated_Curve_2</t>
    <phoneticPr fontId="4" type="noConversion"/>
  </si>
  <si>
    <t>CNY_Treasury_Live_Curve_2012-8-23_Calibrated_Curve_3</t>
    <phoneticPr fontId="4" type="noConversion"/>
  </si>
  <si>
    <t>CNY_Treasury_Live_Curve_2012-8-23_Calibrated_Curve_4</t>
    <phoneticPr fontId="4" type="noConversion"/>
  </si>
  <si>
    <t>CNY_Treasury_Live_Curve_2012-8-23_Calibrated_Curve_5</t>
    <phoneticPr fontId="4" type="noConversion"/>
  </si>
  <si>
    <t>CNY_Treasury_Live_Curve_2012-8-23_Calibrated_Curve_6</t>
    <phoneticPr fontId="4" type="noConversion"/>
  </si>
  <si>
    <t>CNY_Treasury_Live_Curve_2012-8-23_Calibrated_Curve_7</t>
    <phoneticPr fontId="4" type="noConversion"/>
  </si>
  <si>
    <t>CNY_Treasury_Live_Curve_2012-8-23_Calibrated_Curve_8</t>
    <phoneticPr fontId="4" type="noConversion"/>
  </si>
  <si>
    <t>CNY_Treasury_Live_Curve_2012-8-24_Calibrated_Curve_1</t>
    <phoneticPr fontId="4" type="noConversion"/>
  </si>
  <si>
    <t>CNY_Treasury_Live_Curve_2012-8-24_Calibrated_Curve_2</t>
    <phoneticPr fontId="4" type="noConversion"/>
  </si>
  <si>
    <t>CNY_Treasury_Live_Curve_2012-8-24_Calibrated_Curve_3</t>
    <phoneticPr fontId="4" type="noConversion"/>
  </si>
  <si>
    <t>CNY_Treasury_Live_Curve_2012-8-24_Calibrated_Curve_4</t>
    <phoneticPr fontId="4" type="noConversion"/>
  </si>
  <si>
    <t>CNY_Treasury_Live_Curve_2012-8-24_Calibrated_Curve_5</t>
    <phoneticPr fontId="4" type="noConversion"/>
  </si>
  <si>
    <t>CNY_Treasury_Live_Curve_2012-8-24_Calibrated_Curve_6</t>
    <phoneticPr fontId="4" type="noConversion"/>
  </si>
  <si>
    <t>CNY_Treasury_Live_Curve_2012-8-24_Calibrated_Curve_7</t>
    <phoneticPr fontId="4" type="noConversion"/>
  </si>
  <si>
    <t>CNY_Treasury_Live_Curve_2012-8-24_Calibrated_Curve_8</t>
    <phoneticPr fontId="4" type="noConversion"/>
  </si>
  <si>
    <t>CNY_Treasury_Live_Curve_2012-8-3_Calibrated_Curve_1</t>
    <phoneticPr fontId="4" type="noConversion"/>
  </si>
  <si>
    <t>CNY_Treasury_Live_Curve_2012-8-3_Calibrated_Curve_2</t>
    <phoneticPr fontId="4" type="noConversion"/>
  </si>
  <si>
    <t>CNY_Treasury_Live_Curve_2012-8-3_Calibrated_Curve_3</t>
    <phoneticPr fontId="4" type="noConversion"/>
  </si>
  <si>
    <t>CNY_Treasury_Live_Curve_2012-8-3_Calibrated_Curve_4</t>
    <phoneticPr fontId="4" type="noConversion"/>
  </si>
  <si>
    <t>CNY_Treasury_Live_Curve_2012-8-3_Calibrated_Curve_5</t>
    <phoneticPr fontId="4" type="noConversion"/>
  </si>
  <si>
    <t>CNY_Treasury_Live_Curve_2012-8-3_Calibrated_Curve_6</t>
    <phoneticPr fontId="4" type="noConversion"/>
  </si>
  <si>
    <t>CNY_Treasury_Live_Curve_2012-8-3_Calibrated_Curve_7</t>
    <phoneticPr fontId="4" type="noConversion"/>
  </si>
  <si>
    <t>CNY_Treasury_Live_Curve_2012-8-3_Calibrated_Curve_8</t>
    <phoneticPr fontId="4" type="noConversion"/>
  </si>
  <si>
    <t>CNY_Treasury_Live_Curve_2012-8-6_Calibrated_Curve_1</t>
    <phoneticPr fontId="4" type="noConversion"/>
  </si>
  <si>
    <t>CNY_Treasury_Live_Curve_2012-8-6_Calibrated_Curve_2</t>
    <phoneticPr fontId="4" type="noConversion"/>
  </si>
  <si>
    <t>CNY_Treasury_Live_Curve_2012-8-6_Calibrated_Curve_3</t>
    <phoneticPr fontId="4" type="noConversion"/>
  </si>
  <si>
    <t>CNY_Treasury_Live_Curve_2012-8-6_Calibrated_Curve_4</t>
    <phoneticPr fontId="4" type="noConversion"/>
  </si>
  <si>
    <t>CNY_Treasury_Live_Curve_2012-8-6_Calibrated_Curve_5</t>
    <phoneticPr fontId="4" type="noConversion"/>
  </si>
  <si>
    <t>CNY_Treasury_Live_Curve_2012-8-6_Calibrated_Curve_6</t>
    <phoneticPr fontId="4" type="noConversion"/>
  </si>
  <si>
    <t>CNY_Treasury_Live_Curve_2012-8-6_Calibrated_Curve_7</t>
    <phoneticPr fontId="4" type="noConversion"/>
  </si>
  <si>
    <t>CNY_Treasury_Live_Curve_2012-8-6_Calibrated_Curve_8</t>
    <phoneticPr fontId="4" type="noConversion"/>
  </si>
  <si>
    <t>CNY_Treasury_Live_Curve_2012-8-7_Calibrated_Curve_1</t>
    <phoneticPr fontId="4" type="noConversion"/>
  </si>
  <si>
    <t>CNY_Treasury_Live_Curve_2012-8-7_Calibrated_Curve_2</t>
    <phoneticPr fontId="4" type="noConversion"/>
  </si>
  <si>
    <t>CNY_Treasury_Live_Curve_2012-8-7_Calibrated_Curve_3</t>
    <phoneticPr fontId="4" type="noConversion"/>
  </si>
  <si>
    <t>CNY_Treasury_Live_Curve_2012-8-7_Calibrated_Curve_4</t>
    <phoneticPr fontId="4" type="noConversion"/>
  </si>
  <si>
    <t>CNY_Treasury_Live_Curve_2012-8-7_Calibrated_Curve_5</t>
    <phoneticPr fontId="4" type="noConversion"/>
  </si>
  <si>
    <t>CNY_Treasury_Live_Curve_2012-8-7_Calibrated_Curve_6</t>
    <phoneticPr fontId="4" type="noConversion"/>
  </si>
  <si>
    <t>CNY_Treasury_Live_Curve_2012-8-7_Calibrated_Curve_7</t>
    <phoneticPr fontId="4" type="noConversion"/>
  </si>
  <si>
    <t>CNY_Treasury_Live_Curve_2012-8-7_Calibrated_Curve_8</t>
    <phoneticPr fontId="4" type="noConversion"/>
  </si>
  <si>
    <t>CNY_Treasury_Live_Curve_2012-8-8_Calibrated_Curve_1</t>
    <phoneticPr fontId="4" type="noConversion"/>
  </si>
  <si>
    <t>CNY_Treasury_Live_Curve_2012-8-8_Calibrated_Curve_2</t>
    <phoneticPr fontId="4" type="noConversion"/>
  </si>
  <si>
    <t>CNY_Treasury_Live_Curve_2012-8-8_Calibrated_Curve_3</t>
    <phoneticPr fontId="4" type="noConversion"/>
  </si>
  <si>
    <t>CNY_Treasury_Live_Curve_2012-8-8_Calibrated_Curve_4</t>
    <phoneticPr fontId="4" type="noConversion"/>
  </si>
  <si>
    <t>CNY_Treasury_Live_Curve_2012-8-8_Calibrated_Curve_5</t>
    <phoneticPr fontId="4" type="noConversion"/>
  </si>
  <si>
    <t>CNY_Treasury_Live_Curve_2012-8-8_Calibrated_Curve_6</t>
    <phoneticPr fontId="4" type="noConversion"/>
  </si>
  <si>
    <t>CNY_Treasury_Live_Curve_2012-8-8_Calibrated_Curve_7</t>
    <phoneticPr fontId="4" type="noConversion"/>
  </si>
  <si>
    <t>CNY_Treasury_Live_Curve_2012-8-8_Calibrated_Curve_8</t>
    <phoneticPr fontId="4" type="noConversion"/>
  </si>
  <si>
    <t>CNY_Treasury_Live_Curve_2012-8-9_Calibrated_Curve_1</t>
    <phoneticPr fontId="4" type="noConversion"/>
  </si>
  <si>
    <t>CNY_Treasury_Live_Curve_2012-8-9_Calibrated_Curve_2</t>
    <phoneticPr fontId="4" type="noConversion"/>
  </si>
  <si>
    <t>CNY_Treasury_Live_Curve_2012-8-9_Calibrated_Curve_3</t>
    <phoneticPr fontId="4" type="noConversion"/>
  </si>
  <si>
    <t>CNY_Treasury_Live_Curve_2012-8-9_Calibrated_Curve_4</t>
    <phoneticPr fontId="4" type="noConversion"/>
  </si>
  <si>
    <t>CNY_Treasury_Live_Curve_2012-8-9_Calibrated_Curve_5</t>
    <phoneticPr fontId="4" type="noConversion"/>
  </si>
  <si>
    <t>CNY_Treasury_Live_Curve_2012-8-9_Calibrated_Curve_6</t>
    <phoneticPr fontId="4" type="noConversion"/>
  </si>
  <si>
    <t>CNY_Treasury_Live_Curve_2012-8-9_Calibrated_Curve_7</t>
    <phoneticPr fontId="4" type="noConversion"/>
  </si>
  <si>
    <t>CNY_Treasury_Live_Curve_2012-8-9_Calibrated_Curve_8</t>
    <phoneticPr fontId="4" type="noConversion"/>
  </si>
  <si>
    <t>CNY_Treasury_Quote_Curve_2012-8-23_Calibrated_Curve_1</t>
    <phoneticPr fontId="4" type="noConversion"/>
  </si>
  <si>
    <t>CNY_Treasury_Quote_Curve_2012-8-23_Calibrated_Curve_2</t>
    <phoneticPr fontId="4" type="noConversion"/>
  </si>
  <si>
    <t>CNY_Treasury_Quote_Curve_2012-8-23_Calibrated_Curve_3</t>
    <phoneticPr fontId="4" type="noConversion"/>
  </si>
  <si>
    <t>CNY_Treasury_Quote_Curve_2012-8-23_Calibrated_Curve_4</t>
    <phoneticPr fontId="4" type="noConversion"/>
  </si>
  <si>
    <t>CNY_Treasury_Quote_Curve_2012-8-23_Calibrated_Curve_5</t>
    <phoneticPr fontId="4" type="noConversion"/>
  </si>
  <si>
    <t>CNY_Treasury_Quote_Curve_2012-8-23_Calibrated_Curve_6</t>
    <phoneticPr fontId="4" type="noConversion"/>
  </si>
  <si>
    <t>CNY_Treasury_Quote_Curve_2012-8-23_Calibrated_Curve_7</t>
    <phoneticPr fontId="4" type="noConversion"/>
  </si>
  <si>
    <t>CNY_Treasury_Quote_Curve_2012-8-23_Calibrated_Curve_8</t>
    <phoneticPr fontId="4" type="noConversion"/>
  </si>
  <si>
    <t>CNY_Treasury_Quote_Curve_2012-8-24_Calibrated_Curve_1</t>
    <phoneticPr fontId="4" type="noConversion"/>
  </si>
  <si>
    <t>CNY_Treasury_Quote_Curve_2012-8-24_Calibrated_Curve_2</t>
    <phoneticPr fontId="4" type="noConversion"/>
  </si>
  <si>
    <t>CNY_Treasury_Quote_Curve_2012-8-24_Calibrated_Curve_3</t>
    <phoneticPr fontId="4" type="noConversion"/>
  </si>
  <si>
    <t>CNY_Treasury_Quote_Curve_2012-8-24_Calibrated_Curve_4</t>
    <phoneticPr fontId="4" type="noConversion"/>
  </si>
  <si>
    <t>CNY_Treasury_Quote_Curve_2012-8-24_Calibrated_Curve_5</t>
    <phoneticPr fontId="4" type="noConversion"/>
  </si>
  <si>
    <t>CNY_Treasury_Quote_Curve_2012-8-24_Calibrated_Curve_6</t>
    <phoneticPr fontId="4" type="noConversion"/>
  </si>
  <si>
    <t>CNY_Treasury_Quote_Curve_2012-8-24_Calibrated_Curve_7</t>
    <phoneticPr fontId="4" type="noConversion"/>
  </si>
  <si>
    <t>CNY_Treasury_Quote_Curve_2012-8-24_Calibrated_Curve_8</t>
    <phoneticPr fontId="4" type="noConversion"/>
  </si>
  <si>
    <t>Swap_Curve_2012-7-10_Calibrated_Curve_1</t>
    <phoneticPr fontId="4" type="noConversion"/>
  </si>
  <si>
    <t>Swap_Curve_2012-7-10_Calibrated_Curve_2</t>
    <phoneticPr fontId="4" type="noConversion"/>
  </si>
  <si>
    <t>Swap_Curve_2012-7-10_Calibrated_Curve_3</t>
    <phoneticPr fontId="4" type="noConversion"/>
  </si>
  <si>
    <t>Swap_Curve_2012-7-10_Calibrated_Curve_4</t>
    <phoneticPr fontId="4" type="noConversion"/>
  </si>
  <si>
    <t>Swap_Curve_2012-7-10_Calibrated_Curve_5</t>
    <phoneticPr fontId="4" type="noConversion"/>
  </si>
  <si>
    <t>Swap_Curve_2012-7-10_Calibrated_Curve_6</t>
    <phoneticPr fontId="4" type="noConversion"/>
  </si>
  <si>
    <t>Swap_Curve_2012-7-10_Calibrated_Curve_7</t>
    <phoneticPr fontId="4" type="noConversion"/>
  </si>
  <si>
    <t>Swap_Curve_2012-7-10_Calibrated_Curve_8</t>
    <phoneticPr fontId="4" type="noConversion"/>
  </si>
  <si>
    <t>Swap_Curve_2012-7-11_Calibrated_Curve_1</t>
    <phoneticPr fontId="4" type="noConversion"/>
  </si>
  <si>
    <t>Swap_Curve_2012-7-11_Calibrated_Curve_2</t>
    <phoneticPr fontId="4" type="noConversion"/>
  </si>
  <si>
    <t>Swap_Curve_2012-7-11_Calibrated_Curve_3</t>
    <phoneticPr fontId="4" type="noConversion"/>
  </si>
  <si>
    <t>Swap_Curve_2012-7-11_Calibrated_Curve_4</t>
    <phoneticPr fontId="4" type="noConversion"/>
  </si>
  <si>
    <t>Swap_Curve_2012-7-11_Calibrated_Curve_5</t>
    <phoneticPr fontId="4" type="noConversion"/>
  </si>
  <si>
    <t>Swap_Curve_2012-7-11_Calibrated_Curve_6</t>
    <phoneticPr fontId="4" type="noConversion"/>
  </si>
  <si>
    <t>Swap_Curve_2012-7-11_Calibrated_Curve_7</t>
    <phoneticPr fontId="4" type="noConversion"/>
  </si>
  <si>
    <t>Swap_Curve_2012-7-11_Calibrated_Curve_8</t>
    <phoneticPr fontId="4" type="noConversion"/>
  </si>
  <si>
    <t>Swap_Curve_2012-7-12_Calibrated_Curve_1</t>
    <phoneticPr fontId="4" type="noConversion"/>
  </si>
  <si>
    <t>Swap_Curve_2012-7-12_Calibrated_Curve_2</t>
    <phoneticPr fontId="4" type="noConversion"/>
  </si>
  <si>
    <t>Swap_Curve_2012-7-12_Calibrated_Curve_3</t>
    <phoneticPr fontId="4" type="noConversion"/>
  </si>
  <si>
    <t>Swap_Curve_2012-7-12_Calibrated_Curve_4</t>
    <phoneticPr fontId="4" type="noConversion"/>
  </si>
  <si>
    <t>Swap_Curve_2012-7-12_Calibrated_Curve_5</t>
    <phoneticPr fontId="4" type="noConversion"/>
  </si>
  <si>
    <t>Swap_Curve_2012-7-12_Calibrated_Curve_6</t>
    <phoneticPr fontId="4" type="noConversion"/>
  </si>
  <si>
    <t>Swap_Curve_2012-7-12_Calibrated_Curve_7</t>
    <phoneticPr fontId="4" type="noConversion"/>
  </si>
  <si>
    <t>Swap_Curve_2012-7-12_Calibrated_Curve_8</t>
  </si>
  <si>
    <t>Swap_Curve_2012-7-13_Calibrated_Curve_1</t>
    <phoneticPr fontId="4" type="noConversion"/>
  </si>
  <si>
    <t>Swap_Curve_2012-7-13_Calibrated_Curve_2</t>
    <phoneticPr fontId="4" type="noConversion"/>
  </si>
  <si>
    <t>Swap_Curve_2012-7-13_Calibrated_Curve_3</t>
    <phoneticPr fontId="4" type="noConversion"/>
  </si>
  <si>
    <t>Swap_Curve_2012-7-13_Calibrated_Curve_4</t>
    <phoneticPr fontId="4" type="noConversion"/>
  </si>
  <si>
    <t>Swap_Curve_2012-7-13_Calibrated_Curve_5</t>
    <phoneticPr fontId="4" type="noConversion"/>
  </si>
  <si>
    <t>Swap_Curve_2012-7-13_Calibrated_Curve_6</t>
    <phoneticPr fontId="4" type="noConversion"/>
  </si>
  <si>
    <t>Swap_Curve_2012-7-13_Calibrated_Curve_7</t>
    <phoneticPr fontId="4" type="noConversion"/>
  </si>
  <si>
    <t>Swap_Curve_2012-7-13_Calibrated_Curve_8</t>
  </si>
  <si>
    <t>Swap_Curve_2012-7-16_Calibrated_Curve_1</t>
    <phoneticPr fontId="4" type="noConversion"/>
  </si>
  <si>
    <t>Swap_Curve_2012-7-16_Calibrated_Curve_2</t>
    <phoneticPr fontId="4" type="noConversion"/>
  </si>
  <si>
    <t>Swap_Curve_2012-7-16_Calibrated_Curve_3</t>
    <phoneticPr fontId="4" type="noConversion"/>
  </si>
  <si>
    <t>Swap_Curve_2012-7-16_Calibrated_Curve_4</t>
    <phoneticPr fontId="4" type="noConversion"/>
  </si>
  <si>
    <t>Swap_Curve_2012-7-16_Calibrated_Curve_5</t>
    <phoneticPr fontId="4" type="noConversion"/>
  </si>
  <si>
    <t>Swap_Curve_2012-7-16_Calibrated_Curve_6</t>
    <phoneticPr fontId="4" type="noConversion"/>
  </si>
  <si>
    <t>Swap_Curve_2012-7-16_Calibrated_Curve_7</t>
    <phoneticPr fontId="4" type="noConversion"/>
  </si>
  <si>
    <t>Swap_Curve_2012-7-16_Calibrated_Curve_8</t>
  </si>
  <si>
    <t>Swap_Curve_2012-7-17_Calibrated_Curve_1</t>
    <phoneticPr fontId="4" type="noConversion"/>
  </si>
  <si>
    <t>Swap_Curve_2012-7-17_Calibrated_Curve_2</t>
    <phoneticPr fontId="4" type="noConversion"/>
  </si>
  <si>
    <t>Swap_Curve_2012-7-17_Calibrated_Curve_3</t>
    <phoneticPr fontId="4" type="noConversion"/>
  </si>
  <si>
    <t>Swap_Curve_2012-7-17_Calibrated_Curve_4</t>
    <phoneticPr fontId="4" type="noConversion"/>
  </si>
  <si>
    <t>Swap_Curve_2012-7-17_Calibrated_Curve_5</t>
    <phoneticPr fontId="4" type="noConversion"/>
  </si>
  <si>
    <t>Swap_Curve_2012-7-17_Calibrated_Curve_6</t>
    <phoneticPr fontId="4" type="noConversion"/>
  </si>
  <si>
    <t>Swap_Curve_2012-7-17_Calibrated_Curve_7</t>
    <phoneticPr fontId="4" type="noConversion"/>
  </si>
  <si>
    <t>Swap_Curve_2012-7-17_Calibrated_Curve_8</t>
  </si>
  <si>
    <t>Swap_Curve_2012-7-18_Calibrated_Curve_1</t>
    <phoneticPr fontId="4" type="noConversion"/>
  </si>
  <si>
    <t>Swap_Curve_2012-7-18_Calibrated_Curve_2</t>
    <phoneticPr fontId="4" type="noConversion"/>
  </si>
  <si>
    <t>Swap_Curve_2012-7-18_Calibrated_Curve_3</t>
    <phoneticPr fontId="4" type="noConversion"/>
  </si>
  <si>
    <t>Swap_Curve_2012-7-18_Calibrated_Curve_4</t>
    <phoneticPr fontId="4" type="noConversion"/>
  </si>
  <si>
    <t>Swap_Curve_2012-7-18_Calibrated_Curve_5</t>
    <phoneticPr fontId="4" type="noConversion"/>
  </si>
  <si>
    <t>Swap_Curve_2012-7-18_Calibrated_Curve_6</t>
    <phoneticPr fontId="4" type="noConversion"/>
  </si>
  <si>
    <t>Swap_Curve_2012-7-18_Calibrated_Curve_7</t>
    <phoneticPr fontId="4" type="noConversion"/>
  </si>
  <si>
    <t>Swap_Curve_2012-7-18_Calibrated_Curve_8</t>
  </si>
  <si>
    <t>Swap_Curve_2012-7-19_Calibrated_Curve_1</t>
    <phoneticPr fontId="4" type="noConversion"/>
  </si>
  <si>
    <t>Swap_Curve_2012-7-19_Calibrated_Curve_2</t>
    <phoneticPr fontId="4" type="noConversion"/>
  </si>
  <si>
    <t>Swap_Curve_2012-7-19_Calibrated_Curve_3</t>
    <phoneticPr fontId="4" type="noConversion"/>
  </si>
  <si>
    <t>Swap_Curve_2012-7-19_Calibrated_Curve_4</t>
    <phoneticPr fontId="4" type="noConversion"/>
  </si>
  <si>
    <t>Swap_Curve_2012-7-19_Calibrated_Curve_5</t>
    <phoneticPr fontId="4" type="noConversion"/>
  </si>
  <si>
    <t>Swap_Curve_2012-7-19_Calibrated_Curve_6</t>
    <phoneticPr fontId="4" type="noConversion"/>
  </si>
  <si>
    <t>Swap_Curve_2012-7-19_Calibrated_Curve_7</t>
    <phoneticPr fontId="4" type="noConversion"/>
  </si>
  <si>
    <t>Swap_Curve_2012-7-19_Calibrated_Curve_8</t>
  </si>
  <si>
    <t>Swap_Curve_2012-7-2_Calibrated_Curve_1</t>
    <phoneticPr fontId="4" type="noConversion"/>
  </si>
  <si>
    <t>Swap_Curve_2012-7-2_Calibrated_Curve_2</t>
    <phoneticPr fontId="4" type="noConversion"/>
  </si>
  <si>
    <t>Swap_Curve_2012-7-2_Calibrated_Curve_3</t>
    <phoneticPr fontId="4" type="noConversion"/>
  </si>
  <si>
    <t>Swap_Curve_2012-7-2_Calibrated_Curve_4</t>
    <phoneticPr fontId="4" type="noConversion"/>
  </si>
  <si>
    <t>Swap_Curve_2012-7-2_Calibrated_Curve_5</t>
    <phoneticPr fontId="4" type="noConversion"/>
  </si>
  <si>
    <t>Swap_Curve_2012-7-2_Calibrated_Curve_6</t>
    <phoneticPr fontId="4" type="noConversion"/>
  </si>
  <si>
    <t>Swap_Curve_2012-7-2_Calibrated_Curve_7</t>
    <phoneticPr fontId="4" type="noConversion"/>
  </si>
  <si>
    <t>Swap_Curve_2012-7-2_Calibrated_Curve_8</t>
  </si>
  <si>
    <t>Swap_Curve_2012-7-20_Calibrated_Curve_1</t>
    <phoneticPr fontId="4" type="noConversion"/>
  </si>
  <si>
    <t>Swap_Curve_2012-7-20_Calibrated_Curve_2</t>
    <phoneticPr fontId="4" type="noConversion"/>
  </si>
  <si>
    <t>Swap_Curve_2012-7-20_Calibrated_Curve_3</t>
    <phoneticPr fontId="4" type="noConversion"/>
  </si>
  <si>
    <t>Swap_Curve_2012-7-20_Calibrated_Curve_4</t>
    <phoneticPr fontId="4" type="noConversion"/>
  </si>
  <si>
    <t>Swap_Curve_2012-7-20_Calibrated_Curve_5</t>
    <phoneticPr fontId="4" type="noConversion"/>
  </si>
  <si>
    <t>Swap_Curve_2012-7-20_Calibrated_Curve_6</t>
    <phoneticPr fontId="4" type="noConversion"/>
  </si>
  <si>
    <t>Swap_Curve_2012-7-20_Calibrated_Curve_7</t>
    <phoneticPr fontId="4" type="noConversion"/>
  </si>
  <si>
    <t>Swap_Curve_2012-7-20_Calibrated_Curve_8</t>
  </si>
  <si>
    <t>Swap_Curve_2012-7-23_Calibrated_Curve_1</t>
    <phoneticPr fontId="4" type="noConversion"/>
  </si>
  <si>
    <t>Swap_Curve_2012-7-23_Calibrated_Curve_2</t>
    <phoneticPr fontId="4" type="noConversion"/>
  </si>
  <si>
    <t>Swap_Curve_2012-7-23_Calibrated_Curve_3</t>
    <phoneticPr fontId="4" type="noConversion"/>
  </si>
  <si>
    <t>Swap_Curve_2012-7-23_Calibrated_Curve_4</t>
    <phoneticPr fontId="4" type="noConversion"/>
  </si>
  <si>
    <t>Swap_Curve_2012-7-23_Calibrated_Curve_5</t>
    <phoneticPr fontId="4" type="noConversion"/>
  </si>
  <si>
    <t>Swap_Curve_2012-7-23_Calibrated_Curve_6</t>
    <phoneticPr fontId="4" type="noConversion"/>
  </si>
  <si>
    <t>Swap_Curve_2012-7-23_Calibrated_Curve_7</t>
    <phoneticPr fontId="4" type="noConversion"/>
  </si>
  <si>
    <t>Swap_Curve_2012-7-23_Calibrated_Curve_8</t>
  </si>
  <si>
    <t>Swap_Curve_2012-7-24_Calibrated_Curve_1</t>
    <phoneticPr fontId="4" type="noConversion"/>
  </si>
  <si>
    <t>Swap_Curve_2012-7-24_Calibrated_Curve_2</t>
    <phoneticPr fontId="4" type="noConversion"/>
  </si>
  <si>
    <t>Swap_Curve_2012-7-24_Calibrated_Curve_3</t>
    <phoneticPr fontId="4" type="noConversion"/>
  </si>
  <si>
    <t>Swap_Curve_2012-7-24_Calibrated_Curve_4</t>
    <phoneticPr fontId="4" type="noConversion"/>
  </si>
  <si>
    <t>Swap_Curve_2012-7-24_Calibrated_Curve_5</t>
    <phoneticPr fontId="4" type="noConversion"/>
  </si>
  <si>
    <t>Swap_Curve_2012-7-24_Calibrated_Curve_6</t>
    <phoneticPr fontId="4" type="noConversion"/>
  </si>
  <si>
    <t>Swap_Curve_2012-7-24_Calibrated_Curve_7</t>
    <phoneticPr fontId="4" type="noConversion"/>
  </si>
  <si>
    <t>Swap_Curve_2012-7-24_Calibrated_Curve_8</t>
  </si>
  <si>
    <t>Swap_Curve_2012-7-25_Calibrated_Curve_1</t>
    <phoneticPr fontId="4" type="noConversion"/>
  </si>
  <si>
    <t>Swap_Curve_2012-7-25_Calibrated_Curve_2</t>
    <phoneticPr fontId="4" type="noConversion"/>
  </si>
  <si>
    <t>Swap_Curve_2012-7-25_Calibrated_Curve_3</t>
    <phoneticPr fontId="4" type="noConversion"/>
  </si>
  <si>
    <t>Swap_Curve_2012-7-25_Calibrated_Curve_4</t>
    <phoneticPr fontId="4" type="noConversion"/>
  </si>
  <si>
    <t>Swap_Curve_2012-7-25_Calibrated_Curve_5</t>
    <phoneticPr fontId="4" type="noConversion"/>
  </si>
  <si>
    <t>Swap_Curve_2012-7-25_Calibrated_Curve_6</t>
    <phoneticPr fontId="4" type="noConversion"/>
  </si>
  <si>
    <t>Swap_Curve_2012-7-25_Calibrated_Curve_7</t>
    <phoneticPr fontId="4" type="noConversion"/>
  </si>
  <si>
    <t>Swap_Curve_2012-7-25_Calibrated_Curve_8</t>
  </si>
  <si>
    <t>Swap_Curve_2012-7-26_Calibrated_Curve_1</t>
    <phoneticPr fontId="4" type="noConversion"/>
  </si>
  <si>
    <t>Swap_Curve_2012-7-26_Calibrated_Curve_2</t>
    <phoneticPr fontId="4" type="noConversion"/>
  </si>
  <si>
    <t>Swap_Curve_2012-7-26_Calibrated_Curve_3</t>
    <phoneticPr fontId="4" type="noConversion"/>
  </si>
  <si>
    <t>Swap_Curve_2012-7-26_Calibrated_Curve_4</t>
    <phoneticPr fontId="4" type="noConversion"/>
  </si>
  <si>
    <t>Swap_Curve_2012-7-26_Calibrated_Curve_5</t>
    <phoneticPr fontId="4" type="noConversion"/>
  </si>
  <si>
    <t>Swap_Curve_2012-7-26_Calibrated_Curve_6</t>
    <phoneticPr fontId="4" type="noConversion"/>
  </si>
  <si>
    <t>Swap_Curve_2012-7-26_Calibrated_Curve_7</t>
    <phoneticPr fontId="4" type="noConversion"/>
  </si>
  <si>
    <t>Swap_Curve_2012-7-26_Calibrated_Curve_8</t>
  </si>
  <si>
    <t>Swap_Curve_2012-7-27_Calibrated_Curve_1</t>
    <phoneticPr fontId="4" type="noConversion"/>
  </si>
  <si>
    <t>Swap_Curve_2012-7-27_Calibrated_Curve_2</t>
    <phoneticPr fontId="4" type="noConversion"/>
  </si>
  <si>
    <t>Swap_Curve_2012-7-27_Calibrated_Curve_3</t>
    <phoneticPr fontId="4" type="noConversion"/>
  </si>
  <si>
    <t>Swap_Curve_2012-7-27_Calibrated_Curve_4</t>
    <phoneticPr fontId="4" type="noConversion"/>
  </si>
  <si>
    <t>Swap_Curve_2012-7-27_Calibrated_Curve_5</t>
    <phoneticPr fontId="4" type="noConversion"/>
  </si>
  <si>
    <t>Swap_Curve_2012-7-27_Calibrated_Curve_6</t>
    <phoneticPr fontId="4" type="noConversion"/>
  </si>
  <si>
    <t>Swap_Curve_2012-7-27_Calibrated_Curve_7</t>
    <phoneticPr fontId="4" type="noConversion"/>
  </si>
  <si>
    <t>Swap_Curve_2012-7-27_Calibrated_Curve_8</t>
  </si>
  <si>
    <t>Swap_Curve_2012-7-3_Calibrated_Curve_1</t>
    <phoneticPr fontId="4" type="noConversion"/>
  </si>
  <si>
    <t>Swap_Curve_2012-7-3_Calibrated_Curve_2</t>
    <phoneticPr fontId="4" type="noConversion"/>
  </si>
  <si>
    <t>Swap_Curve_2012-7-3_Calibrated_Curve_3</t>
    <phoneticPr fontId="4" type="noConversion"/>
  </si>
  <si>
    <t>Swap_Curve_2012-7-3_Calibrated_Curve_4</t>
    <phoneticPr fontId="4" type="noConversion"/>
  </si>
  <si>
    <t>Swap_Curve_2012-7-3_Calibrated_Curve_5</t>
    <phoneticPr fontId="4" type="noConversion"/>
  </si>
  <si>
    <t>Swap_Curve_2012-7-3_Calibrated_Curve_6</t>
    <phoneticPr fontId="4" type="noConversion"/>
  </si>
  <si>
    <t>Swap_Curve_2012-7-3_Calibrated_Curve_7</t>
    <phoneticPr fontId="4" type="noConversion"/>
  </si>
  <si>
    <t>Swap_Curve_2012-7-3_Calibrated_Curve_8</t>
  </si>
  <si>
    <t>Swap_Curve_2012-7-30_Calibrated_Curve_1</t>
    <phoneticPr fontId="4" type="noConversion"/>
  </si>
  <si>
    <t>Swap_Curve_2012-7-30_Calibrated_Curve_2</t>
    <phoneticPr fontId="4" type="noConversion"/>
  </si>
  <si>
    <t>Swap_Curve_2012-7-30_Calibrated_Curve_3</t>
    <phoneticPr fontId="4" type="noConversion"/>
  </si>
  <si>
    <t>Swap_Curve_2012-7-30_Calibrated_Curve_4</t>
    <phoneticPr fontId="4" type="noConversion"/>
  </si>
  <si>
    <t>Swap_Curve_2012-7-30_Calibrated_Curve_5</t>
    <phoneticPr fontId="4" type="noConversion"/>
  </si>
  <si>
    <t>Swap_Curve_2012-7-30_Calibrated_Curve_6</t>
    <phoneticPr fontId="4" type="noConversion"/>
  </si>
  <si>
    <t>Swap_Curve_2012-7-30_Calibrated_Curve_7</t>
    <phoneticPr fontId="4" type="noConversion"/>
  </si>
  <si>
    <t>Swap_Curve_2012-7-30_Calibrated_Curve_8</t>
  </si>
  <si>
    <t>Swap_Curve_2012-7-31_Calibrated_Curve_1</t>
    <phoneticPr fontId="4" type="noConversion"/>
  </si>
  <si>
    <t>Swap_Curve_2012-7-31_Calibrated_Curve_2</t>
    <phoneticPr fontId="4" type="noConversion"/>
  </si>
  <si>
    <t>Swap_Curve_2012-7-31_Calibrated_Curve_3</t>
    <phoneticPr fontId="4" type="noConversion"/>
  </si>
  <si>
    <t>Swap_Curve_2012-7-31_Calibrated_Curve_4</t>
    <phoneticPr fontId="4" type="noConversion"/>
  </si>
  <si>
    <t>Swap_Curve_2012-7-31_Calibrated_Curve_5</t>
    <phoneticPr fontId="4" type="noConversion"/>
  </si>
  <si>
    <t>Swap_Curve_2012-7-31_Calibrated_Curve_6</t>
    <phoneticPr fontId="4" type="noConversion"/>
  </si>
  <si>
    <t>Swap_Curve_2012-7-31_Calibrated_Curve_7</t>
    <phoneticPr fontId="4" type="noConversion"/>
  </si>
  <si>
    <t>Swap_Curve_2012-7-31_Calibrated_Curve_8</t>
  </si>
  <si>
    <t>Swap_Curve_2012-7-4_Calibrated_Curve_1</t>
    <phoneticPr fontId="4" type="noConversion"/>
  </si>
  <si>
    <t>Swap_Curve_2012-7-4_Calibrated_Curve_2</t>
    <phoneticPr fontId="4" type="noConversion"/>
  </si>
  <si>
    <t>Swap_Curve_2012-7-4_Calibrated_Curve_3</t>
    <phoneticPr fontId="4" type="noConversion"/>
  </si>
  <si>
    <t>Swap_Curve_2012-7-4_Calibrated_Curve_4</t>
    <phoneticPr fontId="4" type="noConversion"/>
  </si>
  <si>
    <t>Swap_Curve_2012-7-4_Calibrated_Curve_5</t>
    <phoneticPr fontId="4" type="noConversion"/>
  </si>
  <si>
    <t>Swap_Curve_2012-7-4_Calibrated_Curve_6</t>
    <phoneticPr fontId="4" type="noConversion"/>
  </si>
  <si>
    <t>Swap_Curve_2012-7-4_Calibrated_Curve_7</t>
    <phoneticPr fontId="4" type="noConversion"/>
  </si>
  <si>
    <t>Swap_Curve_2012-7-4_Calibrated_Curve_8</t>
  </si>
  <si>
    <t>Swap_Curve_2012-7-5_Calibrated_Curve_1</t>
    <phoneticPr fontId="4" type="noConversion"/>
  </si>
  <si>
    <t>Swap_Curve_2012-7-5_Calibrated_Curve_2</t>
    <phoneticPr fontId="4" type="noConversion"/>
  </si>
  <si>
    <t>Swap_Curve_2012-7-5_Calibrated_Curve_3</t>
    <phoneticPr fontId="4" type="noConversion"/>
  </si>
  <si>
    <t>Swap_Curve_2012-7-5_Calibrated_Curve_4</t>
    <phoneticPr fontId="4" type="noConversion"/>
  </si>
  <si>
    <t>Swap_Curve_2012-7-5_Calibrated_Curve_5</t>
    <phoneticPr fontId="4" type="noConversion"/>
  </si>
  <si>
    <t>Swap_Curve_2012-7-5_Calibrated_Curve_6</t>
    <phoneticPr fontId="4" type="noConversion"/>
  </si>
  <si>
    <t>Swap_Curve_2012-7-5_Calibrated_Curve_7</t>
    <phoneticPr fontId="4" type="noConversion"/>
  </si>
  <si>
    <t>Swap_Curve_2012-7-5_Calibrated_Curve_8</t>
  </si>
  <si>
    <t>Swap_Curve_2012-7-6_Calibrated_Curve_1</t>
    <phoneticPr fontId="4" type="noConversion"/>
  </si>
  <si>
    <t>Swap_Curve_2012-7-6_Calibrated_Curve_2</t>
    <phoneticPr fontId="4" type="noConversion"/>
  </si>
  <si>
    <t>Swap_Curve_2012-7-6_Calibrated_Curve_3</t>
    <phoneticPr fontId="4" type="noConversion"/>
  </si>
  <si>
    <t>Swap_Curve_2012-7-6_Calibrated_Curve_4</t>
    <phoneticPr fontId="4" type="noConversion"/>
  </si>
  <si>
    <t>Swap_Curve_2012-7-6_Calibrated_Curve_5</t>
    <phoneticPr fontId="4" type="noConversion"/>
  </si>
  <si>
    <t>Swap_Curve_2012-7-6_Calibrated_Curve_6</t>
    <phoneticPr fontId="4" type="noConversion"/>
  </si>
  <si>
    <t>Swap_Curve_2012-7-6_Calibrated_Curve_7</t>
    <phoneticPr fontId="4" type="noConversion"/>
  </si>
  <si>
    <t>Swap_Curve_2012-7-6_Calibrated_Curve_8</t>
  </si>
  <si>
    <t>Swap_Curve_2012-7-9_Calibrated_Curve_1</t>
    <phoneticPr fontId="4" type="noConversion"/>
  </si>
  <si>
    <t>Swap_Curve_2012-7-9_Calibrated_Curve_2</t>
    <phoneticPr fontId="4" type="noConversion"/>
  </si>
  <si>
    <t>Swap_Curve_2012-7-9_Calibrated_Curve_3</t>
    <phoneticPr fontId="4" type="noConversion"/>
  </si>
  <si>
    <t>Swap_Curve_2012-7-9_Calibrated_Curve_4</t>
    <phoneticPr fontId="4" type="noConversion"/>
  </si>
  <si>
    <t>Swap_Curve_2012-7-9_Calibrated_Curve_5</t>
    <phoneticPr fontId="4" type="noConversion"/>
  </si>
  <si>
    <t>Swap_Curve_2012-7-9_Calibrated_Curve_6</t>
    <phoneticPr fontId="4" type="noConversion"/>
  </si>
  <si>
    <t>Swap_Curve_2012-7-9_Calibrated_Curve_7</t>
    <phoneticPr fontId="4" type="noConversion"/>
  </si>
  <si>
    <t>Swap_Curve_2012-7-9_Calibrated_Curve_8</t>
  </si>
  <si>
    <t>Swap_Curve_2012-8-1_Calibrated_Curve_1</t>
    <phoneticPr fontId="4" type="noConversion"/>
  </si>
  <si>
    <t>Swap_Curve_2012-8-1_Calibrated_Curve_2</t>
    <phoneticPr fontId="4" type="noConversion"/>
  </si>
  <si>
    <t>Swap_Curve_2012-8-1_Calibrated_Curve_3</t>
    <phoneticPr fontId="4" type="noConversion"/>
  </si>
  <si>
    <t>Swap_Curve_2012-8-1_Calibrated_Curve_4</t>
    <phoneticPr fontId="4" type="noConversion"/>
  </si>
  <si>
    <t>Swap_Curve_2012-8-1_Calibrated_Curve_5</t>
    <phoneticPr fontId="4" type="noConversion"/>
  </si>
  <si>
    <t>Swap_Curve_2012-8-1_Calibrated_Curve_6</t>
    <phoneticPr fontId="4" type="noConversion"/>
  </si>
  <si>
    <t>Swap_Curve_2012-8-1_Calibrated_Curve_7</t>
    <phoneticPr fontId="4" type="noConversion"/>
  </si>
  <si>
    <t>Swap_Curve_2012-8-1_Calibrated_Curve_8</t>
  </si>
  <si>
    <t>Swap_Curve_2012-8-10_Calibrated_Curve_1</t>
    <phoneticPr fontId="4" type="noConversion"/>
  </si>
  <si>
    <t>Swap_Curve_2012-8-10_Calibrated_Curve_2</t>
    <phoneticPr fontId="4" type="noConversion"/>
  </si>
  <si>
    <t>Swap_Curve_2012-8-10_Calibrated_Curve_3</t>
    <phoneticPr fontId="4" type="noConversion"/>
  </si>
  <si>
    <t>Swap_Curve_2012-8-10_Calibrated_Curve_4</t>
    <phoneticPr fontId="4" type="noConversion"/>
  </si>
  <si>
    <t>Swap_Curve_2012-8-10_Calibrated_Curve_5</t>
    <phoneticPr fontId="4" type="noConversion"/>
  </si>
  <si>
    <t>Swap_Curve_2012-8-10_Calibrated_Curve_6</t>
    <phoneticPr fontId="4" type="noConversion"/>
  </si>
  <si>
    <t>Swap_Curve_2012-8-10_Calibrated_Curve_7</t>
    <phoneticPr fontId="4" type="noConversion"/>
  </si>
  <si>
    <t>Swap_Curve_2012-8-10_Calibrated_Curve_8</t>
  </si>
  <si>
    <t>Swap_Curve_2012-8-13_Calibrated_Curve_1</t>
    <phoneticPr fontId="4" type="noConversion"/>
  </si>
  <si>
    <t>Swap_Curve_2012-8-13_Calibrated_Curve_2</t>
    <phoneticPr fontId="4" type="noConversion"/>
  </si>
  <si>
    <t>Swap_Curve_2012-8-13_Calibrated_Curve_3</t>
    <phoneticPr fontId="4" type="noConversion"/>
  </si>
  <si>
    <t>Swap_Curve_2012-8-13_Calibrated_Curve_4</t>
    <phoneticPr fontId="4" type="noConversion"/>
  </si>
  <si>
    <t>Swap_Curve_2012-8-13_Calibrated_Curve_5</t>
    <phoneticPr fontId="4" type="noConversion"/>
  </si>
  <si>
    <t>Swap_Curve_2012-8-13_Calibrated_Curve_6</t>
    <phoneticPr fontId="4" type="noConversion"/>
  </si>
  <si>
    <t>Swap_Curve_2012-8-13_Calibrated_Curve_7</t>
    <phoneticPr fontId="4" type="noConversion"/>
  </si>
  <si>
    <t>Swap_Curve_2012-8-13_Calibrated_Curve_8</t>
  </si>
  <si>
    <t>Swap_Curve_2012-8-14_Calibrated_Curve_1</t>
    <phoneticPr fontId="4" type="noConversion"/>
  </si>
  <si>
    <t>Swap_Curve_2012-8-14_Calibrated_Curve_2</t>
    <phoneticPr fontId="4" type="noConversion"/>
  </si>
  <si>
    <t>Swap_Curve_2012-8-14_Calibrated_Curve_3</t>
    <phoneticPr fontId="4" type="noConversion"/>
  </si>
  <si>
    <t>Swap_Curve_2012-8-14_Calibrated_Curve_4</t>
    <phoneticPr fontId="4" type="noConversion"/>
  </si>
  <si>
    <t>Swap_Curve_2012-8-14_Calibrated_Curve_5</t>
    <phoneticPr fontId="4" type="noConversion"/>
  </si>
  <si>
    <t>Swap_Curve_2012-8-14_Calibrated_Curve_6</t>
    <phoneticPr fontId="4" type="noConversion"/>
  </si>
  <si>
    <t>Swap_Curve_2012-8-14_Calibrated_Curve_7</t>
    <phoneticPr fontId="4" type="noConversion"/>
  </si>
  <si>
    <t>Swap_Curve_2012-8-14_Calibrated_Curve_8</t>
  </si>
  <si>
    <t>Swap_Curve_2012-8-15_Calibrated_Curve_1</t>
    <phoneticPr fontId="4" type="noConversion"/>
  </si>
  <si>
    <t>Swap_Curve_2012-8-15_Calibrated_Curve_2</t>
    <phoneticPr fontId="4" type="noConversion"/>
  </si>
  <si>
    <t>Swap_Curve_2012-8-15_Calibrated_Curve_3</t>
    <phoneticPr fontId="4" type="noConversion"/>
  </si>
  <si>
    <t>Swap_Curve_2012-8-15_Calibrated_Curve_4</t>
    <phoneticPr fontId="4" type="noConversion"/>
  </si>
  <si>
    <t>Swap_Curve_2012-8-15_Calibrated_Curve_5</t>
    <phoneticPr fontId="4" type="noConversion"/>
  </si>
  <si>
    <t>Swap_Curve_2012-8-15_Calibrated_Curve_6</t>
    <phoneticPr fontId="4" type="noConversion"/>
  </si>
  <si>
    <t>Swap_Curve_2012-8-15_Calibrated_Curve_7</t>
    <phoneticPr fontId="4" type="noConversion"/>
  </si>
  <si>
    <t>Swap_Curve_2012-8-15_Calibrated_Curve_8</t>
  </si>
  <si>
    <t>Swap_Curve_2012-8-16_Calibrated_Curve_1</t>
    <phoneticPr fontId="4" type="noConversion"/>
  </si>
  <si>
    <t>Swap_Curve_2012-8-16_Calibrated_Curve_2</t>
    <phoneticPr fontId="4" type="noConversion"/>
  </si>
  <si>
    <t>Swap_Curve_2012-8-16_Calibrated_Curve_3</t>
    <phoneticPr fontId="4" type="noConversion"/>
  </si>
  <si>
    <t>Swap_Curve_2012-8-16_Calibrated_Curve_4</t>
    <phoneticPr fontId="4" type="noConversion"/>
  </si>
  <si>
    <t>Swap_Curve_2012-8-16_Calibrated_Curve_5</t>
    <phoneticPr fontId="4" type="noConversion"/>
  </si>
  <si>
    <t>Swap_Curve_2012-8-16_Calibrated_Curve_6</t>
    <phoneticPr fontId="4" type="noConversion"/>
  </si>
  <si>
    <t>Swap_Curve_2012-8-16_Calibrated_Curve_7</t>
    <phoneticPr fontId="4" type="noConversion"/>
  </si>
  <si>
    <t>Swap_Curve_2012-8-16_Calibrated_Curve_8</t>
  </si>
  <si>
    <t>Swap_Curve_2012-8-17_Calibrated_Curve_1</t>
    <phoneticPr fontId="4" type="noConversion"/>
  </si>
  <si>
    <t>Swap_Curve_2012-8-17_Calibrated_Curve_2</t>
    <phoneticPr fontId="4" type="noConversion"/>
  </si>
  <si>
    <t>Swap_Curve_2012-8-17_Calibrated_Curve_3</t>
    <phoneticPr fontId="4" type="noConversion"/>
  </si>
  <si>
    <t>Swap_Curve_2012-8-17_Calibrated_Curve_4</t>
    <phoneticPr fontId="4" type="noConversion"/>
  </si>
  <si>
    <t>Swap_Curve_2012-8-17_Calibrated_Curve_5</t>
    <phoneticPr fontId="4" type="noConversion"/>
  </si>
  <si>
    <t>Swap_Curve_2012-8-17_Calibrated_Curve_6</t>
    <phoneticPr fontId="4" type="noConversion"/>
  </si>
  <si>
    <t>Swap_Curve_2012-8-17_Calibrated_Curve_7</t>
    <phoneticPr fontId="4" type="noConversion"/>
  </si>
  <si>
    <t>Swap_Curve_2012-8-17_Calibrated_Curve_8</t>
  </si>
  <si>
    <t>Swap_Curve_2012-8-2_Calibrated_Curve_1</t>
    <phoneticPr fontId="4" type="noConversion"/>
  </si>
  <si>
    <t>Swap_Curve_2012-8-2_Calibrated_Curve_2</t>
    <phoneticPr fontId="4" type="noConversion"/>
  </si>
  <si>
    <t>Swap_Curve_2012-8-2_Calibrated_Curve_3</t>
    <phoneticPr fontId="4" type="noConversion"/>
  </si>
  <si>
    <t>Swap_Curve_2012-8-2_Calibrated_Curve_4</t>
    <phoneticPr fontId="4" type="noConversion"/>
  </si>
  <si>
    <t>Swap_Curve_2012-8-2_Calibrated_Curve_5</t>
    <phoneticPr fontId="4" type="noConversion"/>
  </si>
  <si>
    <t>Swap_Curve_2012-8-2_Calibrated_Curve_6</t>
    <phoneticPr fontId="4" type="noConversion"/>
  </si>
  <si>
    <t>Swap_Curve_2012-8-2_Calibrated_Curve_7</t>
    <phoneticPr fontId="4" type="noConversion"/>
  </si>
  <si>
    <t>Swap_Curve_2012-8-2_Calibrated_Curve_8</t>
  </si>
  <si>
    <t>Swap_Curve_2012-8-20_Calibrated_Curve_1</t>
    <phoneticPr fontId="4" type="noConversion"/>
  </si>
  <si>
    <t>Swap_Curve_2012-8-20_Calibrated_Curve_2</t>
    <phoneticPr fontId="4" type="noConversion"/>
  </si>
  <si>
    <t>Swap_Curve_2012-8-20_Calibrated_Curve_3</t>
    <phoneticPr fontId="4" type="noConversion"/>
  </si>
  <si>
    <t>Swap_Curve_2012-8-20_Calibrated_Curve_4</t>
    <phoneticPr fontId="4" type="noConversion"/>
  </si>
  <si>
    <t>Swap_Curve_2012-8-20_Calibrated_Curve_5</t>
    <phoneticPr fontId="4" type="noConversion"/>
  </si>
  <si>
    <t>Swap_Curve_2012-8-20_Calibrated_Curve_6</t>
    <phoneticPr fontId="4" type="noConversion"/>
  </si>
  <si>
    <t>Swap_Curve_2012-8-20_Calibrated_Curve_7</t>
    <phoneticPr fontId="4" type="noConversion"/>
  </si>
  <si>
    <t>Swap_Curve_2012-8-21_Calibrated_Curve_1</t>
    <phoneticPr fontId="4" type="noConversion"/>
  </si>
  <si>
    <t>Swap_Curve_2012-8-21_Calibrated_Curve_2</t>
    <phoneticPr fontId="4" type="noConversion"/>
  </si>
  <si>
    <t>Swap_Curve_2012-8-21_Calibrated_Curve_3</t>
    <phoneticPr fontId="4" type="noConversion"/>
  </si>
  <si>
    <t>Swap_Curve_2012-8-21_Calibrated_Curve_4</t>
    <phoneticPr fontId="4" type="noConversion"/>
  </si>
  <si>
    <t>Swap_Curve_2012-8-21_Calibrated_Curve_5</t>
    <phoneticPr fontId="4" type="noConversion"/>
  </si>
  <si>
    <t>Swap_Curve_2012-8-21_Calibrated_Curve_6</t>
    <phoneticPr fontId="4" type="noConversion"/>
  </si>
  <si>
    <t>Swap_Curve_2012-8-21_Calibrated_Curve_7</t>
    <phoneticPr fontId="4" type="noConversion"/>
  </si>
  <si>
    <t>Swap_Curve_2012-8-22_Calibrated_Curve_1</t>
    <phoneticPr fontId="4" type="noConversion"/>
  </si>
  <si>
    <t>Swap_Curve_2012-8-22_Calibrated_Curve_2</t>
    <phoneticPr fontId="4" type="noConversion"/>
  </si>
  <si>
    <t>Swap_Curve_2012-8-22_Calibrated_Curve_3</t>
    <phoneticPr fontId="4" type="noConversion"/>
  </si>
  <si>
    <t>Swap_Curve_2012-8-22_Calibrated_Curve_4</t>
    <phoneticPr fontId="4" type="noConversion"/>
  </si>
  <si>
    <t>Swap_Curve_2012-8-22_Calibrated_Curve_5</t>
    <phoneticPr fontId="4" type="noConversion"/>
  </si>
  <si>
    <t>Swap_Curve_2012-8-22_Calibrated_Curve_6</t>
    <phoneticPr fontId="4" type="noConversion"/>
  </si>
  <si>
    <t>Swap_Curve_2012-8-22_Calibrated_Curve_7</t>
    <phoneticPr fontId="4" type="noConversion"/>
  </si>
  <si>
    <t>Swap_Curve_2012-8-23_Calibrated_Curve_1</t>
    <phoneticPr fontId="4" type="noConversion"/>
  </si>
  <si>
    <t>Swap_Curve_2012-8-23_Calibrated_Curve_2</t>
    <phoneticPr fontId="4" type="noConversion"/>
  </si>
  <si>
    <t>Swap_Curve_2012-8-23_Calibrated_Curve_3</t>
    <phoneticPr fontId="4" type="noConversion"/>
  </si>
  <si>
    <t>Swap_Curve_2012-8-23_Calibrated_Curve_4</t>
    <phoneticPr fontId="4" type="noConversion"/>
  </si>
  <si>
    <t>Swap_Curve_2012-8-23_Calibrated_Curve_5</t>
    <phoneticPr fontId="4" type="noConversion"/>
  </si>
  <si>
    <t>Swap_Curve_2012-8-23_Calibrated_Curve_6</t>
    <phoneticPr fontId="4" type="noConversion"/>
  </si>
  <si>
    <t>Swap_Curve_2012-8-23_Calibrated_Curve_7</t>
    <phoneticPr fontId="4" type="noConversion"/>
  </si>
  <si>
    <t>Swap_Curve_2012-8-24_Calibrated_Curve_1</t>
    <phoneticPr fontId="4" type="noConversion"/>
  </si>
  <si>
    <t>Swap_Curve_2012-8-24_Calibrated_Curve_2</t>
    <phoneticPr fontId="4" type="noConversion"/>
  </si>
  <si>
    <t>Swap_Curve_2012-8-24_Calibrated_Curve_3</t>
    <phoneticPr fontId="4" type="noConversion"/>
  </si>
  <si>
    <t>Swap_Curve_2012-8-24_Calibrated_Curve_4</t>
    <phoneticPr fontId="4" type="noConversion"/>
  </si>
  <si>
    <t>Swap_Curve_2012-8-24_Calibrated_Curve_5</t>
    <phoneticPr fontId="4" type="noConversion"/>
  </si>
  <si>
    <t>Swap_Curve_2012-8-24_Calibrated_Curve_6</t>
    <phoneticPr fontId="4" type="noConversion"/>
  </si>
  <si>
    <t>Swap_Curve_2012-8-24_Calibrated_Curve_7</t>
    <phoneticPr fontId="4" type="noConversion"/>
  </si>
  <si>
    <t>Swap_Curve_2012-8-3_Calibrated_Curve_1</t>
    <phoneticPr fontId="4" type="noConversion"/>
  </si>
  <si>
    <t>Swap_Curve_2012-8-3_Calibrated_Curve_2</t>
    <phoneticPr fontId="4" type="noConversion"/>
  </si>
  <si>
    <t>Swap_Curve_2012-8-3_Calibrated_Curve_3</t>
    <phoneticPr fontId="4" type="noConversion"/>
  </si>
  <si>
    <t>Swap_Curve_2012-8-3_Calibrated_Curve_4</t>
    <phoneticPr fontId="4" type="noConversion"/>
  </si>
  <si>
    <t>Swap_Curve_2012-8-3_Calibrated_Curve_5</t>
    <phoneticPr fontId="4" type="noConversion"/>
  </si>
  <si>
    <t>Swap_Curve_2012-8-3_Calibrated_Curve_6</t>
    <phoneticPr fontId="4" type="noConversion"/>
  </si>
  <si>
    <t>Swap_Curve_2012-8-3_Calibrated_Curve_7</t>
    <phoneticPr fontId="4" type="noConversion"/>
  </si>
  <si>
    <t>Swap_Curve_2012-8-6_Calibrated_Curve_1</t>
    <phoneticPr fontId="4" type="noConversion"/>
  </si>
  <si>
    <t>Swap_Curve_2012-8-6_Calibrated_Curve_2</t>
    <phoneticPr fontId="4" type="noConversion"/>
  </si>
  <si>
    <t>Swap_Curve_2012-8-6_Calibrated_Curve_3</t>
    <phoneticPr fontId="4" type="noConversion"/>
  </si>
  <si>
    <t>Swap_Curve_2012-8-6_Calibrated_Curve_4</t>
    <phoneticPr fontId="4" type="noConversion"/>
  </si>
  <si>
    <t>Swap_Curve_2012-8-6_Calibrated_Curve_5</t>
    <phoneticPr fontId="4" type="noConversion"/>
  </si>
  <si>
    <t>Swap_Curve_2012-8-6_Calibrated_Curve_6</t>
    <phoneticPr fontId="4" type="noConversion"/>
  </si>
  <si>
    <t>Swap_Curve_2012-8-6_Calibrated_Curve_7</t>
    <phoneticPr fontId="4" type="noConversion"/>
  </si>
  <si>
    <t>Swap_Curve_2012-8-7_Calibrated_Curve_1</t>
    <phoneticPr fontId="4" type="noConversion"/>
  </si>
  <si>
    <t>Swap_Curve_2012-8-7_Calibrated_Curve_2</t>
    <phoneticPr fontId="4" type="noConversion"/>
  </si>
  <si>
    <t>Swap_Curve_2012-8-7_Calibrated_Curve_3</t>
    <phoneticPr fontId="4" type="noConversion"/>
  </si>
  <si>
    <t>Swap_Curve_2012-8-7_Calibrated_Curve_4</t>
    <phoneticPr fontId="4" type="noConversion"/>
  </si>
  <si>
    <t>Swap_Curve_2012-8-7_Calibrated_Curve_5</t>
    <phoneticPr fontId="4" type="noConversion"/>
  </si>
  <si>
    <t>Swap_Curve_2012-8-7_Calibrated_Curve_6</t>
    <phoneticPr fontId="4" type="noConversion"/>
  </si>
  <si>
    <t>Swap_Curve_2012-8-7_Calibrated_Curve_7</t>
    <phoneticPr fontId="4" type="noConversion"/>
  </si>
  <si>
    <t>Swap_Curve_2012-8-8_Calibrated_Curve_1</t>
    <phoneticPr fontId="4" type="noConversion"/>
  </si>
  <si>
    <t>Swap_Curve_2012-8-8_Calibrated_Curve_2</t>
    <phoneticPr fontId="4" type="noConversion"/>
  </si>
  <si>
    <t>Swap_Curve_2012-8-8_Calibrated_Curve_3</t>
    <phoneticPr fontId="4" type="noConversion"/>
  </si>
  <si>
    <t>Swap_Curve_2012-8-8_Calibrated_Curve_4</t>
    <phoneticPr fontId="4" type="noConversion"/>
  </si>
  <si>
    <t>Swap_Curve_2012-8-8_Calibrated_Curve_5</t>
    <phoneticPr fontId="4" type="noConversion"/>
  </si>
  <si>
    <t>Swap_Curve_2012-8-8_Calibrated_Curve_6</t>
    <phoneticPr fontId="4" type="noConversion"/>
  </si>
  <si>
    <t>Swap_Curve_2012-8-8_Calibrated_Curve_7</t>
    <phoneticPr fontId="4" type="noConversion"/>
  </si>
  <si>
    <t>Swap_Curve_2012-8-9_Calibrated_Curve_1</t>
    <phoneticPr fontId="4" type="noConversion"/>
  </si>
  <si>
    <t>Swap_Curve_2012-8-9_Calibrated_Curve_2</t>
    <phoneticPr fontId="4" type="noConversion"/>
  </si>
  <si>
    <t>Swap_Curve_2012-8-9_Calibrated_Curve_3</t>
    <phoneticPr fontId="4" type="noConversion"/>
  </si>
  <si>
    <t>Swap_Curve_2012-8-9_Calibrated_Curve_4</t>
    <phoneticPr fontId="4" type="noConversion"/>
  </si>
  <si>
    <t>Swap_Curve_2012-8-9_Calibrated_Curve_5</t>
    <phoneticPr fontId="4" type="noConversion"/>
  </si>
  <si>
    <t>Swap_Curve_2012-8-9_Calibrated_Curve_6</t>
    <phoneticPr fontId="4" type="noConversion"/>
  </si>
  <si>
    <t>Swap_Curve_2012-8-9_Calibrated_Curve_7</t>
    <phoneticPr fontId="4" type="noConversion"/>
  </si>
  <si>
    <t>Swap</t>
    <phoneticPr fontId="4" type="noConversion"/>
  </si>
  <si>
    <t>3Y</t>
    <phoneticPr fontId="4" type="noConversion"/>
  </si>
  <si>
    <t>Coupon</t>
    <phoneticPr fontId="4" type="noConversion"/>
  </si>
  <si>
    <t>Tenor</t>
    <phoneticPr fontId="4" type="noConversion"/>
  </si>
  <si>
    <t>Issue Date</t>
    <phoneticPr fontId="4" type="noConversion"/>
  </si>
  <si>
    <t>3M</t>
    <phoneticPr fontId="4" type="noConversion"/>
  </si>
  <si>
    <t>Maturity</t>
    <phoneticPr fontId="4" type="noConversion"/>
  </si>
  <si>
    <t>Fixed Schedule</t>
    <phoneticPr fontId="4" type="noConversion"/>
  </si>
  <si>
    <t>Start Date</t>
    <phoneticPr fontId="4" type="noConversion"/>
  </si>
  <si>
    <t>End Date</t>
    <phoneticPr fontId="4" type="noConversion"/>
  </si>
  <si>
    <t>Float Schedule</t>
    <phoneticPr fontId="4" type="noConversion"/>
  </si>
  <si>
    <t>Index</t>
    <phoneticPr fontId="4" type="noConversion"/>
  </si>
  <si>
    <t>Vanilla Swap</t>
    <phoneticPr fontId="4" type="noConversion"/>
  </si>
  <si>
    <t>Swap_Curve_2012-7-5</t>
    <phoneticPr fontId="4" type="noConversion"/>
  </si>
  <si>
    <t>合计</t>
    <phoneticPr fontId="4" type="noConversion"/>
  </si>
  <si>
    <t>3Y-Swap</t>
    <phoneticPr fontId="4" type="noConversion"/>
  </si>
  <si>
    <t>Base</t>
    <phoneticPr fontId="4" type="noConversion"/>
  </si>
  <si>
    <t>P/L（百万）</t>
  </si>
  <si>
    <t>P/L（百万）</t>
    <phoneticPr fontId="10" type="noConversion"/>
  </si>
  <si>
    <t>P/L（百万）</t>
    <phoneticPr fontId="4" type="noConversion"/>
  </si>
  <si>
    <t>Regress.</t>
    <phoneticPr fontId="4" type="noConversion"/>
  </si>
  <si>
    <t>互换与国债结合</t>
    <phoneticPr fontId="10" type="noConversion"/>
  </si>
  <si>
    <t>期限</t>
    <phoneticPr fontId="4" type="noConversion"/>
  </si>
  <si>
    <t>收益率</t>
    <phoneticPr fontId="4" type="noConversion"/>
  </si>
  <si>
    <t>收益率曲线转动</t>
    <phoneticPr fontId="4" type="noConversion"/>
  </si>
  <si>
    <t>互换国债期货关键利率对冲</t>
    <phoneticPr fontId="10" type="noConversion"/>
  </si>
  <si>
    <r>
      <t>3</t>
    </r>
    <r>
      <rPr>
        <sz val="11"/>
        <color theme="1"/>
        <rFont val="宋体"/>
        <family val="3"/>
        <charset val="134"/>
      </rPr>
      <t>年期互换</t>
    </r>
    <phoneticPr fontId="10" type="noConversion"/>
  </si>
  <si>
    <t>代码</t>
    <phoneticPr fontId="10" type="noConversion"/>
  </si>
  <si>
    <r>
      <rPr>
        <b/>
        <sz val="11"/>
        <color theme="1"/>
        <rFont val="宋体"/>
        <family val="3"/>
        <charset val="134"/>
      </rPr>
      <t>传统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0" type="noConversion"/>
  </si>
  <si>
    <t>F:\Data\Curve\Standalone Curves\</t>
    <phoneticPr fontId="4" type="noConversion"/>
  </si>
  <si>
    <t>F:\Data\Curve\Bumped Curves\</t>
    <phoneticPr fontId="4" type="noConversion"/>
  </si>
  <si>
    <t>F:\data\Curve\Standalone Curves\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</si>
</sst>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 * #,##0.00_ ;_ * \-#,##0.00_ ;_ * &quot;-&quot;??_ ;_ @_ "/>
    <numFmt numFmtId="176" formatCode="yyyy/m/d;@"/>
    <numFmt numFmtId="177" formatCode="0.000"/>
    <numFmt numFmtId="178" formatCode="yyyy&quot;年&quot;m&quot;月&quot;;@"/>
    <numFmt numFmtId="179" formatCode="0.0000_ "/>
    <numFmt numFmtId="180" formatCode="0.000_ "/>
    <numFmt numFmtId="181" formatCode="0.000000000"/>
    <numFmt numFmtId="182" formatCode="0.00_ "/>
    <numFmt numFmtId="183" formatCode="0.0"/>
    <numFmt numFmtId="184" formatCode="0.0000%"/>
    <numFmt numFmtId="185" formatCode="0.000000000000000_ "/>
    <numFmt numFmtId="186" formatCode="0.0000"/>
  </numFmts>
  <fonts count="15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1"/>
      <color theme="1"/>
      <name val="宋体"/>
      <family val="2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indexed="64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2"/>
      <charset val="134"/>
    </font>
    <font>
      <b/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1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210">
    <xf numFmtId="0" fontId="0" fillId="0" borderId="0" xfId="0"/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4" fontId="5" fillId="0" borderId="0" xfId="0" applyNumberFormat="1" applyFont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177" fontId="5" fillId="0" borderId="0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10" fontId="5" fillId="0" borderId="1" xfId="1" applyNumberFormat="1" applyFont="1" applyBorder="1" applyAlignment="1">
      <alignment horizontal="center"/>
    </xf>
    <xf numFmtId="177" fontId="5" fillId="0" borderId="1" xfId="0" applyNumberFormat="1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177" fontId="5" fillId="0" borderId="6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177" fontId="5" fillId="0" borderId="8" xfId="0" applyNumberFormat="1" applyFont="1" applyBorder="1" applyAlignment="1">
      <alignment horizontal="center"/>
    </xf>
    <xf numFmtId="10" fontId="5" fillId="0" borderId="2" xfId="1" applyNumberFormat="1" applyFont="1" applyBorder="1" applyAlignment="1">
      <alignment horizontal="center"/>
    </xf>
    <xf numFmtId="10" fontId="5" fillId="0" borderId="3" xfId="1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5" fillId="0" borderId="4" xfId="0" applyNumberFormat="1" applyFont="1" applyBorder="1" applyAlignment="1">
      <alignment horizontal="center"/>
    </xf>
    <xf numFmtId="10" fontId="5" fillId="0" borderId="5" xfId="1" applyNumberFormat="1" applyFont="1" applyBorder="1" applyAlignment="1">
      <alignment horizontal="center"/>
    </xf>
    <xf numFmtId="10" fontId="5" fillId="0" borderId="7" xfId="1" applyNumberFormat="1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14" fontId="7" fillId="3" borderId="7" xfId="0" applyNumberFormat="1" applyFont="1" applyFill="1" applyBorder="1" applyAlignment="1">
      <alignment horizontal="center"/>
    </xf>
    <xf numFmtId="14" fontId="7" fillId="3" borderId="1" xfId="0" applyNumberFormat="1" applyFont="1" applyFill="1" applyBorder="1" applyAlignment="1">
      <alignment horizontal="center"/>
    </xf>
    <xf numFmtId="14" fontId="7" fillId="3" borderId="8" xfId="0" applyNumberFormat="1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14" fontId="5" fillId="4" borderId="0" xfId="0" applyNumberFormat="1" applyFont="1" applyFill="1" applyAlignment="1">
      <alignment horizontal="center"/>
    </xf>
    <xf numFmtId="10" fontId="5" fillId="4" borderId="0" xfId="1" applyNumberFormat="1" applyFont="1" applyFill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10" fontId="5" fillId="4" borderId="2" xfId="1" applyNumberFormat="1" applyFont="1" applyFill="1" applyBorder="1" applyAlignment="1">
      <alignment horizontal="center"/>
    </xf>
    <xf numFmtId="10" fontId="5" fillId="4" borderId="3" xfId="1" applyNumberFormat="1" applyFont="1" applyFill="1" applyBorder="1" applyAlignment="1">
      <alignment horizontal="center"/>
    </xf>
    <xf numFmtId="10" fontId="5" fillId="4" borderId="4" xfId="1" applyNumberFormat="1" applyFont="1" applyFill="1" applyBorder="1" applyAlignment="1">
      <alignment horizontal="center"/>
    </xf>
    <xf numFmtId="10" fontId="5" fillId="4" borderId="5" xfId="1" applyNumberFormat="1" applyFont="1" applyFill="1" applyBorder="1" applyAlignment="1">
      <alignment horizontal="center"/>
    </xf>
    <xf numFmtId="10" fontId="5" fillId="4" borderId="0" xfId="1" applyNumberFormat="1" applyFont="1" applyFill="1" applyBorder="1" applyAlignment="1">
      <alignment horizontal="center"/>
    </xf>
    <xf numFmtId="10" fontId="5" fillId="4" borderId="6" xfId="1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0" fontId="5" fillId="4" borderId="7" xfId="1" applyNumberFormat="1" applyFont="1" applyFill="1" applyBorder="1" applyAlignment="1">
      <alignment horizontal="center"/>
    </xf>
    <xf numFmtId="10" fontId="5" fillId="4" borderId="1" xfId="1" applyNumberFormat="1" applyFont="1" applyFill="1" applyBorder="1" applyAlignment="1">
      <alignment horizontal="center"/>
    </xf>
    <xf numFmtId="10" fontId="5" fillId="4" borderId="8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9" fontId="5" fillId="0" borderId="5" xfId="1" applyNumberFormat="1" applyFont="1" applyBorder="1" applyAlignment="1">
      <alignment horizontal="center"/>
    </xf>
    <xf numFmtId="9" fontId="5" fillId="0" borderId="7" xfId="1" applyNumberFormat="1" applyFont="1" applyBorder="1" applyAlignment="1">
      <alignment horizontal="center"/>
    </xf>
    <xf numFmtId="178" fontId="5" fillId="0" borderId="0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9" fontId="5" fillId="0" borderId="2" xfId="1" applyNumberFormat="1" applyFont="1" applyBorder="1" applyAlignment="1">
      <alignment horizontal="center"/>
    </xf>
    <xf numFmtId="0" fontId="7" fillId="3" borderId="1" xfId="2" applyFont="1" applyFill="1" applyBorder="1" applyAlignment="1">
      <alignment horizontal="center" vertical="center"/>
    </xf>
    <xf numFmtId="2" fontId="5" fillId="0" borderId="0" xfId="0" applyNumberFormat="1" applyFont="1" applyAlignment="1">
      <alignment horizontal="center"/>
    </xf>
    <xf numFmtId="179" fontId="5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/>
    </xf>
    <xf numFmtId="177" fontId="5" fillId="0" borderId="0" xfId="0" applyNumberFormat="1" applyFont="1" applyAlignment="1">
      <alignment horizontal="center"/>
    </xf>
    <xf numFmtId="2" fontId="5" fillId="4" borderId="0" xfId="2" applyNumberFormat="1" applyFont="1" applyFill="1" applyAlignment="1">
      <alignment horizontal="center" vertical="center"/>
    </xf>
    <xf numFmtId="0" fontId="5" fillId="4" borderId="0" xfId="2" applyFont="1" applyFill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9" fontId="5" fillId="4" borderId="0" xfId="4" applyNumberFormat="1" applyFont="1" applyFill="1" applyAlignment="1">
      <alignment horizontal="center" vertical="center"/>
    </xf>
    <xf numFmtId="10" fontId="5" fillId="4" borderId="0" xfId="4" applyNumberFormat="1" applyFont="1" applyFill="1" applyAlignment="1">
      <alignment horizontal="center" vertical="center"/>
    </xf>
    <xf numFmtId="14" fontId="5" fillId="4" borderId="0" xfId="4" applyNumberFormat="1" applyFont="1" applyFill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0" fontId="7" fillId="3" borderId="0" xfId="2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180" fontId="5" fillId="4" borderId="0" xfId="0" applyNumberFormat="1" applyFont="1" applyFill="1" applyAlignment="1">
      <alignment horizontal="center"/>
    </xf>
    <xf numFmtId="177" fontId="5" fillId="4" borderId="0" xfId="0" applyNumberFormat="1" applyFont="1" applyFill="1" applyAlignment="1">
      <alignment horizontal="center"/>
    </xf>
    <xf numFmtId="0" fontId="5" fillId="4" borderId="13" xfId="0" applyFont="1" applyFill="1" applyBorder="1" applyAlignment="1">
      <alignment horizontal="center"/>
    </xf>
    <xf numFmtId="180" fontId="5" fillId="4" borderId="13" xfId="0" applyNumberFormat="1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180" fontId="5" fillId="4" borderId="12" xfId="0" applyNumberFormat="1" applyFont="1" applyFill="1" applyBorder="1" applyAlignment="1">
      <alignment horizontal="center"/>
    </xf>
    <xf numFmtId="0" fontId="7" fillId="3" borderId="7" xfId="2" applyFont="1" applyFill="1" applyBorder="1" applyAlignment="1">
      <alignment horizontal="center" vertical="center"/>
    </xf>
    <xf numFmtId="180" fontId="5" fillId="5" borderId="5" xfId="0" applyNumberFormat="1" applyFont="1" applyFill="1" applyBorder="1" applyAlignment="1">
      <alignment horizontal="center"/>
    </xf>
    <xf numFmtId="180" fontId="5" fillId="5" borderId="15" xfId="0" applyNumberFormat="1" applyFont="1" applyFill="1" applyBorder="1" applyAlignment="1">
      <alignment horizontal="center"/>
    </xf>
    <xf numFmtId="180" fontId="5" fillId="5" borderId="9" xfId="0" applyNumberFormat="1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9" fontId="5" fillId="4" borderId="0" xfId="4" applyNumberFormat="1" applyFont="1" applyFill="1" applyAlignment="1">
      <alignment horizontal="center" vertical="center"/>
    </xf>
    <xf numFmtId="10" fontId="5" fillId="4" borderId="0" xfId="4" applyNumberFormat="1" applyFont="1" applyFill="1" applyAlignment="1">
      <alignment horizontal="center" vertical="center"/>
    </xf>
    <xf numFmtId="14" fontId="5" fillId="4" borderId="0" xfId="4" applyNumberFormat="1" applyFont="1" applyFill="1" applyAlignment="1">
      <alignment horizontal="center" vertical="center"/>
    </xf>
    <xf numFmtId="0" fontId="5" fillId="4" borderId="0" xfId="2" applyFont="1" applyFill="1" applyBorder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2" fontId="5" fillId="4" borderId="0" xfId="2" applyNumberFormat="1" applyFont="1" applyFill="1" applyAlignment="1">
      <alignment horizontal="center" vertical="center"/>
    </xf>
    <xf numFmtId="2" fontId="5" fillId="4" borderId="0" xfId="0" applyNumberFormat="1" applyFont="1" applyFill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2" fontId="5" fillId="4" borderId="0" xfId="0" applyNumberFormat="1" applyFont="1" applyFill="1" applyBorder="1" applyAlignment="1">
      <alignment horizontal="center" vertical="center"/>
    </xf>
    <xf numFmtId="2" fontId="5" fillId="4" borderId="13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0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1" fontId="5" fillId="4" borderId="14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2" fontId="5" fillId="4" borderId="3" xfId="0" applyNumberFormat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2" fontId="5" fillId="4" borderId="14" xfId="0" applyNumberFormat="1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81" fontId="5" fillId="0" borderId="0" xfId="0" applyNumberFormat="1" applyFont="1" applyAlignment="1">
      <alignment horizontal="center"/>
    </xf>
    <xf numFmtId="179" fontId="5" fillId="4" borderId="5" xfId="2" applyNumberFormat="1" applyFont="1" applyFill="1" applyBorder="1" applyAlignment="1">
      <alignment horizontal="center" vertical="center"/>
    </xf>
    <xf numFmtId="0" fontId="1" fillId="0" borderId="0" xfId="7">
      <alignment vertical="center"/>
    </xf>
    <xf numFmtId="14" fontId="5" fillId="2" borderId="0" xfId="7" applyNumberFormat="1" applyFont="1" applyFill="1" applyAlignment="1">
      <alignment horizontal="center" vertical="center"/>
    </xf>
    <xf numFmtId="2" fontId="5" fillId="2" borderId="0" xfId="7" applyNumberFormat="1" applyFont="1" applyFill="1" applyAlignment="1">
      <alignment horizontal="center" vertical="center"/>
    </xf>
    <xf numFmtId="14" fontId="5" fillId="4" borderId="0" xfId="7" applyNumberFormat="1" applyFont="1" applyFill="1" applyAlignment="1">
      <alignment horizontal="center" vertic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Border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182" fontId="5" fillId="0" borderId="0" xfId="0" applyNumberFormat="1" applyFont="1" applyAlignment="1">
      <alignment horizont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2" fontId="5" fillId="2" borderId="0" xfId="7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/>
    </xf>
    <xf numFmtId="0" fontId="1" fillId="2" borderId="0" xfId="7" applyFill="1" applyAlignment="1">
      <alignment horizontal="center" vertical="center"/>
    </xf>
    <xf numFmtId="0" fontId="5" fillId="0" borderId="1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" fontId="5" fillId="4" borderId="0" xfId="0" applyNumberFormat="1" applyFont="1" applyFill="1" applyAlignment="1">
      <alignment horizontal="center"/>
    </xf>
    <xf numFmtId="0" fontId="5" fillId="4" borderId="14" xfId="0" applyFont="1" applyFill="1" applyBorder="1" applyAlignment="1">
      <alignment horizontal="center"/>
    </xf>
    <xf numFmtId="180" fontId="5" fillId="4" borderId="0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180" fontId="5" fillId="4" borderId="4" xfId="0" applyNumberFormat="1" applyFont="1" applyFill="1" applyBorder="1" applyAlignment="1">
      <alignment horizontal="center"/>
    </xf>
    <xf numFmtId="180" fontId="5" fillId="4" borderId="3" xfId="0" applyNumberFormat="1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5" fillId="4" borderId="12" xfId="7" applyFont="1" applyFill="1" applyBorder="1" applyAlignment="1">
      <alignment horizontal="center" vertical="center"/>
    </xf>
    <xf numFmtId="0" fontId="7" fillId="3" borderId="12" xfId="7" applyFont="1" applyFill="1" applyBorder="1" applyAlignment="1">
      <alignment horizontal="center" vertical="center"/>
    </xf>
    <xf numFmtId="0" fontId="13" fillId="4" borderId="0" xfId="7" applyFont="1" applyFill="1" applyBorder="1" applyAlignment="1">
      <alignment horizontal="center" vertical="center"/>
    </xf>
    <xf numFmtId="180" fontId="5" fillId="4" borderId="0" xfId="7" applyNumberFormat="1" applyFont="1" applyFill="1" applyBorder="1" applyAlignment="1">
      <alignment horizontal="center" vertical="center"/>
    </xf>
    <xf numFmtId="0" fontId="8" fillId="4" borderId="14" xfId="7" applyFont="1" applyFill="1" applyBorder="1" applyAlignment="1">
      <alignment horizontal="center" vertical="center"/>
    </xf>
    <xf numFmtId="177" fontId="5" fillId="4" borderId="14" xfId="7" applyNumberFormat="1" applyFont="1" applyFill="1" applyBorder="1" applyAlignment="1">
      <alignment horizontal="center" vertical="center"/>
    </xf>
    <xf numFmtId="180" fontId="5" fillId="4" borderId="14" xfId="7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9" fillId="2" borderId="0" xfId="0" applyFont="1" applyFill="1" applyAlignment="1">
      <alignment horizontal="center"/>
    </xf>
    <xf numFmtId="177" fontId="5" fillId="4" borderId="6" xfId="0" applyNumberFormat="1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177" fontId="5" fillId="4" borderId="0" xfId="0" applyNumberFormat="1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183" fontId="5" fillId="4" borderId="0" xfId="7" applyNumberFormat="1" applyFont="1" applyFill="1" applyAlignment="1">
      <alignment horizontal="center" vertical="center"/>
    </xf>
    <xf numFmtId="1" fontId="5" fillId="4" borderId="0" xfId="7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31" fontId="5" fillId="0" borderId="0" xfId="0" applyNumberFormat="1" applyFont="1" applyBorder="1" applyAlignment="1">
      <alignment horizontal="center"/>
    </xf>
    <xf numFmtId="9" fontId="5" fillId="0" borderId="0" xfId="1" applyNumberFormat="1" applyFont="1" applyBorder="1" applyAlignment="1">
      <alignment horizontal="center"/>
    </xf>
    <xf numFmtId="9" fontId="5" fillId="0" borderId="4" xfId="0" applyNumberFormat="1" applyFont="1" applyBorder="1" applyAlignment="1">
      <alignment horizontal="center"/>
    </xf>
    <xf numFmtId="9" fontId="5" fillId="0" borderId="6" xfId="0" applyNumberFormat="1" applyFont="1" applyBorder="1" applyAlignment="1">
      <alignment horizontal="center"/>
    </xf>
    <xf numFmtId="9" fontId="5" fillId="0" borderId="8" xfId="0" applyNumberFormat="1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/>
    </xf>
    <xf numFmtId="14" fontId="7" fillId="3" borderId="11" xfId="0" applyNumberFormat="1" applyFont="1" applyFill="1" applyBorder="1" applyAlignment="1">
      <alignment horizontal="center"/>
    </xf>
    <xf numFmtId="14" fontId="5" fillId="0" borderId="6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10" fontId="5" fillId="0" borderId="0" xfId="1" applyNumberFormat="1" applyFont="1" applyAlignment="1">
      <alignment horizontal="center"/>
    </xf>
    <xf numFmtId="14" fontId="5" fillId="2" borderId="0" xfId="0" applyNumberFormat="1" applyFont="1" applyFill="1" applyAlignment="1">
      <alignment horizontal="center"/>
    </xf>
    <xf numFmtId="184" fontId="5" fillId="0" borderId="0" xfId="1" applyNumberFormat="1" applyFont="1" applyAlignment="1">
      <alignment horizontal="center"/>
    </xf>
    <xf numFmtId="0" fontId="9" fillId="4" borderId="12" xfId="0" applyFont="1" applyFill="1" applyBorder="1" applyAlignment="1">
      <alignment horizontal="center"/>
    </xf>
    <xf numFmtId="179" fontId="7" fillId="3" borderId="0" xfId="0" applyNumberFormat="1" applyFont="1" applyFill="1" applyAlignment="1">
      <alignment horizontal="center"/>
    </xf>
    <xf numFmtId="1" fontId="5" fillId="2" borderId="0" xfId="0" applyNumberFormat="1" applyFont="1" applyFill="1" applyAlignment="1">
      <alignment horizontal="center"/>
    </xf>
    <xf numFmtId="185" fontId="5" fillId="0" borderId="0" xfId="0" applyNumberFormat="1" applyFont="1" applyAlignment="1">
      <alignment horizontal="center"/>
    </xf>
    <xf numFmtId="0" fontId="8" fillId="3" borderId="12" xfId="7" applyFont="1" applyFill="1" applyBorder="1" applyAlignment="1">
      <alignment horizontal="center" vertical="center"/>
    </xf>
    <xf numFmtId="186" fontId="5" fillId="0" borderId="0" xfId="0" applyNumberFormat="1" applyFont="1" applyAlignment="1">
      <alignment horizontal="center"/>
    </xf>
    <xf numFmtId="9" fontId="0" fillId="0" borderId="0" xfId="1" applyFont="1" applyAlignment="1"/>
    <xf numFmtId="0" fontId="5" fillId="2" borderId="0" xfId="0" applyFont="1" applyFill="1" applyBorder="1" applyAlignment="1">
      <alignment horizontal="center"/>
    </xf>
    <xf numFmtId="0" fontId="13" fillId="2" borderId="19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8" fillId="2" borderId="21" xfId="0" applyFont="1" applyFill="1" applyBorder="1" applyAlignment="1">
      <alignment horizontal="center"/>
    </xf>
    <xf numFmtId="0" fontId="13" fillId="3" borderId="19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/>
    </xf>
    <xf numFmtId="0" fontId="7" fillId="3" borderId="20" xfId="0" applyFont="1" applyFill="1" applyBorder="1" applyAlignment="1">
      <alignment horizontal="center" vertical="center"/>
    </xf>
    <xf numFmtId="2" fontId="5" fillId="4" borderId="7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2" fontId="5" fillId="4" borderId="8" xfId="2" applyNumberFormat="1" applyFont="1" applyFill="1" applyBorder="1" applyAlignment="1">
      <alignment horizontal="center" vertical="center"/>
    </xf>
    <xf numFmtId="0" fontId="7" fillId="3" borderId="19" xfId="2" applyFont="1" applyFill="1" applyBorder="1" applyAlignment="1">
      <alignment horizontal="center" vertical="center"/>
    </xf>
  </cellXfs>
  <cellStyles count="10">
    <cellStyle name="百分比" xfId="1" builtinId="5"/>
    <cellStyle name="百分比 2" xfId="4"/>
    <cellStyle name="百分比 3" xfId="8"/>
    <cellStyle name="常规" xfId="0" builtinId="0"/>
    <cellStyle name="常规 2" xfId="3"/>
    <cellStyle name="常规 3" xfId="6"/>
    <cellStyle name="常规 4" xfId="2"/>
    <cellStyle name="常规 5" xfId="7"/>
    <cellStyle name="千位分隔 2" xfId="5"/>
    <cellStyle name="千位分隔 3" xfId="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86848296230792E-2"/>
          <c:y val="3.5634895230076319E-2"/>
          <c:w val="0.88590103342913673"/>
          <c:h val="0.86493600680140648"/>
        </c:manualLayout>
      </c:layout>
      <c:lineChart>
        <c:grouping val="standard"/>
        <c:varyColors val="0"/>
        <c:ser>
          <c:idx val="0"/>
          <c:order val="0"/>
          <c:tx>
            <c:strRef>
              <c:f>'中大 &amp; 中债'!$C$9</c:f>
              <c:strCache>
                <c:ptCount val="1"/>
                <c:pt idx="0">
                  <c:v>中大期货即期收益率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41450</c:v>
                </c:pt>
                <c:pt idx="1">
                  <c:v>41815</c:v>
                </c:pt>
                <c:pt idx="2">
                  <c:v>42180</c:v>
                </c:pt>
                <c:pt idx="3">
                  <c:v>42546</c:v>
                </c:pt>
                <c:pt idx="4">
                  <c:v>42911</c:v>
                </c:pt>
                <c:pt idx="5">
                  <c:v>43276</c:v>
                </c:pt>
                <c:pt idx="6">
                  <c:v>43641</c:v>
                </c:pt>
                <c:pt idx="7">
                  <c:v>44007</c:v>
                </c:pt>
                <c:pt idx="8">
                  <c:v>44372</c:v>
                </c:pt>
                <c:pt idx="9">
                  <c:v>44737</c:v>
                </c:pt>
                <c:pt idx="10">
                  <c:v>45102</c:v>
                </c:pt>
                <c:pt idx="11">
                  <c:v>45468</c:v>
                </c:pt>
                <c:pt idx="12">
                  <c:v>45833</c:v>
                </c:pt>
                <c:pt idx="13">
                  <c:v>46198</c:v>
                </c:pt>
                <c:pt idx="14">
                  <c:v>46563</c:v>
                </c:pt>
                <c:pt idx="15">
                  <c:v>46929</c:v>
                </c:pt>
                <c:pt idx="16">
                  <c:v>47294</c:v>
                </c:pt>
                <c:pt idx="17">
                  <c:v>47659</c:v>
                </c:pt>
                <c:pt idx="18">
                  <c:v>48024</c:v>
                </c:pt>
                <c:pt idx="19">
                  <c:v>48390</c:v>
                </c:pt>
                <c:pt idx="20">
                  <c:v>48755</c:v>
                </c:pt>
                <c:pt idx="21">
                  <c:v>49120</c:v>
                </c:pt>
                <c:pt idx="22">
                  <c:v>49485</c:v>
                </c:pt>
                <c:pt idx="23">
                  <c:v>49851</c:v>
                </c:pt>
                <c:pt idx="24">
                  <c:v>50216</c:v>
                </c:pt>
                <c:pt idx="25">
                  <c:v>50581</c:v>
                </c:pt>
                <c:pt idx="26">
                  <c:v>50946</c:v>
                </c:pt>
                <c:pt idx="27">
                  <c:v>51312</c:v>
                </c:pt>
                <c:pt idx="28">
                  <c:v>51677</c:v>
                </c:pt>
                <c:pt idx="29">
                  <c:v>52042</c:v>
                </c:pt>
              </c:numCache>
            </c:numRef>
          </c:cat>
          <c:val>
            <c:numRef>
              <c:f>'中大 &amp; 中债'!$C$11:$C$40</c:f>
              <c:numCache>
                <c:formatCode>0.00%</c:formatCode>
                <c:ptCount val="30"/>
                <c:pt idx="0">
                  <c:v>2.8899382781881755E-2</c:v>
                </c:pt>
                <c:pt idx="1">
                  <c:v>2.8899382781881755E-2</c:v>
                </c:pt>
                <c:pt idx="2">
                  <c:v>2.8899382781881533E-2</c:v>
                </c:pt>
                <c:pt idx="3">
                  <c:v>2.8899382781881533E-2</c:v>
                </c:pt>
                <c:pt idx="4">
                  <c:v>2.9279430152130859E-2</c:v>
                </c:pt>
                <c:pt idx="5">
                  <c:v>3.9426895180740384E-2</c:v>
                </c:pt>
                <c:pt idx="6">
                  <c:v>3.2582862360141185E-2</c:v>
                </c:pt>
                <c:pt idx="7">
                  <c:v>3.5625770942550039E-2</c:v>
                </c:pt>
                <c:pt idx="8">
                  <c:v>3.4656442645569774E-2</c:v>
                </c:pt>
                <c:pt idx="9">
                  <c:v>3.555770412116166E-2</c:v>
                </c:pt>
                <c:pt idx="10">
                  <c:v>3.5357974821753624E-2</c:v>
                </c:pt>
                <c:pt idx="11">
                  <c:v>3.586546814795577E-2</c:v>
                </c:pt>
                <c:pt idx="12">
                  <c:v>4.3416604812970272E-2</c:v>
                </c:pt>
                <c:pt idx="13">
                  <c:v>4.3483917466367483E-2</c:v>
                </c:pt>
                <c:pt idx="14">
                  <c:v>3.8948136077009643E-2</c:v>
                </c:pt>
                <c:pt idx="15">
                  <c:v>4.0072297069809526E-2</c:v>
                </c:pt>
                <c:pt idx="16">
                  <c:v>4.0220257047030694E-2</c:v>
                </c:pt>
                <c:pt idx="17">
                  <c:v>4.1292353409906335E-2</c:v>
                </c:pt>
                <c:pt idx="18">
                  <c:v>4.2311582923424629E-2</c:v>
                </c:pt>
                <c:pt idx="19">
                  <c:v>4.2367919207282556E-2</c:v>
                </c:pt>
                <c:pt idx="20">
                  <c:v>4.2436465256721956E-2</c:v>
                </c:pt>
                <c:pt idx="21">
                  <c:v>4.2498783758653458E-2</c:v>
                </c:pt>
                <c:pt idx="22">
                  <c:v>4.2555686514060609E-2</c:v>
                </c:pt>
                <c:pt idx="23">
                  <c:v>4.2607850101648914E-2</c:v>
                </c:pt>
                <c:pt idx="24">
                  <c:v>4.2661504279246865E-2</c:v>
                </c:pt>
                <c:pt idx="25">
                  <c:v>4.2758558523446677E-2</c:v>
                </c:pt>
                <c:pt idx="26">
                  <c:v>4.3467848262394027E-2</c:v>
                </c:pt>
                <c:pt idx="27">
                  <c:v>4.4425873904717195E-2</c:v>
                </c:pt>
                <c:pt idx="28">
                  <c:v>4.4889194239424501E-2</c:v>
                </c:pt>
                <c:pt idx="29">
                  <c:v>4.4970549956044881E-2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中债'!$D$9</c:f>
              <c:strCache>
                <c:ptCount val="1"/>
                <c:pt idx="0">
                  <c:v>中债公司即期收益率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41450</c:v>
                </c:pt>
                <c:pt idx="1">
                  <c:v>41815</c:v>
                </c:pt>
                <c:pt idx="2">
                  <c:v>42180</c:v>
                </c:pt>
                <c:pt idx="3">
                  <c:v>42546</c:v>
                </c:pt>
                <c:pt idx="4">
                  <c:v>42911</c:v>
                </c:pt>
                <c:pt idx="5">
                  <c:v>43276</c:v>
                </c:pt>
                <c:pt idx="6">
                  <c:v>43641</c:v>
                </c:pt>
                <c:pt idx="7">
                  <c:v>44007</c:v>
                </c:pt>
                <c:pt idx="8">
                  <c:v>44372</c:v>
                </c:pt>
                <c:pt idx="9">
                  <c:v>44737</c:v>
                </c:pt>
                <c:pt idx="10">
                  <c:v>45102</c:v>
                </c:pt>
                <c:pt idx="11">
                  <c:v>45468</c:v>
                </c:pt>
                <c:pt idx="12">
                  <c:v>45833</c:v>
                </c:pt>
                <c:pt idx="13">
                  <c:v>46198</c:v>
                </c:pt>
                <c:pt idx="14">
                  <c:v>46563</c:v>
                </c:pt>
                <c:pt idx="15">
                  <c:v>46929</c:v>
                </c:pt>
                <c:pt idx="16">
                  <c:v>47294</c:v>
                </c:pt>
                <c:pt idx="17">
                  <c:v>47659</c:v>
                </c:pt>
                <c:pt idx="18">
                  <c:v>48024</c:v>
                </c:pt>
                <c:pt idx="19">
                  <c:v>48390</c:v>
                </c:pt>
                <c:pt idx="20">
                  <c:v>48755</c:v>
                </c:pt>
                <c:pt idx="21">
                  <c:v>49120</c:v>
                </c:pt>
                <c:pt idx="22">
                  <c:v>49485</c:v>
                </c:pt>
                <c:pt idx="23">
                  <c:v>49851</c:v>
                </c:pt>
                <c:pt idx="24">
                  <c:v>50216</c:v>
                </c:pt>
                <c:pt idx="25">
                  <c:v>50581</c:v>
                </c:pt>
                <c:pt idx="26">
                  <c:v>50946</c:v>
                </c:pt>
                <c:pt idx="27">
                  <c:v>51312</c:v>
                </c:pt>
                <c:pt idx="28">
                  <c:v>51677</c:v>
                </c:pt>
                <c:pt idx="29">
                  <c:v>52042</c:v>
                </c:pt>
              </c:numCache>
            </c:numRef>
          </c:cat>
          <c:val>
            <c:numRef>
              <c:f>'中大 &amp; 中债'!$D$11:$D$40</c:f>
              <c:numCache>
                <c:formatCode>0.00%</c:formatCode>
                <c:ptCount val="30"/>
                <c:pt idx="0">
                  <c:v>2.3666E-2</c:v>
                </c:pt>
                <c:pt idx="1">
                  <c:v>2.4373999999999996E-2</c:v>
                </c:pt>
                <c:pt idx="2">
                  <c:v>2.6631999999999999E-2</c:v>
                </c:pt>
                <c:pt idx="3">
                  <c:v>2.7864E-2</c:v>
                </c:pt>
                <c:pt idx="4">
                  <c:v>3.0438E-2</c:v>
                </c:pt>
                <c:pt idx="5">
                  <c:v>3.1941000000000004E-2</c:v>
                </c:pt>
                <c:pt idx="6">
                  <c:v>3.2507000000000001E-2</c:v>
                </c:pt>
                <c:pt idx="7">
                  <c:v>3.4431999999999997E-2</c:v>
                </c:pt>
                <c:pt idx="8">
                  <c:v>3.4449E-2</c:v>
                </c:pt>
                <c:pt idx="9">
                  <c:v>3.4411999999999998E-2</c:v>
                </c:pt>
                <c:pt idx="10">
                  <c:v>3.4668000000000004E-2</c:v>
                </c:pt>
                <c:pt idx="11">
                  <c:v>3.5320999999999998E-2</c:v>
                </c:pt>
                <c:pt idx="12">
                  <c:v>3.6213999999999996E-2</c:v>
                </c:pt>
                <c:pt idx="13">
                  <c:v>3.7180999999999999E-2</c:v>
                </c:pt>
                <c:pt idx="14">
                  <c:v>3.8043E-2</c:v>
                </c:pt>
                <c:pt idx="15">
                  <c:v>3.8803000000000004E-2</c:v>
                </c:pt>
                <c:pt idx="16">
                  <c:v>3.9578000000000002E-2</c:v>
                </c:pt>
                <c:pt idx="17">
                  <c:v>4.0350000000000004E-2</c:v>
                </c:pt>
                <c:pt idx="18">
                  <c:v>4.1098999999999997E-2</c:v>
                </c:pt>
                <c:pt idx="19">
                  <c:v>4.1801000000000005E-2</c:v>
                </c:pt>
                <c:pt idx="20">
                  <c:v>4.2389000000000003E-2</c:v>
                </c:pt>
                <c:pt idx="21">
                  <c:v>4.2824000000000001E-2</c:v>
                </c:pt>
                <c:pt idx="22">
                  <c:v>4.3127000000000006E-2</c:v>
                </c:pt>
                <c:pt idx="23">
                  <c:v>4.3321999999999999E-2</c:v>
                </c:pt>
                <c:pt idx="24">
                  <c:v>4.3434E-2</c:v>
                </c:pt>
                <c:pt idx="25">
                  <c:v>4.3493000000000004E-2</c:v>
                </c:pt>
                <c:pt idx="26">
                  <c:v>4.3526999999999996E-2</c:v>
                </c:pt>
                <c:pt idx="27">
                  <c:v>4.3570000000000005E-2</c:v>
                </c:pt>
                <c:pt idx="28">
                  <c:v>4.3654999999999999E-2</c:v>
                </c:pt>
                <c:pt idx="29">
                  <c:v>4.3822E-2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71776"/>
        <c:axId val="485429632"/>
      </c:lineChart>
      <c:lineChart>
        <c:grouping val="standard"/>
        <c:varyColors val="0"/>
        <c:ser>
          <c:idx val="2"/>
          <c:order val="2"/>
          <c:tx>
            <c:strRef>
              <c:f>'中大 &amp; 中债'!$E$9</c:f>
              <c:strCache>
                <c:ptCount val="1"/>
                <c:pt idx="0">
                  <c:v>中大期货折现因子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41450</c:v>
                </c:pt>
                <c:pt idx="1">
                  <c:v>41815</c:v>
                </c:pt>
                <c:pt idx="2">
                  <c:v>42180</c:v>
                </c:pt>
                <c:pt idx="3">
                  <c:v>42546</c:v>
                </c:pt>
                <c:pt idx="4">
                  <c:v>42911</c:v>
                </c:pt>
                <c:pt idx="5">
                  <c:v>43276</c:v>
                </c:pt>
                <c:pt idx="6">
                  <c:v>43641</c:v>
                </c:pt>
                <c:pt idx="7">
                  <c:v>44007</c:v>
                </c:pt>
                <c:pt idx="8">
                  <c:v>44372</c:v>
                </c:pt>
                <c:pt idx="9">
                  <c:v>44737</c:v>
                </c:pt>
                <c:pt idx="10">
                  <c:v>45102</c:v>
                </c:pt>
                <c:pt idx="11">
                  <c:v>45468</c:v>
                </c:pt>
                <c:pt idx="12">
                  <c:v>45833</c:v>
                </c:pt>
                <c:pt idx="13">
                  <c:v>46198</c:v>
                </c:pt>
                <c:pt idx="14">
                  <c:v>46563</c:v>
                </c:pt>
                <c:pt idx="15">
                  <c:v>46929</c:v>
                </c:pt>
                <c:pt idx="16">
                  <c:v>47294</c:v>
                </c:pt>
                <c:pt idx="17">
                  <c:v>47659</c:v>
                </c:pt>
                <c:pt idx="18">
                  <c:v>48024</c:v>
                </c:pt>
                <c:pt idx="19">
                  <c:v>48390</c:v>
                </c:pt>
                <c:pt idx="20">
                  <c:v>48755</c:v>
                </c:pt>
                <c:pt idx="21">
                  <c:v>49120</c:v>
                </c:pt>
                <c:pt idx="22">
                  <c:v>49485</c:v>
                </c:pt>
                <c:pt idx="23">
                  <c:v>49851</c:v>
                </c:pt>
                <c:pt idx="24">
                  <c:v>50216</c:v>
                </c:pt>
                <c:pt idx="25">
                  <c:v>50581</c:v>
                </c:pt>
                <c:pt idx="26">
                  <c:v>50946</c:v>
                </c:pt>
                <c:pt idx="27">
                  <c:v>51312</c:v>
                </c:pt>
                <c:pt idx="28">
                  <c:v>51677</c:v>
                </c:pt>
                <c:pt idx="29">
                  <c:v>52042</c:v>
                </c:pt>
              </c:numCache>
            </c:numRef>
          </c:cat>
          <c:val>
            <c:numRef>
              <c:f>'中大 &amp; 中债'!$E$11:$E$40</c:f>
              <c:numCache>
                <c:formatCode>0.000</c:formatCode>
                <c:ptCount val="30"/>
                <c:pt idx="0">
                  <c:v>0.97191233344533157</c:v>
                </c:pt>
                <c:pt idx="1">
                  <c:v>0.94461358390314942</c:v>
                </c:pt>
                <c:pt idx="2">
                  <c:v>0.91808159253546751</c:v>
                </c:pt>
                <c:pt idx="3">
                  <c:v>0.89229482289435236</c:v>
                </c:pt>
                <c:pt idx="4">
                  <c:v>0.86563245686456036</c:v>
                </c:pt>
                <c:pt idx="5">
                  <c:v>0.79293264839723687</c:v>
                </c:pt>
                <c:pt idx="6">
                  <c:v>0.79896105455151412</c:v>
                </c:pt>
                <c:pt idx="7">
                  <c:v>0.75574834971230087</c:v>
                </c:pt>
                <c:pt idx="8">
                  <c:v>0.7359266031086712</c:v>
                </c:pt>
                <c:pt idx="9">
                  <c:v>0.70511013991486571</c:v>
                </c:pt>
                <c:pt idx="10">
                  <c:v>0.68234519413969819</c:v>
                </c:pt>
                <c:pt idx="11">
                  <c:v>0.65517864448542729</c:v>
                </c:pt>
                <c:pt idx="12">
                  <c:v>0.57550530485404605</c:v>
                </c:pt>
                <c:pt idx="13">
                  <c:v>0.55106059983159572</c:v>
                </c:pt>
                <c:pt idx="14">
                  <c:v>0.56375703700098301</c:v>
                </c:pt>
                <c:pt idx="15">
                  <c:v>0.53331468033466545</c:v>
                </c:pt>
                <c:pt idx="16">
                  <c:v>0.51152843794305702</c:v>
                </c:pt>
                <c:pt idx="17">
                  <c:v>0.48271608887064732</c:v>
                </c:pt>
                <c:pt idx="18">
                  <c:v>0.45503655232661827</c:v>
                </c:pt>
                <c:pt idx="19">
                  <c:v>0.43609315107309438</c:v>
                </c:pt>
                <c:pt idx="20">
                  <c:v>0.4177904479097132</c:v>
                </c:pt>
                <c:pt idx="21">
                  <c:v>0.40025590389366678</c:v>
                </c:pt>
                <c:pt idx="22">
                  <c:v>0.383457279608167</c:v>
                </c:pt>
                <c:pt idx="23">
                  <c:v>0.36736368871540481</c:v>
                </c:pt>
                <c:pt idx="24">
                  <c:v>0.35189777003713657</c:v>
                </c:pt>
                <c:pt idx="25">
                  <c:v>0.33668375408244905</c:v>
                </c:pt>
                <c:pt idx="26">
                  <c:v>0.31700422987086718</c:v>
                </c:pt>
                <c:pt idx="27">
                  <c:v>0.29609193508600773</c:v>
                </c:pt>
                <c:pt idx="28">
                  <c:v>0.27987435136643835</c:v>
                </c:pt>
                <c:pt idx="29">
                  <c:v>0.26722585085636513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'中大 &amp; 中债'!$F$9</c:f>
              <c:strCache>
                <c:ptCount val="1"/>
                <c:pt idx="0">
                  <c:v>中债公司折现因子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41450</c:v>
                </c:pt>
                <c:pt idx="1">
                  <c:v>41815</c:v>
                </c:pt>
                <c:pt idx="2">
                  <c:v>42180</c:v>
                </c:pt>
                <c:pt idx="3">
                  <c:v>42546</c:v>
                </c:pt>
                <c:pt idx="4">
                  <c:v>42911</c:v>
                </c:pt>
                <c:pt idx="5">
                  <c:v>43276</c:v>
                </c:pt>
                <c:pt idx="6">
                  <c:v>43641</c:v>
                </c:pt>
                <c:pt idx="7">
                  <c:v>44007</c:v>
                </c:pt>
                <c:pt idx="8">
                  <c:v>44372</c:v>
                </c:pt>
                <c:pt idx="9">
                  <c:v>44737</c:v>
                </c:pt>
                <c:pt idx="10">
                  <c:v>45102</c:v>
                </c:pt>
                <c:pt idx="11">
                  <c:v>45468</c:v>
                </c:pt>
                <c:pt idx="12">
                  <c:v>45833</c:v>
                </c:pt>
                <c:pt idx="13">
                  <c:v>46198</c:v>
                </c:pt>
                <c:pt idx="14">
                  <c:v>46563</c:v>
                </c:pt>
                <c:pt idx="15">
                  <c:v>46929</c:v>
                </c:pt>
                <c:pt idx="16">
                  <c:v>47294</c:v>
                </c:pt>
                <c:pt idx="17">
                  <c:v>47659</c:v>
                </c:pt>
                <c:pt idx="18">
                  <c:v>48024</c:v>
                </c:pt>
                <c:pt idx="19">
                  <c:v>48390</c:v>
                </c:pt>
                <c:pt idx="20">
                  <c:v>48755</c:v>
                </c:pt>
                <c:pt idx="21">
                  <c:v>49120</c:v>
                </c:pt>
                <c:pt idx="22">
                  <c:v>49485</c:v>
                </c:pt>
                <c:pt idx="23">
                  <c:v>49851</c:v>
                </c:pt>
                <c:pt idx="24">
                  <c:v>50216</c:v>
                </c:pt>
                <c:pt idx="25">
                  <c:v>50581</c:v>
                </c:pt>
                <c:pt idx="26">
                  <c:v>50946</c:v>
                </c:pt>
                <c:pt idx="27">
                  <c:v>51312</c:v>
                </c:pt>
                <c:pt idx="28">
                  <c:v>51677</c:v>
                </c:pt>
                <c:pt idx="29">
                  <c:v>52042</c:v>
                </c:pt>
              </c:numCache>
            </c:numRef>
          </c:cat>
          <c:val>
            <c:numRef>
              <c:f>'中大 &amp; 中债'!$F$11:$F$40</c:f>
              <c:numCache>
                <c:formatCode>0.000</c:formatCode>
                <c:ptCount val="30"/>
                <c:pt idx="0">
                  <c:v>0.97688113115019937</c:v>
                </c:pt>
                <c:pt idx="1">
                  <c:v>0.95297806858411005</c:v>
                </c:pt>
                <c:pt idx="2">
                  <c:v>0.92417796364293292</c:v>
                </c:pt>
                <c:pt idx="3">
                  <c:v>0.89589554661176274</c:v>
                </c:pt>
                <c:pt idx="4">
                  <c:v>0.86077703134329075</c:v>
                </c:pt>
                <c:pt idx="5">
                  <c:v>0.82807713618303103</c:v>
                </c:pt>
                <c:pt idx="6">
                  <c:v>0.79937206486939871</c:v>
                </c:pt>
                <c:pt idx="7">
                  <c:v>0.76275387855067323</c:v>
                </c:pt>
                <c:pt idx="8">
                  <c:v>0.73725587664164416</c:v>
                </c:pt>
                <c:pt idx="9">
                  <c:v>0.71295890757527691</c:v>
                </c:pt>
                <c:pt idx="10">
                  <c:v>0.68736720433466525</c:v>
                </c:pt>
                <c:pt idx="11">
                  <c:v>0.65932527154853982</c:v>
                </c:pt>
                <c:pt idx="12">
                  <c:v>0.62973390567659171</c:v>
                </c:pt>
                <c:pt idx="13">
                  <c:v>0.59984116518404984</c:v>
                </c:pt>
                <c:pt idx="14">
                  <c:v>0.57117585153875838</c:v>
                </c:pt>
                <c:pt idx="15">
                  <c:v>0.54383715737513327</c:v>
                </c:pt>
                <c:pt idx="16">
                  <c:v>0.51692749980622688</c:v>
                </c:pt>
                <c:pt idx="17">
                  <c:v>0.49064741249411253</c:v>
                </c:pt>
                <c:pt idx="18">
                  <c:v>0.46521257210754557</c:v>
                </c:pt>
                <c:pt idx="19">
                  <c:v>0.44086396341153683</c:v>
                </c:pt>
                <c:pt idx="20">
                  <c:v>0.4181901363462322</c:v>
                </c:pt>
                <c:pt idx="21">
                  <c:v>0.39751874411785093</c:v>
                </c:pt>
                <c:pt idx="22">
                  <c:v>0.37865588056384925</c:v>
                </c:pt>
                <c:pt idx="23">
                  <c:v>0.36137594019856173</c:v>
                </c:pt>
                <c:pt idx="24">
                  <c:v>0.34544220768048872</c:v>
                </c:pt>
                <c:pt idx="25">
                  <c:v>0.33057648568812675</c:v>
                </c:pt>
                <c:pt idx="26">
                  <c:v>0.31651941867523564</c:v>
                </c:pt>
                <c:pt idx="27">
                  <c:v>0.30296719029561531</c:v>
                </c:pt>
                <c:pt idx="28">
                  <c:v>0.28963311512002837</c:v>
                </c:pt>
                <c:pt idx="29">
                  <c:v>0.27618915461665672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32704"/>
        <c:axId val="485431168"/>
      </c:lineChart>
      <c:dateAx>
        <c:axId val="484571776"/>
        <c:scaling>
          <c:orientation val="minMax"/>
        </c:scaling>
        <c:delete val="0"/>
        <c:axPos val="b"/>
        <c:numFmt formatCode="yyyy&quot;年&quot;m&quot;月&quot;;@" sourceLinked="0"/>
        <c:majorTickMark val="none"/>
        <c:minorTickMark val="none"/>
        <c:tickLblPos val="nextTo"/>
        <c:crossAx val="485429632"/>
        <c:crosses val="autoZero"/>
        <c:auto val="1"/>
        <c:lblOffset val="100"/>
        <c:baseTimeUnit val="years"/>
        <c:majorUnit val="5"/>
        <c:majorTimeUnit val="years"/>
        <c:minorUnit val="1"/>
        <c:minorTimeUnit val="years"/>
      </c:dateAx>
      <c:valAx>
        <c:axId val="4854296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crossAx val="484571776"/>
        <c:crosses val="autoZero"/>
        <c:crossBetween val="between"/>
      </c:valAx>
      <c:valAx>
        <c:axId val="485431168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485432704"/>
        <c:crosses val="max"/>
        <c:crossBetween val="between"/>
      </c:valAx>
      <c:dateAx>
        <c:axId val="485432704"/>
        <c:scaling>
          <c:orientation val="minMax"/>
        </c:scaling>
        <c:delete val="1"/>
        <c:axPos val="b"/>
        <c:numFmt formatCode="yyyy-m-d" sourceLinked="1"/>
        <c:majorTickMark val="out"/>
        <c:minorTickMark val="none"/>
        <c:tickLblPos val="nextTo"/>
        <c:crossAx val="485431168"/>
        <c:crosses val="autoZero"/>
        <c:auto val="1"/>
        <c:lblOffset val="100"/>
        <c:baseTimeUnit val="years"/>
      </c:dateAx>
    </c:plotArea>
    <c:legend>
      <c:legendPos val="b"/>
      <c:layout>
        <c:manualLayout>
          <c:xMode val="edge"/>
          <c:yMode val="edge"/>
          <c:x val="0.10604751619870412"/>
          <c:y val="0.77851639354688851"/>
          <c:w val="0.75334773218142559"/>
          <c:h val="4.00175088472128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收益里曲线平行移动（</a:t>
            </a:r>
            <a:r>
              <a:rPr lang="en-US" altLang="zh-CN"/>
              <a:t>2012</a:t>
            </a:r>
            <a:r>
              <a:rPr lang="zh-CN" altLang="en-US"/>
              <a:t>年</a:t>
            </a:r>
            <a:r>
              <a:rPr lang="en-US" altLang="zh-CN"/>
              <a:t>7</a:t>
            </a:r>
            <a:r>
              <a:rPr lang="zh-CN" altLang="en-US"/>
              <a:t>月</a:t>
            </a:r>
            <a:r>
              <a:rPr lang="en-US" altLang="zh-CN"/>
              <a:t>5</a:t>
            </a:r>
            <a:r>
              <a:rPr lang="zh-CN" altLang="en-US"/>
              <a:t>日）</a:t>
            </a:r>
          </a:p>
        </c:rich>
      </c:tx>
      <c:layout>
        <c:manualLayout>
          <c:xMode val="edge"/>
          <c:yMode val="edge"/>
          <c:x val="0.25306572215663126"/>
          <c:y val="3.849855241401080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'中大 &amp; 中债'!$C$43</c:f>
              <c:strCache>
                <c:ptCount val="1"/>
                <c:pt idx="0">
                  <c:v>基础曲线（2012年7月5日）</c:v>
                </c:pt>
              </c:strCache>
            </c:strRef>
          </c:tx>
          <c:marker>
            <c:symbol val="none"/>
          </c:marker>
          <c:cat>
            <c:numRef>
              <c:f>'中大 &amp; 中债'!$A$44:$A$74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中债'!$C$44:$C$74</c:f>
              <c:numCache>
                <c:formatCode>0%</c:formatCode>
                <c:ptCount val="31"/>
                <c:pt idx="0">
                  <c:v>2.889938278224613E-2</c:v>
                </c:pt>
                <c:pt idx="1">
                  <c:v>2.8899382781881755E-2</c:v>
                </c:pt>
                <c:pt idx="2">
                  <c:v>2.8899382781881755E-2</c:v>
                </c:pt>
                <c:pt idx="3">
                  <c:v>2.8899382781881533E-2</c:v>
                </c:pt>
                <c:pt idx="4">
                  <c:v>2.8899382781881533E-2</c:v>
                </c:pt>
                <c:pt idx="5">
                  <c:v>2.9279430152130859E-2</c:v>
                </c:pt>
                <c:pt idx="6">
                  <c:v>3.9426895180740384E-2</c:v>
                </c:pt>
                <c:pt idx="7">
                  <c:v>3.2582862360141185E-2</c:v>
                </c:pt>
                <c:pt idx="8">
                  <c:v>3.5625770942550039E-2</c:v>
                </c:pt>
                <c:pt idx="9">
                  <c:v>3.4656442645569774E-2</c:v>
                </c:pt>
                <c:pt idx="10">
                  <c:v>3.555770412116166E-2</c:v>
                </c:pt>
                <c:pt idx="11">
                  <c:v>3.5357974821753624E-2</c:v>
                </c:pt>
                <c:pt idx="12">
                  <c:v>3.586546814795577E-2</c:v>
                </c:pt>
                <c:pt idx="13">
                  <c:v>4.3416604812970272E-2</c:v>
                </c:pt>
                <c:pt idx="14">
                  <c:v>4.3483917466367483E-2</c:v>
                </c:pt>
                <c:pt idx="15">
                  <c:v>3.8948136077009643E-2</c:v>
                </c:pt>
                <c:pt idx="16">
                  <c:v>4.0072297069809526E-2</c:v>
                </c:pt>
                <c:pt idx="17">
                  <c:v>4.0220257047030694E-2</c:v>
                </c:pt>
                <c:pt idx="18">
                  <c:v>4.1292353409906335E-2</c:v>
                </c:pt>
                <c:pt idx="19">
                  <c:v>4.2311582923424629E-2</c:v>
                </c:pt>
                <c:pt idx="20">
                  <c:v>4.2367919207282556E-2</c:v>
                </c:pt>
                <c:pt idx="21">
                  <c:v>4.2436465256721956E-2</c:v>
                </c:pt>
                <c:pt idx="22">
                  <c:v>4.2498783758653458E-2</c:v>
                </c:pt>
                <c:pt idx="23">
                  <c:v>4.2555686514060609E-2</c:v>
                </c:pt>
                <c:pt idx="24">
                  <c:v>4.2607850101648914E-2</c:v>
                </c:pt>
                <c:pt idx="25">
                  <c:v>4.2661504279246865E-2</c:v>
                </c:pt>
                <c:pt idx="26">
                  <c:v>4.2758558523446677E-2</c:v>
                </c:pt>
                <c:pt idx="27">
                  <c:v>4.3467848262394027E-2</c:v>
                </c:pt>
                <c:pt idx="28">
                  <c:v>4.4425873904717195E-2</c:v>
                </c:pt>
                <c:pt idx="29">
                  <c:v>4.4889194239424501E-2</c:v>
                </c:pt>
                <c:pt idx="30">
                  <c:v>4.4970549956044881E-2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中债'!$D$43</c:f>
              <c:strCache>
                <c:ptCount val="1"/>
                <c:pt idx="0">
                  <c:v>移动后曲线</c:v>
                </c:pt>
              </c:strCache>
            </c:strRef>
          </c:tx>
          <c:marker>
            <c:symbol val="none"/>
          </c:marker>
          <c:cat>
            <c:numRef>
              <c:f>'中大 &amp; 中债'!$A$44:$A$74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中债'!$D$44:$D$74</c:f>
              <c:numCache>
                <c:formatCode>0%</c:formatCode>
                <c:ptCount val="31"/>
                <c:pt idx="0">
                  <c:v>3.3899382782246128E-2</c:v>
                </c:pt>
                <c:pt idx="1">
                  <c:v>3.3899382781881753E-2</c:v>
                </c:pt>
                <c:pt idx="2">
                  <c:v>3.3899382781881753E-2</c:v>
                </c:pt>
                <c:pt idx="3">
                  <c:v>3.389938278188153E-2</c:v>
                </c:pt>
                <c:pt idx="4">
                  <c:v>3.389938278188153E-2</c:v>
                </c:pt>
                <c:pt idx="5">
                  <c:v>3.4279430152130856E-2</c:v>
                </c:pt>
                <c:pt idx="6">
                  <c:v>4.4426895180740382E-2</c:v>
                </c:pt>
                <c:pt idx="7">
                  <c:v>3.7582862360141182E-2</c:v>
                </c:pt>
                <c:pt idx="8">
                  <c:v>4.0625770942550037E-2</c:v>
                </c:pt>
                <c:pt idx="9">
                  <c:v>3.9656442645569771E-2</c:v>
                </c:pt>
                <c:pt idx="10">
                  <c:v>4.0557704121161657E-2</c:v>
                </c:pt>
                <c:pt idx="11">
                  <c:v>4.0357974821753621E-2</c:v>
                </c:pt>
                <c:pt idx="12">
                  <c:v>4.0865468147955768E-2</c:v>
                </c:pt>
                <c:pt idx="13">
                  <c:v>4.8416604812970269E-2</c:v>
                </c:pt>
                <c:pt idx="14">
                  <c:v>4.8483917466367481E-2</c:v>
                </c:pt>
                <c:pt idx="15">
                  <c:v>4.394813607700964E-2</c:v>
                </c:pt>
                <c:pt idx="16">
                  <c:v>4.5072297069809523E-2</c:v>
                </c:pt>
                <c:pt idx="17">
                  <c:v>4.5220257047030692E-2</c:v>
                </c:pt>
                <c:pt idx="18">
                  <c:v>4.6292353409906332E-2</c:v>
                </c:pt>
                <c:pt idx="19">
                  <c:v>4.7311582923424626E-2</c:v>
                </c:pt>
                <c:pt idx="20">
                  <c:v>4.7367919207282554E-2</c:v>
                </c:pt>
                <c:pt idx="21">
                  <c:v>4.7436465256721953E-2</c:v>
                </c:pt>
                <c:pt idx="22">
                  <c:v>4.7498783758653455E-2</c:v>
                </c:pt>
                <c:pt idx="23">
                  <c:v>4.7555686514060606E-2</c:v>
                </c:pt>
                <c:pt idx="24">
                  <c:v>4.7607850101648912E-2</c:v>
                </c:pt>
                <c:pt idx="25">
                  <c:v>4.7661504279246862E-2</c:v>
                </c:pt>
                <c:pt idx="26">
                  <c:v>4.7758558523446674E-2</c:v>
                </c:pt>
                <c:pt idx="27">
                  <c:v>4.8467848262394024E-2</c:v>
                </c:pt>
                <c:pt idx="28">
                  <c:v>4.9425873904717192E-2</c:v>
                </c:pt>
                <c:pt idx="29">
                  <c:v>4.9889194239424499E-2</c:v>
                </c:pt>
                <c:pt idx="30">
                  <c:v>4.9970549956044878E-2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63552"/>
        <c:axId val="485465472"/>
      </c:lineChart>
      <c:catAx>
        <c:axId val="485463552"/>
        <c:scaling>
          <c:orientation val="minMax"/>
          <c:max val="31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51113796725822491"/>
              <c:y val="0.88429153973596253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485465472"/>
        <c:crosses val="autoZero"/>
        <c:auto val="0"/>
        <c:lblAlgn val="ctr"/>
        <c:lblOffset val="100"/>
        <c:tickLblSkip val="5"/>
        <c:tickMarkSkip val="1"/>
        <c:noMultiLvlLbl val="0"/>
      </c:catAx>
      <c:valAx>
        <c:axId val="485465472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485463552"/>
        <c:crosses val="autoZero"/>
        <c:crossBetween val="between"/>
        <c:majorUnit val="1.0000000000000002E-2"/>
      </c:valAx>
    </c:plotArea>
    <c:legend>
      <c:legendPos val="b"/>
      <c:layout>
        <c:manualLayout>
          <c:xMode val="edge"/>
          <c:yMode val="edge"/>
          <c:x val="0.37752847009826251"/>
          <c:y val="0.7071981986315129"/>
          <c:w val="0.41259966471133264"/>
          <c:h val="4.6411065918817974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中国国债（银行间）即期收益率（回溯</a:t>
            </a:r>
            <a:r>
              <a:rPr lang="en-US" altLang="zh-CN"/>
              <a:t>1</a:t>
            </a:r>
            <a:r>
              <a:rPr lang="zh-CN" altLang="en-US"/>
              <a:t>年）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历史收益率比较!$C$44</c:f>
              <c:strCache>
                <c:ptCount val="1"/>
                <c:pt idx="0">
                  <c:v>2012-8-22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历史收益率比较!$C$45:$C$75</c:f>
              <c:numCache>
                <c:formatCode>0.00%</c:formatCode>
                <c:ptCount val="31"/>
                <c:pt idx="0">
                  <c:v>2.4393919708574296E-2</c:v>
                </c:pt>
                <c:pt idx="1">
                  <c:v>2.7781414506657498E-2</c:v>
                </c:pt>
                <c:pt idx="2">
                  <c:v>2.5340163937598748E-2</c:v>
                </c:pt>
                <c:pt idx="3">
                  <c:v>2.8683448262357913E-2</c:v>
                </c:pt>
                <c:pt idx="4">
                  <c:v>2.9398474346821413E-2</c:v>
                </c:pt>
                <c:pt idx="5">
                  <c:v>3.1162513362855471E-2</c:v>
                </c:pt>
                <c:pt idx="6">
                  <c:v>3.2155823015994844E-2</c:v>
                </c:pt>
                <c:pt idx="7">
                  <c:v>3.223491787252275E-2</c:v>
                </c:pt>
                <c:pt idx="8">
                  <c:v>3.3850907104242767E-2</c:v>
                </c:pt>
                <c:pt idx="9">
                  <c:v>3.4087037562455347E-2</c:v>
                </c:pt>
                <c:pt idx="10">
                  <c:v>3.4431682693988996E-2</c:v>
                </c:pt>
                <c:pt idx="11">
                  <c:v>3.5553815459507199E-2</c:v>
                </c:pt>
                <c:pt idx="12">
                  <c:v>3.6489855899920931E-2</c:v>
                </c:pt>
                <c:pt idx="13">
                  <c:v>3.7282550939451875E-2</c:v>
                </c:pt>
                <c:pt idx="14">
                  <c:v>3.7962486333390721E-2</c:v>
                </c:pt>
                <c:pt idx="15">
                  <c:v>3.8548539482293753E-2</c:v>
                </c:pt>
                <c:pt idx="16">
                  <c:v>3.886325001761759E-2</c:v>
                </c:pt>
                <c:pt idx="17">
                  <c:v>3.9141014980217825E-2</c:v>
                </c:pt>
                <c:pt idx="18">
                  <c:v>4.1116374171100034E-2</c:v>
                </c:pt>
                <c:pt idx="19">
                  <c:v>4.0959797907849316E-2</c:v>
                </c:pt>
                <c:pt idx="20">
                  <c:v>4.08188994044969E-2</c:v>
                </c:pt>
                <c:pt idx="21">
                  <c:v>4.069143623955962E-2</c:v>
                </c:pt>
                <c:pt idx="22">
                  <c:v>4.0575574180718554E-2</c:v>
                </c:pt>
                <c:pt idx="23">
                  <c:v>4.0469798348957031E-2</c:v>
                </c:pt>
                <c:pt idx="24">
                  <c:v>4.0372846615420066E-2</c:v>
                </c:pt>
                <c:pt idx="25">
                  <c:v>4.0283658999443972E-2</c:v>
                </c:pt>
                <c:pt idx="26">
                  <c:v>4.020133875549603E-2</c:v>
                </c:pt>
                <c:pt idx="27">
                  <c:v>4.0125122115684642E-2</c:v>
                </c:pt>
                <c:pt idx="28">
                  <c:v>4.0054354521965596E-2</c:v>
                </c:pt>
                <c:pt idx="29">
                  <c:v>3.9988471780175283E-2</c:v>
                </c:pt>
                <c:pt idx="30">
                  <c:v>3.9926984986487168E-2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历史收益率比较!$D$44</c:f>
              <c:strCache>
                <c:ptCount val="1"/>
                <c:pt idx="0">
                  <c:v>2012-8-15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历史收益率比较!$D$45:$D$75</c:f>
              <c:numCache>
                <c:formatCode>0.00%</c:formatCode>
                <c:ptCount val="31"/>
                <c:pt idx="0">
                  <c:v>2.4376430139760652E-2</c:v>
                </c:pt>
                <c:pt idx="1">
                  <c:v>2.8128663575547996E-2</c:v>
                </c:pt>
                <c:pt idx="2">
                  <c:v>2.4776812338767495E-2</c:v>
                </c:pt>
                <c:pt idx="3">
                  <c:v>2.7260415207525757E-2</c:v>
                </c:pt>
                <c:pt idx="4">
                  <c:v>2.8522391620223964E-2</c:v>
                </c:pt>
                <c:pt idx="5">
                  <c:v>3.0137139407103497E-2</c:v>
                </c:pt>
                <c:pt idx="6">
                  <c:v>3.1774665493350396E-2</c:v>
                </c:pt>
                <c:pt idx="7">
                  <c:v>3.2213742777911669E-2</c:v>
                </c:pt>
                <c:pt idx="8">
                  <c:v>3.3422226340926509E-2</c:v>
                </c:pt>
                <c:pt idx="9">
                  <c:v>3.3991720218013111E-2</c:v>
                </c:pt>
                <c:pt idx="10">
                  <c:v>3.4173020784154629E-2</c:v>
                </c:pt>
                <c:pt idx="11">
                  <c:v>3.5393318887143144E-2</c:v>
                </c:pt>
                <c:pt idx="12">
                  <c:v>3.6411333840546067E-2</c:v>
                </c:pt>
                <c:pt idx="13">
                  <c:v>3.7273512859531621E-2</c:v>
                </c:pt>
                <c:pt idx="14">
                  <c:v>3.8013094286807769E-2</c:v>
                </c:pt>
                <c:pt idx="15">
                  <c:v>3.8654491391270085E-2</c:v>
                </c:pt>
                <c:pt idx="16">
                  <c:v>3.8953336348870993E-2</c:v>
                </c:pt>
                <c:pt idx="17">
                  <c:v>3.9216405676420152E-2</c:v>
                </c:pt>
                <c:pt idx="18">
                  <c:v>3.9974537614058558E-2</c:v>
                </c:pt>
                <c:pt idx="19">
                  <c:v>4.0670476325827432E-2</c:v>
                </c:pt>
                <c:pt idx="20">
                  <c:v>4.1297219342999902E-2</c:v>
                </c:pt>
                <c:pt idx="21">
                  <c:v>4.1864597787909741E-2</c:v>
                </c:pt>
                <c:pt idx="22">
                  <c:v>4.2380664641477273E-2</c:v>
                </c:pt>
                <c:pt idx="23">
                  <c:v>4.2852079360948814E-2</c:v>
                </c:pt>
                <c:pt idx="24">
                  <c:v>4.3284396805254532E-2</c:v>
                </c:pt>
                <c:pt idx="25">
                  <c:v>4.3682287138034459E-2</c:v>
                </c:pt>
                <c:pt idx="26">
                  <c:v>4.4049705208733414E-2</c:v>
                </c:pt>
                <c:pt idx="27">
                  <c:v>4.4390022454048328E-2</c:v>
                </c:pt>
                <c:pt idx="28">
                  <c:v>4.470613065103457E-2</c:v>
                </c:pt>
                <c:pt idx="29">
                  <c:v>4.5000524289271926E-2</c:v>
                </c:pt>
                <c:pt idx="30">
                  <c:v>4.5275366531805084E-2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历史收益率比较!$E$44</c:f>
              <c:strCache>
                <c:ptCount val="1"/>
                <c:pt idx="0">
                  <c:v>2012-7-23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历史收益率比较!$E$45:$E$75</c:f>
              <c:numCache>
                <c:formatCode>0.00%</c:formatCode>
                <c:ptCount val="31"/>
                <c:pt idx="0">
                  <c:v>2.4319995441911768E-2</c:v>
                </c:pt>
                <c:pt idx="1">
                  <c:v>2.3371550788122697E-2</c:v>
                </c:pt>
                <c:pt idx="2">
                  <c:v>2.2905060087390128E-2</c:v>
                </c:pt>
                <c:pt idx="3">
                  <c:v>2.3933111830701792E-2</c:v>
                </c:pt>
                <c:pt idx="4">
                  <c:v>2.6493654294804214E-2</c:v>
                </c:pt>
                <c:pt idx="5">
                  <c:v>2.8446526887983881E-2</c:v>
                </c:pt>
                <c:pt idx="6">
                  <c:v>3.0420417103735442E-2</c:v>
                </c:pt>
                <c:pt idx="7">
                  <c:v>3.1600323335068126E-2</c:v>
                </c:pt>
                <c:pt idx="8">
                  <c:v>3.308816869883624E-2</c:v>
                </c:pt>
                <c:pt idx="9">
                  <c:v>3.3883208676866561E-2</c:v>
                </c:pt>
                <c:pt idx="10">
                  <c:v>3.401281488099106E-2</c:v>
                </c:pt>
                <c:pt idx="11">
                  <c:v>3.5446729788346287E-2</c:v>
                </c:pt>
                <c:pt idx="12">
                  <c:v>3.664317773725001E-2</c:v>
                </c:pt>
                <c:pt idx="13">
                  <c:v>3.7656636516326669E-2</c:v>
                </c:pt>
                <c:pt idx="14">
                  <c:v>3.8526104023383967E-2</c:v>
                </c:pt>
                <c:pt idx="15">
                  <c:v>3.9280231814986966E-2</c:v>
                </c:pt>
                <c:pt idx="16">
                  <c:v>3.9330554262512418E-2</c:v>
                </c:pt>
                <c:pt idx="17">
                  <c:v>3.9335786634662862E-2</c:v>
                </c:pt>
                <c:pt idx="18">
                  <c:v>4.0046419554998547E-2</c:v>
                </c:pt>
                <c:pt idx="19">
                  <c:v>4.0711922567986614E-2</c:v>
                </c:pt>
                <c:pt idx="20">
                  <c:v>4.1186509724574272E-2</c:v>
                </c:pt>
                <c:pt idx="21">
                  <c:v>4.1616084587732693E-2</c:v>
                </c:pt>
                <c:pt idx="22">
                  <c:v>4.2006760987541858E-2</c:v>
                </c:pt>
                <c:pt idx="23">
                  <c:v>4.2363593496524077E-2</c:v>
                </c:pt>
                <c:pt idx="24">
                  <c:v>4.2690797308183148E-2</c:v>
                </c:pt>
                <c:pt idx="25">
                  <c:v>4.2991915528613367E-2</c:v>
                </c:pt>
                <c:pt idx="26">
                  <c:v>4.3269947991692925E-2</c:v>
                </c:pt>
                <c:pt idx="27">
                  <c:v>4.3535738114708566E-2</c:v>
                </c:pt>
                <c:pt idx="28">
                  <c:v>4.3802820497994999E-2</c:v>
                </c:pt>
                <c:pt idx="29">
                  <c:v>4.4028744752147686E-2</c:v>
                </c:pt>
                <c:pt idx="30">
                  <c:v>4.42061110462586E-2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历史收益率比较!$F$44</c:f>
              <c:strCache>
                <c:ptCount val="1"/>
                <c:pt idx="0">
                  <c:v>2012-5-22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历史收益率比较!$F$45:$F$75</c:f>
              <c:numCache>
                <c:formatCode>0.00%</c:formatCode>
                <c:ptCount val="31"/>
                <c:pt idx="0">
                  <c:v>2.2132924612309202E-2</c:v>
                </c:pt>
                <c:pt idx="1">
                  <c:v>2.4003622042993333E-2</c:v>
                </c:pt>
                <c:pt idx="2">
                  <c:v>2.5535419445296359E-2</c:v>
                </c:pt>
                <c:pt idx="3">
                  <c:v>2.6521440658909157E-2</c:v>
                </c:pt>
                <c:pt idx="4">
                  <c:v>2.8003432536271911E-2</c:v>
                </c:pt>
                <c:pt idx="5">
                  <c:v>2.9179254442666558E-2</c:v>
                </c:pt>
                <c:pt idx="6">
                  <c:v>3.2290994767032011E-2</c:v>
                </c:pt>
                <c:pt idx="7">
                  <c:v>3.3162222914709716E-2</c:v>
                </c:pt>
                <c:pt idx="8">
                  <c:v>3.4232145398451763E-2</c:v>
                </c:pt>
                <c:pt idx="9">
                  <c:v>3.4827992252953965E-2</c:v>
                </c:pt>
                <c:pt idx="10">
                  <c:v>3.4618220641221109E-2</c:v>
                </c:pt>
                <c:pt idx="11">
                  <c:v>3.5195182999158137E-2</c:v>
                </c:pt>
                <c:pt idx="12">
                  <c:v>3.5676230735638192E-2</c:v>
                </c:pt>
                <c:pt idx="13">
                  <c:v>3.7120431465755832E-2</c:v>
                </c:pt>
                <c:pt idx="14">
                  <c:v>3.8413665132864594E-2</c:v>
                </c:pt>
                <c:pt idx="15">
                  <c:v>3.9535771980786505E-2</c:v>
                </c:pt>
                <c:pt idx="16">
                  <c:v>4.0346792737673498E-2</c:v>
                </c:pt>
                <c:pt idx="17">
                  <c:v>4.1013679857578866E-2</c:v>
                </c:pt>
                <c:pt idx="18">
                  <c:v>4.1695238593404627E-2</c:v>
                </c:pt>
                <c:pt idx="19">
                  <c:v>4.2310682374598674E-2</c:v>
                </c:pt>
                <c:pt idx="20">
                  <c:v>4.2534987441547933E-2</c:v>
                </c:pt>
                <c:pt idx="21">
                  <c:v>4.2737971714434275E-2</c:v>
                </c:pt>
                <c:pt idx="22">
                  <c:v>4.2922537166975028E-2</c:v>
                </c:pt>
                <c:pt idx="23">
                  <c:v>4.3091081980251023E-2</c:v>
                </c:pt>
                <c:pt idx="24">
                  <c:v>4.3245605320333613E-2</c:v>
                </c:pt>
                <c:pt idx="25">
                  <c:v>4.3387787010515488E-2</c:v>
                </c:pt>
                <c:pt idx="26">
                  <c:v>4.351904884663127E-2</c:v>
                </c:pt>
                <c:pt idx="27">
                  <c:v>4.3640602307432053E-2</c:v>
                </c:pt>
                <c:pt idx="28">
                  <c:v>4.3753486056274049E-2</c:v>
                </c:pt>
                <c:pt idx="29">
                  <c:v>4.385859569479944E-2</c:v>
                </c:pt>
                <c:pt idx="30">
                  <c:v>4.3956707574009046E-2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历史收益率比较!$G$44</c:f>
              <c:strCache>
                <c:ptCount val="1"/>
                <c:pt idx="0">
                  <c:v>2011-8-22</c:v>
                </c:pt>
              </c:strCache>
            </c:strRef>
          </c:tx>
          <c:marker>
            <c:symbol val="none"/>
          </c:marker>
          <c:cat>
            <c:numRef>
              <c:f>历史收益率比较!$A$45:$A$75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历史收益率比较!$G$45:$G$75</c:f>
              <c:numCache>
                <c:formatCode>0.00%</c:formatCode>
                <c:ptCount val="31"/>
                <c:pt idx="0">
                  <c:v>3.5786134796388369E-2</c:v>
                </c:pt>
                <c:pt idx="1">
                  <c:v>3.6716682392526234E-2</c:v>
                </c:pt>
                <c:pt idx="2">
                  <c:v>3.3025315207909411E-2</c:v>
                </c:pt>
                <c:pt idx="3">
                  <c:v>3.820764945709354E-2</c:v>
                </c:pt>
                <c:pt idx="4">
                  <c:v>3.4568919811111209E-2</c:v>
                </c:pt>
                <c:pt idx="5">
                  <c:v>3.8274128854916878E-2</c:v>
                </c:pt>
                <c:pt idx="6">
                  <c:v>3.6704467636120119E-2</c:v>
                </c:pt>
                <c:pt idx="7">
                  <c:v>4.0538818957615685E-2</c:v>
                </c:pt>
                <c:pt idx="8">
                  <c:v>4.0156959256103297E-2</c:v>
                </c:pt>
                <c:pt idx="9">
                  <c:v>4.0295668385561534E-2</c:v>
                </c:pt>
                <c:pt idx="10">
                  <c:v>4.0465691927183967E-2</c:v>
                </c:pt>
                <c:pt idx="11">
                  <c:v>4.0550364480520962E-2</c:v>
                </c:pt>
                <c:pt idx="12">
                  <c:v>4.0904348245439204E-2</c:v>
                </c:pt>
                <c:pt idx="13">
                  <c:v>4.1583537920746094E-2</c:v>
                </c:pt>
                <c:pt idx="14">
                  <c:v>4.2199280939650974E-2</c:v>
                </c:pt>
                <c:pt idx="15">
                  <c:v>4.2733219319563753E-2</c:v>
                </c:pt>
                <c:pt idx="16">
                  <c:v>4.3200639790990758E-2</c:v>
                </c:pt>
                <c:pt idx="17">
                  <c:v>4.3613243618226161E-2</c:v>
                </c:pt>
                <c:pt idx="18">
                  <c:v>4.3980139574388399E-2</c:v>
                </c:pt>
                <c:pt idx="19">
                  <c:v>4.4308524237560931E-2</c:v>
                </c:pt>
                <c:pt idx="20">
                  <c:v>4.4604158749534717E-2</c:v>
                </c:pt>
                <c:pt idx="21">
                  <c:v>4.4871709708192764E-2</c:v>
                </c:pt>
                <c:pt idx="22">
                  <c:v>4.5114997317483141E-2</c:v>
                </c:pt>
                <c:pt idx="23">
                  <c:v>4.5337178954591772E-2</c:v>
                </c:pt>
                <c:pt idx="24">
                  <c:v>4.554088694854963E-2</c:v>
                </c:pt>
                <c:pt idx="25">
                  <c:v>4.5728333363365348E-2</c:v>
                </c:pt>
                <c:pt idx="26">
                  <c:v>4.5901390650623819E-2</c:v>
                </c:pt>
                <c:pt idx="27">
                  <c:v>4.6061654415101794E-2</c:v>
                </c:pt>
                <c:pt idx="28">
                  <c:v>4.6210492756523669E-2</c:v>
                </c:pt>
                <c:pt idx="29">
                  <c:v>4.674046470327764E-2</c:v>
                </c:pt>
                <c:pt idx="30">
                  <c:v>4.9092669594782645E-2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0496"/>
        <c:axId val="484412416"/>
      </c:lineChart>
      <c:catAx>
        <c:axId val="48441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47524559430071239"/>
              <c:y val="0.90113396187318695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484412416"/>
        <c:crosses val="autoZero"/>
        <c:auto val="1"/>
        <c:lblAlgn val="ctr"/>
        <c:lblOffset val="100"/>
        <c:noMultiLvlLbl val="0"/>
      </c:catAx>
      <c:valAx>
        <c:axId val="484412416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48441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556996981216764"/>
          <c:y val="0.61604624257494134"/>
          <c:w val="0.49689228750252373"/>
          <c:h val="3.647587168094154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'Bumped Curve Snap'!$C$3</c:f>
              <c:strCache>
                <c:ptCount val="1"/>
                <c:pt idx="0">
                  <c:v>CNY_Treasury_Live_Curve_2012-7-16_Calibrated_Curve_1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41106</c:v>
                </c:pt>
                <c:pt idx="1">
                  <c:v>41196</c:v>
                </c:pt>
                <c:pt idx="2">
                  <c:v>41286</c:v>
                </c:pt>
                <c:pt idx="3">
                  <c:v>41376</c:v>
                </c:pt>
                <c:pt idx="4">
                  <c:v>41466</c:v>
                </c:pt>
                <c:pt idx="5">
                  <c:v>41556</c:v>
                </c:pt>
                <c:pt idx="6">
                  <c:v>41646</c:v>
                </c:pt>
                <c:pt idx="7">
                  <c:v>41736</c:v>
                </c:pt>
                <c:pt idx="8">
                  <c:v>41826</c:v>
                </c:pt>
                <c:pt idx="9">
                  <c:v>41916</c:v>
                </c:pt>
                <c:pt idx="10">
                  <c:v>42006</c:v>
                </c:pt>
                <c:pt idx="11">
                  <c:v>42096</c:v>
                </c:pt>
                <c:pt idx="12">
                  <c:v>42186</c:v>
                </c:pt>
                <c:pt idx="13">
                  <c:v>42276</c:v>
                </c:pt>
                <c:pt idx="14">
                  <c:v>42366</c:v>
                </c:pt>
                <c:pt idx="15">
                  <c:v>42456</c:v>
                </c:pt>
                <c:pt idx="16">
                  <c:v>42546</c:v>
                </c:pt>
                <c:pt idx="17">
                  <c:v>42636</c:v>
                </c:pt>
                <c:pt idx="18">
                  <c:v>42726</c:v>
                </c:pt>
                <c:pt idx="19">
                  <c:v>42816</c:v>
                </c:pt>
                <c:pt idx="20">
                  <c:v>42906</c:v>
                </c:pt>
                <c:pt idx="21">
                  <c:v>42996</c:v>
                </c:pt>
                <c:pt idx="22">
                  <c:v>43086</c:v>
                </c:pt>
                <c:pt idx="23">
                  <c:v>43176</c:v>
                </c:pt>
                <c:pt idx="24">
                  <c:v>43266</c:v>
                </c:pt>
                <c:pt idx="25">
                  <c:v>43356</c:v>
                </c:pt>
                <c:pt idx="26">
                  <c:v>43446</c:v>
                </c:pt>
                <c:pt idx="27">
                  <c:v>43536</c:v>
                </c:pt>
                <c:pt idx="28">
                  <c:v>43626</c:v>
                </c:pt>
                <c:pt idx="29">
                  <c:v>43716</c:v>
                </c:pt>
                <c:pt idx="30">
                  <c:v>43806</c:v>
                </c:pt>
                <c:pt idx="31">
                  <c:v>43896</c:v>
                </c:pt>
                <c:pt idx="32">
                  <c:v>43986</c:v>
                </c:pt>
                <c:pt idx="33">
                  <c:v>44076</c:v>
                </c:pt>
                <c:pt idx="34">
                  <c:v>44166</c:v>
                </c:pt>
                <c:pt idx="35">
                  <c:v>44256</c:v>
                </c:pt>
                <c:pt idx="36">
                  <c:v>44346</c:v>
                </c:pt>
                <c:pt idx="37">
                  <c:v>44436</c:v>
                </c:pt>
                <c:pt idx="38">
                  <c:v>44526</c:v>
                </c:pt>
                <c:pt idx="39">
                  <c:v>44616</c:v>
                </c:pt>
                <c:pt idx="40">
                  <c:v>44706</c:v>
                </c:pt>
                <c:pt idx="41">
                  <c:v>44796</c:v>
                </c:pt>
                <c:pt idx="42">
                  <c:v>44886</c:v>
                </c:pt>
                <c:pt idx="43">
                  <c:v>44976</c:v>
                </c:pt>
                <c:pt idx="44">
                  <c:v>45066</c:v>
                </c:pt>
                <c:pt idx="45">
                  <c:v>45156</c:v>
                </c:pt>
                <c:pt idx="46">
                  <c:v>45246</c:v>
                </c:pt>
                <c:pt idx="47">
                  <c:v>45336</c:v>
                </c:pt>
                <c:pt idx="48">
                  <c:v>45426</c:v>
                </c:pt>
                <c:pt idx="49">
                  <c:v>45516</c:v>
                </c:pt>
                <c:pt idx="50">
                  <c:v>45606</c:v>
                </c:pt>
                <c:pt idx="51">
                  <c:v>45696</c:v>
                </c:pt>
                <c:pt idx="52">
                  <c:v>45786</c:v>
                </c:pt>
                <c:pt idx="53">
                  <c:v>45876</c:v>
                </c:pt>
                <c:pt idx="54">
                  <c:v>45966</c:v>
                </c:pt>
                <c:pt idx="55">
                  <c:v>46056</c:v>
                </c:pt>
                <c:pt idx="56">
                  <c:v>46146</c:v>
                </c:pt>
                <c:pt idx="57">
                  <c:v>46236</c:v>
                </c:pt>
                <c:pt idx="58">
                  <c:v>46326</c:v>
                </c:pt>
                <c:pt idx="59">
                  <c:v>46416</c:v>
                </c:pt>
                <c:pt idx="60">
                  <c:v>46506</c:v>
                </c:pt>
                <c:pt idx="61">
                  <c:v>46596</c:v>
                </c:pt>
                <c:pt idx="62">
                  <c:v>46686</c:v>
                </c:pt>
                <c:pt idx="63">
                  <c:v>46776</c:v>
                </c:pt>
                <c:pt idx="64">
                  <c:v>46866</c:v>
                </c:pt>
                <c:pt idx="65">
                  <c:v>46956</c:v>
                </c:pt>
                <c:pt idx="66">
                  <c:v>47046</c:v>
                </c:pt>
                <c:pt idx="67">
                  <c:v>47136</c:v>
                </c:pt>
                <c:pt idx="68">
                  <c:v>47226</c:v>
                </c:pt>
                <c:pt idx="69">
                  <c:v>47316</c:v>
                </c:pt>
                <c:pt idx="70">
                  <c:v>47406</c:v>
                </c:pt>
                <c:pt idx="71">
                  <c:v>47496</c:v>
                </c:pt>
                <c:pt idx="72">
                  <c:v>47586</c:v>
                </c:pt>
                <c:pt idx="73">
                  <c:v>47676</c:v>
                </c:pt>
                <c:pt idx="74">
                  <c:v>47766</c:v>
                </c:pt>
                <c:pt idx="75">
                  <c:v>47856</c:v>
                </c:pt>
                <c:pt idx="76">
                  <c:v>47946</c:v>
                </c:pt>
                <c:pt idx="77">
                  <c:v>48036</c:v>
                </c:pt>
                <c:pt idx="78">
                  <c:v>48126</c:v>
                </c:pt>
                <c:pt idx="79">
                  <c:v>48216</c:v>
                </c:pt>
                <c:pt idx="80">
                  <c:v>48306</c:v>
                </c:pt>
                <c:pt idx="81">
                  <c:v>48396</c:v>
                </c:pt>
                <c:pt idx="82">
                  <c:v>48486</c:v>
                </c:pt>
                <c:pt idx="83">
                  <c:v>48576</c:v>
                </c:pt>
                <c:pt idx="84">
                  <c:v>48666</c:v>
                </c:pt>
                <c:pt idx="85">
                  <c:v>48756</c:v>
                </c:pt>
                <c:pt idx="86">
                  <c:v>48846</c:v>
                </c:pt>
                <c:pt idx="87">
                  <c:v>48936</c:v>
                </c:pt>
                <c:pt idx="88">
                  <c:v>49026</c:v>
                </c:pt>
                <c:pt idx="89">
                  <c:v>49116</c:v>
                </c:pt>
                <c:pt idx="90">
                  <c:v>49206</c:v>
                </c:pt>
                <c:pt idx="91">
                  <c:v>49296</c:v>
                </c:pt>
                <c:pt idx="92">
                  <c:v>49386</c:v>
                </c:pt>
                <c:pt idx="93">
                  <c:v>49476</c:v>
                </c:pt>
                <c:pt idx="94">
                  <c:v>49566</c:v>
                </c:pt>
                <c:pt idx="95">
                  <c:v>49656</c:v>
                </c:pt>
                <c:pt idx="96">
                  <c:v>49746</c:v>
                </c:pt>
                <c:pt idx="97">
                  <c:v>49836</c:v>
                </c:pt>
                <c:pt idx="98">
                  <c:v>49926</c:v>
                </c:pt>
                <c:pt idx="99">
                  <c:v>50016</c:v>
                </c:pt>
                <c:pt idx="100">
                  <c:v>50106</c:v>
                </c:pt>
                <c:pt idx="101">
                  <c:v>50196</c:v>
                </c:pt>
                <c:pt idx="102">
                  <c:v>50286</c:v>
                </c:pt>
                <c:pt idx="103">
                  <c:v>50376</c:v>
                </c:pt>
                <c:pt idx="104">
                  <c:v>50466</c:v>
                </c:pt>
                <c:pt idx="105">
                  <c:v>50556</c:v>
                </c:pt>
                <c:pt idx="106">
                  <c:v>50646</c:v>
                </c:pt>
                <c:pt idx="107">
                  <c:v>50736</c:v>
                </c:pt>
                <c:pt idx="108">
                  <c:v>50826</c:v>
                </c:pt>
                <c:pt idx="109">
                  <c:v>50916</c:v>
                </c:pt>
                <c:pt idx="110">
                  <c:v>51006</c:v>
                </c:pt>
                <c:pt idx="111">
                  <c:v>51096</c:v>
                </c:pt>
                <c:pt idx="112">
                  <c:v>51186</c:v>
                </c:pt>
                <c:pt idx="113">
                  <c:v>51276</c:v>
                </c:pt>
                <c:pt idx="114">
                  <c:v>51366</c:v>
                </c:pt>
                <c:pt idx="115">
                  <c:v>51456</c:v>
                </c:pt>
                <c:pt idx="116">
                  <c:v>51546</c:v>
                </c:pt>
                <c:pt idx="117">
                  <c:v>51636</c:v>
                </c:pt>
                <c:pt idx="118">
                  <c:v>51726</c:v>
                </c:pt>
                <c:pt idx="119">
                  <c:v>51816</c:v>
                </c:pt>
                <c:pt idx="120">
                  <c:v>51906</c:v>
                </c:pt>
                <c:pt idx="121">
                  <c:v>51996</c:v>
                </c:pt>
                <c:pt idx="122">
                  <c:v>52086</c:v>
                </c:pt>
                <c:pt idx="123">
                  <c:v>52176</c:v>
                </c:pt>
                <c:pt idx="124">
                  <c:v>52266</c:v>
                </c:pt>
                <c:pt idx="125">
                  <c:v>52356</c:v>
                </c:pt>
                <c:pt idx="126">
                  <c:v>52446</c:v>
                </c:pt>
                <c:pt idx="127">
                  <c:v>52536</c:v>
                </c:pt>
                <c:pt idx="128">
                  <c:v>52626</c:v>
                </c:pt>
                <c:pt idx="129">
                  <c:v>52716</c:v>
                </c:pt>
                <c:pt idx="130">
                  <c:v>52806</c:v>
                </c:pt>
                <c:pt idx="131">
                  <c:v>52896</c:v>
                </c:pt>
                <c:pt idx="132">
                  <c:v>52986</c:v>
                </c:pt>
                <c:pt idx="133">
                  <c:v>53076</c:v>
                </c:pt>
                <c:pt idx="134">
                  <c:v>53166</c:v>
                </c:pt>
                <c:pt idx="135">
                  <c:v>53256</c:v>
                </c:pt>
                <c:pt idx="136">
                  <c:v>53346</c:v>
                </c:pt>
                <c:pt idx="137">
                  <c:v>53436</c:v>
                </c:pt>
                <c:pt idx="138">
                  <c:v>53526</c:v>
                </c:pt>
                <c:pt idx="139">
                  <c:v>53616</c:v>
                </c:pt>
                <c:pt idx="140">
                  <c:v>53706</c:v>
                </c:pt>
                <c:pt idx="141">
                  <c:v>53796</c:v>
                </c:pt>
                <c:pt idx="142">
                  <c:v>53886</c:v>
                </c:pt>
                <c:pt idx="143">
                  <c:v>53976</c:v>
                </c:pt>
                <c:pt idx="144">
                  <c:v>54066</c:v>
                </c:pt>
                <c:pt idx="145">
                  <c:v>54156</c:v>
                </c:pt>
                <c:pt idx="146">
                  <c:v>54246</c:v>
                </c:pt>
                <c:pt idx="147">
                  <c:v>54336</c:v>
                </c:pt>
                <c:pt idx="148">
                  <c:v>54426</c:v>
                </c:pt>
                <c:pt idx="149">
                  <c:v>54516</c:v>
                </c:pt>
                <c:pt idx="150">
                  <c:v>54606</c:v>
                </c:pt>
                <c:pt idx="151">
                  <c:v>54696</c:v>
                </c:pt>
                <c:pt idx="152">
                  <c:v>54786</c:v>
                </c:pt>
                <c:pt idx="153">
                  <c:v>54876</c:v>
                </c:pt>
                <c:pt idx="154">
                  <c:v>54966</c:v>
                </c:pt>
                <c:pt idx="155">
                  <c:v>55056</c:v>
                </c:pt>
                <c:pt idx="156">
                  <c:v>55146</c:v>
                </c:pt>
                <c:pt idx="157">
                  <c:v>55236</c:v>
                </c:pt>
                <c:pt idx="158">
                  <c:v>55326</c:v>
                </c:pt>
                <c:pt idx="159">
                  <c:v>55416</c:v>
                </c:pt>
                <c:pt idx="160">
                  <c:v>55506</c:v>
                </c:pt>
                <c:pt idx="161">
                  <c:v>55596</c:v>
                </c:pt>
                <c:pt idx="162">
                  <c:v>55686</c:v>
                </c:pt>
                <c:pt idx="163">
                  <c:v>55776</c:v>
                </c:pt>
                <c:pt idx="164">
                  <c:v>55866</c:v>
                </c:pt>
                <c:pt idx="165">
                  <c:v>55956</c:v>
                </c:pt>
                <c:pt idx="166">
                  <c:v>56046</c:v>
                </c:pt>
                <c:pt idx="167">
                  <c:v>56136</c:v>
                </c:pt>
                <c:pt idx="168">
                  <c:v>56226</c:v>
                </c:pt>
                <c:pt idx="169">
                  <c:v>56316</c:v>
                </c:pt>
                <c:pt idx="170">
                  <c:v>56406</c:v>
                </c:pt>
                <c:pt idx="171">
                  <c:v>56496</c:v>
                </c:pt>
                <c:pt idx="172">
                  <c:v>56586</c:v>
                </c:pt>
                <c:pt idx="173">
                  <c:v>56676</c:v>
                </c:pt>
                <c:pt idx="174">
                  <c:v>56766</c:v>
                </c:pt>
                <c:pt idx="175">
                  <c:v>56856</c:v>
                </c:pt>
                <c:pt idx="176">
                  <c:v>56946</c:v>
                </c:pt>
                <c:pt idx="177">
                  <c:v>57036</c:v>
                </c:pt>
                <c:pt idx="178">
                  <c:v>57126</c:v>
                </c:pt>
                <c:pt idx="179">
                  <c:v>57216</c:v>
                </c:pt>
                <c:pt idx="180">
                  <c:v>57306</c:v>
                </c:pt>
                <c:pt idx="181">
                  <c:v>57396</c:v>
                </c:pt>
                <c:pt idx="182">
                  <c:v>57486</c:v>
                </c:pt>
                <c:pt idx="183">
                  <c:v>57576</c:v>
                </c:pt>
                <c:pt idx="184">
                  <c:v>57666</c:v>
                </c:pt>
                <c:pt idx="185">
                  <c:v>57756</c:v>
                </c:pt>
                <c:pt idx="186">
                  <c:v>57846</c:v>
                </c:pt>
                <c:pt idx="187">
                  <c:v>57936</c:v>
                </c:pt>
                <c:pt idx="188">
                  <c:v>58026</c:v>
                </c:pt>
                <c:pt idx="189">
                  <c:v>58116</c:v>
                </c:pt>
                <c:pt idx="190">
                  <c:v>58206</c:v>
                </c:pt>
                <c:pt idx="191">
                  <c:v>58296</c:v>
                </c:pt>
                <c:pt idx="192">
                  <c:v>58386</c:v>
                </c:pt>
                <c:pt idx="193">
                  <c:v>58476</c:v>
                </c:pt>
                <c:pt idx="194">
                  <c:v>58566</c:v>
                </c:pt>
                <c:pt idx="195">
                  <c:v>58656</c:v>
                </c:pt>
                <c:pt idx="196">
                  <c:v>58746</c:v>
                </c:pt>
                <c:pt idx="197">
                  <c:v>58836</c:v>
                </c:pt>
                <c:pt idx="198">
                  <c:v>58926</c:v>
                </c:pt>
                <c:pt idx="199">
                  <c:v>59016</c:v>
                </c:pt>
                <c:pt idx="200">
                  <c:v>59106</c:v>
                </c:pt>
                <c:pt idx="201">
                  <c:v>59196</c:v>
                </c:pt>
                <c:pt idx="202">
                  <c:v>59286</c:v>
                </c:pt>
                <c:pt idx="203">
                  <c:v>59376</c:v>
                </c:pt>
                <c:pt idx="204">
                  <c:v>59466</c:v>
                </c:pt>
                <c:pt idx="205">
                  <c:v>59556</c:v>
                </c:pt>
                <c:pt idx="206">
                  <c:v>59646</c:v>
                </c:pt>
                <c:pt idx="207">
                  <c:v>59736</c:v>
                </c:pt>
                <c:pt idx="208">
                  <c:v>59826</c:v>
                </c:pt>
                <c:pt idx="209">
                  <c:v>59916</c:v>
                </c:pt>
                <c:pt idx="210">
                  <c:v>60006</c:v>
                </c:pt>
                <c:pt idx="211">
                  <c:v>60096</c:v>
                </c:pt>
              </c:numCache>
            </c:numRef>
          </c:cat>
          <c:val>
            <c:numRef>
              <c:f>'Bumped Curve Snap'!$C$4:$C$215</c:f>
              <c:numCache>
                <c:formatCode>0.00%</c:formatCode>
                <c:ptCount val="212"/>
                <c:pt idx="0">
                  <c:v>2.4016920224418408E-2</c:v>
                </c:pt>
                <c:pt idx="1">
                  <c:v>2.401692022490589E-2</c:v>
                </c:pt>
                <c:pt idx="2">
                  <c:v>2.2049354548419997E-2</c:v>
                </c:pt>
                <c:pt idx="3">
                  <c:v>2.168302914395252E-2</c:v>
                </c:pt>
                <c:pt idx="4">
                  <c:v>2.281808417782483E-2</c:v>
                </c:pt>
                <c:pt idx="5">
                  <c:v>2.4985026408419823E-2</c:v>
                </c:pt>
                <c:pt idx="6">
                  <c:v>2.6521136687349563E-2</c:v>
                </c:pt>
                <c:pt idx="7">
                  <c:v>2.2635928952122217E-2</c:v>
                </c:pt>
                <c:pt idx="8">
                  <c:v>2.221706905903292E-2</c:v>
                </c:pt>
                <c:pt idx="9">
                  <c:v>2.2898246727052988E-2</c:v>
                </c:pt>
                <c:pt idx="10">
                  <c:v>2.3460786495142608E-2</c:v>
                </c:pt>
                <c:pt idx="11">
                  <c:v>2.3719622519614486E-2</c:v>
                </c:pt>
                <c:pt idx="12">
                  <c:v>2.4115059377074879E-2</c:v>
                </c:pt>
                <c:pt idx="13">
                  <c:v>2.466063045633796E-2</c:v>
                </c:pt>
                <c:pt idx="14">
                  <c:v>2.5264558340341463E-2</c:v>
                </c:pt>
                <c:pt idx="15">
                  <c:v>2.571379159913216E-2</c:v>
                </c:pt>
                <c:pt idx="16">
                  <c:v>2.6033459851793218E-2</c:v>
                </c:pt>
                <c:pt idx="17">
                  <c:v>2.6302864469476453E-2</c:v>
                </c:pt>
                <c:pt idx="18">
                  <c:v>2.6545113405558981E-2</c:v>
                </c:pt>
                <c:pt idx="19">
                  <c:v>2.6937477998202654E-2</c:v>
                </c:pt>
                <c:pt idx="20">
                  <c:v>2.7420191520435858E-2</c:v>
                </c:pt>
                <c:pt idx="21">
                  <c:v>2.7940271537032262E-2</c:v>
                </c:pt>
                <c:pt idx="22">
                  <c:v>2.8691740926190413E-2</c:v>
                </c:pt>
                <c:pt idx="23">
                  <c:v>2.9400424040779648E-2</c:v>
                </c:pt>
                <c:pt idx="24">
                  <c:v>2.9968644176550291E-2</c:v>
                </c:pt>
                <c:pt idx="25">
                  <c:v>3.1309421098991583E-2</c:v>
                </c:pt>
                <c:pt idx="26">
                  <c:v>3.1745101102080946E-2</c:v>
                </c:pt>
                <c:pt idx="27">
                  <c:v>3.0950709406223527E-2</c:v>
                </c:pt>
                <c:pt idx="28">
                  <c:v>3.0516181161685137E-2</c:v>
                </c:pt>
                <c:pt idx="29">
                  <c:v>3.0769707831482297E-2</c:v>
                </c:pt>
                <c:pt idx="30">
                  <c:v>3.1351946607803667E-2</c:v>
                </c:pt>
                <c:pt idx="31">
                  <c:v>3.1861057402677841E-2</c:v>
                </c:pt>
                <c:pt idx="32">
                  <c:v>3.2224220230480133E-2</c:v>
                </c:pt>
                <c:pt idx="33">
                  <c:v>3.2484920959021862E-2</c:v>
                </c:pt>
                <c:pt idx="34">
                  <c:v>3.2731896824628445E-2</c:v>
                </c:pt>
                <c:pt idx="35">
                  <c:v>3.2946311143256031E-2</c:v>
                </c:pt>
                <c:pt idx="36">
                  <c:v>3.311856348354137E-2</c:v>
                </c:pt>
                <c:pt idx="37">
                  <c:v>3.3135635213631665E-2</c:v>
                </c:pt>
                <c:pt idx="38">
                  <c:v>3.2934840498698499E-2</c:v>
                </c:pt>
                <c:pt idx="39">
                  <c:v>3.2833668017669113E-2</c:v>
                </c:pt>
                <c:pt idx="40">
                  <c:v>3.2925446130497263E-2</c:v>
                </c:pt>
                <c:pt idx="41">
                  <c:v>3.3284306186165645E-2</c:v>
                </c:pt>
                <c:pt idx="42">
                  <c:v>3.3723353078736223E-2</c:v>
                </c:pt>
                <c:pt idx="43">
                  <c:v>3.4142134497194755E-2</c:v>
                </c:pt>
                <c:pt idx="44">
                  <c:v>3.455533666542053E-2</c:v>
                </c:pt>
                <c:pt idx="45">
                  <c:v>3.4936999739724042E-2</c:v>
                </c:pt>
                <c:pt idx="46">
                  <c:v>3.529157337975259E-2</c:v>
                </c:pt>
                <c:pt idx="47">
                  <c:v>3.5590892016537728E-2</c:v>
                </c:pt>
                <c:pt idx="48">
                  <c:v>3.5865067494816431E-2</c:v>
                </c:pt>
                <c:pt idx="49">
                  <c:v>3.6122170267825063E-2</c:v>
                </c:pt>
                <c:pt idx="50">
                  <c:v>3.6369067788589247E-2</c:v>
                </c:pt>
                <c:pt idx="51">
                  <c:v>3.6606355852605237E-2</c:v>
                </c:pt>
                <c:pt idx="52">
                  <c:v>3.6842211808358304E-2</c:v>
                </c:pt>
                <c:pt idx="53">
                  <c:v>3.7061607671307041E-2</c:v>
                </c:pt>
                <c:pt idx="54">
                  <c:v>3.7272940541593073E-2</c:v>
                </c:pt>
                <c:pt idx="55">
                  <c:v>3.7476646882215588E-2</c:v>
                </c:pt>
                <c:pt idx="56">
                  <c:v>3.7679707880644786E-2</c:v>
                </c:pt>
                <c:pt idx="57">
                  <c:v>3.7869122496419848E-2</c:v>
                </c:pt>
                <c:pt idx="58">
                  <c:v>3.8054099197532866E-2</c:v>
                </c:pt>
                <c:pt idx="59">
                  <c:v>3.8230811190938768E-2</c:v>
                </c:pt>
                <c:pt idx="60">
                  <c:v>3.8405495853866108E-2</c:v>
                </c:pt>
                <c:pt idx="61">
                  <c:v>3.8572526138121947E-2</c:v>
                </c:pt>
                <c:pt idx="62">
                  <c:v>3.8604526487803825E-2</c:v>
                </c:pt>
                <c:pt idx="63">
                  <c:v>3.8604777605478868E-2</c:v>
                </c:pt>
                <c:pt idx="64">
                  <c:v>3.8604311954661512E-2</c:v>
                </c:pt>
                <c:pt idx="65">
                  <c:v>3.8603860678667348E-2</c:v>
                </c:pt>
                <c:pt idx="66">
                  <c:v>3.8603427964640891E-2</c:v>
                </c:pt>
                <c:pt idx="67">
                  <c:v>3.8603008067417247E-2</c:v>
                </c:pt>
                <c:pt idx="68">
                  <c:v>3.860259129954316E-2</c:v>
                </c:pt>
                <c:pt idx="69">
                  <c:v>3.8602191214741829E-2</c:v>
                </c:pt>
                <c:pt idx="70">
                  <c:v>3.8717057424327087E-2</c:v>
                </c:pt>
                <c:pt idx="71">
                  <c:v>3.8895814803419297E-2</c:v>
                </c:pt>
                <c:pt idx="72">
                  <c:v>3.9083361383279162E-2</c:v>
                </c:pt>
                <c:pt idx="73">
                  <c:v>3.9263697826188285E-2</c:v>
                </c:pt>
                <c:pt idx="74">
                  <c:v>3.9437199835367927E-2</c:v>
                </c:pt>
                <c:pt idx="75">
                  <c:v>3.9606111292291135E-2</c:v>
                </c:pt>
                <c:pt idx="76">
                  <c:v>3.9774388148874587E-2</c:v>
                </c:pt>
                <c:pt idx="77">
                  <c:v>3.9940201963825174E-2</c:v>
                </c:pt>
                <c:pt idx="78">
                  <c:v>4.0101157262932834E-2</c:v>
                </c:pt>
                <c:pt idx="79">
                  <c:v>4.0258069728718746E-2</c:v>
                </c:pt>
                <c:pt idx="80">
                  <c:v>4.0409919435551007E-2</c:v>
                </c:pt>
                <c:pt idx="81">
                  <c:v>4.052349838857279E-2</c:v>
                </c:pt>
                <c:pt idx="82">
                  <c:v>4.0618152264187871E-2</c:v>
                </c:pt>
                <c:pt idx="83">
                  <c:v>4.0711580187376847E-2</c:v>
                </c:pt>
                <c:pt idx="84">
                  <c:v>4.0803788471232429E-2</c:v>
                </c:pt>
                <c:pt idx="85">
                  <c:v>4.0891819255099493E-2</c:v>
                </c:pt>
                <c:pt idx="86">
                  <c:v>4.0977818914429913E-2</c:v>
                </c:pt>
                <c:pt idx="87">
                  <c:v>4.1062800907241251E-2</c:v>
                </c:pt>
                <c:pt idx="88">
                  <c:v>4.1146767381731814E-2</c:v>
                </c:pt>
                <c:pt idx="89">
                  <c:v>4.122701690243985E-2</c:v>
                </c:pt>
                <c:pt idx="90">
                  <c:v>4.1305497174101292E-2</c:v>
                </c:pt>
                <c:pt idx="91">
                  <c:v>4.1383128823429566E-2</c:v>
                </c:pt>
                <c:pt idx="92">
                  <c:v>4.1459911077004703E-2</c:v>
                </c:pt>
                <c:pt idx="93">
                  <c:v>4.1533367237160043E-2</c:v>
                </c:pt>
                <c:pt idx="94">
                  <c:v>4.1605272871478222E-2</c:v>
                </c:pt>
                <c:pt idx="95">
                  <c:v>4.1676468152876484E-2</c:v>
                </c:pt>
                <c:pt idx="96">
                  <c:v>4.1746175322453172E-2</c:v>
                </c:pt>
                <c:pt idx="97">
                  <c:v>4.1813681373959272E-2</c:v>
                </c:pt>
                <c:pt idx="98">
                  <c:v>4.1879820528939668E-2</c:v>
                </c:pt>
                <c:pt idx="99">
                  <c:v>4.1945362938133939E-2</c:v>
                </c:pt>
                <c:pt idx="100">
                  <c:v>4.2010304397224529E-2</c:v>
                </c:pt>
                <c:pt idx="101">
                  <c:v>4.2072541109920876E-2</c:v>
                </c:pt>
                <c:pt idx="102">
                  <c:v>4.2133567071933678E-2</c:v>
                </c:pt>
                <c:pt idx="103">
                  <c:v>4.2194090764171042E-2</c:v>
                </c:pt>
                <c:pt idx="104">
                  <c:v>4.2254107042023176E-2</c:v>
                </c:pt>
                <c:pt idx="105">
                  <c:v>4.2312315994782988E-2</c:v>
                </c:pt>
                <c:pt idx="106">
                  <c:v>4.236878751327354E-2</c:v>
                </c:pt>
                <c:pt idx="107">
                  <c:v>4.2424211830425745E-2</c:v>
                </c:pt>
                <c:pt idx="108">
                  <c:v>4.2480524345640452E-2</c:v>
                </c:pt>
                <c:pt idx="109">
                  <c:v>4.2549350570468637E-2</c:v>
                </c:pt>
                <c:pt idx="110">
                  <c:v>4.2631693860888949E-2</c:v>
                </c:pt>
                <c:pt idx="111">
                  <c:v>4.2712565242026247E-2</c:v>
                </c:pt>
                <c:pt idx="112">
                  <c:v>4.2792003830332125E-2</c:v>
                </c:pt>
                <c:pt idx="113">
                  <c:v>4.2871805160197687E-2</c:v>
                </c:pt>
                <c:pt idx="114">
                  <c:v>4.2948459612722013E-2</c:v>
                </c:pt>
                <c:pt idx="115">
                  <c:v>4.3023791400178195E-2</c:v>
                </c:pt>
                <c:pt idx="116">
                  <c:v>4.3097834463385352E-2</c:v>
                </c:pt>
                <c:pt idx="117">
                  <c:v>4.3173081215322283E-2</c:v>
                </c:pt>
                <c:pt idx="118">
                  <c:v>4.3244602905498093E-2</c:v>
                </c:pt>
                <c:pt idx="119">
                  <c:v>4.3314932002829674E-2</c:v>
                </c:pt>
                <c:pt idx="120">
                  <c:v>4.3384098089630015E-2</c:v>
                </c:pt>
                <c:pt idx="121">
                  <c:v>4.3454429377849151E-2</c:v>
                </c:pt>
                <c:pt idx="122">
                  <c:v>4.3521317096641352E-2</c:v>
                </c:pt>
                <c:pt idx="123">
                  <c:v>4.3587125783489555E-2</c:v>
                </c:pt>
                <c:pt idx="124">
                  <c:v>4.365188133992997E-2</c:v>
                </c:pt>
                <c:pt idx="125">
                  <c:v>4.371776354494504E-2</c:v>
                </c:pt>
                <c:pt idx="126">
                  <c:v>4.3780453487327328E-2</c:v>
                </c:pt>
                <c:pt idx="127">
                  <c:v>4.3842163986318274E-2</c:v>
                </c:pt>
                <c:pt idx="128">
                  <c:v>4.3903602790481777E-2</c:v>
                </c:pt>
                <c:pt idx="129">
                  <c:v>4.3964085891702843E-2</c:v>
                </c:pt>
                <c:pt idx="130">
                  <c:v>4.402363541759579E-2</c:v>
                </c:pt>
                <c:pt idx="131">
                  <c:v>4.408161895983638E-2</c:v>
                </c:pt>
                <c:pt idx="132">
                  <c:v>4.4138730867074719E-2</c:v>
                </c:pt>
                <c:pt idx="133">
                  <c:v>4.4196259524261067E-2</c:v>
                </c:pt>
                <c:pt idx="134">
                  <c:v>4.4252292306206184E-2</c:v>
                </c:pt>
                <c:pt idx="135">
                  <c:v>4.4306876603082114E-2</c:v>
                </c:pt>
                <c:pt idx="136">
                  <c:v>4.4360664511261506E-2</c:v>
                </c:pt>
                <c:pt idx="137">
                  <c:v>4.4414869157820218E-2</c:v>
                </c:pt>
                <c:pt idx="138">
                  <c:v>4.4467687767721295E-2</c:v>
                </c:pt>
                <c:pt idx="139">
                  <c:v>4.4519163205971692E-2</c:v>
                </c:pt>
                <c:pt idx="140">
                  <c:v>4.4569909084202726E-2</c:v>
                </c:pt>
                <c:pt idx="141">
                  <c:v>4.4621069706047102E-2</c:v>
                </c:pt>
                <c:pt idx="142">
                  <c:v>4.4670942975301185E-2</c:v>
                </c:pt>
                <c:pt idx="143">
                  <c:v>4.4719567783832556E-2</c:v>
                </c:pt>
                <c:pt idx="144">
                  <c:v>4.4767522587955716E-2</c:v>
                </c:pt>
                <c:pt idx="145">
                  <c:v>4.4815354905350935E-2</c:v>
                </c:pt>
                <c:pt idx="146">
                  <c:v>4.4862529809996471E-2</c:v>
                </c:pt>
                <c:pt idx="147">
                  <c:v>4.4908541471566914E-2</c:v>
                </c:pt>
                <c:pt idx="148">
                  <c:v>4.4953936232671514E-2</c:v>
                </c:pt>
                <c:pt idx="149">
                  <c:v>4.4999737444286536E-2</c:v>
                </c:pt>
                <c:pt idx="150">
                  <c:v>4.50444204552286E-2</c:v>
                </c:pt>
                <c:pt idx="151">
                  <c:v>4.5088017564257753E-2</c:v>
                </c:pt>
                <c:pt idx="152">
                  <c:v>4.5131531263972735E-2</c:v>
                </c:pt>
                <c:pt idx="153">
                  <c:v>4.5174953577441009E-2</c:v>
                </c:pt>
                <c:pt idx="154">
                  <c:v>4.5216857739937132E-2</c:v>
                </c:pt>
                <c:pt idx="155">
                  <c:v>4.5258225490117092E-2</c:v>
                </c:pt>
                <c:pt idx="156">
                  <c:v>4.5299528186223001E-2</c:v>
                </c:pt>
                <c:pt idx="157">
                  <c:v>4.5340758178914739E-2</c:v>
                </c:pt>
                <c:pt idx="158">
                  <c:v>4.5380559973836207E-2</c:v>
                </c:pt>
                <c:pt idx="159">
                  <c:v>4.5419865092970635E-2</c:v>
                </c:pt>
                <c:pt idx="160">
                  <c:v>4.5459121119396033E-2</c:v>
                </c:pt>
                <c:pt idx="161">
                  <c:v>4.54978878885142E-2</c:v>
                </c:pt>
                <c:pt idx="162">
                  <c:v>4.5535746938252457E-2</c:v>
                </c:pt>
                <c:pt idx="163">
                  <c:v>4.5573145122483352E-2</c:v>
                </c:pt>
                <c:pt idx="164">
                  <c:v>4.5610508074394263E-2</c:v>
                </c:pt>
                <c:pt idx="165">
                  <c:v>4.5647828778617665E-2</c:v>
                </c:pt>
                <c:pt idx="166">
                  <c:v>4.5683879016006387E-2</c:v>
                </c:pt>
                <c:pt idx="167">
                  <c:v>4.571950092408622E-2</c:v>
                </c:pt>
                <c:pt idx="168">
                  <c:v>4.5755099715765205E-2</c:v>
                </c:pt>
                <c:pt idx="169">
                  <c:v>4.5790668679408286E-2</c:v>
                </c:pt>
                <c:pt idx="170">
                  <c:v>4.5825036705484358E-2</c:v>
                </c:pt>
                <c:pt idx="171">
                  <c:v>4.5859005946503349E-2</c:v>
                </c:pt>
                <c:pt idx="172">
                  <c:v>4.589296263827071E-2</c:v>
                </c:pt>
                <c:pt idx="173">
                  <c:v>4.5926900361539645E-2</c:v>
                </c:pt>
                <c:pt idx="174">
                  <c:v>4.5959701232615044E-2</c:v>
                </c:pt>
                <c:pt idx="175">
                  <c:v>4.5992496605466927E-2</c:v>
                </c:pt>
                <c:pt idx="176">
                  <c:v>4.6024555853275008E-2</c:v>
                </c:pt>
                <c:pt idx="177">
                  <c:v>4.6056255710786767E-2</c:v>
                </c:pt>
                <c:pt idx="178">
                  <c:v>4.6088310546849823E-2</c:v>
                </c:pt>
                <c:pt idx="179">
                  <c:v>4.61193016886687E-2</c:v>
                </c:pt>
                <c:pt idx="180">
                  <c:v>4.6149951201895419E-2</c:v>
                </c:pt>
                <c:pt idx="181">
                  <c:v>4.6180264704734693E-2</c:v>
                </c:pt>
                <c:pt idx="182">
                  <c:v>4.6211264078301811E-2</c:v>
                </c:pt>
                <c:pt idx="183">
                  <c:v>4.6240910935804326E-2</c:v>
                </c:pt>
                <c:pt idx="184">
                  <c:v>4.6270238091878954E-2</c:v>
                </c:pt>
                <c:pt idx="185">
                  <c:v>4.6299250690255526E-2</c:v>
                </c:pt>
                <c:pt idx="186">
                  <c:v>4.6328926881859404E-2</c:v>
                </c:pt>
                <c:pt idx="187">
                  <c:v>4.6357315060808778E-2</c:v>
                </c:pt>
                <c:pt idx="188">
                  <c:v>4.6385403628306586E-2</c:v>
                </c:pt>
                <c:pt idx="189">
                  <c:v>4.641319730281096E-2</c:v>
                </c:pt>
                <c:pt idx="190">
                  <c:v>4.6441633257708385E-2</c:v>
                </c:pt>
                <c:pt idx="191">
                  <c:v>4.6468841246269273E-2</c:v>
                </c:pt>
                <c:pt idx="192">
                  <c:v>4.6495768065029142E-2</c:v>
                </c:pt>
                <c:pt idx="193">
                  <c:v>4.65224180497281E-2</c:v>
                </c:pt>
                <c:pt idx="194">
                  <c:v>4.6549391798945544E-2</c:v>
                </c:pt>
                <c:pt idx="195">
                  <c:v>4.6575494718451266E-2</c:v>
                </c:pt>
                <c:pt idx="196">
                  <c:v>4.6601333380704428E-2</c:v>
                </c:pt>
                <c:pt idx="197">
                  <c:v>4.6627200961413776E-2</c:v>
                </c:pt>
                <c:pt idx="198">
                  <c:v>4.6653092602845329E-2</c:v>
                </c:pt>
                <c:pt idx="199">
                  <c:v>4.6678436937265269E-2</c:v>
                </c:pt>
                <c:pt idx="200">
                  <c:v>4.6703246487281164E-2</c:v>
                </c:pt>
                <c:pt idx="201">
                  <c:v>4.6727811128487742E-2</c:v>
                </c:pt>
                <c:pt idx="202">
                  <c:v>4.6752684496059869E-2</c:v>
                </c:pt>
                <c:pt idx="203">
                  <c:v>4.6777036998097758E-2</c:v>
                </c:pt>
                <c:pt idx="204">
                  <c:v>4.6800880356973967E-2</c:v>
                </c:pt>
                <c:pt idx="205">
                  <c:v>4.6824492939720623E-2</c:v>
                </c:pt>
                <c:pt idx="206">
                  <c:v>4.6848406943799763E-2</c:v>
                </c:pt>
                <c:pt idx="207">
                  <c:v>4.6871824716479951E-2</c:v>
                </c:pt>
                <c:pt idx="208">
                  <c:v>4.68947572460474E-2</c:v>
                </c:pt>
                <c:pt idx="209">
                  <c:v>4.6917472065637296E-2</c:v>
                </c:pt>
                <c:pt idx="210">
                  <c:v>4.6940226723333943E-2</c:v>
                </c:pt>
                <c:pt idx="211">
                  <c:v>4.6962764982645393E-2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'Bumped Curve Snap'!$D$3</c:f>
              <c:strCache>
                <c:ptCount val="1"/>
                <c:pt idx="0">
                  <c:v>CNY_Treasury_Live_Curve_2012-7-16_Calibrated_Curve_2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41106</c:v>
                </c:pt>
                <c:pt idx="1">
                  <c:v>41196</c:v>
                </c:pt>
                <c:pt idx="2">
                  <c:v>41286</c:v>
                </c:pt>
                <c:pt idx="3">
                  <c:v>41376</c:v>
                </c:pt>
                <c:pt idx="4">
                  <c:v>41466</c:v>
                </c:pt>
                <c:pt idx="5">
                  <c:v>41556</c:v>
                </c:pt>
                <c:pt idx="6">
                  <c:v>41646</c:v>
                </c:pt>
                <c:pt idx="7">
                  <c:v>41736</c:v>
                </c:pt>
                <c:pt idx="8">
                  <c:v>41826</c:v>
                </c:pt>
                <c:pt idx="9">
                  <c:v>41916</c:v>
                </c:pt>
                <c:pt idx="10">
                  <c:v>42006</c:v>
                </c:pt>
                <c:pt idx="11">
                  <c:v>42096</c:v>
                </c:pt>
                <c:pt idx="12">
                  <c:v>42186</c:v>
                </c:pt>
                <c:pt idx="13">
                  <c:v>42276</c:v>
                </c:pt>
                <c:pt idx="14">
                  <c:v>42366</c:v>
                </c:pt>
                <c:pt idx="15">
                  <c:v>42456</c:v>
                </c:pt>
                <c:pt idx="16">
                  <c:v>42546</c:v>
                </c:pt>
                <c:pt idx="17">
                  <c:v>42636</c:v>
                </c:pt>
                <c:pt idx="18">
                  <c:v>42726</c:v>
                </c:pt>
                <c:pt idx="19">
                  <c:v>42816</c:v>
                </c:pt>
                <c:pt idx="20">
                  <c:v>42906</c:v>
                </c:pt>
                <c:pt idx="21">
                  <c:v>42996</c:v>
                </c:pt>
                <c:pt idx="22">
                  <c:v>43086</c:v>
                </c:pt>
                <c:pt idx="23">
                  <c:v>43176</c:v>
                </c:pt>
                <c:pt idx="24">
                  <c:v>43266</c:v>
                </c:pt>
                <c:pt idx="25">
                  <c:v>43356</c:v>
                </c:pt>
                <c:pt idx="26">
                  <c:v>43446</c:v>
                </c:pt>
                <c:pt idx="27">
                  <c:v>43536</c:v>
                </c:pt>
                <c:pt idx="28">
                  <c:v>43626</c:v>
                </c:pt>
                <c:pt idx="29">
                  <c:v>43716</c:v>
                </c:pt>
                <c:pt idx="30">
                  <c:v>43806</c:v>
                </c:pt>
                <c:pt idx="31">
                  <c:v>43896</c:v>
                </c:pt>
                <c:pt idx="32">
                  <c:v>43986</c:v>
                </c:pt>
                <c:pt idx="33">
                  <c:v>44076</c:v>
                </c:pt>
                <c:pt idx="34">
                  <c:v>44166</c:v>
                </c:pt>
                <c:pt idx="35">
                  <c:v>44256</c:v>
                </c:pt>
                <c:pt idx="36">
                  <c:v>44346</c:v>
                </c:pt>
                <c:pt idx="37">
                  <c:v>44436</c:v>
                </c:pt>
                <c:pt idx="38">
                  <c:v>44526</c:v>
                </c:pt>
                <c:pt idx="39">
                  <c:v>44616</c:v>
                </c:pt>
                <c:pt idx="40">
                  <c:v>44706</c:v>
                </c:pt>
                <c:pt idx="41">
                  <c:v>44796</c:v>
                </c:pt>
                <c:pt idx="42">
                  <c:v>44886</c:v>
                </c:pt>
                <c:pt idx="43">
                  <c:v>44976</c:v>
                </c:pt>
                <c:pt idx="44">
                  <c:v>45066</c:v>
                </c:pt>
                <c:pt idx="45">
                  <c:v>45156</c:v>
                </c:pt>
                <c:pt idx="46">
                  <c:v>45246</c:v>
                </c:pt>
                <c:pt idx="47">
                  <c:v>45336</c:v>
                </c:pt>
                <c:pt idx="48">
                  <c:v>45426</c:v>
                </c:pt>
                <c:pt idx="49">
                  <c:v>45516</c:v>
                </c:pt>
                <c:pt idx="50">
                  <c:v>45606</c:v>
                </c:pt>
                <c:pt idx="51">
                  <c:v>45696</c:v>
                </c:pt>
                <c:pt idx="52">
                  <c:v>45786</c:v>
                </c:pt>
                <c:pt idx="53">
                  <c:v>45876</c:v>
                </c:pt>
                <c:pt idx="54">
                  <c:v>45966</c:v>
                </c:pt>
                <c:pt idx="55">
                  <c:v>46056</c:v>
                </c:pt>
                <c:pt idx="56">
                  <c:v>46146</c:v>
                </c:pt>
                <c:pt idx="57">
                  <c:v>46236</c:v>
                </c:pt>
                <c:pt idx="58">
                  <c:v>46326</c:v>
                </c:pt>
                <c:pt idx="59">
                  <c:v>46416</c:v>
                </c:pt>
                <c:pt idx="60">
                  <c:v>46506</c:v>
                </c:pt>
                <c:pt idx="61">
                  <c:v>46596</c:v>
                </c:pt>
                <c:pt idx="62">
                  <c:v>46686</c:v>
                </c:pt>
                <c:pt idx="63">
                  <c:v>46776</c:v>
                </c:pt>
                <c:pt idx="64">
                  <c:v>46866</c:v>
                </c:pt>
                <c:pt idx="65">
                  <c:v>46956</c:v>
                </c:pt>
                <c:pt idx="66">
                  <c:v>47046</c:v>
                </c:pt>
                <c:pt idx="67">
                  <c:v>47136</c:v>
                </c:pt>
                <c:pt idx="68">
                  <c:v>47226</c:v>
                </c:pt>
                <c:pt idx="69">
                  <c:v>47316</c:v>
                </c:pt>
                <c:pt idx="70">
                  <c:v>47406</c:v>
                </c:pt>
                <c:pt idx="71">
                  <c:v>47496</c:v>
                </c:pt>
                <c:pt idx="72">
                  <c:v>47586</c:v>
                </c:pt>
                <c:pt idx="73">
                  <c:v>47676</c:v>
                </c:pt>
                <c:pt idx="74">
                  <c:v>47766</c:v>
                </c:pt>
                <c:pt idx="75">
                  <c:v>47856</c:v>
                </c:pt>
                <c:pt idx="76">
                  <c:v>47946</c:v>
                </c:pt>
                <c:pt idx="77">
                  <c:v>48036</c:v>
                </c:pt>
                <c:pt idx="78">
                  <c:v>48126</c:v>
                </c:pt>
                <c:pt idx="79">
                  <c:v>48216</c:v>
                </c:pt>
                <c:pt idx="80">
                  <c:v>48306</c:v>
                </c:pt>
                <c:pt idx="81">
                  <c:v>48396</c:v>
                </c:pt>
                <c:pt idx="82">
                  <c:v>48486</c:v>
                </c:pt>
                <c:pt idx="83">
                  <c:v>48576</c:v>
                </c:pt>
                <c:pt idx="84">
                  <c:v>48666</c:v>
                </c:pt>
                <c:pt idx="85">
                  <c:v>48756</c:v>
                </c:pt>
                <c:pt idx="86">
                  <c:v>48846</c:v>
                </c:pt>
                <c:pt idx="87">
                  <c:v>48936</c:v>
                </c:pt>
                <c:pt idx="88">
                  <c:v>49026</c:v>
                </c:pt>
                <c:pt idx="89">
                  <c:v>49116</c:v>
                </c:pt>
                <c:pt idx="90">
                  <c:v>49206</c:v>
                </c:pt>
                <c:pt idx="91">
                  <c:v>49296</c:v>
                </c:pt>
                <c:pt idx="92">
                  <c:v>49386</c:v>
                </c:pt>
                <c:pt idx="93">
                  <c:v>49476</c:v>
                </c:pt>
                <c:pt idx="94">
                  <c:v>49566</c:v>
                </c:pt>
                <c:pt idx="95">
                  <c:v>49656</c:v>
                </c:pt>
                <c:pt idx="96">
                  <c:v>49746</c:v>
                </c:pt>
                <c:pt idx="97">
                  <c:v>49836</c:v>
                </c:pt>
                <c:pt idx="98">
                  <c:v>49926</c:v>
                </c:pt>
                <c:pt idx="99">
                  <c:v>50016</c:v>
                </c:pt>
                <c:pt idx="100">
                  <c:v>50106</c:v>
                </c:pt>
                <c:pt idx="101">
                  <c:v>50196</c:v>
                </c:pt>
                <c:pt idx="102">
                  <c:v>50286</c:v>
                </c:pt>
                <c:pt idx="103">
                  <c:v>50376</c:v>
                </c:pt>
                <c:pt idx="104">
                  <c:v>50466</c:v>
                </c:pt>
                <c:pt idx="105">
                  <c:v>50556</c:v>
                </c:pt>
                <c:pt idx="106">
                  <c:v>50646</c:v>
                </c:pt>
                <c:pt idx="107">
                  <c:v>50736</c:v>
                </c:pt>
                <c:pt idx="108">
                  <c:v>50826</c:v>
                </c:pt>
                <c:pt idx="109">
                  <c:v>50916</c:v>
                </c:pt>
                <c:pt idx="110">
                  <c:v>51006</c:v>
                </c:pt>
                <c:pt idx="111">
                  <c:v>51096</c:v>
                </c:pt>
                <c:pt idx="112">
                  <c:v>51186</c:v>
                </c:pt>
                <c:pt idx="113">
                  <c:v>51276</c:v>
                </c:pt>
                <c:pt idx="114">
                  <c:v>51366</c:v>
                </c:pt>
                <c:pt idx="115">
                  <c:v>51456</c:v>
                </c:pt>
                <c:pt idx="116">
                  <c:v>51546</c:v>
                </c:pt>
                <c:pt idx="117">
                  <c:v>51636</c:v>
                </c:pt>
                <c:pt idx="118">
                  <c:v>51726</c:v>
                </c:pt>
                <c:pt idx="119">
                  <c:v>51816</c:v>
                </c:pt>
                <c:pt idx="120">
                  <c:v>51906</c:v>
                </c:pt>
                <c:pt idx="121">
                  <c:v>51996</c:v>
                </c:pt>
                <c:pt idx="122">
                  <c:v>52086</c:v>
                </c:pt>
                <c:pt idx="123">
                  <c:v>52176</c:v>
                </c:pt>
                <c:pt idx="124">
                  <c:v>52266</c:v>
                </c:pt>
                <c:pt idx="125">
                  <c:v>52356</c:v>
                </c:pt>
                <c:pt idx="126">
                  <c:v>52446</c:v>
                </c:pt>
                <c:pt idx="127">
                  <c:v>52536</c:v>
                </c:pt>
                <c:pt idx="128">
                  <c:v>52626</c:v>
                </c:pt>
                <c:pt idx="129">
                  <c:v>52716</c:v>
                </c:pt>
                <c:pt idx="130">
                  <c:v>52806</c:v>
                </c:pt>
                <c:pt idx="131">
                  <c:v>52896</c:v>
                </c:pt>
                <c:pt idx="132">
                  <c:v>52986</c:v>
                </c:pt>
                <c:pt idx="133">
                  <c:v>53076</c:v>
                </c:pt>
                <c:pt idx="134">
                  <c:v>53166</c:v>
                </c:pt>
                <c:pt idx="135">
                  <c:v>53256</c:v>
                </c:pt>
                <c:pt idx="136">
                  <c:v>53346</c:v>
                </c:pt>
                <c:pt idx="137">
                  <c:v>53436</c:v>
                </c:pt>
                <c:pt idx="138">
                  <c:v>53526</c:v>
                </c:pt>
                <c:pt idx="139">
                  <c:v>53616</c:v>
                </c:pt>
                <c:pt idx="140">
                  <c:v>53706</c:v>
                </c:pt>
                <c:pt idx="141">
                  <c:v>53796</c:v>
                </c:pt>
                <c:pt idx="142">
                  <c:v>53886</c:v>
                </c:pt>
                <c:pt idx="143">
                  <c:v>53976</c:v>
                </c:pt>
                <c:pt idx="144">
                  <c:v>54066</c:v>
                </c:pt>
                <c:pt idx="145">
                  <c:v>54156</c:v>
                </c:pt>
                <c:pt idx="146">
                  <c:v>54246</c:v>
                </c:pt>
                <c:pt idx="147">
                  <c:v>54336</c:v>
                </c:pt>
                <c:pt idx="148">
                  <c:v>54426</c:v>
                </c:pt>
                <c:pt idx="149">
                  <c:v>54516</c:v>
                </c:pt>
                <c:pt idx="150">
                  <c:v>54606</c:v>
                </c:pt>
                <c:pt idx="151">
                  <c:v>54696</c:v>
                </c:pt>
                <c:pt idx="152">
                  <c:v>54786</c:v>
                </c:pt>
                <c:pt idx="153">
                  <c:v>54876</c:v>
                </c:pt>
                <c:pt idx="154">
                  <c:v>54966</c:v>
                </c:pt>
                <c:pt idx="155">
                  <c:v>55056</c:v>
                </c:pt>
                <c:pt idx="156">
                  <c:v>55146</c:v>
                </c:pt>
                <c:pt idx="157">
                  <c:v>55236</c:v>
                </c:pt>
                <c:pt idx="158">
                  <c:v>55326</c:v>
                </c:pt>
                <c:pt idx="159">
                  <c:v>55416</c:v>
                </c:pt>
                <c:pt idx="160">
                  <c:v>55506</c:v>
                </c:pt>
                <c:pt idx="161">
                  <c:v>55596</c:v>
                </c:pt>
                <c:pt idx="162">
                  <c:v>55686</c:v>
                </c:pt>
                <c:pt idx="163">
                  <c:v>55776</c:v>
                </c:pt>
                <c:pt idx="164">
                  <c:v>55866</c:v>
                </c:pt>
                <c:pt idx="165">
                  <c:v>55956</c:v>
                </c:pt>
                <c:pt idx="166">
                  <c:v>56046</c:v>
                </c:pt>
                <c:pt idx="167">
                  <c:v>56136</c:v>
                </c:pt>
                <c:pt idx="168">
                  <c:v>56226</c:v>
                </c:pt>
                <c:pt idx="169">
                  <c:v>56316</c:v>
                </c:pt>
                <c:pt idx="170">
                  <c:v>56406</c:v>
                </c:pt>
                <c:pt idx="171">
                  <c:v>56496</c:v>
                </c:pt>
                <c:pt idx="172">
                  <c:v>56586</c:v>
                </c:pt>
                <c:pt idx="173">
                  <c:v>56676</c:v>
                </c:pt>
                <c:pt idx="174">
                  <c:v>56766</c:v>
                </c:pt>
                <c:pt idx="175">
                  <c:v>56856</c:v>
                </c:pt>
                <c:pt idx="176">
                  <c:v>56946</c:v>
                </c:pt>
                <c:pt idx="177">
                  <c:v>57036</c:v>
                </c:pt>
                <c:pt idx="178">
                  <c:v>57126</c:v>
                </c:pt>
                <c:pt idx="179">
                  <c:v>57216</c:v>
                </c:pt>
                <c:pt idx="180">
                  <c:v>57306</c:v>
                </c:pt>
                <c:pt idx="181">
                  <c:v>57396</c:v>
                </c:pt>
                <c:pt idx="182">
                  <c:v>57486</c:v>
                </c:pt>
                <c:pt idx="183">
                  <c:v>57576</c:v>
                </c:pt>
                <c:pt idx="184">
                  <c:v>57666</c:v>
                </c:pt>
                <c:pt idx="185">
                  <c:v>57756</c:v>
                </c:pt>
                <c:pt idx="186">
                  <c:v>57846</c:v>
                </c:pt>
                <c:pt idx="187">
                  <c:v>57936</c:v>
                </c:pt>
                <c:pt idx="188">
                  <c:v>58026</c:v>
                </c:pt>
                <c:pt idx="189">
                  <c:v>58116</c:v>
                </c:pt>
                <c:pt idx="190">
                  <c:v>58206</c:v>
                </c:pt>
                <c:pt idx="191">
                  <c:v>58296</c:v>
                </c:pt>
                <c:pt idx="192">
                  <c:v>58386</c:v>
                </c:pt>
                <c:pt idx="193">
                  <c:v>58476</c:v>
                </c:pt>
                <c:pt idx="194">
                  <c:v>58566</c:v>
                </c:pt>
                <c:pt idx="195">
                  <c:v>58656</c:v>
                </c:pt>
                <c:pt idx="196">
                  <c:v>58746</c:v>
                </c:pt>
                <c:pt idx="197">
                  <c:v>58836</c:v>
                </c:pt>
                <c:pt idx="198">
                  <c:v>58926</c:v>
                </c:pt>
                <c:pt idx="199">
                  <c:v>59016</c:v>
                </c:pt>
                <c:pt idx="200">
                  <c:v>59106</c:v>
                </c:pt>
                <c:pt idx="201">
                  <c:v>59196</c:v>
                </c:pt>
                <c:pt idx="202">
                  <c:v>59286</c:v>
                </c:pt>
                <c:pt idx="203">
                  <c:v>59376</c:v>
                </c:pt>
                <c:pt idx="204">
                  <c:v>59466</c:v>
                </c:pt>
                <c:pt idx="205">
                  <c:v>59556</c:v>
                </c:pt>
                <c:pt idx="206">
                  <c:v>59646</c:v>
                </c:pt>
                <c:pt idx="207">
                  <c:v>59736</c:v>
                </c:pt>
                <c:pt idx="208">
                  <c:v>59826</c:v>
                </c:pt>
                <c:pt idx="209">
                  <c:v>59916</c:v>
                </c:pt>
                <c:pt idx="210">
                  <c:v>60006</c:v>
                </c:pt>
                <c:pt idx="211">
                  <c:v>60096</c:v>
                </c:pt>
              </c:numCache>
            </c:numRef>
          </c:cat>
          <c:val>
            <c:numRef>
              <c:f>'Bumped Curve Snap'!$D$4:$D$215</c:f>
              <c:numCache>
                <c:formatCode>0.00%</c:formatCode>
                <c:ptCount val="212"/>
                <c:pt idx="0">
                  <c:v>2.4041974740405224E-2</c:v>
                </c:pt>
                <c:pt idx="1">
                  <c:v>2.404197473982482E-2</c:v>
                </c:pt>
                <c:pt idx="2">
                  <c:v>2.2098368284234598E-2</c:v>
                </c:pt>
                <c:pt idx="3">
                  <c:v>2.1755800209119026E-2</c:v>
                </c:pt>
                <c:pt idx="4">
                  <c:v>2.291440233882475E-2</c:v>
                </c:pt>
                <c:pt idx="5">
                  <c:v>2.5059965994309402E-2</c:v>
                </c:pt>
                <c:pt idx="6">
                  <c:v>2.657195890142517E-2</c:v>
                </c:pt>
                <c:pt idx="7">
                  <c:v>2.2662383070852835E-2</c:v>
                </c:pt>
                <c:pt idx="8">
                  <c:v>2.221874019303207E-2</c:v>
                </c:pt>
                <c:pt idx="9">
                  <c:v>2.2897300209875199E-2</c:v>
                </c:pt>
                <c:pt idx="10">
                  <c:v>2.3459980856976242E-2</c:v>
                </c:pt>
                <c:pt idx="11">
                  <c:v>2.3718893977189168E-2</c:v>
                </c:pt>
                <c:pt idx="12">
                  <c:v>2.4114295928926346E-2</c:v>
                </c:pt>
                <c:pt idx="13">
                  <c:v>2.4659921850438769E-2</c:v>
                </c:pt>
                <c:pt idx="14">
                  <c:v>2.5263933692042887E-2</c:v>
                </c:pt>
                <c:pt idx="15">
                  <c:v>2.5713208429355046E-2</c:v>
                </c:pt>
                <c:pt idx="16">
                  <c:v>2.6032842786216315E-2</c:v>
                </c:pt>
                <c:pt idx="17">
                  <c:v>2.630228007532303E-2</c:v>
                </c:pt>
                <c:pt idx="18">
                  <c:v>2.6544596904531596E-2</c:v>
                </c:pt>
                <c:pt idx="19">
                  <c:v>2.6936993183763167E-2</c:v>
                </c:pt>
                <c:pt idx="20">
                  <c:v>2.741967244349908E-2</c:v>
                </c:pt>
                <c:pt idx="21">
                  <c:v>2.7939763954051001E-2</c:v>
                </c:pt>
                <c:pt idx="22">
                  <c:v>2.8691278423569767E-2</c:v>
                </c:pt>
                <c:pt idx="23">
                  <c:v>2.9399984064611549E-2</c:v>
                </c:pt>
                <c:pt idx="24">
                  <c:v>2.9968174760607896E-2</c:v>
                </c:pt>
                <c:pt idx="25">
                  <c:v>3.1308935669778694E-2</c:v>
                </c:pt>
                <c:pt idx="26">
                  <c:v>3.1744658592984851E-2</c:v>
                </c:pt>
                <c:pt idx="27">
                  <c:v>3.095031151677051E-2</c:v>
                </c:pt>
                <c:pt idx="28">
                  <c:v>3.0515773157415372E-2</c:v>
                </c:pt>
                <c:pt idx="29">
                  <c:v>3.0769295006760455E-2</c:v>
                </c:pt>
                <c:pt idx="30">
                  <c:v>3.1351566425796687E-2</c:v>
                </c:pt>
                <c:pt idx="31">
                  <c:v>3.1860698456621941E-2</c:v>
                </c:pt>
                <c:pt idx="32">
                  <c:v>3.2223842693836026E-2</c:v>
                </c:pt>
                <c:pt idx="33">
                  <c:v>3.2484532351308583E-2</c:v>
                </c:pt>
                <c:pt idx="34">
                  <c:v>3.2731541825203027E-2</c:v>
                </c:pt>
                <c:pt idx="35">
                  <c:v>3.2945982472171891E-2</c:v>
                </c:pt>
                <c:pt idx="36">
                  <c:v>3.3118222491956444E-2</c:v>
                </c:pt>
                <c:pt idx="37">
                  <c:v>3.3135279117255036E-2</c:v>
                </c:pt>
                <c:pt idx="38">
                  <c:v>3.2934517957104031E-2</c:v>
                </c:pt>
                <c:pt idx="39">
                  <c:v>3.283337285306373E-2</c:v>
                </c:pt>
                <c:pt idx="40">
                  <c:v>3.2925143259100918E-2</c:v>
                </c:pt>
                <c:pt idx="41">
                  <c:v>3.328398157397245E-2</c:v>
                </c:pt>
                <c:pt idx="42">
                  <c:v>3.3723051006169728E-2</c:v>
                </c:pt>
                <c:pt idx="43">
                  <c:v>3.4141853281813989E-2</c:v>
                </c:pt>
                <c:pt idx="44">
                  <c:v>3.4555046562983825E-2</c:v>
                </c:pt>
                <c:pt idx="45">
                  <c:v>3.4936684314193382E-2</c:v>
                </c:pt>
                <c:pt idx="46">
                  <c:v>3.5291279731271746E-2</c:v>
                </c:pt>
                <c:pt idx="47">
                  <c:v>3.5590620502868757E-2</c:v>
                </c:pt>
                <c:pt idx="48">
                  <c:v>3.5864791125152354E-2</c:v>
                </c:pt>
                <c:pt idx="49">
                  <c:v>3.6121866544302418E-2</c:v>
                </c:pt>
                <c:pt idx="50">
                  <c:v>3.6368786074203678E-2</c:v>
                </c:pt>
                <c:pt idx="51">
                  <c:v>3.6606095697324093E-2</c:v>
                </c:pt>
                <c:pt idx="52">
                  <c:v>3.6841945953720874E-2</c:v>
                </c:pt>
                <c:pt idx="53">
                  <c:v>3.7061317012985054E-2</c:v>
                </c:pt>
                <c:pt idx="54">
                  <c:v>3.7272669412925251E-2</c:v>
                </c:pt>
                <c:pt idx="55">
                  <c:v>3.7476397785527311E-2</c:v>
                </c:pt>
                <c:pt idx="56">
                  <c:v>3.7679454764264431E-2</c:v>
                </c:pt>
                <c:pt idx="57">
                  <c:v>3.7868842823326837E-2</c:v>
                </c:pt>
                <c:pt idx="58">
                  <c:v>3.8053838186451659E-2</c:v>
                </c:pt>
                <c:pt idx="59">
                  <c:v>3.823057234194515E-2</c:v>
                </c:pt>
                <c:pt idx="60">
                  <c:v>3.8405254542803559E-2</c:v>
                </c:pt>
                <c:pt idx="61">
                  <c:v>3.857225685829218E-2</c:v>
                </c:pt>
                <c:pt idx="62">
                  <c:v>3.860427583149216E-2</c:v>
                </c:pt>
                <c:pt idx="63">
                  <c:v>3.8604549475844657E-2</c:v>
                </c:pt>
                <c:pt idx="64">
                  <c:v>3.8604083962367128E-2</c:v>
                </c:pt>
                <c:pt idx="65">
                  <c:v>3.8603608797122553E-2</c:v>
                </c:pt>
                <c:pt idx="66">
                  <c:v>3.8603190711300465E-2</c:v>
                </c:pt>
                <c:pt idx="67">
                  <c:v>3.8602791893656306E-2</c:v>
                </c:pt>
                <c:pt idx="68">
                  <c:v>3.8602378037368434E-2</c:v>
                </c:pt>
                <c:pt idx="69">
                  <c:v>3.8601954914656365E-2</c:v>
                </c:pt>
                <c:pt idx="70">
                  <c:v>3.8716831269633607E-2</c:v>
                </c:pt>
                <c:pt idx="71">
                  <c:v>3.8895607110985636E-2</c:v>
                </c:pt>
                <c:pt idx="72">
                  <c:v>3.908315603377454E-2</c:v>
                </c:pt>
                <c:pt idx="73">
                  <c:v>3.9263470022626409E-2</c:v>
                </c:pt>
                <c:pt idx="74">
                  <c:v>3.9436978869204713E-2</c:v>
                </c:pt>
                <c:pt idx="75">
                  <c:v>3.9605908016612297E-2</c:v>
                </c:pt>
                <c:pt idx="76">
                  <c:v>3.9774188240415564E-2</c:v>
                </c:pt>
                <c:pt idx="77">
                  <c:v>3.9939981534916576E-2</c:v>
                </c:pt>
                <c:pt idx="78">
                  <c:v>4.0100941098205466E-2</c:v>
                </c:pt>
                <c:pt idx="79">
                  <c:v>4.0257870569029422E-2</c:v>
                </c:pt>
                <c:pt idx="80">
                  <c:v>4.0409724618198417E-2</c:v>
                </c:pt>
                <c:pt idx="81">
                  <c:v>4.0523285473213884E-2</c:v>
                </c:pt>
                <c:pt idx="82">
                  <c:v>4.061794120265836E-2</c:v>
                </c:pt>
                <c:pt idx="83">
                  <c:v>4.0711386719306554E-2</c:v>
                </c:pt>
                <c:pt idx="84">
                  <c:v>4.0803600330894987E-2</c:v>
                </c:pt>
                <c:pt idx="85">
                  <c:v>4.0891615107266528E-2</c:v>
                </c:pt>
                <c:pt idx="86">
                  <c:v>4.0977613494371151E-2</c:v>
                </c:pt>
                <c:pt idx="87">
                  <c:v>4.1062611590528542E-2</c:v>
                </c:pt>
                <c:pt idx="88">
                  <c:v>4.1146584659286049E-2</c:v>
                </c:pt>
                <c:pt idx="89">
                  <c:v>4.1226820256000551E-2</c:v>
                </c:pt>
                <c:pt idx="90">
                  <c:v>4.1305297097932174E-2</c:v>
                </c:pt>
                <c:pt idx="91">
                  <c:v>4.1382944183656914E-2</c:v>
                </c:pt>
                <c:pt idx="92">
                  <c:v>4.1459733794243191E-2</c:v>
                </c:pt>
                <c:pt idx="93">
                  <c:v>4.1533177614238692E-2</c:v>
                </c:pt>
                <c:pt idx="94">
                  <c:v>4.1605077786518264E-2</c:v>
                </c:pt>
                <c:pt idx="95">
                  <c:v>4.1676288028173178E-2</c:v>
                </c:pt>
                <c:pt idx="96">
                  <c:v>4.1746002762374564E-2</c:v>
                </c:pt>
                <c:pt idx="97">
                  <c:v>4.1813498793718505E-2</c:v>
                </c:pt>
                <c:pt idx="98">
                  <c:v>4.1879631007740149E-2</c:v>
                </c:pt>
                <c:pt idx="99">
                  <c:v>4.1945187236742461E-2</c:v>
                </c:pt>
                <c:pt idx="100">
                  <c:v>4.2010136971482988E-2</c:v>
                </c:pt>
                <c:pt idx="101">
                  <c:v>4.2072364516813947E-2</c:v>
                </c:pt>
                <c:pt idx="102">
                  <c:v>4.2133381915985486E-2</c:v>
                </c:pt>
                <c:pt idx="103">
                  <c:v>4.2193918901617784E-2</c:v>
                </c:pt>
                <c:pt idx="104">
                  <c:v>4.2253944261321508E-2</c:v>
                </c:pt>
                <c:pt idx="105">
                  <c:v>4.2312144830423143E-2</c:v>
                </c:pt>
                <c:pt idx="106">
                  <c:v>4.2368606592585574E-2</c:v>
                </c:pt>
                <c:pt idx="107">
                  <c:v>4.2424043625531607E-2</c:v>
                </c:pt>
                <c:pt idx="108">
                  <c:v>4.2480366987170323E-2</c:v>
                </c:pt>
                <c:pt idx="109">
                  <c:v>4.2549187010947294E-2</c:v>
                </c:pt>
                <c:pt idx="110">
                  <c:v>4.2631515591497547E-2</c:v>
                </c:pt>
                <c:pt idx="111">
                  <c:v>4.2712400232082601E-2</c:v>
                </c:pt>
                <c:pt idx="112">
                  <c:v>4.2791850099605101E-2</c:v>
                </c:pt>
                <c:pt idx="113">
                  <c:v>4.2871646186066474E-2</c:v>
                </c:pt>
                <c:pt idx="114">
                  <c:v>4.2948283924579028E-2</c:v>
                </c:pt>
                <c:pt idx="115">
                  <c:v>4.3023628719983005E-2</c:v>
                </c:pt>
                <c:pt idx="116">
                  <c:v>4.3097684697027808E-2</c:v>
                </c:pt>
                <c:pt idx="117">
                  <c:v>4.3172927174145601E-2</c:v>
                </c:pt>
                <c:pt idx="118">
                  <c:v>4.324442972058818E-2</c:v>
                </c:pt>
                <c:pt idx="119">
                  <c:v>4.3314772453783137E-2</c:v>
                </c:pt>
                <c:pt idx="120">
                  <c:v>4.3383951139555323E-2</c:v>
                </c:pt>
                <c:pt idx="121">
                  <c:v>4.3454278745767939E-2</c:v>
                </c:pt>
                <c:pt idx="122">
                  <c:v>4.3521148138771143E-2</c:v>
                </c:pt>
                <c:pt idx="123">
                  <c:v>4.3586968376780388E-2</c:v>
                </c:pt>
                <c:pt idx="124">
                  <c:v>4.36517363370892E-2</c:v>
                </c:pt>
                <c:pt idx="125">
                  <c:v>4.3717615836081317E-2</c:v>
                </c:pt>
                <c:pt idx="126">
                  <c:v>4.378028856641257E-2</c:v>
                </c:pt>
                <c:pt idx="127">
                  <c:v>4.3842008607830815E-2</c:v>
                </c:pt>
                <c:pt idx="128">
                  <c:v>4.3903461247452258E-2</c:v>
                </c:pt>
                <c:pt idx="129">
                  <c:v>4.3963941398608937E-2</c:v>
                </c:pt>
                <c:pt idx="130">
                  <c:v>4.4023475195429991E-2</c:v>
                </c:pt>
                <c:pt idx="131">
                  <c:v>4.4081465590197211E-2</c:v>
                </c:pt>
                <c:pt idx="132">
                  <c:v>4.4138589294043074E-2</c:v>
                </c:pt>
                <c:pt idx="133">
                  <c:v>4.4196117361681019E-2</c:v>
                </c:pt>
                <c:pt idx="134">
                  <c:v>4.4252135736160096E-2</c:v>
                </c:pt>
                <c:pt idx="135">
                  <c:v>4.4306725036846281E-2</c:v>
                </c:pt>
                <c:pt idx="136">
                  <c:v>4.4360524621446039E-2</c:v>
                </c:pt>
                <c:pt idx="137">
                  <c:v>4.4414729549061914E-2</c:v>
                </c:pt>
                <c:pt idx="138">
                  <c:v>4.4467534694366734E-2</c:v>
                </c:pt>
                <c:pt idx="139">
                  <c:v>4.4519013348452208E-2</c:v>
                </c:pt>
                <c:pt idx="140">
                  <c:v>4.4569771235475578E-2</c:v>
                </c:pt>
                <c:pt idx="141">
                  <c:v>4.4620932862677216E-2</c:v>
                </c:pt>
                <c:pt idx="142">
                  <c:v>4.4670794091734078E-2</c:v>
                </c:pt>
                <c:pt idx="143">
                  <c:v>4.4719419878397011E-2</c:v>
                </c:pt>
                <c:pt idx="144">
                  <c:v>4.4767386660839938E-2</c:v>
                </c:pt>
                <c:pt idx="145">
                  <c:v>4.4815220773424293E-2</c:v>
                </c:pt>
                <c:pt idx="146">
                  <c:v>4.4862384272476144E-2</c:v>
                </c:pt>
                <c:pt idx="147">
                  <c:v>4.4908394892949073E-2</c:v>
                </c:pt>
                <c:pt idx="148">
                  <c:v>4.4953802552439838E-2</c:v>
                </c:pt>
                <c:pt idx="149">
                  <c:v>4.4999608932792631E-2</c:v>
                </c:pt>
                <c:pt idx="150">
                  <c:v>4.5044280261590491E-2</c:v>
                </c:pt>
                <c:pt idx="151">
                  <c:v>4.5087871518627073E-2</c:v>
                </c:pt>
                <c:pt idx="152">
                  <c:v>4.5131398867057429E-2</c:v>
                </c:pt>
                <c:pt idx="153">
                  <c:v>4.5174825675059045E-2</c:v>
                </c:pt>
                <c:pt idx="154">
                  <c:v>4.5216720761121577E-2</c:v>
                </c:pt>
                <c:pt idx="155">
                  <c:v>4.5258080561476392E-2</c:v>
                </c:pt>
                <c:pt idx="156">
                  <c:v>4.5299397184546779E-2</c:v>
                </c:pt>
                <c:pt idx="157">
                  <c:v>4.5340632145594868E-2</c:v>
                </c:pt>
                <c:pt idx="158">
                  <c:v>4.5380426089408427E-2</c:v>
                </c:pt>
                <c:pt idx="159">
                  <c:v>4.5419721216968169E-2</c:v>
                </c:pt>
                <c:pt idx="160">
                  <c:v>4.5458991736356279E-2</c:v>
                </c:pt>
                <c:pt idx="161">
                  <c:v>4.5497763285116587E-2</c:v>
                </c:pt>
                <c:pt idx="162">
                  <c:v>4.553561309733483E-2</c:v>
                </c:pt>
                <c:pt idx="163">
                  <c:v>4.557300339895206E-2</c:v>
                </c:pt>
                <c:pt idx="164">
                  <c:v>4.5610379016426165E-2</c:v>
                </c:pt>
                <c:pt idx="165">
                  <c:v>4.564770650514622E-2</c:v>
                </c:pt>
                <c:pt idx="166">
                  <c:v>4.5683747642182942E-2</c:v>
                </c:pt>
                <c:pt idx="167">
                  <c:v>4.5719360292891295E-2</c:v>
                </c:pt>
                <c:pt idx="168">
                  <c:v>4.5754971753839052E-2</c:v>
                </c:pt>
                <c:pt idx="169">
                  <c:v>4.5790548431543746E-2</c:v>
                </c:pt>
                <c:pt idx="170">
                  <c:v>4.582490770719605E-2</c:v>
                </c:pt>
                <c:pt idx="171">
                  <c:v>4.5858866348824544E-2</c:v>
                </c:pt>
                <c:pt idx="172">
                  <c:v>4.589283587667798E-2</c:v>
                </c:pt>
                <c:pt idx="173">
                  <c:v>4.5926785163253082E-2</c:v>
                </c:pt>
                <c:pt idx="174">
                  <c:v>4.5959569341320068E-2</c:v>
                </c:pt>
                <c:pt idx="175">
                  <c:v>4.5992359904633177E-2</c:v>
                </c:pt>
                <c:pt idx="176">
                  <c:v>4.6024431455363848E-2</c:v>
                </c:pt>
                <c:pt idx="177">
                  <c:v>4.6056141683728714E-2</c:v>
                </c:pt>
                <c:pt idx="178">
                  <c:v>4.6088181152475649E-2</c:v>
                </c:pt>
                <c:pt idx="179">
                  <c:v>4.6119166918993877E-2</c:v>
                </c:pt>
                <c:pt idx="180">
                  <c:v>4.6149827422990654E-2</c:v>
                </c:pt>
                <c:pt idx="181">
                  <c:v>4.6180151309725255E-2</c:v>
                </c:pt>
                <c:pt idx="182">
                  <c:v>4.621113709653249E-2</c:v>
                </c:pt>
                <c:pt idx="183">
                  <c:v>4.6240776190702847E-2</c:v>
                </c:pt>
                <c:pt idx="184">
                  <c:v>4.6270113497710298E-2</c:v>
                </c:pt>
                <c:pt idx="185">
                  <c:v>4.62991357994453E-2</c:v>
                </c:pt>
                <c:pt idx="186">
                  <c:v>4.6328805854944873E-2</c:v>
                </c:pt>
                <c:pt idx="187">
                  <c:v>4.6357183260136318E-2</c:v>
                </c:pt>
                <c:pt idx="188">
                  <c:v>4.6385279639993768E-2</c:v>
                </c:pt>
                <c:pt idx="189">
                  <c:v>4.6413083186513479E-2</c:v>
                </c:pt>
                <c:pt idx="190">
                  <c:v>4.6441514093663212E-2</c:v>
                </c:pt>
                <c:pt idx="191">
                  <c:v>4.6468711483979484E-2</c:v>
                </c:pt>
                <c:pt idx="192">
                  <c:v>4.6495644657309342E-2</c:v>
                </c:pt>
                <c:pt idx="193">
                  <c:v>4.6522304654784512E-2</c:v>
                </c:pt>
                <c:pt idx="194">
                  <c:v>4.6549274544106962E-2</c:v>
                </c:pt>
                <c:pt idx="195">
                  <c:v>4.6575367166799539E-2</c:v>
                </c:pt>
                <c:pt idx="196">
                  <c:v>4.6601210215869909E-2</c:v>
                </c:pt>
                <c:pt idx="197">
                  <c:v>4.6627088343681983E-2</c:v>
                </c:pt>
                <c:pt idx="198">
                  <c:v>4.6652981004464807E-2</c:v>
                </c:pt>
                <c:pt idx="199">
                  <c:v>4.6678311996823679E-2</c:v>
                </c:pt>
                <c:pt idx="200">
                  <c:v>4.670312237222092E-2</c:v>
                </c:pt>
                <c:pt idx="201">
                  <c:v>4.6727699075274562E-2</c:v>
                </c:pt>
                <c:pt idx="202">
                  <c:v>4.6752574242736988E-2</c:v>
                </c:pt>
                <c:pt idx="203">
                  <c:v>4.6776914386646343E-2</c:v>
                </c:pt>
                <c:pt idx="204">
                  <c:v>4.680075654566198E-2</c:v>
                </c:pt>
                <c:pt idx="205">
                  <c:v>4.682438148951671E-2</c:v>
                </c:pt>
                <c:pt idx="206">
                  <c:v>4.6848297988532642E-2</c:v>
                </c:pt>
                <c:pt idx="207">
                  <c:v>4.6871704365967749E-2</c:v>
                </c:pt>
                <c:pt idx="208">
                  <c:v>4.6894633708979637E-2</c:v>
                </c:pt>
                <c:pt idx="209">
                  <c:v>4.6917361185694395E-2</c:v>
                </c:pt>
                <c:pt idx="210">
                  <c:v>4.6940113452370646E-2</c:v>
                </c:pt>
                <c:pt idx="211">
                  <c:v>4.6962640831307412E-2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'Bumped Curve Snap'!$E$3</c:f>
              <c:strCache>
                <c:ptCount val="1"/>
                <c:pt idx="0">
                  <c:v>CNY_Treasury_Live_Curve_2012-7-16_Calibrated_Curve_3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41106</c:v>
                </c:pt>
                <c:pt idx="1">
                  <c:v>41196</c:v>
                </c:pt>
                <c:pt idx="2">
                  <c:v>41286</c:v>
                </c:pt>
                <c:pt idx="3">
                  <c:v>41376</c:v>
                </c:pt>
                <c:pt idx="4">
                  <c:v>41466</c:v>
                </c:pt>
                <c:pt idx="5">
                  <c:v>41556</c:v>
                </c:pt>
                <c:pt idx="6">
                  <c:v>41646</c:v>
                </c:pt>
                <c:pt idx="7">
                  <c:v>41736</c:v>
                </c:pt>
                <c:pt idx="8">
                  <c:v>41826</c:v>
                </c:pt>
                <c:pt idx="9">
                  <c:v>41916</c:v>
                </c:pt>
                <c:pt idx="10">
                  <c:v>42006</c:v>
                </c:pt>
                <c:pt idx="11">
                  <c:v>42096</c:v>
                </c:pt>
                <c:pt idx="12">
                  <c:v>42186</c:v>
                </c:pt>
                <c:pt idx="13">
                  <c:v>42276</c:v>
                </c:pt>
                <c:pt idx="14">
                  <c:v>42366</c:v>
                </c:pt>
                <c:pt idx="15">
                  <c:v>42456</c:v>
                </c:pt>
                <c:pt idx="16">
                  <c:v>42546</c:v>
                </c:pt>
                <c:pt idx="17">
                  <c:v>42636</c:v>
                </c:pt>
                <c:pt idx="18">
                  <c:v>42726</c:v>
                </c:pt>
                <c:pt idx="19">
                  <c:v>42816</c:v>
                </c:pt>
                <c:pt idx="20">
                  <c:v>42906</c:v>
                </c:pt>
                <c:pt idx="21">
                  <c:v>42996</c:v>
                </c:pt>
                <c:pt idx="22">
                  <c:v>43086</c:v>
                </c:pt>
                <c:pt idx="23">
                  <c:v>43176</c:v>
                </c:pt>
                <c:pt idx="24">
                  <c:v>43266</c:v>
                </c:pt>
                <c:pt idx="25">
                  <c:v>43356</c:v>
                </c:pt>
                <c:pt idx="26">
                  <c:v>43446</c:v>
                </c:pt>
                <c:pt idx="27">
                  <c:v>43536</c:v>
                </c:pt>
                <c:pt idx="28">
                  <c:v>43626</c:v>
                </c:pt>
                <c:pt idx="29">
                  <c:v>43716</c:v>
                </c:pt>
                <c:pt idx="30">
                  <c:v>43806</c:v>
                </c:pt>
                <c:pt idx="31">
                  <c:v>43896</c:v>
                </c:pt>
                <c:pt idx="32">
                  <c:v>43986</c:v>
                </c:pt>
                <c:pt idx="33">
                  <c:v>44076</c:v>
                </c:pt>
                <c:pt idx="34">
                  <c:v>44166</c:v>
                </c:pt>
                <c:pt idx="35">
                  <c:v>44256</c:v>
                </c:pt>
                <c:pt idx="36">
                  <c:v>44346</c:v>
                </c:pt>
                <c:pt idx="37">
                  <c:v>44436</c:v>
                </c:pt>
                <c:pt idx="38">
                  <c:v>44526</c:v>
                </c:pt>
                <c:pt idx="39">
                  <c:v>44616</c:v>
                </c:pt>
                <c:pt idx="40">
                  <c:v>44706</c:v>
                </c:pt>
                <c:pt idx="41">
                  <c:v>44796</c:v>
                </c:pt>
                <c:pt idx="42">
                  <c:v>44886</c:v>
                </c:pt>
                <c:pt idx="43">
                  <c:v>44976</c:v>
                </c:pt>
                <c:pt idx="44">
                  <c:v>45066</c:v>
                </c:pt>
                <c:pt idx="45">
                  <c:v>45156</c:v>
                </c:pt>
                <c:pt idx="46">
                  <c:v>45246</c:v>
                </c:pt>
                <c:pt idx="47">
                  <c:v>45336</c:v>
                </c:pt>
                <c:pt idx="48">
                  <c:v>45426</c:v>
                </c:pt>
                <c:pt idx="49">
                  <c:v>45516</c:v>
                </c:pt>
                <c:pt idx="50">
                  <c:v>45606</c:v>
                </c:pt>
                <c:pt idx="51">
                  <c:v>45696</c:v>
                </c:pt>
                <c:pt idx="52">
                  <c:v>45786</c:v>
                </c:pt>
                <c:pt idx="53">
                  <c:v>45876</c:v>
                </c:pt>
                <c:pt idx="54">
                  <c:v>45966</c:v>
                </c:pt>
                <c:pt idx="55">
                  <c:v>46056</c:v>
                </c:pt>
                <c:pt idx="56">
                  <c:v>46146</c:v>
                </c:pt>
                <c:pt idx="57">
                  <c:v>46236</c:v>
                </c:pt>
                <c:pt idx="58">
                  <c:v>46326</c:v>
                </c:pt>
                <c:pt idx="59">
                  <c:v>46416</c:v>
                </c:pt>
                <c:pt idx="60">
                  <c:v>46506</c:v>
                </c:pt>
                <c:pt idx="61">
                  <c:v>46596</c:v>
                </c:pt>
                <c:pt idx="62">
                  <c:v>46686</c:v>
                </c:pt>
                <c:pt idx="63">
                  <c:v>46776</c:v>
                </c:pt>
                <c:pt idx="64">
                  <c:v>46866</c:v>
                </c:pt>
                <c:pt idx="65">
                  <c:v>46956</c:v>
                </c:pt>
                <c:pt idx="66">
                  <c:v>47046</c:v>
                </c:pt>
                <c:pt idx="67">
                  <c:v>47136</c:v>
                </c:pt>
                <c:pt idx="68">
                  <c:v>47226</c:v>
                </c:pt>
                <c:pt idx="69">
                  <c:v>47316</c:v>
                </c:pt>
                <c:pt idx="70">
                  <c:v>47406</c:v>
                </c:pt>
                <c:pt idx="71">
                  <c:v>47496</c:v>
                </c:pt>
                <c:pt idx="72">
                  <c:v>47586</c:v>
                </c:pt>
                <c:pt idx="73">
                  <c:v>47676</c:v>
                </c:pt>
                <c:pt idx="74">
                  <c:v>47766</c:v>
                </c:pt>
                <c:pt idx="75">
                  <c:v>47856</c:v>
                </c:pt>
                <c:pt idx="76">
                  <c:v>47946</c:v>
                </c:pt>
                <c:pt idx="77">
                  <c:v>48036</c:v>
                </c:pt>
                <c:pt idx="78">
                  <c:v>48126</c:v>
                </c:pt>
                <c:pt idx="79">
                  <c:v>48216</c:v>
                </c:pt>
                <c:pt idx="80">
                  <c:v>48306</c:v>
                </c:pt>
                <c:pt idx="81">
                  <c:v>48396</c:v>
                </c:pt>
                <c:pt idx="82">
                  <c:v>48486</c:v>
                </c:pt>
                <c:pt idx="83">
                  <c:v>48576</c:v>
                </c:pt>
                <c:pt idx="84">
                  <c:v>48666</c:v>
                </c:pt>
                <c:pt idx="85">
                  <c:v>48756</c:v>
                </c:pt>
                <c:pt idx="86">
                  <c:v>48846</c:v>
                </c:pt>
                <c:pt idx="87">
                  <c:v>48936</c:v>
                </c:pt>
                <c:pt idx="88">
                  <c:v>49026</c:v>
                </c:pt>
                <c:pt idx="89">
                  <c:v>49116</c:v>
                </c:pt>
                <c:pt idx="90">
                  <c:v>49206</c:v>
                </c:pt>
                <c:pt idx="91">
                  <c:v>49296</c:v>
                </c:pt>
                <c:pt idx="92">
                  <c:v>49386</c:v>
                </c:pt>
                <c:pt idx="93">
                  <c:v>49476</c:v>
                </c:pt>
                <c:pt idx="94">
                  <c:v>49566</c:v>
                </c:pt>
                <c:pt idx="95">
                  <c:v>49656</c:v>
                </c:pt>
                <c:pt idx="96">
                  <c:v>49746</c:v>
                </c:pt>
                <c:pt idx="97">
                  <c:v>49836</c:v>
                </c:pt>
                <c:pt idx="98">
                  <c:v>49926</c:v>
                </c:pt>
                <c:pt idx="99">
                  <c:v>50016</c:v>
                </c:pt>
                <c:pt idx="100">
                  <c:v>50106</c:v>
                </c:pt>
                <c:pt idx="101">
                  <c:v>50196</c:v>
                </c:pt>
                <c:pt idx="102">
                  <c:v>50286</c:v>
                </c:pt>
                <c:pt idx="103">
                  <c:v>50376</c:v>
                </c:pt>
                <c:pt idx="104">
                  <c:v>50466</c:v>
                </c:pt>
                <c:pt idx="105">
                  <c:v>50556</c:v>
                </c:pt>
                <c:pt idx="106">
                  <c:v>50646</c:v>
                </c:pt>
                <c:pt idx="107">
                  <c:v>50736</c:v>
                </c:pt>
                <c:pt idx="108">
                  <c:v>50826</c:v>
                </c:pt>
                <c:pt idx="109">
                  <c:v>50916</c:v>
                </c:pt>
                <c:pt idx="110">
                  <c:v>51006</c:v>
                </c:pt>
                <c:pt idx="111">
                  <c:v>51096</c:v>
                </c:pt>
                <c:pt idx="112">
                  <c:v>51186</c:v>
                </c:pt>
                <c:pt idx="113">
                  <c:v>51276</c:v>
                </c:pt>
                <c:pt idx="114">
                  <c:v>51366</c:v>
                </c:pt>
                <c:pt idx="115">
                  <c:v>51456</c:v>
                </c:pt>
                <c:pt idx="116">
                  <c:v>51546</c:v>
                </c:pt>
                <c:pt idx="117">
                  <c:v>51636</c:v>
                </c:pt>
                <c:pt idx="118">
                  <c:v>51726</c:v>
                </c:pt>
                <c:pt idx="119">
                  <c:v>51816</c:v>
                </c:pt>
                <c:pt idx="120">
                  <c:v>51906</c:v>
                </c:pt>
                <c:pt idx="121">
                  <c:v>51996</c:v>
                </c:pt>
                <c:pt idx="122">
                  <c:v>52086</c:v>
                </c:pt>
                <c:pt idx="123">
                  <c:v>52176</c:v>
                </c:pt>
                <c:pt idx="124">
                  <c:v>52266</c:v>
                </c:pt>
                <c:pt idx="125">
                  <c:v>52356</c:v>
                </c:pt>
                <c:pt idx="126">
                  <c:v>52446</c:v>
                </c:pt>
                <c:pt idx="127">
                  <c:v>52536</c:v>
                </c:pt>
                <c:pt idx="128">
                  <c:v>52626</c:v>
                </c:pt>
                <c:pt idx="129">
                  <c:v>52716</c:v>
                </c:pt>
                <c:pt idx="130">
                  <c:v>52806</c:v>
                </c:pt>
                <c:pt idx="131">
                  <c:v>52896</c:v>
                </c:pt>
                <c:pt idx="132">
                  <c:v>52986</c:v>
                </c:pt>
                <c:pt idx="133">
                  <c:v>53076</c:v>
                </c:pt>
                <c:pt idx="134">
                  <c:v>53166</c:v>
                </c:pt>
                <c:pt idx="135">
                  <c:v>53256</c:v>
                </c:pt>
                <c:pt idx="136">
                  <c:v>53346</c:v>
                </c:pt>
                <c:pt idx="137">
                  <c:v>53436</c:v>
                </c:pt>
                <c:pt idx="138">
                  <c:v>53526</c:v>
                </c:pt>
                <c:pt idx="139">
                  <c:v>53616</c:v>
                </c:pt>
                <c:pt idx="140">
                  <c:v>53706</c:v>
                </c:pt>
                <c:pt idx="141">
                  <c:v>53796</c:v>
                </c:pt>
                <c:pt idx="142">
                  <c:v>53886</c:v>
                </c:pt>
                <c:pt idx="143">
                  <c:v>53976</c:v>
                </c:pt>
                <c:pt idx="144">
                  <c:v>54066</c:v>
                </c:pt>
                <c:pt idx="145">
                  <c:v>54156</c:v>
                </c:pt>
                <c:pt idx="146">
                  <c:v>54246</c:v>
                </c:pt>
                <c:pt idx="147">
                  <c:v>54336</c:v>
                </c:pt>
                <c:pt idx="148">
                  <c:v>54426</c:v>
                </c:pt>
                <c:pt idx="149">
                  <c:v>54516</c:v>
                </c:pt>
                <c:pt idx="150">
                  <c:v>54606</c:v>
                </c:pt>
                <c:pt idx="151">
                  <c:v>54696</c:v>
                </c:pt>
                <c:pt idx="152">
                  <c:v>54786</c:v>
                </c:pt>
                <c:pt idx="153">
                  <c:v>54876</c:v>
                </c:pt>
                <c:pt idx="154">
                  <c:v>54966</c:v>
                </c:pt>
                <c:pt idx="155">
                  <c:v>55056</c:v>
                </c:pt>
                <c:pt idx="156">
                  <c:v>55146</c:v>
                </c:pt>
                <c:pt idx="157">
                  <c:v>55236</c:v>
                </c:pt>
                <c:pt idx="158">
                  <c:v>55326</c:v>
                </c:pt>
                <c:pt idx="159">
                  <c:v>55416</c:v>
                </c:pt>
                <c:pt idx="160">
                  <c:v>55506</c:v>
                </c:pt>
                <c:pt idx="161">
                  <c:v>55596</c:v>
                </c:pt>
                <c:pt idx="162">
                  <c:v>55686</c:v>
                </c:pt>
                <c:pt idx="163">
                  <c:v>55776</c:v>
                </c:pt>
                <c:pt idx="164">
                  <c:v>55866</c:v>
                </c:pt>
                <c:pt idx="165">
                  <c:v>55956</c:v>
                </c:pt>
                <c:pt idx="166">
                  <c:v>56046</c:v>
                </c:pt>
                <c:pt idx="167">
                  <c:v>56136</c:v>
                </c:pt>
                <c:pt idx="168">
                  <c:v>56226</c:v>
                </c:pt>
                <c:pt idx="169">
                  <c:v>56316</c:v>
                </c:pt>
                <c:pt idx="170">
                  <c:v>56406</c:v>
                </c:pt>
                <c:pt idx="171">
                  <c:v>56496</c:v>
                </c:pt>
                <c:pt idx="172">
                  <c:v>56586</c:v>
                </c:pt>
                <c:pt idx="173">
                  <c:v>56676</c:v>
                </c:pt>
                <c:pt idx="174">
                  <c:v>56766</c:v>
                </c:pt>
                <c:pt idx="175">
                  <c:v>56856</c:v>
                </c:pt>
                <c:pt idx="176">
                  <c:v>56946</c:v>
                </c:pt>
                <c:pt idx="177">
                  <c:v>57036</c:v>
                </c:pt>
                <c:pt idx="178">
                  <c:v>57126</c:v>
                </c:pt>
                <c:pt idx="179">
                  <c:v>57216</c:v>
                </c:pt>
                <c:pt idx="180">
                  <c:v>57306</c:v>
                </c:pt>
                <c:pt idx="181">
                  <c:v>57396</c:v>
                </c:pt>
                <c:pt idx="182">
                  <c:v>57486</c:v>
                </c:pt>
                <c:pt idx="183">
                  <c:v>57576</c:v>
                </c:pt>
                <c:pt idx="184">
                  <c:v>57666</c:v>
                </c:pt>
                <c:pt idx="185">
                  <c:v>57756</c:v>
                </c:pt>
                <c:pt idx="186">
                  <c:v>57846</c:v>
                </c:pt>
                <c:pt idx="187">
                  <c:v>57936</c:v>
                </c:pt>
                <c:pt idx="188">
                  <c:v>58026</c:v>
                </c:pt>
                <c:pt idx="189">
                  <c:v>58116</c:v>
                </c:pt>
                <c:pt idx="190">
                  <c:v>58206</c:v>
                </c:pt>
                <c:pt idx="191">
                  <c:v>58296</c:v>
                </c:pt>
                <c:pt idx="192">
                  <c:v>58386</c:v>
                </c:pt>
                <c:pt idx="193">
                  <c:v>58476</c:v>
                </c:pt>
                <c:pt idx="194">
                  <c:v>58566</c:v>
                </c:pt>
                <c:pt idx="195">
                  <c:v>58656</c:v>
                </c:pt>
                <c:pt idx="196">
                  <c:v>58746</c:v>
                </c:pt>
                <c:pt idx="197">
                  <c:v>58836</c:v>
                </c:pt>
                <c:pt idx="198">
                  <c:v>58926</c:v>
                </c:pt>
                <c:pt idx="199">
                  <c:v>59016</c:v>
                </c:pt>
                <c:pt idx="200">
                  <c:v>59106</c:v>
                </c:pt>
                <c:pt idx="201">
                  <c:v>59196</c:v>
                </c:pt>
                <c:pt idx="202">
                  <c:v>59286</c:v>
                </c:pt>
                <c:pt idx="203">
                  <c:v>59376</c:v>
                </c:pt>
                <c:pt idx="204">
                  <c:v>59466</c:v>
                </c:pt>
                <c:pt idx="205">
                  <c:v>59556</c:v>
                </c:pt>
                <c:pt idx="206">
                  <c:v>59646</c:v>
                </c:pt>
                <c:pt idx="207">
                  <c:v>59736</c:v>
                </c:pt>
                <c:pt idx="208">
                  <c:v>59826</c:v>
                </c:pt>
                <c:pt idx="209">
                  <c:v>59916</c:v>
                </c:pt>
                <c:pt idx="210">
                  <c:v>60006</c:v>
                </c:pt>
                <c:pt idx="211">
                  <c:v>60096</c:v>
                </c:pt>
              </c:numCache>
            </c:numRef>
          </c:cat>
          <c:val>
            <c:numRef>
              <c:f>'Bumped Curve Snap'!$E$4:$E$215</c:f>
              <c:numCache>
                <c:formatCode>0.00%</c:formatCode>
                <c:ptCount val="212"/>
                <c:pt idx="0">
                  <c:v>2.4016920224418408E-2</c:v>
                </c:pt>
                <c:pt idx="1">
                  <c:v>2.4016920224904984E-2</c:v>
                </c:pt>
                <c:pt idx="2">
                  <c:v>2.2049354549397701E-2</c:v>
                </c:pt>
                <c:pt idx="3">
                  <c:v>2.1683029143990375E-2</c:v>
                </c:pt>
                <c:pt idx="4">
                  <c:v>2.2818084177824608E-2</c:v>
                </c:pt>
                <c:pt idx="5">
                  <c:v>2.5007892978144576E-2</c:v>
                </c:pt>
                <c:pt idx="6">
                  <c:v>2.6568271622563439E-2</c:v>
                </c:pt>
                <c:pt idx="7">
                  <c:v>2.2707576725421046E-2</c:v>
                </c:pt>
                <c:pt idx="8">
                  <c:v>2.2313116013515735E-2</c:v>
                </c:pt>
                <c:pt idx="9">
                  <c:v>2.2989731144584278E-2</c:v>
                </c:pt>
                <c:pt idx="10">
                  <c:v>2.3544012672142588E-2</c:v>
                </c:pt>
                <c:pt idx="11">
                  <c:v>2.3794667391176343E-2</c:v>
                </c:pt>
                <c:pt idx="12">
                  <c:v>2.4181717707750065E-2</c:v>
                </c:pt>
                <c:pt idx="13">
                  <c:v>2.4719050757539981E-2</c:v>
                </c:pt>
                <c:pt idx="14">
                  <c:v>2.5314616453985049E-2</c:v>
                </c:pt>
                <c:pt idx="15">
                  <c:v>2.5755546096806012E-2</c:v>
                </c:pt>
                <c:pt idx="16">
                  <c:v>2.6066877478929204E-2</c:v>
                </c:pt>
                <c:pt idx="17">
                  <c:v>2.6327968967368231E-2</c:v>
                </c:pt>
                <c:pt idx="18">
                  <c:v>2.6561785204074952E-2</c:v>
                </c:pt>
                <c:pt idx="19">
                  <c:v>2.6945671920674062E-2</c:v>
                </c:pt>
                <c:pt idx="20">
                  <c:v>2.7419980239044853E-2</c:v>
                </c:pt>
                <c:pt idx="21">
                  <c:v>2.7937323563084145E-2</c:v>
                </c:pt>
                <c:pt idx="22">
                  <c:v>2.8688846025100256E-2</c:v>
                </c:pt>
                <c:pt idx="23">
                  <c:v>2.9397575907137548E-2</c:v>
                </c:pt>
                <c:pt idx="24">
                  <c:v>2.9965854431846278E-2</c:v>
                </c:pt>
                <c:pt idx="25">
                  <c:v>3.1306613048243927E-2</c:v>
                </c:pt>
                <c:pt idx="26">
                  <c:v>3.1742357110134928E-2</c:v>
                </c:pt>
                <c:pt idx="27">
                  <c:v>3.094813616056271E-2</c:v>
                </c:pt>
                <c:pt idx="28">
                  <c:v>3.0513736442989953E-2</c:v>
                </c:pt>
                <c:pt idx="29">
                  <c:v>3.0767327722234977E-2</c:v>
                </c:pt>
                <c:pt idx="30">
                  <c:v>3.1349597410994232E-2</c:v>
                </c:pt>
                <c:pt idx="31">
                  <c:v>3.1858738113050497E-2</c:v>
                </c:pt>
                <c:pt idx="32">
                  <c:v>3.2221941034811234E-2</c:v>
                </c:pt>
                <c:pt idx="33">
                  <c:v>3.24826923407368E-2</c:v>
                </c:pt>
                <c:pt idx="34">
                  <c:v>3.2729714391550334E-2</c:v>
                </c:pt>
                <c:pt idx="35">
                  <c:v>3.294416896592036E-2</c:v>
                </c:pt>
                <c:pt idx="36">
                  <c:v>3.3116464521825359E-2</c:v>
                </c:pt>
                <c:pt idx="37">
                  <c:v>3.3133597269549904E-2</c:v>
                </c:pt>
                <c:pt idx="38">
                  <c:v>3.293287090383501E-2</c:v>
                </c:pt>
                <c:pt idx="39">
                  <c:v>3.2831751650561708E-2</c:v>
                </c:pt>
                <c:pt idx="40">
                  <c:v>3.2923565666131506E-2</c:v>
                </c:pt>
                <c:pt idx="41">
                  <c:v>3.3282453966456529E-2</c:v>
                </c:pt>
                <c:pt idx="42">
                  <c:v>3.3721517627747041E-2</c:v>
                </c:pt>
                <c:pt idx="43">
                  <c:v>3.4140311863351779E-2</c:v>
                </c:pt>
                <c:pt idx="44">
                  <c:v>3.4553522134602249E-2</c:v>
                </c:pt>
                <c:pt idx="45">
                  <c:v>3.4935207853777586E-2</c:v>
                </c:pt>
                <c:pt idx="46">
                  <c:v>3.528979970203483E-2</c:v>
                </c:pt>
                <c:pt idx="47">
                  <c:v>3.558913547604859E-2</c:v>
                </c:pt>
                <c:pt idx="48">
                  <c:v>3.5863321920564822E-2</c:v>
                </c:pt>
                <c:pt idx="49">
                  <c:v>3.6120451473405105E-2</c:v>
                </c:pt>
                <c:pt idx="50">
                  <c:v>3.6367370762146613E-2</c:v>
                </c:pt>
                <c:pt idx="51">
                  <c:v>3.6604677753866194E-2</c:v>
                </c:pt>
                <c:pt idx="52">
                  <c:v>3.6840546692201333E-2</c:v>
                </c:pt>
                <c:pt idx="53">
                  <c:v>3.7059963706867184E-2</c:v>
                </c:pt>
                <c:pt idx="54">
                  <c:v>3.7271315493337141E-2</c:v>
                </c:pt>
                <c:pt idx="55">
                  <c:v>3.7475039857324331E-2</c:v>
                </c:pt>
                <c:pt idx="56">
                  <c:v>3.767811201813126E-2</c:v>
                </c:pt>
                <c:pt idx="57">
                  <c:v>3.786754650515059E-2</c:v>
                </c:pt>
                <c:pt idx="58">
                  <c:v>3.8052541105455341E-2</c:v>
                </c:pt>
                <c:pt idx="59">
                  <c:v>3.8229270139563412E-2</c:v>
                </c:pt>
                <c:pt idx="60">
                  <c:v>3.8403964123873306E-2</c:v>
                </c:pt>
                <c:pt idx="61">
                  <c:v>3.8571013232384585E-2</c:v>
                </c:pt>
                <c:pt idx="62">
                  <c:v>3.860303665885547E-2</c:v>
                </c:pt>
                <c:pt idx="63">
                  <c:v>3.8603311401383372E-2</c:v>
                </c:pt>
                <c:pt idx="64">
                  <c:v>3.8602861740270548E-2</c:v>
                </c:pt>
                <c:pt idx="65">
                  <c:v>3.8602434572165334E-2</c:v>
                </c:pt>
                <c:pt idx="66">
                  <c:v>3.8602025292352682E-2</c:v>
                </c:pt>
                <c:pt idx="67">
                  <c:v>3.8601624353422057E-2</c:v>
                </c:pt>
                <c:pt idx="68">
                  <c:v>3.8601222304767632E-2</c:v>
                </c:pt>
                <c:pt idx="69">
                  <c:v>3.860084351988563E-2</c:v>
                </c:pt>
                <c:pt idx="70">
                  <c:v>3.8715725806974167E-2</c:v>
                </c:pt>
                <c:pt idx="71">
                  <c:v>3.8894492007730673E-2</c:v>
                </c:pt>
                <c:pt idx="72">
                  <c:v>3.9082042958783696E-2</c:v>
                </c:pt>
                <c:pt idx="73">
                  <c:v>3.9262389967506563E-2</c:v>
                </c:pt>
                <c:pt idx="74">
                  <c:v>3.9435903855887057E-2</c:v>
                </c:pt>
                <c:pt idx="75">
                  <c:v>3.9604823514917939E-2</c:v>
                </c:pt>
                <c:pt idx="76">
                  <c:v>3.9773104604870699E-2</c:v>
                </c:pt>
                <c:pt idx="77">
                  <c:v>3.9938927842165343E-2</c:v>
                </c:pt>
                <c:pt idx="78">
                  <c:v>4.0099894354164993E-2</c:v>
                </c:pt>
                <c:pt idx="79">
                  <c:v>4.0256814648666907E-2</c:v>
                </c:pt>
                <c:pt idx="80">
                  <c:v>4.0408668330982923E-2</c:v>
                </c:pt>
                <c:pt idx="81">
                  <c:v>4.0522257305151681E-2</c:v>
                </c:pt>
                <c:pt idx="82">
                  <c:v>4.0616922519131141E-2</c:v>
                </c:pt>
                <c:pt idx="83">
                  <c:v>4.0710359290999552E-2</c:v>
                </c:pt>
                <c:pt idx="84">
                  <c:v>4.0802574422940732E-2</c:v>
                </c:pt>
                <c:pt idx="85">
                  <c:v>4.0890615214790878E-2</c:v>
                </c:pt>
                <c:pt idx="86">
                  <c:v>4.0976626730481608E-2</c:v>
                </c:pt>
                <c:pt idx="87">
                  <c:v>4.1061619585395483E-2</c:v>
                </c:pt>
                <c:pt idx="88">
                  <c:v>4.1145591775453232E-2</c:v>
                </c:pt>
                <c:pt idx="89">
                  <c:v>4.1225848791993064E-2</c:v>
                </c:pt>
                <c:pt idx="90">
                  <c:v>4.1304340310953938E-2</c:v>
                </c:pt>
                <c:pt idx="91">
                  <c:v>4.1381982245460205E-2</c:v>
                </c:pt>
                <c:pt idx="92">
                  <c:v>4.1458770129730649E-2</c:v>
                </c:pt>
                <c:pt idx="93">
                  <c:v>4.1532232696286621E-2</c:v>
                </c:pt>
                <c:pt idx="94">
                  <c:v>4.1604149018131684E-2</c:v>
                </c:pt>
                <c:pt idx="95">
                  <c:v>4.1675354451921505E-2</c:v>
                </c:pt>
                <c:pt idx="96">
                  <c:v>4.1745068423580861E-2</c:v>
                </c:pt>
                <c:pt idx="97">
                  <c:v>4.1812579845863292E-2</c:v>
                </c:pt>
                <c:pt idx="98">
                  <c:v>4.1878728611408483E-2</c:v>
                </c:pt>
                <c:pt idx="99">
                  <c:v>4.1944279990256711E-2</c:v>
                </c:pt>
                <c:pt idx="100">
                  <c:v>4.2009227257697061E-2</c:v>
                </c:pt>
                <c:pt idx="101">
                  <c:v>4.2071469054072157E-2</c:v>
                </c:pt>
                <c:pt idx="102">
                  <c:v>4.2132504100542256E-2</c:v>
                </c:pt>
                <c:pt idx="103">
                  <c:v>4.2193036433057628E-2</c:v>
                </c:pt>
                <c:pt idx="104">
                  <c:v>4.2253058312395675E-2</c:v>
                </c:pt>
                <c:pt idx="105">
                  <c:v>4.2311271712508161E-2</c:v>
                </c:pt>
                <c:pt idx="106">
                  <c:v>4.2367751833433075E-2</c:v>
                </c:pt>
                <c:pt idx="107">
                  <c:v>4.2423183922093072E-2</c:v>
                </c:pt>
                <c:pt idx="108">
                  <c:v>4.2479500251459273E-2</c:v>
                </c:pt>
                <c:pt idx="109">
                  <c:v>4.2548329456468491E-2</c:v>
                </c:pt>
                <c:pt idx="110">
                  <c:v>4.2630680776331094E-2</c:v>
                </c:pt>
                <c:pt idx="111">
                  <c:v>4.2711559058317611E-2</c:v>
                </c:pt>
                <c:pt idx="112">
                  <c:v>4.2791002607328425E-2</c:v>
                </c:pt>
                <c:pt idx="113">
                  <c:v>4.2870803764979711E-2</c:v>
                </c:pt>
                <c:pt idx="114">
                  <c:v>4.2947466019947304E-2</c:v>
                </c:pt>
                <c:pt idx="115">
                  <c:v>4.302280459911597E-2</c:v>
                </c:pt>
                <c:pt idx="116">
                  <c:v>4.309685399042236E-2</c:v>
                </c:pt>
                <c:pt idx="117">
                  <c:v>4.3172102223931773E-2</c:v>
                </c:pt>
                <c:pt idx="118">
                  <c:v>4.3243628679836721E-2</c:v>
                </c:pt>
                <c:pt idx="119">
                  <c:v>4.3313964687532742E-2</c:v>
                </c:pt>
                <c:pt idx="120">
                  <c:v>4.3383133348257538E-2</c:v>
                </c:pt>
                <c:pt idx="121">
                  <c:v>4.3453468388780454E-2</c:v>
                </c:pt>
                <c:pt idx="122">
                  <c:v>4.3520360626197359E-2</c:v>
                </c:pt>
                <c:pt idx="123">
                  <c:v>4.3586175860611198E-2</c:v>
                </c:pt>
                <c:pt idx="124">
                  <c:v>4.3650934042113551E-2</c:v>
                </c:pt>
                <c:pt idx="125">
                  <c:v>4.371681969863974E-2</c:v>
                </c:pt>
                <c:pt idx="126">
                  <c:v>4.3779513902616071E-2</c:v>
                </c:pt>
                <c:pt idx="127">
                  <c:v>4.3841230603218671E-2</c:v>
                </c:pt>
                <c:pt idx="128">
                  <c:v>4.3902669722906358E-2</c:v>
                </c:pt>
                <c:pt idx="129">
                  <c:v>4.3963154379080577E-2</c:v>
                </c:pt>
                <c:pt idx="130">
                  <c:v>4.4022710470345686E-2</c:v>
                </c:pt>
                <c:pt idx="131">
                  <c:v>4.4080700151710075E-2</c:v>
                </c:pt>
                <c:pt idx="132">
                  <c:v>4.413781703890695E-2</c:v>
                </c:pt>
                <c:pt idx="133">
                  <c:v>4.4195344803318763E-2</c:v>
                </c:pt>
                <c:pt idx="134">
                  <c:v>4.425138249719255E-2</c:v>
                </c:pt>
                <c:pt idx="135">
                  <c:v>4.4305972826705502E-2</c:v>
                </c:pt>
                <c:pt idx="136">
                  <c:v>4.4359765568192426E-2</c:v>
                </c:pt>
                <c:pt idx="137">
                  <c:v>4.4413969612676345E-2</c:v>
                </c:pt>
                <c:pt idx="138">
                  <c:v>4.4466792381582049E-2</c:v>
                </c:pt>
                <c:pt idx="139">
                  <c:v>4.4518273753548734E-2</c:v>
                </c:pt>
                <c:pt idx="140">
                  <c:v>4.4569025056892649E-2</c:v>
                </c:pt>
                <c:pt idx="141">
                  <c:v>4.4620188045319947E-2</c:v>
                </c:pt>
                <c:pt idx="142">
                  <c:v>4.4670063661051557E-2</c:v>
                </c:pt>
                <c:pt idx="143">
                  <c:v>4.4718693272659656E-2</c:v>
                </c:pt>
                <c:pt idx="144">
                  <c:v>4.476665093727189E-2</c:v>
                </c:pt>
                <c:pt idx="145">
                  <c:v>4.4814485380714496E-2</c:v>
                </c:pt>
                <c:pt idx="146">
                  <c:v>4.4861663721990644E-2</c:v>
                </c:pt>
                <c:pt idx="147">
                  <c:v>4.4907679884601301E-2</c:v>
                </c:pt>
                <c:pt idx="148">
                  <c:v>4.4953076129505949E-2</c:v>
                </c:pt>
                <c:pt idx="149">
                  <c:v>4.4998873603090149E-2</c:v>
                </c:pt>
                <c:pt idx="150">
                  <c:v>4.504356106625048E-2</c:v>
                </c:pt>
                <c:pt idx="151">
                  <c:v>4.5087169773816459E-2</c:v>
                </c:pt>
                <c:pt idx="152">
                  <c:v>4.5130686881000436E-2</c:v>
                </c:pt>
                <c:pt idx="153">
                  <c:v>4.517410611788273E-2</c:v>
                </c:pt>
                <c:pt idx="154">
                  <c:v>4.5216009789287817E-2</c:v>
                </c:pt>
                <c:pt idx="155">
                  <c:v>4.5257389582345896E-2</c:v>
                </c:pt>
                <c:pt idx="156">
                  <c:v>4.5298695687526078E-2</c:v>
                </c:pt>
                <c:pt idx="157">
                  <c:v>4.5339923246260398E-2</c:v>
                </c:pt>
                <c:pt idx="158">
                  <c:v>4.5379722944674107E-2</c:v>
                </c:pt>
                <c:pt idx="159">
                  <c:v>4.5419040544266029E-2</c:v>
                </c:pt>
                <c:pt idx="160">
                  <c:v>4.5458299897113481E-2</c:v>
                </c:pt>
                <c:pt idx="161">
                  <c:v>4.5497068197340756E-2</c:v>
                </c:pt>
                <c:pt idx="162">
                  <c:v>4.5534929260688133E-2</c:v>
                </c:pt>
                <c:pt idx="163">
                  <c:v>4.5572329829010182E-2</c:v>
                </c:pt>
                <c:pt idx="164">
                  <c:v>4.5609696877866465E-2</c:v>
                </c:pt>
                <c:pt idx="165">
                  <c:v>4.5647017932900123E-2</c:v>
                </c:pt>
                <c:pt idx="166">
                  <c:v>4.568307198206107E-2</c:v>
                </c:pt>
                <c:pt idx="167">
                  <c:v>4.5718695986535919E-2</c:v>
                </c:pt>
                <c:pt idx="168">
                  <c:v>4.5754299064750023E-2</c:v>
                </c:pt>
                <c:pt idx="169">
                  <c:v>4.578986801707019E-2</c:v>
                </c:pt>
                <c:pt idx="170">
                  <c:v>4.5824239863722728E-2</c:v>
                </c:pt>
                <c:pt idx="171">
                  <c:v>4.585821092357701E-2</c:v>
                </c:pt>
                <c:pt idx="172">
                  <c:v>4.589217182085651E-2</c:v>
                </c:pt>
                <c:pt idx="173">
                  <c:v>4.5926105030604861E-2</c:v>
                </c:pt>
                <c:pt idx="174">
                  <c:v>4.5958910778852224E-2</c:v>
                </c:pt>
                <c:pt idx="175">
                  <c:v>4.5991713325270106E-2</c:v>
                </c:pt>
                <c:pt idx="176">
                  <c:v>4.6023776100841511E-2</c:v>
                </c:pt>
                <c:pt idx="177">
                  <c:v>4.6055470233669391E-2</c:v>
                </c:pt>
                <c:pt idx="178">
                  <c:v>4.6087529305475224E-2</c:v>
                </c:pt>
                <c:pt idx="179">
                  <c:v>4.6118527271679331E-2</c:v>
                </c:pt>
                <c:pt idx="180">
                  <c:v>4.6149180453973621E-2</c:v>
                </c:pt>
                <c:pt idx="181">
                  <c:v>4.6179488861462101E-2</c:v>
                </c:pt>
                <c:pt idx="182">
                  <c:v>4.6210491669987336E-2</c:v>
                </c:pt>
                <c:pt idx="183">
                  <c:v>4.6240143174204155E-2</c:v>
                </c:pt>
                <c:pt idx="184">
                  <c:v>4.6269475608962142E-2</c:v>
                </c:pt>
                <c:pt idx="185">
                  <c:v>4.6298491322930027E-2</c:v>
                </c:pt>
                <c:pt idx="186">
                  <c:v>4.6328164291304076E-2</c:v>
                </c:pt>
                <c:pt idx="187">
                  <c:v>4.6356555679168639E-2</c:v>
                </c:pt>
                <c:pt idx="188">
                  <c:v>4.6384648847421203E-2</c:v>
                </c:pt>
                <c:pt idx="189">
                  <c:v>4.6412446012512966E-2</c:v>
                </c:pt>
                <c:pt idx="190">
                  <c:v>4.6440879293811084E-2</c:v>
                </c:pt>
                <c:pt idx="191">
                  <c:v>4.6468089848997141E-2</c:v>
                </c:pt>
                <c:pt idx="192">
                  <c:v>4.6495021211649834E-2</c:v>
                </c:pt>
                <c:pt idx="193">
                  <c:v>4.6521674654373152E-2</c:v>
                </c:pt>
                <c:pt idx="194">
                  <c:v>4.6548646179224135E-2</c:v>
                </c:pt>
                <c:pt idx="195">
                  <c:v>4.6574749675142108E-2</c:v>
                </c:pt>
                <c:pt idx="196">
                  <c:v>4.6600591674742585E-2</c:v>
                </c:pt>
                <c:pt idx="197">
                  <c:v>4.6626460877240504E-2</c:v>
                </c:pt>
                <c:pt idx="198">
                  <c:v>4.6652345086585015E-2</c:v>
                </c:pt>
                <c:pt idx="199">
                  <c:v>4.6677696079945853E-2</c:v>
                </c:pt>
                <c:pt idx="200">
                  <c:v>4.6702514103592462E-2</c:v>
                </c:pt>
                <c:pt idx="201">
                  <c:v>4.6727078632430023E-2</c:v>
                </c:pt>
                <c:pt idx="202">
                  <c:v>4.6751945193104334E-2</c:v>
                </c:pt>
                <c:pt idx="203">
                  <c:v>4.6776302391935691E-2</c:v>
                </c:pt>
                <c:pt idx="204">
                  <c:v>4.6800155250028869E-2</c:v>
                </c:pt>
                <c:pt idx="205">
                  <c:v>4.6823767641822736E-2</c:v>
                </c:pt>
                <c:pt idx="206">
                  <c:v>4.6847675552587745E-2</c:v>
                </c:pt>
                <c:pt idx="207">
                  <c:v>4.6871096097862254E-2</c:v>
                </c:pt>
                <c:pt idx="208">
                  <c:v>4.689403913638903E-2</c:v>
                </c:pt>
                <c:pt idx="209">
                  <c:v>4.691675369129189E-2</c:v>
                </c:pt>
                <c:pt idx="210">
                  <c:v>4.6939509897948269E-2</c:v>
                </c:pt>
                <c:pt idx="211">
                  <c:v>4.6962051233695873E-2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'Bumped Curve Snap'!$F$3</c:f>
              <c:strCache>
                <c:ptCount val="1"/>
                <c:pt idx="0">
                  <c:v>CNY_Treasury_Live_Curve_2012-7-16_Calibrated_Curve_4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41106</c:v>
                </c:pt>
                <c:pt idx="1">
                  <c:v>41196</c:v>
                </c:pt>
                <c:pt idx="2">
                  <c:v>41286</c:v>
                </c:pt>
                <c:pt idx="3">
                  <c:v>41376</c:v>
                </c:pt>
                <c:pt idx="4">
                  <c:v>41466</c:v>
                </c:pt>
                <c:pt idx="5">
                  <c:v>41556</c:v>
                </c:pt>
                <c:pt idx="6">
                  <c:v>41646</c:v>
                </c:pt>
                <c:pt idx="7">
                  <c:v>41736</c:v>
                </c:pt>
                <c:pt idx="8">
                  <c:v>41826</c:v>
                </c:pt>
                <c:pt idx="9">
                  <c:v>41916</c:v>
                </c:pt>
                <c:pt idx="10">
                  <c:v>42006</c:v>
                </c:pt>
                <c:pt idx="11">
                  <c:v>42096</c:v>
                </c:pt>
                <c:pt idx="12">
                  <c:v>42186</c:v>
                </c:pt>
                <c:pt idx="13">
                  <c:v>42276</c:v>
                </c:pt>
                <c:pt idx="14">
                  <c:v>42366</c:v>
                </c:pt>
                <c:pt idx="15">
                  <c:v>42456</c:v>
                </c:pt>
                <c:pt idx="16">
                  <c:v>42546</c:v>
                </c:pt>
                <c:pt idx="17">
                  <c:v>42636</c:v>
                </c:pt>
                <c:pt idx="18">
                  <c:v>42726</c:v>
                </c:pt>
                <c:pt idx="19">
                  <c:v>42816</c:v>
                </c:pt>
                <c:pt idx="20">
                  <c:v>42906</c:v>
                </c:pt>
                <c:pt idx="21">
                  <c:v>42996</c:v>
                </c:pt>
                <c:pt idx="22">
                  <c:v>43086</c:v>
                </c:pt>
                <c:pt idx="23">
                  <c:v>43176</c:v>
                </c:pt>
                <c:pt idx="24">
                  <c:v>43266</c:v>
                </c:pt>
                <c:pt idx="25">
                  <c:v>43356</c:v>
                </c:pt>
                <c:pt idx="26">
                  <c:v>43446</c:v>
                </c:pt>
                <c:pt idx="27">
                  <c:v>43536</c:v>
                </c:pt>
                <c:pt idx="28">
                  <c:v>43626</c:v>
                </c:pt>
                <c:pt idx="29">
                  <c:v>43716</c:v>
                </c:pt>
                <c:pt idx="30">
                  <c:v>43806</c:v>
                </c:pt>
                <c:pt idx="31">
                  <c:v>43896</c:v>
                </c:pt>
                <c:pt idx="32">
                  <c:v>43986</c:v>
                </c:pt>
                <c:pt idx="33">
                  <c:v>44076</c:v>
                </c:pt>
                <c:pt idx="34">
                  <c:v>44166</c:v>
                </c:pt>
                <c:pt idx="35">
                  <c:v>44256</c:v>
                </c:pt>
                <c:pt idx="36">
                  <c:v>44346</c:v>
                </c:pt>
                <c:pt idx="37">
                  <c:v>44436</c:v>
                </c:pt>
                <c:pt idx="38">
                  <c:v>44526</c:v>
                </c:pt>
                <c:pt idx="39">
                  <c:v>44616</c:v>
                </c:pt>
                <c:pt idx="40">
                  <c:v>44706</c:v>
                </c:pt>
                <c:pt idx="41">
                  <c:v>44796</c:v>
                </c:pt>
                <c:pt idx="42">
                  <c:v>44886</c:v>
                </c:pt>
                <c:pt idx="43">
                  <c:v>44976</c:v>
                </c:pt>
                <c:pt idx="44">
                  <c:v>45066</c:v>
                </c:pt>
                <c:pt idx="45">
                  <c:v>45156</c:v>
                </c:pt>
                <c:pt idx="46">
                  <c:v>45246</c:v>
                </c:pt>
                <c:pt idx="47">
                  <c:v>45336</c:v>
                </c:pt>
                <c:pt idx="48">
                  <c:v>45426</c:v>
                </c:pt>
                <c:pt idx="49">
                  <c:v>45516</c:v>
                </c:pt>
                <c:pt idx="50">
                  <c:v>45606</c:v>
                </c:pt>
                <c:pt idx="51">
                  <c:v>45696</c:v>
                </c:pt>
                <c:pt idx="52">
                  <c:v>45786</c:v>
                </c:pt>
                <c:pt idx="53">
                  <c:v>45876</c:v>
                </c:pt>
                <c:pt idx="54">
                  <c:v>45966</c:v>
                </c:pt>
                <c:pt idx="55">
                  <c:v>46056</c:v>
                </c:pt>
                <c:pt idx="56">
                  <c:v>46146</c:v>
                </c:pt>
                <c:pt idx="57">
                  <c:v>46236</c:v>
                </c:pt>
                <c:pt idx="58">
                  <c:v>46326</c:v>
                </c:pt>
                <c:pt idx="59">
                  <c:v>46416</c:v>
                </c:pt>
                <c:pt idx="60">
                  <c:v>46506</c:v>
                </c:pt>
                <c:pt idx="61">
                  <c:v>46596</c:v>
                </c:pt>
                <c:pt idx="62">
                  <c:v>46686</c:v>
                </c:pt>
                <c:pt idx="63">
                  <c:v>46776</c:v>
                </c:pt>
                <c:pt idx="64">
                  <c:v>46866</c:v>
                </c:pt>
                <c:pt idx="65">
                  <c:v>46956</c:v>
                </c:pt>
                <c:pt idx="66">
                  <c:v>47046</c:v>
                </c:pt>
                <c:pt idx="67">
                  <c:v>47136</c:v>
                </c:pt>
                <c:pt idx="68">
                  <c:v>47226</c:v>
                </c:pt>
                <c:pt idx="69">
                  <c:v>47316</c:v>
                </c:pt>
                <c:pt idx="70">
                  <c:v>47406</c:v>
                </c:pt>
                <c:pt idx="71">
                  <c:v>47496</c:v>
                </c:pt>
                <c:pt idx="72">
                  <c:v>47586</c:v>
                </c:pt>
                <c:pt idx="73">
                  <c:v>47676</c:v>
                </c:pt>
                <c:pt idx="74">
                  <c:v>47766</c:v>
                </c:pt>
                <c:pt idx="75">
                  <c:v>47856</c:v>
                </c:pt>
                <c:pt idx="76">
                  <c:v>47946</c:v>
                </c:pt>
                <c:pt idx="77">
                  <c:v>48036</c:v>
                </c:pt>
                <c:pt idx="78">
                  <c:v>48126</c:v>
                </c:pt>
                <c:pt idx="79">
                  <c:v>48216</c:v>
                </c:pt>
                <c:pt idx="80">
                  <c:v>48306</c:v>
                </c:pt>
                <c:pt idx="81">
                  <c:v>48396</c:v>
                </c:pt>
                <c:pt idx="82">
                  <c:v>48486</c:v>
                </c:pt>
                <c:pt idx="83">
                  <c:v>48576</c:v>
                </c:pt>
                <c:pt idx="84">
                  <c:v>48666</c:v>
                </c:pt>
                <c:pt idx="85">
                  <c:v>48756</c:v>
                </c:pt>
                <c:pt idx="86">
                  <c:v>48846</c:v>
                </c:pt>
                <c:pt idx="87">
                  <c:v>48936</c:v>
                </c:pt>
                <c:pt idx="88">
                  <c:v>49026</c:v>
                </c:pt>
                <c:pt idx="89">
                  <c:v>49116</c:v>
                </c:pt>
                <c:pt idx="90">
                  <c:v>49206</c:v>
                </c:pt>
                <c:pt idx="91">
                  <c:v>49296</c:v>
                </c:pt>
                <c:pt idx="92">
                  <c:v>49386</c:v>
                </c:pt>
                <c:pt idx="93">
                  <c:v>49476</c:v>
                </c:pt>
                <c:pt idx="94">
                  <c:v>49566</c:v>
                </c:pt>
                <c:pt idx="95">
                  <c:v>49656</c:v>
                </c:pt>
                <c:pt idx="96">
                  <c:v>49746</c:v>
                </c:pt>
                <c:pt idx="97">
                  <c:v>49836</c:v>
                </c:pt>
                <c:pt idx="98">
                  <c:v>49926</c:v>
                </c:pt>
                <c:pt idx="99">
                  <c:v>50016</c:v>
                </c:pt>
                <c:pt idx="100">
                  <c:v>50106</c:v>
                </c:pt>
                <c:pt idx="101">
                  <c:v>50196</c:v>
                </c:pt>
                <c:pt idx="102">
                  <c:v>50286</c:v>
                </c:pt>
                <c:pt idx="103">
                  <c:v>50376</c:v>
                </c:pt>
                <c:pt idx="104">
                  <c:v>50466</c:v>
                </c:pt>
                <c:pt idx="105">
                  <c:v>50556</c:v>
                </c:pt>
                <c:pt idx="106">
                  <c:v>50646</c:v>
                </c:pt>
                <c:pt idx="107">
                  <c:v>50736</c:v>
                </c:pt>
                <c:pt idx="108">
                  <c:v>50826</c:v>
                </c:pt>
                <c:pt idx="109">
                  <c:v>50916</c:v>
                </c:pt>
                <c:pt idx="110">
                  <c:v>51006</c:v>
                </c:pt>
                <c:pt idx="111">
                  <c:v>51096</c:v>
                </c:pt>
                <c:pt idx="112">
                  <c:v>51186</c:v>
                </c:pt>
                <c:pt idx="113">
                  <c:v>51276</c:v>
                </c:pt>
                <c:pt idx="114">
                  <c:v>51366</c:v>
                </c:pt>
                <c:pt idx="115">
                  <c:v>51456</c:v>
                </c:pt>
                <c:pt idx="116">
                  <c:v>51546</c:v>
                </c:pt>
                <c:pt idx="117">
                  <c:v>51636</c:v>
                </c:pt>
                <c:pt idx="118">
                  <c:v>51726</c:v>
                </c:pt>
                <c:pt idx="119">
                  <c:v>51816</c:v>
                </c:pt>
                <c:pt idx="120">
                  <c:v>51906</c:v>
                </c:pt>
                <c:pt idx="121">
                  <c:v>51996</c:v>
                </c:pt>
                <c:pt idx="122">
                  <c:v>52086</c:v>
                </c:pt>
                <c:pt idx="123">
                  <c:v>52176</c:v>
                </c:pt>
                <c:pt idx="124">
                  <c:v>52266</c:v>
                </c:pt>
                <c:pt idx="125">
                  <c:v>52356</c:v>
                </c:pt>
                <c:pt idx="126">
                  <c:v>52446</c:v>
                </c:pt>
                <c:pt idx="127">
                  <c:v>52536</c:v>
                </c:pt>
                <c:pt idx="128">
                  <c:v>52626</c:v>
                </c:pt>
                <c:pt idx="129">
                  <c:v>52716</c:v>
                </c:pt>
                <c:pt idx="130">
                  <c:v>52806</c:v>
                </c:pt>
                <c:pt idx="131">
                  <c:v>52896</c:v>
                </c:pt>
                <c:pt idx="132">
                  <c:v>52986</c:v>
                </c:pt>
                <c:pt idx="133">
                  <c:v>53076</c:v>
                </c:pt>
                <c:pt idx="134">
                  <c:v>53166</c:v>
                </c:pt>
                <c:pt idx="135">
                  <c:v>53256</c:v>
                </c:pt>
                <c:pt idx="136">
                  <c:v>53346</c:v>
                </c:pt>
                <c:pt idx="137">
                  <c:v>53436</c:v>
                </c:pt>
                <c:pt idx="138">
                  <c:v>53526</c:v>
                </c:pt>
                <c:pt idx="139">
                  <c:v>53616</c:v>
                </c:pt>
                <c:pt idx="140">
                  <c:v>53706</c:v>
                </c:pt>
                <c:pt idx="141">
                  <c:v>53796</c:v>
                </c:pt>
                <c:pt idx="142">
                  <c:v>53886</c:v>
                </c:pt>
                <c:pt idx="143">
                  <c:v>53976</c:v>
                </c:pt>
                <c:pt idx="144">
                  <c:v>54066</c:v>
                </c:pt>
                <c:pt idx="145">
                  <c:v>54156</c:v>
                </c:pt>
                <c:pt idx="146">
                  <c:v>54246</c:v>
                </c:pt>
                <c:pt idx="147">
                  <c:v>54336</c:v>
                </c:pt>
                <c:pt idx="148">
                  <c:v>54426</c:v>
                </c:pt>
                <c:pt idx="149">
                  <c:v>54516</c:v>
                </c:pt>
                <c:pt idx="150">
                  <c:v>54606</c:v>
                </c:pt>
                <c:pt idx="151">
                  <c:v>54696</c:v>
                </c:pt>
                <c:pt idx="152">
                  <c:v>54786</c:v>
                </c:pt>
                <c:pt idx="153">
                  <c:v>54876</c:v>
                </c:pt>
                <c:pt idx="154">
                  <c:v>54966</c:v>
                </c:pt>
                <c:pt idx="155">
                  <c:v>55056</c:v>
                </c:pt>
                <c:pt idx="156">
                  <c:v>55146</c:v>
                </c:pt>
                <c:pt idx="157">
                  <c:v>55236</c:v>
                </c:pt>
                <c:pt idx="158">
                  <c:v>55326</c:v>
                </c:pt>
                <c:pt idx="159">
                  <c:v>55416</c:v>
                </c:pt>
                <c:pt idx="160">
                  <c:v>55506</c:v>
                </c:pt>
                <c:pt idx="161">
                  <c:v>55596</c:v>
                </c:pt>
                <c:pt idx="162">
                  <c:v>55686</c:v>
                </c:pt>
                <c:pt idx="163">
                  <c:v>55776</c:v>
                </c:pt>
                <c:pt idx="164">
                  <c:v>55866</c:v>
                </c:pt>
                <c:pt idx="165">
                  <c:v>55956</c:v>
                </c:pt>
                <c:pt idx="166">
                  <c:v>56046</c:v>
                </c:pt>
                <c:pt idx="167">
                  <c:v>56136</c:v>
                </c:pt>
                <c:pt idx="168">
                  <c:v>56226</c:v>
                </c:pt>
                <c:pt idx="169">
                  <c:v>56316</c:v>
                </c:pt>
                <c:pt idx="170">
                  <c:v>56406</c:v>
                </c:pt>
                <c:pt idx="171">
                  <c:v>56496</c:v>
                </c:pt>
                <c:pt idx="172">
                  <c:v>56586</c:v>
                </c:pt>
                <c:pt idx="173">
                  <c:v>56676</c:v>
                </c:pt>
                <c:pt idx="174">
                  <c:v>56766</c:v>
                </c:pt>
                <c:pt idx="175">
                  <c:v>56856</c:v>
                </c:pt>
                <c:pt idx="176">
                  <c:v>56946</c:v>
                </c:pt>
                <c:pt idx="177">
                  <c:v>57036</c:v>
                </c:pt>
                <c:pt idx="178">
                  <c:v>57126</c:v>
                </c:pt>
                <c:pt idx="179">
                  <c:v>57216</c:v>
                </c:pt>
                <c:pt idx="180">
                  <c:v>57306</c:v>
                </c:pt>
                <c:pt idx="181">
                  <c:v>57396</c:v>
                </c:pt>
                <c:pt idx="182">
                  <c:v>57486</c:v>
                </c:pt>
                <c:pt idx="183">
                  <c:v>57576</c:v>
                </c:pt>
                <c:pt idx="184">
                  <c:v>57666</c:v>
                </c:pt>
                <c:pt idx="185">
                  <c:v>57756</c:v>
                </c:pt>
                <c:pt idx="186">
                  <c:v>57846</c:v>
                </c:pt>
                <c:pt idx="187">
                  <c:v>57936</c:v>
                </c:pt>
                <c:pt idx="188">
                  <c:v>58026</c:v>
                </c:pt>
                <c:pt idx="189">
                  <c:v>58116</c:v>
                </c:pt>
                <c:pt idx="190">
                  <c:v>58206</c:v>
                </c:pt>
                <c:pt idx="191">
                  <c:v>58296</c:v>
                </c:pt>
                <c:pt idx="192">
                  <c:v>58386</c:v>
                </c:pt>
                <c:pt idx="193">
                  <c:v>58476</c:v>
                </c:pt>
                <c:pt idx="194">
                  <c:v>58566</c:v>
                </c:pt>
                <c:pt idx="195">
                  <c:v>58656</c:v>
                </c:pt>
                <c:pt idx="196">
                  <c:v>58746</c:v>
                </c:pt>
                <c:pt idx="197">
                  <c:v>58836</c:v>
                </c:pt>
                <c:pt idx="198">
                  <c:v>58926</c:v>
                </c:pt>
                <c:pt idx="199">
                  <c:v>59016</c:v>
                </c:pt>
                <c:pt idx="200">
                  <c:v>59106</c:v>
                </c:pt>
                <c:pt idx="201">
                  <c:v>59196</c:v>
                </c:pt>
                <c:pt idx="202">
                  <c:v>59286</c:v>
                </c:pt>
                <c:pt idx="203">
                  <c:v>59376</c:v>
                </c:pt>
                <c:pt idx="204">
                  <c:v>59466</c:v>
                </c:pt>
                <c:pt idx="205">
                  <c:v>59556</c:v>
                </c:pt>
                <c:pt idx="206">
                  <c:v>59646</c:v>
                </c:pt>
                <c:pt idx="207">
                  <c:v>59736</c:v>
                </c:pt>
                <c:pt idx="208">
                  <c:v>59826</c:v>
                </c:pt>
                <c:pt idx="209">
                  <c:v>59916</c:v>
                </c:pt>
                <c:pt idx="210">
                  <c:v>60006</c:v>
                </c:pt>
                <c:pt idx="211">
                  <c:v>60096</c:v>
                </c:pt>
              </c:numCache>
            </c:numRef>
          </c:cat>
          <c:val>
            <c:numRef>
              <c:f>'Bumped Curve Snap'!$F$4:$F$215</c:f>
              <c:numCache>
                <c:formatCode>0.00%</c:formatCode>
                <c:ptCount val="212"/>
                <c:pt idx="0">
                  <c:v>2.4016920224418408E-2</c:v>
                </c:pt>
                <c:pt idx="1">
                  <c:v>2.4016920224904984E-2</c:v>
                </c:pt>
                <c:pt idx="2">
                  <c:v>2.2049354549397701E-2</c:v>
                </c:pt>
                <c:pt idx="3">
                  <c:v>2.1683029143990375E-2</c:v>
                </c:pt>
                <c:pt idx="4">
                  <c:v>2.2818084177824608E-2</c:v>
                </c:pt>
                <c:pt idx="5">
                  <c:v>2.4985026408419649E-2</c:v>
                </c:pt>
                <c:pt idx="6">
                  <c:v>2.6521136687345369E-2</c:v>
                </c:pt>
                <c:pt idx="7">
                  <c:v>2.2635928951853838E-2</c:v>
                </c:pt>
                <c:pt idx="8">
                  <c:v>2.2217069059233353E-2</c:v>
                </c:pt>
                <c:pt idx="9">
                  <c:v>2.2905452898653676E-2</c:v>
                </c:pt>
                <c:pt idx="10">
                  <c:v>2.3476150472046466E-2</c:v>
                </c:pt>
                <c:pt idx="11">
                  <c:v>2.3743262291309068E-2</c:v>
                </c:pt>
                <c:pt idx="12">
                  <c:v>2.4146934106310261E-2</c:v>
                </c:pt>
                <c:pt idx="13">
                  <c:v>2.4700689395457946E-2</c:v>
                </c:pt>
                <c:pt idx="14">
                  <c:v>2.5312935702206277E-2</c:v>
                </c:pt>
                <c:pt idx="15">
                  <c:v>2.5770576832013101E-2</c:v>
                </c:pt>
                <c:pt idx="16">
                  <c:v>2.60985074018859E-2</c:v>
                </c:pt>
                <c:pt idx="17">
                  <c:v>2.637617528909169E-2</c:v>
                </c:pt>
                <c:pt idx="18">
                  <c:v>2.662680970557349E-2</c:v>
                </c:pt>
                <c:pt idx="19">
                  <c:v>2.7027737944952078E-2</c:v>
                </c:pt>
                <c:pt idx="20">
                  <c:v>2.7518849895909445E-2</c:v>
                </c:pt>
                <c:pt idx="21">
                  <c:v>2.8038250920470457E-2</c:v>
                </c:pt>
                <c:pt idx="22">
                  <c:v>2.8784521357176313E-2</c:v>
                </c:pt>
                <c:pt idx="23">
                  <c:v>2.9488023243014447E-2</c:v>
                </c:pt>
                <c:pt idx="24">
                  <c:v>3.0051043488180568E-2</c:v>
                </c:pt>
                <c:pt idx="25">
                  <c:v>3.1386708849099186E-2</c:v>
                </c:pt>
                <c:pt idx="26">
                  <c:v>3.1817053181411085E-2</c:v>
                </c:pt>
                <c:pt idx="27">
                  <c:v>3.1017112622729222E-2</c:v>
                </c:pt>
                <c:pt idx="28">
                  <c:v>3.0577186297005971E-2</c:v>
                </c:pt>
                <c:pt idx="29">
                  <c:v>3.0825332172308671E-2</c:v>
                </c:pt>
                <c:pt idx="30">
                  <c:v>3.1402199000625193E-2</c:v>
                </c:pt>
                <c:pt idx="31">
                  <c:v>3.1905963202855117E-2</c:v>
                </c:pt>
                <c:pt idx="32">
                  <c:v>3.2263769763530542E-2</c:v>
                </c:pt>
                <c:pt idx="33">
                  <c:v>3.2519032228552493E-2</c:v>
                </c:pt>
                <c:pt idx="34">
                  <c:v>3.2760516295333303E-2</c:v>
                </c:pt>
                <c:pt idx="35">
                  <c:v>3.2969410521937824E-2</c:v>
                </c:pt>
                <c:pt idx="36">
                  <c:v>3.3136183463540601E-2</c:v>
                </c:pt>
                <c:pt idx="37">
                  <c:v>3.3147778482816748E-2</c:v>
                </c:pt>
                <c:pt idx="38">
                  <c:v>3.294156467953565E-2</c:v>
                </c:pt>
                <c:pt idx="39">
                  <c:v>3.2834968383145577E-2</c:v>
                </c:pt>
                <c:pt idx="40">
                  <c:v>3.2921099119628733E-2</c:v>
                </c:pt>
                <c:pt idx="41">
                  <c:v>3.3276129971453204E-2</c:v>
                </c:pt>
                <c:pt idx="42">
                  <c:v>3.3715244276906024E-2</c:v>
                </c:pt>
                <c:pt idx="43">
                  <c:v>3.413408643903805E-2</c:v>
                </c:pt>
                <c:pt idx="44">
                  <c:v>3.4547350813017588E-2</c:v>
                </c:pt>
                <c:pt idx="45">
                  <c:v>3.4929090141921706E-2</c:v>
                </c:pt>
                <c:pt idx="46">
                  <c:v>3.5283738122541319E-2</c:v>
                </c:pt>
                <c:pt idx="47">
                  <c:v>3.5583133230201729E-2</c:v>
                </c:pt>
                <c:pt idx="48">
                  <c:v>3.5857387141387288E-2</c:v>
                </c:pt>
                <c:pt idx="49">
                  <c:v>3.611458269520066E-2</c:v>
                </c:pt>
                <c:pt idx="50">
                  <c:v>3.6361566465521244E-2</c:v>
                </c:pt>
                <c:pt idx="51">
                  <c:v>3.6598929587582152E-2</c:v>
                </c:pt>
                <c:pt idx="52">
                  <c:v>3.6834858429422523E-2</c:v>
                </c:pt>
                <c:pt idx="53">
                  <c:v>3.7054342925052615E-2</c:v>
                </c:pt>
                <c:pt idx="54">
                  <c:v>3.7265758058552777E-2</c:v>
                </c:pt>
                <c:pt idx="55">
                  <c:v>3.7469534172684178E-2</c:v>
                </c:pt>
                <c:pt idx="56">
                  <c:v>3.7672660636022627E-2</c:v>
                </c:pt>
                <c:pt idx="57">
                  <c:v>3.7862158158376173E-2</c:v>
                </c:pt>
                <c:pt idx="58">
                  <c:v>3.8047213170779755E-2</c:v>
                </c:pt>
                <c:pt idx="59">
                  <c:v>3.8223989733142685E-2</c:v>
                </c:pt>
                <c:pt idx="60">
                  <c:v>3.8398732103583987E-2</c:v>
                </c:pt>
                <c:pt idx="61">
                  <c:v>3.8565840601137151E-2</c:v>
                </c:pt>
                <c:pt idx="62">
                  <c:v>3.8597942533156612E-2</c:v>
                </c:pt>
                <c:pt idx="63">
                  <c:v>3.8598287761706339E-2</c:v>
                </c:pt>
                <c:pt idx="64">
                  <c:v>3.8597907339549715E-2</c:v>
                </c:pt>
                <c:pt idx="65">
                  <c:v>3.859755902165881E-2</c:v>
                </c:pt>
                <c:pt idx="66">
                  <c:v>3.8597223846826505E-2</c:v>
                </c:pt>
                <c:pt idx="67">
                  <c:v>3.8596893992141432E-2</c:v>
                </c:pt>
                <c:pt idx="68">
                  <c:v>3.859654973333923E-2</c:v>
                </c:pt>
                <c:pt idx="69">
                  <c:v>3.8596236659972118E-2</c:v>
                </c:pt>
                <c:pt idx="70">
                  <c:v>3.8711167866532815E-2</c:v>
                </c:pt>
                <c:pt idx="71">
                  <c:v>3.8889969491671769E-2</c:v>
                </c:pt>
                <c:pt idx="72">
                  <c:v>3.9077542607665113E-2</c:v>
                </c:pt>
                <c:pt idx="73">
                  <c:v>3.9257919779638301E-2</c:v>
                </c:pt>
                <c:pt idx="74">
                  <c:v>3.9431468209121252E-2</c:v>
                </c:pt>
                <c:pt idx="75">
                  <c:v>3.9600420320921051E-2</c:v>
                </c:pt>
                <c:pt idx="76">
                  <c:v>3.9768722938268414E-2</c:v>
                </c:pt>
                <c:pt idx="77">
                  <c:v>3.9934573459589916E-2</c:v>
                </c:pt>
                <c:pt idx="78">
                  <c:v>4.0095572199103556E-2</c:v>
                </c:pt>
                <c:pt idx="79">
                  <c:v>4.0252522860800513E-2</c:v>
                </c:pt>
                <c:pt idx="80">
                  <c:v>4.0404396959450417E-2</c:v>
                </c:pt>
                <c:pt idx="81">
                  <c:v>4.0518016412843222E-2</c:v>
                </c:pt>
                <c:pt idx="82">
                  <c:v>4.0612722447224053E-2</c:v>
                </c:pt>
                <c:pt idx="83">
                  <c:v>4.0706195458137827E-2</c:v>
                </c:pt>
                <c:pt idx="84">
                  <c:v>4.0798436650245927E-2</c:v>
                </c:pt>
                <c:pt idx="85">
                  <c:v>4.0886509418335659E-2</c:v>
                </c:pt>
                <c:pt idx="86">
                  <c:v>4.097255748986936E-2</c:v>
                </c:pt>
                <c:pt idx="87">
                  <c:v>4.1057580368530501E-2</c:v>
                </c:pt>
                <c:pt idx="88">
                  <c:v>4.1141577906764044E-2</c:v>
                </c:pt>
                <c:pt idx="89">
                  <c:v>4.1221865750890277E-2</c:v>
                </c:pt>
                <c:pt idx="90">
                  <c:v>4.1300391836512323E-2</c:v>
                </c:pt>
                <c:pt idx="91">
                  <c:v>4.1378062349757744E-2</c:v>
                </c:pt>
                <c:pt idx="92">
                  <c:v>4.1454873656462624E-2</c:v>
                </c:pt>
                <c:pt idx="93">
                  <c:v>4.1528364348529717E-2</c:v>
                </c:pt>
                <c:pt idx="94">
                  <c:v>4.1600313410040092E-2</c:v>
                </c:pt>
                <c:pt idx="95">
                  <c:v>4.1671544203424032E-2</c:v>
                </c:pt>
                <c:pt idx="96">
                  <c:v>4.174127794062852E-2</c:v>
                </c:pt>
                <c:pt idx="97">
                  <c:v>4.1808815743022511E-2</c:v>
                </c:pt>
                <c:pt idx="98">
                  <c:v>4.1874995676829806E-2</c:v>
                </c:pt>
                <c:pt idx="99">
                  <c:v>4.1940574026018383E-2</c:v>
                </c:pt>
                <c:pt idx="100">
                  <c:v>4.2005542724349774E-2</c:v>
                </c:pt>
                <c:pt idx="101">
                  <c:v>4.2067805635102214E-2</c:v>
                </c:pt>
                <c:pt idx="102">
                  <c:v>4.2128870425556554E-2</c:v>
                </c:pt>
                <c:pt idx="103">
                  <c:v>4.2189428436767359E-2</c:v>
                </c:pt>
                <c:pt idx="104">
                  <c:v>4.2249470662804392E-2</c:v>
                </c:pt>
                <c:pt idx="105">
                  <c:v>4.2307703179257923E-2</c:v>
                </c:pt>
                <c:pt idx="106">
                  <c:v>4.2364211687641685E-2</c:v>
                </c:pt>
                <c:pt idx="107">
                  <c:v>4.241966850337392E-2</c:v>
                </c:pt>
                <c:pt idx="108">
                  <c:v>4.2476005622721212E-2</c:v>
                </c:pt>
                <c:pt idx="109">
                  <c:v>4.2544850425586735E-2</c:v>
                </c:pt>
                <c:pt idx="110">
                  <c:v>4.2627224923439795E-2</c:v>
                </c:pt>
                <c:pt idx="111">
                  <c:v>4.2708122647577784E-2</c:v>
                </c:pt>
                <c:pt idx="112">
                  <c:v>4.2787577471082264E-2</c:v>
                </c:pt>
                <c:pt idx="113">
                  <c:v>4.2867392215091116E-2</c:v>
                </c:pt>
                <c:pt idx="114">
                  <c:v>4.2944076880958248E-2</c:v>
                </c:pt>
                <c:pt idx="115">
                  <c:v>4.3019434364797042E-2</c:v>
                </c:pt>
                <c:pt idx="116">
                  <c:v>4.3093489593292351E-2</c:v>
                </c:pt>
                <c:pt idx="117">
                  <c:v>4.3168745081378135E-2</c:v>
                </c:pt>
                <c:pt idx="118">
                  <c:v>4.3240301614607221E-2</c:v>
                </c:pt>
                <c:pt idx="119">
                  <c:v>4.3310656687629637E-2</c:v>
                </c:pt>
                <c:pt idx="120">
                  <c:v>4.3379839322290184E-2</c:v>
                </c:pt>
                <c:pt idx="121">
                  <c:v>4.3450173163369604E-2</c:v>
                </c:pt>
                <c:pt idx="122">
                  <c:v>4.3517093435963002E-2</c:v>
                </c:pt>
                <c:pt idx="123">
                  <c:v>4.3582927594783508E-2</c:v>
                </c:pt>
                <c:pt idx="124">
                  <c:v>4.3647699279344761E-2</c:v>
                </c:pt>
                <c:pt idx="125">
                  <c:v>4.3713584060090328E-2</c:v>
                </c:pt>
                <c:pt idx="126">
                  <c:v>4.3776303644396157E-2</c:v>
                </c:pt>
                <c:pt idx="127">
                  <c:v>4.3838039146824229E-2</c:v>
                </c:pt>
                <c:pt idx="128">
                  <c:v>4.3899493715792166E-2</c:v>
                </c:pt>
                <c:pt idx="129">
                  <c:v>4.3959985031467474E-2</c:v>
                </c:pt>
                <c:pt idx="130">
                  <c:v>4.4019557786770039E-2</c:v>
                </c:pt>
                <c:pt idx="131">
                  <c:v>4.4077564469816435E-2</c:v>
                </c:pt>
                <c:pt idx="132">
                  <c:v>4.413469009277543E-2</c:v>
                </c:pt>
                <c:pt idx="133">
                  <c:v>4.4192227429768444E-2</c:v>
                </c:pt>
                <c:pt idx="134">
                  <c:v>4.4248281779793869E-2</c:v>
                </c:pt>
                <c:pt idx="135">
                  <c:v>4.4302888630190808E-2</c:v>
                </c:pt>
                <c:pt idx="136">
                  <c:v>4.4356690102203854E-2</c:v>
                </c:pt>
                <c:pt idx="137">
                  <c:v>4.4410902879786357E-2</c:v>
                </c:pt>
                <c:pt idx="138">
                  <c:v>4.4463741180240532E-2</c:v>
                </c:pt>
                <c:pt idx="139">
                  <c:v>4.4515238620837339E-2</c:v>
                </c:pt>
                <c:pt idx="140">
                  <c:v>4.4565995128742784E-2</c:v>
                </c:pt>
                <c:pt idx="141">
                  <c:v>4.4617160290556457E-2</c:v>
                </c:pt>
                <c:pt idx="142">
                  <c:v>4.4667053512285865E-2</c:v>
                </c:pt>
                <c:pt idx="143">
                  <c:v>4.4715702898118409E-2</c:v>
                </c:pt>
                <c:pt idx="144">
                  <c:v>4.4763672730084712E-2</c:v>
                </c:pt>
                <c:pt idx="145">
                  <c:v>4.4811508492466276E-2</c:v>
                </c:pt>
                <c:pt idx="146">
                  <c:v>4.4858697875316295E-2</c:v>
                </c:pt>
                <c:pt idx="147">
                  <c:v>4.4904734024749808E-2</c:v>
                </c:pt>
                <c:pt idx="148">
                  <c:v>4.4950143704194104E-2</c:v>
                </c:pt>
                <c:pt idx="149">
                  <c:v>4.4995953413084377E-2</c:v>
                </c:pt>
                <c:pt idx="150">
                  <c:v>4.5040649040884742E-2</c:v>
                </c:pt>
                <c:pt idx="151">
                  <c:v>4.5084265473259541E-2</c:v>
                </c:pt>
                <c:pt idx="152">
                  <c:v>4.5127792551890346E-2</c:v>
                </c:pt>
                <c:pt idx="153">
                  <c:v>4.5171222527037473E-2</c:v>
                </c:pt>
                <c:pt idx="154">
                  <c:v>4.5213139466001209E-2</c:v>
                </c:pt>
                <c:pt idx="155">
                  <c:v>4.525452609336518E-2</c:v>
                </c:pt>
                <c:pt idx="156">
                  <c:v>4.5295842179015985E-2</c:v>
                </c:pt>
                <c:pt idx="157">
                  <c:v>4.533707917769101E-2</c:v>
                </c:pt>
                <c:pt idx="158">
                  <c:v>4.5376892492084861E-2</c:v>
                </c:pt>
                <c:pt idx="159">
                  <c:v>4.5416216070331576E-2</c:v>
                </c:pt>
                <c:pt idx="160">
                  <c:v>4.5455485948804164E-2</c:v>
                </c:pt>
                <c:pt idx="161">
                  <c:v>4.5494257087729119E-2</c:v>
                </c:pt>
                <c:pt idx="162">
                  <c:v>4.5532118755427696E-2</c:v>
                </c:pt>
                <c:pt idx="163">
                  <c:v>4.5569543824754095E-2</c:v>
                </c:pt>
                <c:pt idx="164">
                  <c:v>4.560692201511285E-2</c:v>
                </c:pt>
                <c:pt idx="165">
                  <c:v>4.5644247228447607E-2</c:v>
                </c:pt>
                <c:pt idx="166">
                  <c:v>4.5680296848161862E-2</c:v>
                </c:pt>
                <c:pt idx="167">
                  <c:v>4.5715945677961445E-2</c:v>
                </c:pt>
                <c:pt idx="168">
                  <c:v>4.5751559774341657E-2</c:v>
                </c:pt>
                <c:pt idx="169">
                  <c:v>4.5787133511507136E-2</c:v>
                </c:pt>
                <c:pt idx="170">
                  <c:v>4.5821498580393964E-2</c:v>
                </c:pt>
                <c:pt idx="171">
                  <c:v>4.5855494794639171E-2</c:v>
                </c:pt>
                <c:pt idx="172">
                  <c:v>4.5889466903669116E-2</c:v>
                </c:pt>
                <c:pt idx="173">
                  <c:v>4.5923410764695437E-2</c:v>
                </c:pt>
                <c:pt idx="174">
                  <c:v>4.595621343727422E-2</c:v>
                </c:pt>
                <c:pt idx="175">
                  <c:v>4.5989028549566581E-2</c:v>
                </c:pt>
                <c:pt idx="176">
                  <c:v>4.6021101843644267E-2</c:v>
                </c:pt>
                <c:pt idx="177">
                  <c:v>4.6052807955549446E-2</c:v>
                </c:pt>
                <c:pt idx="178">
                  <c:v>4.6084864503318425E-2</c:v>
                </c:pt>
                <c:pt idx="179">
                  <c:v>4.6115873674323932E-2</c:v>
                </c:pt>
                <c:pt idx="180">
                  <c:v>4.6146537178712053E-2</c:v>
                </c:pt>
                <c:pt idx="181">
                  <c:v>4.6176857057426017E-2</c:v>
                </c:pt>
                <c:pt idx="182">
                  <c:v>4.6207858088725601E-2</c:v>
                </c:pt>
                <c:pt idx="183">
                  <c:v>4.6237521238074064E-2</c:v>
                </c:pt>
                <c:pt idx="184">
                  <c:v>4.6266860059648404E-2</c:v>
                </c:pt>
                <c:pt idx="185">
                  <c:v>4.6295873674374537E-2</c:v>
                </c:pt>
                <c:pt idx="186">
                  <c:v>4.6325558493427316E-2</c:v>
                </c:pt>
                <c:pt idx="187">
                  <c:v>4.6353963242882754E-2</c:v>
                </c:pt>
                <c:pt idx="188">
                  <c:v>4.6382066076551966E-2</c:v>
                </c:pt>
                <c:pt idx="189">
                  <c:v>4.6409858863392994E-2</c:v>
                </c:pt>
                <c:pt idx="190">
                  <c:v>4.6438301225769259E-2</c:v>
                </c:pt>
                <c:pt idx="191">
                  <c:v>4.6465524949872293E-2</c:v>
                </c:pt>
                <c:pt idx="192">
                  <c:v>4.6492465928318655E-2</c:v>
                </c:pt>
                <c:pt idx="193">
                  <c:v>4.6519115798648238E-2</c:v>
                </c:pt>
                <c:pt idx="194">
                  <c:v>4.6546094565731E-2</c:v>
                </c:pt>
                <c:pt idx="195">
                  <c:v>4.657221347139312E-2</c:v>
                </c:pt>
                <c:pt idx="196">
                  <c:v>4.6598066598530469E-2</c:v>
                </c:pt>
                <c:pt idx="197">
                  <c:v>4.6623938744005063E-2</c:v>
                </c:pt>
                <c:pt idx="198">
                  <c:v>4.6649832354425873E-2</c:v>
                </c:pt>
                <c:pt idx="199">
                  <c:v>4.667518813414448E-2</c:v>
                </c:pt>
                <c:pt idx="200">
                  <c:v>4.6700011976000662E-2</c:v>
                </c:pt>
                <c:pt idx="201">
                  <c:v>4.6724581950005166E-2</c:v>
                </c:pt>
                <c:pt idx="202">
                  <c:v>4.6749456792417168E-2</c:v>
                </c:pt>
                <c:pt idx="203">
                  <c:v>4.6773819630325425E-2</c:v>
                </c:pt>
                <c:pt idx="204">
                  <c:v>4.6797677203567978E-2</c:v>
                </c:pt>
                <c:pt idx="205">
                  <c:v>4.6821295544655452E-2</c:v>
                </c:pt>
                <c:pt idx="206">
                  <c:v>4.6845210531331768E-2</c:v>
                </c:pt>
                <c:pt idx="207">
                  <c:v>4.6868637551500114E-2</c:v>
                </c:pt>
                <c:pt idx="208">
                  <c:v>4.6891584229622418E-2</c:v>
                </c:pt>
                <c:pt idx="209">
                  <c:v>4.6914305242497685E-2</c:v>
                </c:pt>
                <c:pt idx="210">
                  <c:v>4.693705798331075E-2</c:v>
                </c:pt>
                <c:pt idx="211">
                  <c:v>4.6959602167737265E-2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'Bumped Curve Snap'!$G$3</c:f>
              <c:strCache>
                <c:ptCount val="1"/>
                <c:pt idx="0">
                  <c:v>CNY_Treasury_Live_Curve_2012-7-16_Calibrated_Curve_5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41106</c:v>
                </c:pt>
                <c:pt idx="1">
                  <c:v>41196</c:v>
                </c:pt>
                <c:pt idx="2">
                  <c:v>41286</c:v>
                </c:pt>
                <c:pt idx="3">
                  <c:v>41376</c:v>
                </c:pt>
                <c:pt idx="4">
                  <c:v>41466</c:v>
                </c:pt>
                <c:pt idx="5">
                  <c:v>41556</c:v>
                </c:pt>
                <c:pt idx="6">
                  <c:v>41646</c:v>
                </c:pt>
                <c:pt idx="7">
                  <c:v>41736</c:v>
                </c:pt>
                <c:pt idx="8">
                  <c:v>41826</c:v>
                </c:pt>
                <c:pt idx="9">
                  <c:v>41916</c:v>
                </c:pt>
                <c:pt idx="10">
                  <c:v>42006</c:v>
                </c:pt>
                <c:pt idx="11">
                  <c:v>42096</c:v>
                </c:pt>
                <c:pt idx="12">
                  <c:v>42186</c:v>
                </c:pt>
                <c:pt idx="13">
                  <c:v>42276</c:v>
                </c:pt>
                <c:pt idx="14">
                  <c:v>42366</c:v>
                </c:pt>
                <c:pt idx="15">
                  <c:v>42456</c:v>
                </c:pt>
                <c:pt idx="16">
                  <c:v>42546</c:v>
                </c:pt>
                <c:pt idx="17">
                  <c:v>42636</c:v>
                </c:pt>
                <c:pt idx="18">
                  <c:v>42726</c:v>
                </c:pt>
                <c:pt idx="19">
                  <c:v>42816</c:v>
                </c:pt>
                <c:pt idx="20">
                  <c:v>42906</c:v>
                </c:pt>
                <c:pt idx="21">
                  <c:v>42996</c:v>
                </c:pt>
                <c:pt idx="22">
                  <c:v>43086</c:v>
                </c:pt>
                <c:pt idx="23">
                  <c:v>43176</c:v>
                </c:pt>
                <c:pt idx="24">
                  <c:v>43266</c:v>
                </c:pt>
                <c:pt idx="25">
                  <c:v>43356</c:v>
                </c:pt>
                <c:pt idx="26">
                  <c:v>43446</c:v>
                </c:pt>
                <c:pt idx="27">
                  <c:v>43536</c:v>
                </c:pt>
                <c:pt idx="28">
                  <c:v>43626</c:v>
                </c:pt>
                <c:pt idx="29">
                  <c:v>43716</c:v>
                </c:pt>
                <c:pt idx="30">
                  <c:v>43806</c:v>
                </c:pt>
                <c:pt idx="31">
                  <c:v>43896</c:v>
                </c:pt>
                <c:pt idx="32">
                  <c:v>43986</c:v>
                </c:pt>
                <c:pt idx="33">
                  <c:v>44076</c:v>
                </c:pt>
                <c:pt idx="34">
                  <c:v>44166</c:v>
                </c:pt>
                <c:pt idx="35">
                  <c:v>44256</c:v>
                </c:pt>
                <c:pt idx="36">
                  <c:v>44346</c:v>
                </c:pt>
                <c:pt idx="37">
                  <c:v>44436</c:v>
                </c:pt>
                <c:pt idx="38">
                  <c:v>44526</c:v>
                </c:pt>
                <c:pt idx="39">
                  <c:v>44616</c:v>
                </c:pt>
                <c:pt idx="40">
                  <c:v>44706</c:v>
                </c:pt>
                <c:pt idx="41">
                  <c:v>44796</c:v>
                </c:pt>
                <c:pt idx="42">
                  <c:v>44886</c:v>
                </c:pt>
                <c:pt idx="43">
                  <c:v>44976</c:v>
                </c:pt>
                <c:pt idx="44">
                  <c:v>45066</c:v>
                </c:pt>
                <c:pt idx="45">
                  <c:v>45156</c:v>
                </c:pt>
                <c:pt idx="46">
                  <c:v>45246</c:v>
                </c:pt>
                <c:pt idx="47">
                  <c:v>45336</c:v>
                </c:pt>
                <c:pt idx="48">
                  <c:v>45426</c:v>
                </c:pt>
                <c:pt idx="49">
                  <c:v>45516</c:v>
                </c:pt>
                <c:pt idx="50">
                  <c:v>45606</c:v>
                </c:pt>
                <c:pt idx="51">
                  <c:v>45696</c:v>
                </c:pt>
                <c:pt idx="52">
                  <c:v>45786</c:v>
                </c:pt>
                <c:pt idx="53">
                  <c:v>45876</c:v>
                </c:pt>
                <c:pt idx="54">
                  <c:v>45966</c:v>
                </c:pt>
                <c:pt idx="55">
                  <c:v>46056</c:v>
                </c:pt>
                <c:pt idx="56">
                  <c:v>46146</c:v>
                </c:pt>
                <c:pt idx="57">
                  <c:v>46236</c:v>
                </c:pt>
                <c:pt idx="58">
                  <c:v>46326</c:v>
                </c:pt>
                <c:pt idx="59">
                  <c:v>46416</c:v>
                </c:pt>
                <c:pt idx="60">
                  <c:v>46506</c:v>
                </c:pt>
                <c:pt idx="61">
                  <c:v>46596</c:v>
                </c:pt>
                <c:pt idx="62">
                  <c:v>46686</c:v>
                </c:pt>
                <c:pt idx="63">
                  <c:v>46776</c:v>
                </c:pt>
                <c:pt idx="64">
                  <c:v>46866</c:v>
                </c:pt>
                <c:pt idx="65">
                  <c:v>46956</c:v>
                </c:pt>
                <c:pt idx="66">
                  <c:v>47046</c:v>
                </c:pt>
                <c:pt idx="67">
                  <c:v>47136</c:v>
                </c:pt>
                <c:pt idx="68">
                  <c:v>47226</c:v>
                </c:pt>
                <c:pt idx="69">
                  <c:v>47316</c:v>
                </c:pt>
                <c:pt idx="70">
                  <c:v>47406</c:v>
                </c:pt>
                <c:pt idx="71">
                  <c:v>47496</c:v>
                </c:pt>
                <c:pt idx="72">
                  <c:v>47586</c:v>
                </c:pt>
                <c:pt idx="73">
                  <c:v>47676</c:v>
                </c:pt>
                <c:pt idx="74">
                  <c:v>47766</c:v>
                </c:pt>
                <c:pt idx="75">
                  <c:v>47856</c:v>
                </c:pt>
                <c:pt idx="76">
                  <c:v>47946</c:v>
                </c:pt>
                <c:pt idx="77">
                  <c:v>48036</c:v>
                </c:pt>
                <c:pt idx="78">
                  <c:v>48126</c:v>
                </c:pt>
                <c:pt idx="79">
                  <c:v>48216</c:v>
                </c:pt>
                <c:pt idx="80">
                  <c:v>48306</c:v>
                </c:pt>
                <c:pt idx="81">
                  <c:v>48396</c:v>
                </c:pt>
                <c:pt idx="82">
                  <c:v>48486</c:v>
                </c:pt>
                <c:pt idx="83">
                  <c:v>48576</c:v>
                </c:pt>
                <c:pt idx="84">
                  <c:v>48666</c:v>
                </c:pt>
                <c:pt idx="85">
                  <c:v>48756</c:v>
                </c:pt>
                <c:pt idx="86">
                  <c:v>48846</c:v>
                </c:pt>
                <c:pt idx="87">
                  <c:v>48936</c:v>
                </c:pt>
                <c:pt idx="88">
                  <c:v>49026</c:v>
                </c:pt>
                <c:pt idx="89">
                  <c:v>49116</c:v>
                </c:pt>
                <c:pt idx="90">
                  <c:v>49206</c:v>
                </c:pt>
                <c:pt idx="91">
                  <c:v>49296</c:v>
                </c:pt>
                <c:pt idx="92">
                  <c:v>49386</c:v>
                </c:pt>
                <c:pt idx="93">
                  <c:v>49476</c:v>
                </c:pt>
                <c:pt idx="94">
                  <c:v>49566</c:v>
                </c:pt>
                <c:pt idx="95">
                  <c:v>49656</c:v>
                </c:pt>
                <c:pt idx="96">
                  <c:v>49746</c:v>
                </c:pt>
                <c:pt idx="97">
                  <c:v>49836</c:v>
                </c:pt>
                <c:pt idx="98">
                  <c:v>49926</c:v>
                </c:pt>
                <c:pt idx="99">
                  <c:v>50016</c:v>
                </c:pt>
                <c:pt idx="100">
                  <c:v>50106</c:v>
                </c:pt>
                <c:pt idx="101">
                  <c:v>50196</c:v>
                </c:pt>
                <c:pt idx="102">
                  <c:v>50286</c:v>
                </c:pt>
                <c:pt idx="103">
                  <c:v>50376</c:v>
                </c:pt>
                <c:pt idx="104">
                  <c:v>50466</c:v>
                </c:pt>
                <c:pt idx="105">
                  <c:v>50556</c:v>
                </c:pt>
                <c:pt idx="106">
                  <c:v>50646</c:v>
                </c:pt>
                <c:pt idx="107">
                  <c:v>50736</c:v>
                </c:pt>
                <c:pt idx="108">
                  <c:v>50826</c:v>
                </c:pt>
                <c:pt idx="109">
                  <c:v>50916</c:v>
                </c:pt>
                <c:pt idx="110">
                  <c:v>51006</c:v>
                </c:pt>
                <c:pt idx="111">
                  <c:v>51096</c:v>
                </c:pt>
                <c:pt idx="112">
                  <c:v>51186</c:v>
                </c:pt>
                <c:pt idx="113">
                  <c:v>51276</c:v>
                </c:pt>
                <c:pt idx="114">
                  <c:v>51366</c:v>
                </c:pt>
                <c:pt idx="115">
                  <c:v>51456</c:v>
                </c:pt>
                <c:pt idx="116">
                  <c:v>51546</c:v>
                </c:pt>
                <c:pt idx="117">
                  <c:v>51636</c:v>
                </c:pt>
                <c:pt idx="118">
                  <c:v>51726</c:v>
                </c:pt>
                <c:pt idx="119">
                  <c:v>51816</c:v>
                </c:pt>
                <c:pt idx="120">
                  <c:v>51906</c:v>
                </c:pt>
                <c:pt idx="121">
                  <c:v>51996</c:v>
                </c:pt>
                <c:pt idx="122">
                  <c:v>52086</c:v>
                </c:pt>
                <c:pt idx="123">
                  <c:v>52176</c:v>
                </c:pt>
                <c:pt idx="124">
                  <c:v>52266</c:v>
                </c:pt>
                <c:pt idx="125">
                  <c:v>52356</c:v>
                </c:pt>
                <c:pt idx="126">
                  <c:v>52446</c:v>
                </c:pt>
                <c:pt idx="127">
                  <c:v>52536</c:v>
                </c:pt>
                <c:pt idx="128">
                  <c:v>52626</c:v>
                </c:pt>
                <c:pt idx="129">
                  <c:v>52716</c:v>
                </c:pt>
                <c:pt idx="130">
                  <c:v>52806</c:v>
                </c:pt>
                <c:pt idx="131">
                  <c:v>52896</c:v>
                </c:pt>
                <c:pt idx="132">
                  <c:v>52986</c:v>
                </c:pt>
                <c:pt idx="133">
                  <c:v>53076</c:v>
                </c:pt>
                <c:pt idx="134">
                  <c:v>53166</c:v>
                </c:pt>
                <c:pt idx="135">
                  <c:v>53256</c:v>
                </c:pt>
                <c:pt idx="136">
                  <c:v>53346</c:v>
                </c:pt>
                <c:pt idx="137">
                  <c:v>53436</c:v>
                </c:pt>
                <c:pt idx="138">
                  <c:v>53526</c:v>
                </c:pt>
                <c:pt idx="139">
                  <c:v>53616</c:v>
                </c:pt>
                <c:pt idx="140">
                  <c:v>53706</c:v>
                </c:pt>
                <c:pt idx="141">
                  <c:v>53796</c:v>
                </c:pt>
                <c:pt idx="142">
                  <c:v>53886</c:v>
                </c:pt>
                <c:pt idx="143">
                  <c:v>53976</c:v>
                </c:pt>
                <c:pt idx="144">
                  <c:v>54066</c:v>
                </c:pt>
                <c:pt idx="145">
                  <c:v>54156</c:v>
                </c:pt>
                <c:pt idx="146">
                  <c:v>54246</c:v>
                </c:pt>
                <c:pt idx="147">
                  <c:v>54336</c:v>
                </c:pt>
                <c:pt idx="148">
                  <c:v>54426</c:v>
                </c:pt>
                <c:pt idx="149">
                  <c:v>54516</c:v>
                </c:pt>
                <c:pt idx="150">
                  <c:v>54606</c:v>
                </c:pt>
                <c:pt idx="151">
                  <c:v>54696</c:v>
                </c:pt>
                <c:pt idx="152">
                  <c:v>54786</c:v>
                </c:pt>
                <c:pt idx="153">
                  <c:v>54876</c:v>
                </c:pt>
                <c:pt idx="154">
                  <c:v>54966</c:v>
                </c:pt>
                <c:pt idx="155">
                  <c:v>55056</c:v>
                </c:pt>
                <c:pt idx="156">
                  <c:v>55146</c:v>
                </c:pt>
                <c:pt idx="157">
                  <c:v>55236</c:v>
                </c:pt>
                <c:pt idx="158">
                  <c:v>55326</c:v>
                </c:pt>
                <c:pt idx="159">
                  <c:v>55416</c:v>
                </c:pt>
                <c:pt idx="160">
                  <c:v>55506</c:v>
                </c:pt>
                <c:pt idx="161">
                  <c:v>55596</c:v>
                </c:pt>
                <c:pt idx="162">
                  <c:v>55686</c:v>
                </c:pt>
                <c:pt idx="163">
                  <c:v>55776</c:v>
                </c:pt>
                <c:pt idx="164">
                  <c:v>55866</c:v>
                </c:pt>
                <c:pt idx="165">
                  <c:v>55956</c:v>
                </c:pt>
                <c:pt idx="166">
                  <c:v>56046</c:v>
                </c:pt>
                <c:pt idx="167">
                  <c:v>56136</c:v>
                </c:pt>
                <c:pt idx="168">
                  <c:v>56226</c:v>
                </c:pt>
                <c:pt idx="169">
                  <c:v>56316</c:v>
                </c:pt>
                <c:pt idx="170">
                  <c:v>56406</c:v>
                </c:pt>
                <c:pt idx="171">
                  <c:v>56496</c:v>
                </c:pt>
                <c:pt idx="172">
                  <c:v>56586</c:v>
                </c:pt>
                <c:pt idx="173">
                  <c:v>56676</c:v>
                </c:pt>
                <c:pt idx="174">
                  <c:v>56766</c:v>
                </c:pt>
                <c:pt idx="175">
                  <c:v>56856</c:v>
                </c:pt>
                <c:pt idx="176">
                  <c:v>56946</c:v>
                </c:pt>
                <c:pt idx="177">
                  <c:v>57036</c:v>
                </c:pt>
                <c:pt idx="178">
                  <c:v>57126</c:v>
                </c:pt>
                <c:pt idx="179">
                  <c:v>57216</c:v>
                </c:pt>
                <c:pt idx="180">
                  <c:v>57306</c:v>
                </c:pt>
                <c:pt idx="181">
                  <c:v>57396</c:v>
                </c:pt>
                <c:pt idx="182">
                  <c:v>57486</c:v>
                </c:pt>
                <c:pt idx="183">
                  <c:v>57576</c:v>
                </c:pt>
                <c:pt idx="184">
                  <c:v>57666</c:v>
                </c:pt>
                <c:pt idx="185">
                  <c:v>57756</c:v>
                </c:pt>
                <c:pt idx="186">
                  <c:v>57846</c:v>
                </c:pt>
                <c:pt idx="187">
                  <c:v>57936</c:v>
                </c:pt>
                <c:pt idx="188">
                  <c:v>58026</c:v>
                </c:pt>
                <c:pt idx="189">
                  <c:v>58116</c:v>
                </c:pt>
                <c:pt idx="190">
                  <c:v>58206</c:v>
                </c:pt>
                <c:pt idx="191">
                  <c:v>58296</c:v>
                </c:pt>
                <c:pt idx="192">
                  <c:v>58386</c:v>
                </c:pt>
                <c:pt idx="193">
                  <c:v>58476</c:v>
                </c:pt>
                <c:pt idx="194">
                  <c:v>58566</c:v>
                </c:pt>
                <c:pt idx="195">
                  <c:v>58656</c:v>
                </c:pt>
                <c:pt idx="196">
                  <c:v>58746</c:v>
                </c:pt>
                <c:pt idx="197">
                  <c:v>58836</c:v>
                </c:pt>
                <c:pt idx="198">
                  <c:v>58926</c:v>
                </c:pt>
                <c:pt idx="199">
                  <c:v>59016</c:v>
                </c:pt>
                <c:pt idx="200">
                  <c:v>59106</c:v>
                </c:pt>
                <c:pt idx="201">
                  <c:v>59196</c:v>
                </c:pt>
                <c:pt idx="202">
                  <c:v>59286</c:v>
                </c:pt>
                <c:pt idx="203">
                  <c:v>59376</c:v>
                </c:pt>
                <c:pt idx="204">
                  <c:v>59466</c:v>
                </c:pt>
                <c:pt idx="205">
                  <c:v>59556</c:v>
                </c:pt>
                <c:pt idx="206">
                  <c:v>59646</c:v>
                </c:pt>
                <c:pt idx="207">
                  <c:v>59736</c:v>
                </c:pt>
                <c:pt idx="208">
                  <c:v>59826</c:v>
                </c:pt>
                <c:pt idx="209">
                  <c:v>59916</c:v>
                </c:pt>
                <c:pt idx="210">
                  <c:v>60006</c:v>
                </c:pt>
                <c:pt idx="211">
                  <c:v>60096</c:v>
                </c:pt>
              </c:numCache>
            </c:numRef>
          </c:cat>
          <c:val>
            <c:numRef>
              <c:f>'Bumped Curve Snap'!$G$4:$G$215</c:f>
              <c:numCache>
                <c:formatCode>0.00%</c:formatCode>
                <c:ptCount val="212"/>
                <c:pt idx="0">
                  <c:v>2.4016920224418408E-2</c:v>
                </c:pt>
                <c:pt idx="1">
                  <c:v>2.4016920224904984E-2</c:v>
                </c:pt>
                <c:pt idx="2">
                  <c:v>2.2049354549397701E-2</c:v>
                </c:pt>
                <c:pt idx="3">
                  <c:v>2.1683029143990375E-2</c:v>
                </c:pt>
                <c:pt idx="4">
                  <c:v>2.2818084177824608E-2</c:v>
                </c:pt>
                <c:pt idx="5">
                  <c:v>2.4985026408419649E-2</c:v>
                </c:pt>
                <c:pt idx="6">
                  <c:v>2.6521136687345369E-2</c:v>
                </c:pt>
                <c:pt idx="7">
                  <c:v>2.2635928951853838E-2</c:v>
                </c:pt>
                <c:pt idx="8">
                  <c:v>2.2217069059233353E-2</c:v>
                </c:pt>
                <c:pt idx="9">
                  <c:v>2.289824672729026E-2</c:v>
                </c:pt>
                <c:pt idx="10">
                  <c:v>2.3460786495356104E-2</c:v>
                </c:pt>
                <c:pt idx="11">
                  <c:v>2.3719622519498211E-2</c:v>
                </c:pt>
                <c:pt idx="12">
                  <c:v>2.4115059377034204E-2</c:v>
                </c:pt>
                <c:pt idx="13">
                  <c:v>2.4660630456333862E-2</c:v>
                </c:pt>
                <c:pt idx="14">
                  <c:v>2.5264558340336331E-2</c:v>
                </c:pt>
                <c:pt idx="15">
                  <c:v>2.5713791599136039E-2</c:v>
                </c:pt>
                <c:pt idx="16">
                  <c:v>2.6033459851690727E-2</c:v>
                </c:pt>
                <c:pt idx="17">
                  <c:v>2.6302864469433314E-2</c:v>
                </c:pt>
                <c:pt idx="18">
                  <c:v>2.6545113405642418E-2</c:v>
                </c:pt>
                <c:pt idx="19">
                  <c:v>2.6937477998242816E-2</c:v>
                </c:pt>
                <c:pt idx="20">
                  <c:v>2.7420191520437901E-2</c:v>
                </c:pt>
                <c:pt idx="21">
                  <c:v>2.794369561340267E-2</c:v>
                </c:pt>
                <c:pt idx="22">
                  <c:v>2.8700374090577321E-2</c:v>
                </c:pt>
                <c:pt idx="23">
                  <c:v>2.9414324173915377E-2</c:v>
                </c:pt>
                <c:pt idx="24">
                  <c:v>2.9987738320484583E-2</c:v>
                </c:pt>
                <c:pt idx="25">
                  <c:v>3.1333833511312428E-2</c:v>
                </c:pt>
                <c:pt idx="26">
                  <c:v>3.1774815935140831E-2</c:v>
                </c:pt>
                <c:pt idx="27">
                  <c:v>3.0985630969699179E-2</c:v>
                </c:pt>
                <c:pt idx="28">
                  <c:v>3.0556227002658382E-2</c:v>
                </c:pt>
                <c:pt idx="29">
                  <c:v>3.0814978392004418E-2</c:v>
                </c:pt>
                <c:pt idx="30">
                  <c:v>3.1402617715234532E-2</c:v>
                </c:pt>
                <c:pt idx="31">
                  <c:v>3.191724243672707E-2</c:v>
                </c:pt>
                <c:pt idx="32">
                  <c:v>3.2285847903781723E-2</c:v>
                </c:pt>
                <c:pt idx="33">
                  <c:v>3.2551888003780574E-2</c:v>
                </c:pt>
                <c:pt idx="34">
                  <c:v>3.2804277432792885E-2</c:v>
                </c:pt>
                <c:pt idx="35">
                  <c:v>3.3024266692273922E-2</c:v>
                </c:pt>
                <c:pt idx="36">
                  <c:v>3.3202035141185575E-2</c:v>
                </c:pt>
                <c:pt idx="37">
                  <c:v>3.3224420039332181E-2</c:v>
                </c:pt>
                <c:pt idx="38">
                  <c:v>3.302879630925256E-2</c:v>
                </c:pt>
                <c:pt idx="39">
                  <c:v>3.2932970203717903E-2</c:v>
                </c:pt>
                <c:pt idx="40">
                  <c:v>3.3030415348144923E-2</c:v>
                </c:pt>
                <c:pt idx="41">
                  <c:v>3.3392236907478799E-2</c:v>
                </c:pt>
                <c:pt idx="42">
                  <c:v>3.3828435450131172E-2</c:v>
                </c:pt>
                <c:pt idx="43">
                  <c:v>3.4244459511715654E-2</c:v>
                </c:pt>
                <c:pt idx="44">
                  <c:v>3.4654807173748248E-2</c:v>
                </c:pt>
                <c:pt idx="45">
                  <c:v>3.5033505894485742E-2</c:v>
                </c:pt>
                <c:pt idx="46">
                  <c:v>3.5385117742267234E-2</c:v>
                </c:pt>
                <c:pt idx="47">
                  <c:v>3.5681516386167005E-2</c:v>
                </c:pt>
                <c:pt idx="48">
                  <c:v>3.5952696526406411E-2</c:v>
                </c:pt>
                <c:pt idx="49">
                  <c:v>3.6206706472980903E-2</c:v>
                </c:pt>
                <c:pt idx="50">
                  <c:v>3.6450529659421624E-2</c:v>
                </c:pt>
                <c:pt idx="51">
                  <c:v>3.6684797533579033E-2</c:v>
                </c:pt>
                <c:pt idx="52">
                  <c:v>3.6917578020489519E-2</c:v>
                </c:pt>
                <c:pt idx="53">
                  <c:v>3.7133815168572212E-2</c:v>
                </c:pt>
                <c:pt idx="54">
                  <c:v>3.7342009637295823E-2</c:v>
                </c:pt>
                <c:pt idx="55">
                  <c:v>3.754261431925849E-2</c:v>
                </c:pt>
                <c:pt idx="56">
                  <c:v>3.7742522676082815E-2</c:v>
                </c:pt>
                <c:pt idx="57">
                  <c:v>3.7928713219508969E-2</c:v>
                </c:pt>
                <c:pt idx="58">
                  <c:v>3.8110454051443997E-2</c:v>
                </c:pt>
                <c:pt idx="59">
                  <c:v>3.8283985798797507E-2</c:v>
                </c:pt>
                <c:pt idx="60">
                  <c:v>3.8455475259620495E-2</c:v>
                </c:pt>
                <c:pt idx="61">
                  <c:v>3.8619176958651844E-2</c:v>
                </c:pt>
                <c:pt idx="62">
                  <c:v>3.8647891798970734E-2</c:v>
                </c:pt>
                <c:pt idx="63">
                  <c:v>3.8644865983445492E-2</c:v>
                </c:pt>
                <c:pt idx="64">
                  <c:v>3.8641111905589769E-2</c:v>
                </c:pt>
                <c:pt idx="65">
                  <c:v>3.8637279089486533E-2</c:v>
                </c:pt>
                <c:pt idx="66">
                  <c:v>3.8633547504476062E-2</c:v>
                </c:pt>
                <c:pt idx="67">
                  <c:v>3.8629836152381053E-2</c:v>
                </c:pt>
                <c:pt idx="68">
                  <c:v>3.8626086715199057E-2</c:v>
                </c:pt>
                <c:pt idx="69">
                  <c:v>3.8622318780948302E-2</c:v>
                </c:pt>
                <c:pt idx="70">
                  <c:v>3.8733840797385406E-2</c:v>
                </c:pt>
                <c:pt idx="71">
                  <c:v>3.8909234473749853E-2</c:v>
                </c:pt>
                <c:pt idx="72">
                  <c:v>3.9093349408359561E-2</c:v>
                </c:pt>
                <c:pt idx="73">
                  <c:v>3.927021360922231E-2</c:v>
                </c:pt>
                <c:pt idx="74">
                  <c:v>3.9440272892571945E-2</c:v>
                </c:pt>
                <c:pt idx="75">
                  <c:v>3.9605715542788474E-2</c:v>
                </c:pt>
                <c:pt idx="76">
                  <c:v>3.9770445070228255E-2</c:v>
                </c:pt>
                <c:pt idx="77">
                  <c:v>3.9932681284859002E-2</c:v>
                </c:pt>
                <c:pt idx="78">
                  <c:v>4.0090094653842313E-2</c:v>
                </c:pt>
                <c:pt idx="79">
                  <c:v>4.0243431194087756E-2</c:v>
                </c:pt>
                <c:pt idx="80">
                  <c:v>4.0391626603548218E-2</c:v>
                </c:pt>
                <c:pt idx="81">
                  <c:v>4.0501538637718527E-2</c:v>
                </c:pt>
                <c:pt idx="82">
                  <c:v>4.0595139236300377E-2</c:v>
                </c:pt>
                <c:pt idx="83">
                  <c:v>4.0688753308601826E-2</c:v>
                </c:pt>
                <c:pt idx="84">
                  <c:v>4.0781131762021569E-2</c:v>
                </c:pt>
                <c:pt idx="85">
                  <c:v>4.0869335230856736E-2</c:v>
                </c:pt>
                <c:pt idx="86">
                  <c:v>4.0955516223671898E-2</c:v>
                </c:pt>
                <c:pt idx="87">
                  <c:v>4.1040672337863654E-2</c:v>
                </c:pt>
                <c:pt idx="88">
                  <c:v>4.1124797591541737E-2</c:v>
                </c:pt>
                <c:pt idx="89">
                  <c:v>4.1205206769722127E-2</c:v>
                </c:pt>
                <c:pt idx="90">
                  <c:v>4.1283857095981584E-2</c:v>
                </c:pt>
                <c:pt idx="91">
                  <c:v>4.1361652607796048E-2</c:v>
                </c:pt>
                <c:pt idx="92">
                  <c:v>4.1438583065705026E-2</c:v>
                </c:pt>
                <c:pt idx="93">
                  <c:v>4.1512186748729162E-2</c:v>
                </c:pt>
                <c:pt idx="94">
                  <c:v>4.1584252064859994E-2</c:v>
                </c:pt>
                <c:pt idx="95">
                  <c:v>4.1655602186569753E-2</c:v>
                </c:pt>
                <c:pt idx="96">
                  <c:v>4.172544674011594E-2</c:v>
                </c:pt>
                <c:pt idx="97">
                  <c:v>4.1793088072089965E-2</c:v>
                </c:pt>
                <c:pt idx="98">
                  <c:v>4.1859377918630189E-2</c:v>
                </c:pt>
                <c:pt idx="99">
                  <c:v>4.1925065710923151E-2</c:v>
                </c:pt>
                <c:pt idx="100">
                  <c:v>4.199013639916669E-2</c:v>
                </c:pt>
                <c:pt idx="101">
                  <c:v>4.2052500350329536E-2</c:v>
                </c:pt>
                <c:pt idx="102">
                  <c:v>4.2113668271318634E-2</c:v>
                </c:pt>
                <c:pt idx="103">
                  <c:v>4.2174330161810623E-2</c:v>
                </c:pt>
                <c:pt idx="104">
                  <c:v>4.2234467568214966E-2</c:v>
                </c:pt>
                <c:pt idx="105">
                  <c:v>4.2292795644342504E-2</c:v>
                </c:pt>
                <c:pt idx="106">
                  <c:v>4.2349401090612103E-2</c:v>
                </c:pt>
                <c:pt idx="107">
                  <c:v>4.2404956682896497E-2</c:v>
                </c:pt>
                <c:pt idx="108">
                  <c:v>4.2461382351671441E-2</c:v>
                </c:pt>
                <c:pt idx="109">
                  <c:v>4.253030779513952E-2</c:v>
                </c:pt>
                <c:pt idx="110">
                  <c:v>4.2612753888414616E-2</c:v>
                </c:pt>
                <c:pt idx="111">
                  <c:v>4.269372852657935E-2</c:v>
                </c:pt>
                <c:pt idx="112">
                  <c:v>4.2773253157097693E-2</c:v>
                </c:pt>
                <c:pt idx="113">
                  <c:v>4.2853133643110275E-2</c:v>
                </c:pt>
                <c:pt idx="114">
                  <c:v>4.2929885898073034E-2</c:v>
                </c:pt>
                <c:pt idx="115">
                  <c:v>4.3005317759766168E-2</c:v>
                </c:pt>
                <c:pt idx="116">
                  <c:v>4.3079443761135774E-2</c:v>
                </c:pt>
                <c:pt idx="117">
                  <c:v>4.3154764128105143E-2</c:v>
                </c:pt>
                <c:pt idx="118">
                  <c:v>4.322637852205783E-2</c:v>
                </c:pt>
                <c:pt idx="119">
                  <c:v>4.3296802005477163E-2</c:v>
                </c:pt>
                <c:pt idx="120">
                  <c:v>4.3366045801348251E-2</c:v>
                </c:pt>
                <c:pt idx="121">
                  <c:v>4.3436449094192919E-2</c:v>
                </c:pt>
                <c:pt idx="122">
                  <c:v>4.350342472364651E-2</c:v>
                </c:pt>
                <c:pt idx="123">
                  <c:v>4.356932377736264E-2</c:v>
                </c:pt>
                <c:pt idx="124">
                  <c:v>4.3634153806006569E-2</c:v>
                </c:pt>
                <c:pt idx="125">
                  <c:v>4.3700104050085863E-2</c:v>
                </c:pt>
                <c:pt idx="126">
                  <c:v>4.3762876863014832E-2</c:v>
                </c:pt>
                <c:pt idx="127">
                  <c:v>4.3824673921072942E-2</c:v>
                </c:pt>
                <c:pt idx="128">
                  <c:v>4.3886187321702783E-2</c:v>
                </c:pt>
                <c:pt idx="129">
                  <c:v>4.3946731783910599E-2</c:v>
                </c:pt>
                <c:pt idx="130">
                  <c:v>4.4006359568946711E-2</c:v>
                </c:pt>
                <c:pt idx="131">
                  <c:v>4.4064427443808091E-2</c:v>
                </c:pt>
                <c:pt idx="132">
                  <c:v>4.4121608631118386E-2</c:v>
                </c:pt>
                <c:pt idx="133">
                  <c:v>4.4179196237390632E-2</c:v>
                </c:pt>
                <c:pt idx="134">
                  <c:v>4.4235302561223384E-2</c:v>
                </c:pt>
                <c:pt idx="135">
                  <c:v>4.4289967691810442E-2</c:v>
                </c:pt>
                <c:pt idx="136">
                  <c:v>4.4343822585256452E-2</c:v>
                </c:pt>
                <c:pt idx="137">
                  <c:v>4.4398083154641915E-2</c:v>
                </c:pt>
                <c:pt idx="138">
                  <c:v>4.4450970657925012E-2</c:v>
                </c:pt>
                <c:pt idx="139">
                  <c:v>4.4502523612521862E-2</c:v>
                </c:pt>
                <c:pt idx="140">
                  <c:v>4.455333491823088E-2</c:v>
                </c:pt>
                <c:pt idx="141">
                  <c:v>4.4604549663034079E-2</c:v>
                </c:pt>
                <c:pt idx="142">
                  <c:v>4.4654486546257491E-2</c:v>
                </c:pt>
                <c:pt idx="143">
                  <c:v>4.4703183420777989E-2</c:v>
                </c:pt>
                <c:pt idx="144">
                  <c:v>4.4751200100713609E-2</c:v>
                </c:pt>
                <c:pt idx="145">
                  <c:v>4.4799084841395338E-2</c:v>
                </c:pt>
                <c:pt idx="146">
                  <c:v>4.4846320651132768E-2</c:v>
                </c:pt>
                <c:pt idx="147">
                  <c:v>4.4892401599444826E-2</c:v>
                </c:pt>
                <c:pt idx="148">
                  <c:v>4.4937858184788168E-2</c:v>
                </c:pt>
                <c:pt idx="149">
                  <c:v>4.4983709174324128E-2</c:v>
                </c:pt>
                <c:pt idx="150">
                  <c:v>4.5028446935730181E-2</c:v>
                </c:pt>
                <c:pt idx="151">
                  <c:v>4.507211326311221E-2</c:v>
                </c:pt>
                <c:pt idx="152">
                  <c:v>4.5115687607177518E-2</c:v>
                </c:pt>
                <c:pt idx="153">
                  <c:v>4.5159155416917715E-2</c:v>
                </c:pt>
                <c:pt idx="154">
                  <c:v>4.5201110345178111E-2</c:v>
                </c:pt>
                <c:pt idx="155">
                  <c:v>4.5242544870878254E-2</c:v>
                </c:pt>
                <c:pt idx="156">
                  <c:v>4.5283906940442264E-2</c:v>
                </c:pt>
                <c:pt idx="157">
                  <c:v>4.5325180149552162E-2</c:v>
                </c:pt>
                <c:pt idx="158">
                  <c:v>4.5365028729424189E-2</c:v>
                </c:pt>
                <c:pt idx="159">
                  <c:v>4.5404398312351123E-2</c:v>
                </c:pt>
                <c:pt idx="160">
                  <c:v>4.5443711256705897E-2</c:v>
                </c:pt>
                <c:pt idx="161">
                  <c:v>4.5482517347582019E-2</c:v>
                </c:pt>
                <c:pt idx="162">
                  <c:v>4.5520424159597443E-2</c:v>
                </c:pt>
                <c:pt idx="163">
                  <c:v>4.5557881961160951E-2</c:v>
                </c:pt>
                <c:pt idx="164">
                  <c:v>4.5595300036004524E-2</c:v>
                </c:pt>
                <c:pt idx="165">
                  <c:v>4.5632660888936673E-2</c:v>
                </c:pt>
                <c:pt idx="166">
                  <c:v>4.5668754197217096E-2</c:v>
                </c:pt>
                <c:pt idx="167">
                  <c:v>4.5704433756164599E-2</c:v>
                </c:pt>
                <c:pt idx="168">
                  <c:v>4.5740086701529278E-2</c:v>
                </c:pt>
                <c:pt idx="169">
                  <c:v>4.5775693518057055E-2</c:v>
                </c:pt>
                <c:pt idx="170">
                  <c:v>4.5810101425921922E-2</c:v>
                </c:pt>
                <c:pt idx="171">
                  <c:v>4.5844126455325186E-2</c:v>
                </c:pt>
                <c:pt idx="172">
                  <c:v>4.5878136578864033E-2</c:v>
                </c:pt>
                <c:pt idx="173">
                  <c:v>4.5912111496230507E-2</c:v>
                </c:pt>
                <c:pt idx="174">
                  <c:v>4.594494433634852E-2</c:v>
                </c:pt>
                <c:pt idx="175">
                  <c:v>4.5977798510584006E-2</c:v>
                </c:pt>
                <c:pt idx="176">
                  <c:v>4.6009912105683962E-2</c:v>
                </c:pt>
                <c:pt idx="177">
                  <c:v>4.6041643363010601E-2</c:v>
                </c:pt>
                <c:pt idx="178">
                  <c:v>4.6073728982650206E-2</c:v>
                </c:pt>
                <c:pt idx="179">
                  <c:v>4.6104774981245593E-2</c:v>
                </c:pt>
                <c:pt idx="180">
                  <c:v>4.6135477354746157E-2</c:v>
                </c:pt>
                <c:pt idx="181">
                  <c:v>4.6165822030666069E-2</c:v>
                </c:pt>
                <c:pt idx="182">
                  <c:v>4.619685069193253E-2</c:v>
                </c:pt>
                <c:pt idx="183">
                  <c:v>4.622654940522708E-2</c:v>
                </c:pt>
                <c:pt idx="184">
                  <c:v>4.6255928331891787E-2</c:v>
                </c:pt>
                <c:pt idx="185">
                  <c:v>4.628497298710512E-2</c:v>
                </c:pt>
                <c:pt idx="186">
                  <c:v>4.6314669658351001E-2</c:v>
                </c:pt>
                <c:pt idx="187">
                  <c:v>4.6343109267201019E-2</c:v>
                </c:pt>
                <c:pt idx="188">
                  <c:v>4.6371247033439658E-2</c:v>
                </c:pt>
                <c:pt idx="189">
                  <c:v>4.639907498460915E-2</c:v>
                </c:pt>
                <c:pt idx="190">
                  <c:v>4.6427531528735744E-2</c:v>
                </c:pt>
                <c:pt idx="191">
                  <c:v>4.6454786958898521E-2</c:v>
                </c:pt>
                <c:pt idx="192">
                  <c:v>4.6481762274054754E-2</c:v>
                </c:pt>
                <c:pt idx="193">
                  <c:v>4.6508445833781838E-2</c:v>
                </c:pt>
                <c:pt idx="194">
                  <c:v>4.6535439249048571E-2</c:v>
                </c:pt>
                <c:pt idx="195">
                  <c:v>4.6561586289135683E-2</c:v>
                </c:pt>
                <c:pt idx="196">
                  <c:v>4.6587476090643731E-2</c:v>
                </c:pt>
                <c:pt idx="197">
                  <c:v>4.6613374730226129E-2</c:v>
                </c:pt>
                <c:pt idx="198">
                  <c:v>4.6639288775498944E-2</c:v>
                </c:pt>
                <c:pt idx="199">
                  <c:v>4.6664672003936897E-2</c:v>
                </c:pt>
                <c:pt idx="200">
                  <c:v>4.6689528006311869E-2</c:v>
                </c:pt>
                <c:pt idx="201">
                  <c:v>4.6714123464042294E-2</c:v>
                </c:pt>
                <c:pt idx="202">
                  <c:v>4.6739018014738197E-2</c:v>
                </c:pt>
                <c:pt idx="203">
                  <c:v>4.6763406543782887E-2</c:v>
                </c:pt>
                <c:pt idx="204">
                  <c:v>4.6787295356655607E-2</c:v>
                </c:pt>
                <c:pt idx="205">
                  <c:v>4.681093881782946E-2</c:v>
                </c:pt>
                <c:pt idx="206">
                  <c:v>4.683487250767663E-2</c:v>
                </c:pt>
                <c:pt idx="207">
                  <c:v>4.6858323494347091E-2</c:v>
                </c:pt>
                <c:pt idx="208">
                  <c:v>4.6881300539058521E-2</c:v>
                </c:pt>
                <c:pt idx="209">
                  <c:v>4.6904046373620993E-2</c:v>
                </c:pt>
                <c:pt idx="210">
                  <c:v>4.6926819440964281E-2</c:v>
                </c:pt>
                <c:pt idx="211">
                  <c:v>4.6949387901859804E-2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'Bumped Curve Snap'!$H$3</c:f>
              <c:strCache>
                <c:ptCount val="1"/>
                <c:pt idx="0">
                  <c:v>CNY_Treasury_Live_Curve_2012-7-16_Calibrated_Curve_6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41106</c:v>
                </c:pt>
                <c:pt idx="1">
                  <c:v>41196</c:v>
                </c:pt>
                <c:pt idx="2">
                  <c:v>41286</c:v>
                </c:pt>
                <c:pt idx="3">
                  <c:v>41376</c:v>
                </c:pt>
                <c:pt idx="4">
                  <c:v>41466</c:v>
                </c:pt>
                <c:pt idx="5">
                  <c:v>41556</c:v>
                </c:pt>
                <c:pt idx="6">
                  <c:v>41646</c:v>
                </c:pt>
                <c:pt idx="7">
                  <c:v>41736</c:v>
                </c:pt>
                <c:pt idx="8">
                  <c:v>41826</c:v>
                </c:pt>
                <c:pt idx="9">
                  <c:v>41916</c:v>
                </c:pt>
                <c:pt idx="10">
                  <c:v>42006</c:v>
                </c:pt>
                <c:pt idx="11">
                  <c:v>42096</c:v>
                </c:pt>
                <c:pt idx="12">
                  <c:v>42186</c:v>
                </c:pt>
                <c:pt idx="13">
                  <c:v>42276</c:v>
                </c:pt>
                <c:pt idx="14">
                  <c:v>42366</c:v>
                </c:pt>
                <c:pt idx="15">
                  <c:v>42456</c:v>
                </c:pt>
                <c:pt idx="16">
                  <c:v>42546</c:v>
                </c:pt>
                <c:pt idx="17">
                  <c:v>42636</c:v>
                </c:pt>
                <c:pt idx="18">
                  <c:v>42726</c:v>
                </c:pt>
                <c:pt idx="19">
                  <c:v>42816</c:v>
                </c:pt>
                <c:pt idx="20">
                  <c:v>42906</c:v>
                </c:pt>
                <c:pt idx="21">
                  <c:v>42996</c:v>
                </c:pt>
                <c:pt idx="22">
                  <c:v>43086</c:v>
                </c:pt>
                <c:pt idx="23">
                  <c:v>43176</c:v>
                </c:pt>
                <c:pt idx="24">
                  <c:v>43266</c:v>
                </c:pt>
                <c:pt idx="25">
                  <c:v>43356</c:v>
                </c:pt>
                <c:pt idx="26">
                  <c:v>43446</c:v>
                </c:pt>
                <c:pt idx="27">
                  <c:v>43536</c:v>
                </c:pt>
                <c:pt idx="28">
                  <c:v>43626</c:v>
                </c:pt>
                <c:pt idx="29">
                  <c:v>43716</c:v>
                </c:pt>
                <c:pt idx="30">
                  <c:v>43806</c:v>
                </c:pt>
                <c:pt idx="31">
                  <c:v>43896</c:v>
                </c:pt>
                <c:pt idx="32">
                  <c:v>43986</c:v>
                </c:pt>
                <c:pt idx="33">
                  <c:v>44076</c:v>
                </c:pt>
                <c:pt idx="34">
                  <c:v>44166</c:v>
                </c:pt>
                <c:pt idx="35">
                  <c:v>44256</c:v>
                </c:pt>
                <c:pt idx="36">
                  <c:v>44346</c:v>
                </c:pt>
                <c:pt idx="37">
                  <c:v>44436</c:v>
                </c:pt>
                <c:pt idx="38">
                  <c:v>44526</c:v>
                </c:pt>
                <c:pt idx="39">
                  <c:v>44616</c:v>
                </c:pt>
                <c:pt idx="40">
                  <c:v>44706</c:v>
                </c:pt>
                <c:pt idx="41">
                  <c:v>44796</c:v>
                </c:pt>
                <c:pt idx="42">
                  <c:v>44886</c:v>
                </c:pt>
                <c:pt idx="43">
                  <c:v>44976</c:v>
                </c:pt>
                <c:pt idx="44">
                  <c:v>45066</c:v>
                </c:pt>
                <c:pt idx="45">
                  <c:v>45156</c:v>
                </c:pt>
                <c:pt idx="46">
                  <c:v>45246</c:v>
                </c:pt>
                <c:pt idx="47">
                  <c:v>45336</c:v>
                </c:pt>
                <c:pt idx="48">
                  <c:v>45426</c:v>
                </c:pt>
                <c:pt idx="49">
                  <c:v>45516</c:v>
                </c:pt>
                <c:pt idx="50">
                  <c:v>45606</c:v>
                </c:pt>
                <c:pt idx="51">
                  <c:v>45696</c:v>
                </c:pt>
                <c:pt idx="52">
                  <c:v>45786</c:v>
                </c:pt>
                <c:pt idx="53">
                  <c:v>45876</c:v>
                </c:pt>
                <c:pt idx="54">
                  <c:v>45966</c:v>
                </c:pt>
                <c:pt idx="55">
                  <c:v>46056</c:v>
                </c:pt>
                <c:pt idx="56">
                  <c:v>46146</c:v>
                </c:pt>
                <c:pt idx="57">
                  <c:v>46236</c:v>
                </c:pt>
                <c:pt idx="58">
                  <c:v>46326</c:v>
                </c:pt>
                <c:pt idx="59">
                  <c:v>46416</c:v>
                </c:pt>
                <c:pt idx="60">
                  <c:v>46506</c:v>
                </c:pt>
                <c:pt idx="61">
                  <c:v>46596</c:v>
                </c:pt>
                <c:pt idx="62">
                  <c:v>46686</c:v>
                </c:pt>
                <c:pt idx="63">
                  <c:v>46776</c:v>
                </c:pt>
                <c:pt idx="64">
                  <c:v>46866</c:v>
                </c:pt>
                <c:pt idx="65">
                  <c:v>46956</c:v>
                </c:pt>
                <c:pt idx="66">
                  <c:v>47046</c:v>
                </c:pt>
                <c:pt idx="67">
                  <c:v>47136</c:v>
                </c:pt>
                <c:pt idx="68">
                  <c:v>47226</c:v>
                </c:pt>
                <c:pt idx="69">
                  <c:v>47316</c:v>
                </c:pt>
                <c:pt idx="70">
                  <c:v>47406</c:v>
                </c:pt>
                <c:pt idx="71">
                  <c:v>47496</c:v>
                </c:pt>
                <c:pt idx="72">
                  <c:v>47586</c:v>
                </c:pt>
                <c:pt idx="73">
                  <c:v>47676</c:v>
                </c:pt>
                <c:pt idx="74">
                  <c:v>47766</c:v>
                </c:pt>
                <c:pt idx="75">
                  <c:v>47856</c:v>
                </c:pt>
                <c:pt idx="76">
                  <c:v>47946</c:v>
                </c:pt>
                <c:pt idx="77">
                  <c:v>48036</c:v>
                </c:pt>
                <c:pt idx="78">
                  <c:v>48126</c:v>
                </c:pt>
                <c:pt idx="79">
                  <c:v>48216</c:v>
                </c:pt>
                <c:pt idx="80">
                  <c:v>48306</c:v>
                </c:pt>
                <c:pt idx="81">
                  <c:v>48396</c:v>
                </c:pt>
                <c:pt idx="82">
                  <c:v>48486</c:v>
                </c:pt>
                <c:pt idx="83">
                  <c:v>48576</c:v>
                </c:pt>
                <c:pt idx="84">
                  <c:v>48666</c:v>
                </c:pt>
                <c:pt idx="85">
                  <c:v>48756</c:v>
                </c:pt>
                <c:pt idx="86">
                  <c:v>48846</c:v>
                </c:pt>
                <c:pt idx="87">
                  <c:v>48936</c:v>
                </c:pt>
                <c:pt idx="88">
                  <c:v>49026</c:v>
                </c:pt>
                <c:pt idx="89">
                  <c:v>49116</c:v>
                </c:pt>
                <c:pt idx="90">
                  <c:v>49206</c:v>
                </c:pt>
                <c:pt idx="91">
                  <c:v>49296</c:v>
                </c:pt>
                <c:pt idx="92">
                  <c:v>49386</c:v>
                </c:pt>
                <c:pt idx="93">
                  <c:v>49476</c:v>
                </c:pt>
                <c:pt idx="94">
                  <c:v>49566</c:v>
                </c:pt>
                <c:pt idx="95">
                  <c:v>49656</c:v>
                </c:pt>
                <c:pt idx="96">
                  <c:v>49746</c:v>
                </c:pt>
                <c:pt idx="97">
                  <c:v>49836</c:v>
                </c:pt>
                <c:pt idx="98">
                  <c:v>49926</c:v>
                </c:pt>
                <c:pt idx="99">
                  <c:v>50016</c:v>
                </c:pt>
                <c:pt idx="100">
                  <c:v>50106</c:v>
                </c:pt>
                <c:pt idx="101">
                  <c:v>50196</c:v>
                </c:pt>
                <c:pt idx="102">
                  <c:v>50286</c:v>
                </c:pt>
                <c:pt idx="103">
                  <c:v>50376</c:v>
                </c:pt>
                <c:pt idx="104">
                  <c:v>50466</c:v>
                </c:pt>
                <c:pt idx="105">
                  <c:v>50556</c:v>
                </c:pt>
                <c:pt idx="106">
                  <c:v>50646</c:v>
                </c:pt>
                <c:pt idx="107">
                  <c:v>50736</c:v>
                </c:pt>
                <c:pt idx="108">
                  <c:v>50826</c:v>
                </c:pt>
                <c:pt idx="109">
                  <c:v>50916</c:v>
                </c:pt>
                <c:pt idx="110">
                  <c:v>51006</c:v>
                </c:pt>
                <c:pt idx="111">
                  <c:v>51096</c:v>
                </c:pt>
                <c:pt idx="112">
                  <c:v>51186</c:v>
                </c:pt>
                <c:pt idx="113">
                  <c:v>51276</c:v>
                </c:pt>
                <c:pt idx="114">
                  <c:v>51366</c:v>
                </c:pt>
                <c:pt idx="115">
                  <c:v>51456</c:v>
                </c:pt>
                <c:pt idx="116">
                  <c:v>51546</c:v>
                </c:pt>
                <c:pt idx="117">
                  <c:v>51636</c:v>
                </c:pt>
                <c:pt idx="118">
                  <c:v>51726</c:v>
                </c:pt>
                <c:pt idx="119">
                  <c:v>51816</c:v>
                </c:pt>
                <c:pt idx="120">
                  <c:v>51906</c:v>
                </c:pt>
                <c:pt idx="121">
                  <c:v>51996</c:v>
                </c:pt>
                <c:pt idx="122">
                  <c:v>52086</c:v>
                </c:pt>
                <c:pt idx="123">
                  <c:v>52176</c:v>
                </c:pt>
                <c:pt idx="124">
                  <c:v>52266</c:v>
                </c:pt>
                <c:pt idx="125">
                  <c:v>52356</c:v>
                </c:pt>
                <c:pt idx="126">
                  <c:v>52446</c:v>
                </c:pt>
                <c:pt idx="127">
                  <c:v>52536</c:v>
                </c:pt>
                <c:pt idx="128">
                  <c:v>52626</c:v>
                </c:pt>
                <c:pt idx="129">
                  <c:v>52716</c:v>
                </c:pt>
                <c:pt idx="130">
                  <c:v>52806</c:v>
                </c:pt>
                <c:pt idx="131">
                  <c:v>52896</c:v>
                </c:pt>
                <c:pt idx="132">
                  <c:v>52986</c:v>
                </c:pt>
                <c:pt idx="133">
                  <c:v>53076</c:v>
                </c:pt>
                <c:pt idx="134">
                  <c:v>53166</c:v>
                </c:pt>
                <c:pt idx="135">
                  <c:v>53256</c:v>
                </c:pt>
                <c:pt idx="136">
                  <c:v>53346</c:v>
                </c:pt>
                <c:pt idx="137">
                  <c:v>53436</c:v>
                </c:pt>
                <c:pt idx="138">
                  <c:v>53526</c:v>
                </c:pt>
                <c:pt idx="139">
                  <c:v>53616</c:v>
                </c:pt>
                <c:pt idx="140">
                  <c:v>53706</c:v>
                </c:pt>
                <c:pt idx="141">
                  <c:v>53796</c:v>
                </c:pt>
                <c:pt idx="142">
                  <c:v>53886</c:v>
                </c:pt>
                <c:pt idx="143">
                  <c:v>53976</c:v>
                </c:pt>
                <c:pt idx="144">
                  <c:v>54066</c:v>
                </c:pt>
                <c:pt idx="145">
                  <c:v>54156</c:v>
                </c:pt>
                <c:pt idx="146">
                  <c:v>54246</c:v>
                </c:pt>
                <c:pt idx="147">
                  <c:v>54336</c:v>
                </c:pt>
                <c:pt idx="148">
                  <c:v>54426</c:v>
                </c:pt>
                <c:pt idx="149">
                  <c:v>54516</c:v>
                </c:pt>
                <c:pt idx="150">
                  <c:v>54606</c:v>
                </c:pt>
                <c:pt idx="151">
                  <c:v>54696</c:v>
                </c:pt>
                <c:pt idx="152">
                  <c:v>54786</c:v>
                </c:pt>
                <c:pt idx="153">
                  <c:v>54876</c:v>
                </c:pt>
                <c:pt idx="154">
                  <c:v>54966</c:v>
                </c:pt>
                <c:pt idx="155">
                  <c:v>55056</c:v>
                </c:pt>
                <c:pt idx="156">
                  <c:v>55146</c:v>
                </c:pt>
                <c:pt idx="157">
                  <c:v>55236</c:v>
                </c:pt>
                <c:pt idx="158">
                  <c:v>55326</c:v>
                </c:pt>
                <c:pt idx="159">
                  <c:v>55416</c:v>
                </c:pt>
                <c:pt idx="160">
                  <c:v>55506</c:v>
                </c:pt>
                <c:pt idx="161">
                  <c:v>55596</c:v>
                </c:pt>
                <c:pt idx="162">
                  <c:v>55686</c:v>
                </c:pt>
                <c:pt idx="163">
                  <c:v>55776</c:v>
                </c:pt>
                <c:pt idx="164">
                  <c:v>55866</c:v>
                </c:pt>
                <c:pt idx="165">
                  <c:v>55956</c:v>
                </c:pt>
                <c:pt idx="166">
                  <c:v>56046</c:v>
                </c:pt>
                <c:pt idx="167">
                  <c:v>56136</c:v>
                </c:pt>
                <c:pt idx="168">
                  <c:v>56226</c:v>
                </c:pt>
                <c:pt idx="169">
                  <c:v>56316</c:v>
                </c:pt>
                <c:pt idx="170">
                  <c:v>56406</c:v>
                </c:pt>
                <c:pt idx="171">
                  <c:v>56496</c:v>
                </c:pt>
                <c:pt idx="172">
                  <c:v>56586</c:v>
                </c:pt>
                <c:pt idx="173">
                  <c:v>56676</c:v>
                </c:pt>
                <c:pt idx="174">
                  <c:v>56766</c:v>
                </c:pt>
                <c:pt idx="175">
                  <c:v>56856</c:v>
                </c:pt>
                <c:pt idx="176">
                  <c:v>56946</c:v>
                </c:pt>
                <c:pt idx="177">
                  <c:v>57036</c:v>
                </c:pt>
                <c:pt idx="178">
                  <c:v>57126</c:v>
                </c:pt>
                <c:pt idx="179">
                  <c:v>57216</c:v>
                </c:pt>
                <c:pt idx="180">
                  <c:v>57306</c:v>
                </c:pt>
                <c:pt idx="181">
                  <c:v>57396</c:v>
                </c:pt>
                <c:pt idx="182">
                  <c:v>57486</c:v>
                </c:pt>
                <c:pt idx="183">
                  <c:v>57576</c:v>
                </c:pt>
                <c:pt idx="184">
                  <c:v>57666</c:v>
                </c:pt>
                <c:pt idx="185">
                  <c:v>57756</c:v>
                </c:pt>
                <c:pt idx="186">
                  <c:v>57846</c:v>
                </c:pt>
                <c:pt idx="187">
                  <c:v>57936</c:v>
                </c:pt>
                <c:pt idx="188">
                  <c:v>58026</c:v>
                </c:pt>
                <c:pt idx="189">
                  <c:v>58116</c:v>
                </c:pt>
                <c:pt idx="190">
                  <c:v>58206</c:v>
                </c:pt>
                <c:pt idx="191">
                  <c:v>58296</c:v>
                </c:pt>
                <c:pt idx="192">
                  <c:v>58386</c:v>
                </c:pt>
                <c:pt idx="193">
                  <c:v>58476</c:v>
                </c:pt>
                <c:pt idx="194">
                  <c:v>58566</c:v>
                </c:pt>
                <c:pt idx="195">
                  <c:v>58656</c:v>
                </c:pt>
                <c:pt idx="196">
                  <c:v>58746</c:v>
                </c:pt>
                <c:pt idx="197">
                  <c:v>58836</c:v>
                </c:pt>
                <c:pt idx="198">
                  <c:v>58926</c:v>
                </c:pt>
                <c:pt idx="199">
                  <c:v>59016</c:v>
                </c:pt>
                <c:pt idx="200">
                  <c:v>59106</c:v>
                </c:pt>
                <c:pt idx="201">
                  <c:v>59196</c:v>
                </c:pt>
                <c:pt idx="202">
                  <c:v>59286</c:v>
                </c:pt>
                <c:pt idx="203">
                  <c:v>59376</c:v>
                </c:pt>
                <c:pt idx="204">
                  <c:v>59466</c:v>
                </c:pt>
                <c:pt idx="205">
                  <c:v>59556</c:v>
                </c:pt>
                <c:pt idx="206">
                  <c:v>59646</c:v>
                </c:pt>
                <c:pt idx="207">
                  <c:v>59736</c:v>
                </c:pt>
                <c:pt idx="208">
                  <c:v>59826</c:v>
                </c:pt>
                <c:pt idx="209">
                  <c:v>59916</c:v>
                </c:pt>
                <c:pt idx="210">
                  <c:v>60006</c:v>
                </c:pt>
                <c:pt idx="211">
                  <c:v>60096</c:v>
                </c:pt>
              </c:numCache>
            </c:numRef>
          </c:cat>
          <c:val>
            <c:numRef>
              <c:f>'Bumped Curve Snap'!$H$4:$H$215</c:f>
              <c:numCache>
                <c:formatCode>0.00%</c:formatCode>
                <c:ptCount val="212"/>
                <c:pt idx="0">
                  <c:v>2.4016920224418408E-2</c:v>
                </c:pt>
                <c:pt idx="1">
                  <c:v>2.4016920224904984E-2</c:v>
                </c:pt>
                <c:pt idx="2">
                  <c:v>2.2049354549397701E-2</c:v>
                </c:pt>
                <c:pt idx="3">
                  <c:v>2.1683029143990375E-2</c:v>
                </c:pt>
                <c:pt idx="4">
                  <c:v>2.2818084177824608E-2</c:v>
                </c:pt>
                <c:pt idx="5">
                  <c:v>2.4985026408419649E-2</c:v>
                </c:pt>
                <c:pt idx="6">
                  <c:v>2.6521136687345369E-2</c:v>
                </c:pt>
                <c:pt idx="7">
                  <c:v>2.2635928951853838E-2</c:v>
                </c:pt>
                <c:pt idx="8">
                  <c:v>2.2217069059233353E-2</c:v>
                </c:pt>
                <c:pt idx="9">
                  <c:v>2.289824672729026E-2</c:v>
                </c:pt>
                <c:pt idx="10">
                  <c:v>2.3460786495356104E-2</c:v>
                </c:pt>
                <c:pt idx="11">
                  <c:v>2.3719622519498211E-2</c:v>
                </c:pt>
                <c:pt idx="12">
                  <c:v>2.4115059377034204E-2</c:v>
                </c:pt>
                <c:pt idx="13">
                  <c:v>2.4660630456333862E-2</c:v>
                </c:pt>
                <c:pt idx="14">
                  <c:v>2.5264558340336331E-2</c:v>
                </c:pt>
                <c:pt idx="15">
                  <c:v>2.5713791599136039E-2</c:v>
                </c:pt>
                <c:pt idx="16">
                  <c:v>2.6033459851690727E-2</c:v>
                </c:pt>
                <c:pt idx="17">
                  <c:v>2.6302864469433314E-2</c:v>
                </c:pt>
                <c:pt idx="18">
                  <c:v>2.6545113405642418E-2</c:v>
                </c:pt>
                <c:pt idx="19">
                  <c:v>2.6937477998242816E-2</c:v>
                </c:pt>
                <c:pt idx="20">
                  <c:v>2.7420191520437901E-2</c:v>
                </c:pt>
                <c:pt idx="21">
                  <c:v>2.794027153710274E-2</c:v>
                </c:pt>
                <c:pt idx="22">
                  <c:v>2.8691740926225728E-2</c:v>
                </c:pt>
                <c:pt idx="23">
                  <c:v>2.9400424040780349E-2</c:v>
                </c:pt>
                <c:pt idx="24">
                  <c:v>2.9968644176493874E-2</c:v>
                </c:pt>
                <c:pt idx="25">
                  <c:v>3.1309421098944933E-2</c:v>
                </c:pt>
                <c:pt idx="26">
                  <c:v>3.1745101102127055E-2</c:v>
                </c:pt>
                <c:pt idx="27">
                  <c:v>3.0950709406315759E-2</c:v>
                </c:pt>
                <c:pt idx="28">
                  <c:v>3.0516181161731284E-2</c:v>
                </c:pt>
                <c:pt idx="29">
                  <c:v>3.0769707831524828E-2</c:v>
                </c:pt>
                <c:pt idx="30">
                  <c:v>3.1351946607798595E-2</c:v>
                </c:pt>
                <c:pt idx="31">
                  <c:v>3.1861057402671374E-2</c:v>
                </c:pt>
                <c:pt idx="32">
                  <c:v>3.2224220230488945E-2</c:v>
                </c:pt>
                <c:pt idx="33">
                  <c:v>3.2484920959009712E-2</c:v>
                </c:pt>
                <c:pt idx="34">
                  <c:v>3.2731896824668191E-2</c:v>
                </c:pt>
                <c:pt idx="35">
                  <c:v>3.2946311143252777E-2</c:v>
                </c:pt>
                <c:pt idx="36">
                  <c:v>3.3118563483542418E-2</c:v>
                </c:pt>
                <c:pt idx="37">
                  <c:v>3.3135635213631193E-2</c:v>
                </c:pt>
                <c:pt idx="38">
                  <c:v>3.293484049866717E-2</c:v>
                </c:pt>
                <c:pt idx="39">
                  <c:v>3.2833668017616939E-2</c:v>
                </c:pt>
                <c:pt idx="40">
                  <c:v>3.292544613052082E-2</c:v>
                </c:pt>
                <c:pt idx="41">
                  <c:v>3.3285193266596166E-2</c:v>
                </c:pt>
                <c:pt idx="42">
                  <c:v>3.372709492216644E-2</c:v>
                </c:pt>
                <c:pt idx="43">
                  <c:v>3.4148763272156595E-2</c:v>
                </c:pt>
                <c:pt idx="44">
                  <c:v>3.4564965757152503E-2</c:v>
                </c:pt>
                <c:pt idx="45">
                  <c:v>3.4949571058433569E-2</c:v>
                </c:pt>
                <c:pt idx="46">
                  <c:v>3.530707792374832E-2</c:v>
                </c:pt>
                <c:pt idx="47">
                  <c:v>3.560937692156807E-2</c:v>
                </c:pt>
                <c:pt idx="48">
                  <c:v>3.5886625950749422E-2</c:v>
                </c:pt>
                <c:pt idx="49">
                  <c:v>3.6146736032054941E-2</c:v>
                </c:pt>
                <c:pt idx="50">
                  <c:v>3.63966162661944E-2</c:v>
                </c:pt>
                <c:pt idx="51">
                  <c:v>3.6636951954092056E-2</c:v>
                </c:pt>
                <c:pt idx="52">
                  <c:v>3.6875970373459119E-2</c:v>
                </c:pt>
                <c:pt idx="53">
                  <c:v>3.70984421891997E-2</c:v>
                </c:pt>
                <c:pt idx="54">
                  <c:v>3.7312819964387955E-2</c:v>
                </c:pt>
                <c:pt idx="55">
                  <c:v>3.7519649023395857E-2</c:v>
                </c:pt>
                <c:pt idx="56">
                  <c:v>3.7725956846066347E-2</c:v>
                </c:pt>
                <c:pt idx="57">
                  <c:v>3.7918518296082497E-2</c:v>
                </c:pt>
                <c:pt idx="58">
                  <c:v>3.8106635657600814E-2</c:v>
                </c:pt>
                <c:pt idx="59">
                  <c:v>3.8286545711181397E-2</c:v>
                </c:pt>
                <c:pt idx="60">
                  <c:v>3.8464526988171745E-2</c:v>
                </c:pt>
                <c:pt idx="61">
                  <c:v>3.8634813931365634E-2</c:v>
                </c:pt>
                <c:pt idx="62">
                  <c:v>3.8669879972945485E-2</c:v>
                </c:pt>
                <c:pt idx="63">
                  <c:v>3.8673266687556489E-2</c:v>
                </c:pt>
                <c:pt idx="64">
                  <c:v>3.867602788548466E-2</c:v>
                </c:pt>
                <c:pt idx="65">
                  <c:v>3.8678743627853063E-2</c:v>
                </c:pt>
                <c:pt idx="66">
                  <c:v>3.8681393835126081E-2</c:v>
                </c:pt>
                <c:pt idx="67">
                  <c:v>3.8684147035737061E-2</c:v>
                </c:pt>
                <c:pt idx="68">
                  <c:v>3.8686986731297134E-2</c:v>
                </c:pt>
                <c:pt idx="69">
                  <c:v>3.8689811822895492E-2</c:v>
                </c:pt>
                <c:pt idx="70">
                  <c:v>3.8807921994688403E-2</c:v>
                </c:pt>
                <c:pt idx="71">
                  <c:v>3.8990128316352131E-2</c:v>
                </c:pt>
                <c:pt idx="72">
                  <c:v>3.9181259120092175E-2</c:v>
                </c:pt>
                <c:pt idx="73">
                  <c:v>3.9365159305718128E-2</c:v>
                </c:pt>
                <c:pt idx="74">
                  <c:v>3.9542100612408877E-2</c:v>
                </c:pt>
                <c:pt idx="75">
                  <c:v>3.9714566489413544E-2</c:v>
                </c:pt>
                <c:pt idx="76">
                  <c:v>3.9886537308412434E-2</c:v>
                </c:pt>
                <c:pt idx="77">
                  <c:v>4.0056027077984682E-2</c:v>
                </c:pt>
                <c:pt idx="78">
                  <c:v>4.0220532310376887E-2</c:v>
                </c:pt>
                <c:pt idx="79">
                  <c:v>4.0381103041055008E-2</c:v>
                </c:pt>
                <c:pt idx="80">
                  <c:v>4.0536750205841396E-2</c:v>
                </c:pt>
                <c:pt idx="81">
                  <c:v>4.0654052027550527E-2</c:v>
                </c:pt>
                <c:pt idx="82">
                  <c:v>4.0747122474728469E-2</c:v>
                </c:pt>
                <c:pt idx="83">
                  <c:v>4.0836479968803088E-2</c:v>
                </c:pt>
                <c:pt idx="84">
                  <c:v>4.0924717344270077E-2</c:v>
                </c:pt>
                <c:pt idx="85">
                  <c:v>4.1008714148675275E-2</c:v>
                </c:pt>
                <c:pt idx="86">
                  <c:v>4.1090601934078229E-2</c:v>
                </c:pt>
                <c:pt idx="87">
                  <c:v>4.117148456492941E-2</c:v>
                </c:pt>
                <c:pt idx="88">
                  <c:v>4.1251397670489687E-2</c:v>
                </c:pt>
                <c:pt idx="89">
                  <c:v>4.1327564285038573E-2</c:v>
                </c:pt>
                <c:pt idx="90">
                  <c:v>4.1401870758408607E-2</c:v>
                </c:pt>
                <c:pt idx="91">
                  <c:v>4.1475335869813383E-2</c:v>
                </c:pt>
                <c:pt idx="92">
                  <c:v>4.1547979575491299E-2</c:v>
                </c:pt>
                <c:pt idx="93">
                  <c:v>4.1617297878855049E-2</c:v>
                </c:pt>
                <c:pt idx="94">
                  <c:v>4.1684961847073758E-2</c:v>
                </c:pt>
                <c:pt idx="95">
                  <c:v>4.1751919126716885E-2</c:v>
                </c:pt>
                <c:pt idx="96">
                  <c:v>4.1817422893577996E-2</c:v>
                </c:pt>
                <c:pt idx="97">
                  <c:v>4.1880714388034909E-2</c:v>
                </c:pt>
                <c:pt idx="98">
                  <c:v>4.194253416225497E-2</c:v>
                </c:pt>
                <c:pt idx="99">
                  <c:v>4.200376417081618E-2</c:v>
                </c:pt>
                <c:pt idx="100">
                  <c:v>4.2064376697677472E-2</c:v>
                </c:pt>
                <c:pt idx="101">
                  <c:v>4.2122355217656948E-2</c:v>
                </c:pt>
                <c:pt idx="102">
                  <c:v>4.2178981837112391E-2</c:v>
                </c:pt>
                <c:pt idx="103">
                  <c:v>4.2235115069553977E-2</c:v>
                </c:pt>
                <c:pt idx="104">
                  <c:v>4.2290703971903064E-2</c:v>
                </c:pt>
                <c:pt idx="105">
                  <c:v>4.2344525558320044E-2</c:v>
                </c:pt>
                <c:pt idx="106">
                  <c:v>4.2396513080891179E-2</c:v>
                </c:pt>
                <c:pt idx="107">
                  <c:v>4.244751443992402E-2</c:v>
                </c:pt>
                <c:pt idx="108">
                  <c:v>4.2499391621149463E-2</c:v>
                </c:pt>
                <c:pt idx="109">
                  <c:v>4.2563651434695267E-2</c:v>
                </c:pt>
                <c:pt idx="110">
                  <c:v>4.2641407153195789E-2</c:v>
                </c:pt>
                <c:pt idx="111">
                  <c:v>4.2717751764485556E-2</c:v>
                </c:pt>
                <c:pt idx="112">
                  <c:v>4.2792618083936237E-2</c:v>
                </c:pt>
                <c:pt idx="113">
                  <c:v>4.2867728472340785E-2</c:v>
                </c:pt>
                <c:pt idx="114">
                  <c:v>4.293966898530753E-2</c:v>
                </c:pt>
                <c:pt idx="115">
                  <c:v>4.3010358664500016E-2</c:v>
                </c:pt>
                <c:pt idx="116">
                  <c:v>4.3079697578624648E-2</c:v>
                </c:pt>
                <c:pt idx="117">
                  <c:v>4.3150126888325549E-2</c:v>
                </c:pt>
                <c:pt idx="118">
                  <c:v>4.3216801953362499E-2</c:v>
                </c:pt>
                <c:pt idx="119">
                  <c:v>4.3282368492476068E-2</c:v>
                </c:pt>
                <c:pt idx="120">
                  <c:v>4.334668152296061E-2</c:v>
                </c:pt>
                <c:pt idx="121">
                  <c:v>4.3412045287029868E-2</c:v>
                </c:pt>
                <c:pt idx="122">
                  <c:v>4.3473959428645029E-2</c:v>
                </c:pt>
                <c:pt idx="123">
                  <c:v>4.3539695182104834E-2</c:v>
                </c:pt>
                <c:pt idx="124">
                  <c:v>4.3604650680962039E-2</c:v>
                </c:pt>
                <c:pt idx="125">
                  <c:v>4.36707076571137E-2</c:v>
                </c:pt>
                <c:pt idx="126">
                  <c:v>4.3733640281371305E-2</c:v>
                </c:pt>
                <c:pt idx="127">
                  <c:v>4.3795565967516749E-2</c:v>
                </c:pt>
                <c:pt idx="128">
                  <c:v>4.3857197246936805E-2</c:v>
                </c:pt>
                <c:pt idx="129">
                  <c:v>4.3917841642541977E-2</c:v>
                </c:pt>
                <c:pt idx="130">
                  <c:v>4.397761941346643E-2</c:v>
                </c:pt>
                <c:pt idx="131">
                  <c:v>4.4035811921710306E-2</c:v>
                </c:pt>
                <c:pt idx="132">
                  <c:v>4.4093107631796864E-2</c:v>
                </c:pt>
                <c:pt idx="133">
                  <c:v>4.4150791355289751E-2</c:v>
                </c:pt>
                <c:pt idx="134">
                  <c:v>4.4207037290791312E-2</c:v>
                </c:pt>
                <c:pt idx="135">
                  <c:v>4.4261824303266445E-2</c:v>
                </c:pt>
                <c:pt idx="136">
                  <c:v>4.4315788098004821E-2</c:v>
                </c:pt>
                <c:pt idx="137">
                  <c:v>4.4370140405928377E-2</c:v>
                </c:pt>
                <c:pt idx="138">
                  <c:v>4.4423157896582459E-2</c:v>
                </c:pt>
                <c:pt idx="139">
                  <c:v>4.4474830182682973E-2</c:v>
                </c:pt>
                <c:pt idx="140">
                  <c:v>4.4525743221888396E-2</c:v>
                </c:pt>
                <c:pt idx="141">
                  <c:v>4.4577049454473334E-2</c:v>
                </c:pt>
                <c:pt idx="142">
                  <c:v>4.4627105056696252E-2</c:v>
                </c:pt>
                <c:pt idx="143">
                  <c:v>4.4675921256657605E-2</c:v>
                </c:pt>
                <c:pt idx="144">
                  <c:v>4.4724036840783146E-2</c:v>
                </c:pt>
                <c:pt idx="145">
                  <c:v>4.4772006000306661E-2</c:v>
                </c:pt>
                <c:pt idx="146">
                  <c:v>4.4819349468456324E-2</c:v>
                </c:pt>
                <c:pt idx="147">
                  <c:v>4.4865547576143777E-2</c:v>
                </c:pt>
                <c:pt idx="148">
                  <c:v>4.4911097413709911E-2</c:v>
                </c:pt>
                <c:pt idx="149">
                  <c:v>4.4957033953578224E-2</c:v>
                </c:pt>
                <c:pt idx="150">
                  <c:v>4.5001871498588572E-2</c:v>
                </c:pt>
                <c:pt idx="151">
                  <c:v>4.5045648513184162E-2</c:v>
                </c:pt>
                <c:pt idx="152">
                  <c:v>4.5089313619377125E-2</c:v>
                </c:pt>
                <c:pt idx="153">
                  <c:v>4.5132864280694851E-2</c:v>
                </c:pt>
                <c:pt idx="154">
                  <c:v>4.5174910977830871E-2</c:v>
                </c:pt>
                <c:pt idx="155">
                  <c:v>4.5216453751492247E-2</c:v>
                </c:pt>
                <c:pt idx="156">
                  <c:v>4.5257903066389757E-2</c:v>
                </c:pt>
                <c:pt idx="157">
                  <c:v>4.5299255177336281E-2</c:v>
                </c:pt>
                <c:pt idx="158">
                  <c:v>4.5339188839179506E-2</c:v>
                </c:pt>
                <c:pt idx="159">
                  <c:v>4.5378664403497693E-2</c:v>
                </c:pt>
                <c:pt idx="160">
                  <c:v>4.5418062992891299E-2</c:v>
                </c:pt>
                <c:pt idx="161">
                  <c:v>4.5456944778354713E-2</c:v>
                </c:pt>
                <c:pt idx="162">
                  <c:v>4.5494919874048897E-2</c:v>
                </c:pt>
                <c:pt idx="163">
                  <c:v>4.5532489565831509E-2</c:v>
                </c:pt>
                <c:pt idx="164">
                  <c:v>4.5569991114491476E-2</c:v>
                </c:pt>
                <c:pt idx="165">
                  <c:v>4.5607421886593863E-2</c:v>
                </c:pt>
                <c:pt idx="166">
                  <c:v>4.5643578607790322E-2</c:v>
                </c:pt>
                <c:pt idx="167">
                  <c:v>4.5679368300776901E-2</c:v>
                </c:pt>
                <c:pt idx="168">
                  <c:v>4.5715102198445635E-2</c:v>
                </c:pt>
                <c:pt idx="169">
                  <c:v>4.5750776194269836E-2</c:v>
                </c:pt>
                <c:pt idx="170">
                  <c:v>4.5785240535054034E-2</c:v>
                </c:pt>
                <c:pt idx="171">
                  <c:v>4.5819374080926463E-2</c:v>
                </c:pt>
                <c:pt idx="172">
                  <c:v>4.5853462889463001E-2</c:v>
                </c:pt>
                <c:pt idx="173">
                  <c:v>4.5887503520624151E-2</c:v>
                </c:pt>
                <c:pt idx="174">
                  <c:v>4.5920389155486629E-2</c:v>
                </c:pt>
                <c:pt idx="175">
                  <c:v>4.5953346253586269E-2</c:v>
                </c:pt>
                <c:pt idx="176">
                  <c:v>4.5985532592572466E-2</c:v>
                </c:pt>
                <c:pt idx="177">
                  <c:v>4.6017328574011959E-2</c:v>
                </c:pt>
                <c:pt idx="178">
                  <c:v>4.6049465799156114E-2</c:v>
                </c:pt>
                <c:pt idx="179">
                  <c:v>4.608060773620816E-2</c:v>
                </c:pt>
                <c:pt idx="180">
                  <c:v>4.6111382128254198E-2</c:v>
                </c:pt>
                <c:pt idx="181">
                  <c:v>4.6141788891253206E-2</c:v>
                </c:pt>
                <c:pt idx="182">
                  <c:v>4.6172867594837332E-2</c:v>
                </c:pt>
                <c:pt idx="183">
                  <c:v>4.620265633717293E-2</c:v>
                </c:pt>
                <c:pt idx="184">
                  <c:v>4.6232104935649443E-2</c:v>
                </c:pt>
                <c:pt idx="185">
                  <c:v>4.6261204717232988E-2</c:v>
                </c:pt>
                <c:pt idx="186">
                  <c:v>4.6290960918938508E-2</c:v>
                </c:pt>
                <c:pt idx="187">
                  <c:v>4.6319481990601222E-2</c:v>
                </c:pt>
                <c:pt idx="188">
                  <c:v>4.6347690871904705E-2</c:v>
                </c:pt>
                <c:pt idx="189">
                  <c:v>4.6375568697195904E-2</c:v>
                </c:pt>
                <c:pt idx="190">
                  <c:v>4.6404079937915829E-2</c:v>
                </c:pt>
                <c:pt idx="191">
                  <c:v>4.6431412592284296E-2</c:v>
                </c:pt>
                <c:pt idx="192">
                  <c:v>4.6458457831779029E-2</c:v>
                </c:pt>
                <c:pt idx="193">
                  <c:v>4.6485189948474698E-2</c:v>
                </c:pt>
                <c:pt idx="194">
                  <c:v>4.6512234008540362E-2</c:v>
                </c:pt>
                <c:pt idx="195">
                  <c:v>4.6538451507213571E-2</c:v>
                </c:pt>
                <c:pt idx="196">
                  <c:v>4.6564404181101027E-2</c:v>
                </c:pt>
                <c:pt idx="197">
                  <c:v>4.6590352599904371E-2</c:v>
                </c:pt>
                <c:pt idx="198">
                  <c:v>4.6616315963659886E-2</c:v>
                </c:pt>
                <c:pt idx="199">
                  <c:v>4.6641769563564986E-2</c:v>
                </c:pt>
                <c:pt idx="200">
                  <c:v>4.6666693355940765E-2</c:v>
                </c:pt>
                <c:pt idx="201">
                  <c:v>4.6691334940246756E-2</c:v>
                </c:pt>
                <c:pt idx="202">
                  <c:v>4.6716273362717269E-2</c:v>
                </c:pt>
                <c:pt idx="203">
                  <c:v>4.6740727967246751E-2</c:v>
                </c:pt>
                <c:pt idx="204">
                  <c:v>4.6764684105753296E-2</c:v>
                </c:pt>
                <c:pt idx="205">
                  <c:v>4.6788372529298836E-2</c:v>
                </c:pt>
                <c:pt idx="206">
                  <c:v>4.6812347201305241E-2</c:v>
                </c:pt>
                <c:pt idx="207">
                  <c:v>4.6835860049554291E-2</c:v>
                </c:pt>
                <c:pt idx="208">
                  <c:v>4.6858904030227869E-2</c:v>
                </c:pt>
                <c:pt idx="209">
                  <c:v>4.6881693809926392E-2</c:v>
                </c:pt>
                <c:pt idx="210">
                  <c:v>4.6904501414157099E-2</c:v>
                </c:pt>
                <c:pt idx="211">
                  <c:v>4.6927124816793432E-2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'Bumped Curve Snap'!$I$3</c:f>
              <c:strCache>
                <c:ptCount val="1"/>
                <c:pt idx="0">
                  <c:v>CNY_Treasury_Live_Curve_2012-7-16_Calibrated_Curve_7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41106</c:v>
                </c:pt>
                <c:pt idx="1">
                  <c:v>41196</c:v>
                </c:pt>
                <c:pt idx="2">
                  <c:v>41286</c:v>
                </c:pt>
                <c:pt idx="3">
                  <c:v>41376</c:v>
                </c:pt>
                <c:pt idx="4">
                  <c:v>41466</c:v>
                </c:pt>
                <c:pt idx="5">
                  <c:v>41556</c:v>
                </c:pt>
                <c:pt idx="6">
                  <c:v>41646</c:v>
                </c:pt>
                <c:pt idx="7">
                  <c:v>41736</c:v>
                </c:pt>
                <c:pt idx="8">
                  <c:v>41826</c:v>
                </c:pt>
                <c:pt idx="9">
                  <c:v>41916</c:v>
                </c:pt>
                <c:pt idx="10">
                  <c:v>42006</c:v>
                </c:pt>
                <c:pt idx="11">
                  <c:v>42096</c:v>
                </c:pt>
                <c:pt idx="12">
                  <c:v>42186</c:v>
                </c:pt>
                <c:pt idx="13">
                  <c:v>42276</c:v>
                </c:pt>
                <c:pt idx="14">
                  <c:v>42366</c:v>
                </c:pt>
                <c:pt idx="15">
                  <c:v>42456</c:v>
                </c:pt>
                <c:pt idx="16">
                  <c:v>42546</c:v>
                </c:pt>
                <c:pt idx="17">
                  <c:v>42636</c:v>
                </c:pt>
                <c:pt idx="18">
                  <c:v>42726</c:v>
                </c:pt>
                <c:pt idx="19">
                  <c:v>42816</c:v>
                </c:pt>
                <c:pt idx="20">
                  <c:v>42906</c:v>
                </c:pt>
                <c:pt idx="21">
                  <c:v>42996</c:v>
                </c:pt>
                <c:pt idx="22">
                  <c:v>43086</c:v>
                </c:pt>
                <c:pt idx="23">
                  <c:v>43176</c:v>
                </c:pt>
                <c:pt idx="24">
                  <c:v>43266</c:v>
                </c:pt>
                <c:pt idx="25">
                  <c:v>43356</c:v>
                </c:pt>
                <c:pt idx="26">
                  <c:v>43446</c:v>
                </c:pt>
                <c:pt idx="27">
                  <c:v>43536</c:v>
                </c:pt>
                <c:pt idx="28">
                  <c:v>43626</c:v>
                </c:pt>
                <c:pt idx="29">
                  <c:v>43716</c:v>
                </c:pt>
                <c:pt idx="30">
                  <c:v>43806</c:v>
                </c:pt>
                <c:pt idx="31">
                  <c:v>43896</c:v>
                </c:pt>
                <c:pt idx="32">
                  <c:v>43986</c:v>
                </c:pt>
                <c:pt idx="33">
                  <c:v>44076</c:v>
                </c:pt>
                <c:pt idx="34">
                  <c:v>44166</c:v>
                </c:pt>
                <c:pt idx="35">
                  <c:v>44256</c:v>
                </c:pt>
                <c:pt idx="36">
                  <c:v>44346</c:v>
                </c:pt>
                <c:pt idx="37">
                  <c:v>44436</c:v>
                </c:pt>
                <c:pt idx="38">
                  <c:v>44526</c:v>
                </c:pt>
                <c:pt idx="39">
                  <c:v>44616</c:v>
                </c:pt>
                <c:pt idx="40">
                  <c:v>44706</c:v>
                </c:pt>
                <c:pt idx="41">
                  <c:v>44796</c:v>
                </c:pt>
                <c:pt idx="42">
                  <c:v>44886</c:v>
                </c:pt>
                <c:pt idx="43">
                  <c:v>44976</c:v>
                </c:pt>
                <c:pt idx="44">
                  <c:v>45066</c:v>
                </c:pt>
                <c:pt idx="45">
                  <c:v>45156</c:v>
                </c:pt>
                <c:pt idx="46">
                  <c:v>45246</c:v>
                </c:pt>
                <c:pt idx="47">
                  <c:v>45336</c:v>
                </c:pt>
                <c:pt idx="48">
                  <c:v>45426</c:v>
                </c:pt>
                <c:pt idx="49">
                  <c:v>45516</c:v>
                </c:pt>
                <c:pt idx="50">
                  <c:v>45606</c:v>
                </c:pt>
                <c:pt idx="51">
                  <c:v>45696</c:v>
                </c:pt>
                <c:pt idx="52">
                  <c:v>45786</c:v>
                </c:pt>
                <c:pt idx="53">
                  <c:v>45876</c:v>
                </c:pt>
                <c:pt idx="54">
                  <c:v>45966</c:v>
                </c:pt>
                <c:pt idx="55">
                  <c:v>46056</c:v>
                </c:pt>
                <c:pt idx="56">
                  <c:v>46146</c:v>
                </c:pt>
                <c:pt idx="57">
                  <c:v>46236</c:v>
                </c:pt>
                <c:pt idx="58">
                  <c:v>46326</c:v>
                </c:pt>
                <c:pt idx="59">
                  <c:v>46416</c:v>
                </c:pt>
                <c:pt idx="60">
                  <c:v>46506</c:v>
                </c:pt>
                <c:pt idx="61">
                  <c:v>46596</c:v>
                </c:pt>
                <c:pt idx="62">
                  <c:v>46686</c:v>
                </c:pt>
                <c:pt idx="63">
                  <c:v>46776</c:v>
                </c:pt>
                <c:pt idx="64">
                  <c:v>46866</c:v>
                </c:pt>
                <c:pt idx="65">
                  <c:v>46956</c:v>
                </c:pt>
                <c:pt idx="66">
                  <c:v>47046</c:v>
                </c:pt>
                <c:pt idx="67">
                  <c:v>47136</c:v>
                </c:pt>
                <c:pt idx="68">
                  <c:v>47226</c:v>
                </c:pt>
                <c:pt idx="69">
                  <c:v>47316</c:v>
                </c:pt>
                <c:pt idx="70">
                  <c:v>47406</c:v>
                </c:pt>
                <c:pt idx="71">
                  <c:v>47496</c:v>
                </c:pt>
                <c:pt idx="72">
                  <c:v>47586</c:v>
                </c:pt>
                <c:pt idx="73">
                  <c:v>47676</c:v>
                </c:pt>
                <c:pt idx="74">
                  <c:v>47766</c:v>
                </c:pt>
                <c:pt idx="75">
                  <c:v>47856</c:v>
                </c:pt>
                <c:pt idx="76">
                  <c:v>47946</c:v>
                </c:pt>
                <c:pt idx="77">
                  <c:v>48036</c:v>
                </c:pt>
                <c:pt idx="78">
                  <c:v>48126</c:v>
                </c:pt>
                <c:pt idx="79">
                  <c:v>48216</c:v>
                </c:pt>
                <c:pt idx="80">
                  <c:v>48306</c:v>
                </c:pt>
                <c:pt idx="81">
                  <c:v>48396</c:v>
                </c:pt>
                <c:pt idx="82">
                  <c:v>48486</c:v>
                </c:pt>
                <c:pt idx="83">
                  <c:v>48576</c:v>
                </c:pt>
                <c:pt idx="84">
                  <c:v>48666</c:v>
                </c:pt>
                <c:pt idx="85">
                  <c:v>48756</c:v>
                </c:pt>
                <c:pt idx="86">
                  <c:v>48846</c:v>
                </c:pt>
                <c:pt idx="87">
                  <c:v>48936</c:v>
                </c:pt>
                <c:pt idx="88">
                  <c:v>49026</c:v>
                </c:pt>
                <c:pt idx="89">
                  <c:v>49116</c:v>
                </c:pt>
                <c:pt idx="90">
                  <c:v>49206</c:v>
                </c:pt>
                <c:pt idx="91">
                  <c:v>49296</c:v>
                </c:pt>
                <c:pt idx="92">
                  <c:v>49386</c:v>
                </c:pt>
                <c:pt idx="93">
                  <c:v>49476</c:v>
                </c:pt>
                <c:pt idx="94">
                  <c:v>49566</c:v>
                </c:pt>
                <c:pt idx="95">
                  <c:v>49656</c:v>
                </c:pt>
                <c:pt idx="96">
                  <c:v>49746</c:v>
                </c:pt>
                <c:pt idx="97">
                  <c:v>49836</c:v>
                </c:pt>
                <c:pt idx="98">
                  <c:v>49926</c:v>
                </c:pt>
                <c:pt idx="99">
                  <c:v>50016</c:v>
                </c:pt>
                <c:pt idx="100">
                  <c:v>50106</c:v>
                </c:pt>
                <c:pt idx="101">
                  <c:v>50196</c:v>
                </c:pt>
                <c:pt idx="102">
                  <c:v>50286</c:v>
                </c:pt>
                <c:pt idx="103">
                  <c:v>50376</c:v>
                </c:pt>
                <c:pt idx="104">
                  <c:v>50466</c:v>
                </c:pt>
                <c:pt idx="105">
                  <c:v>50556</c:v>
                </c:pt>
                <c:pt idx="106">
                  <c:v>50646</c:v>
                </c:pt>
                <c:pt idx="107">
                  <c:v>50736</c:v>
                </c:pt>
                <c:pt idx="108">
                  <c:v>50826</c:v>
                </c:pt>
                <c:pt idx="109">
                  <c:v>50916</c:v>
                </c:pt>
                <c:pt idx="110">
                  <c:v>51006</c:v>
                </c:pt>
                <c:pt idx="111">
                  <c:v>51096</c:v>
                </c:pt>
                <c:pt idx="112">
                  <c:v>51186</c:v>
                </c:pt>
                <c:pt idx="113">
                  <c:v>51276</c:v>
                </c:pt>
                <c:pt idx="114">
                  <c:v>51366</c:v>
                </c:pt>
                <c:pt idx="115">
                  <c:v>51456</c:v>
                </c:pt>
                <c:pt idx="116">
                  <c:v>51546</c:v>
                </c:pt>
                <c:pt idx="117">
                  <c:v>51636</c:v>
                </c:pt>
                <c:pt idx="118">
                  <c:v>51726</c:v>
                </c:pt>
                <c:pt idx="119">
                  <c:v>51816</c:v>
                </c:pt>
                <c:pt idx="120">
                  <c:v>51906</c:v>
                </c:pt>
                <c:pt idx="121">
                  <c:v>51996</c:v>
                </c:pt>
                <c:pt idx="122">
                  <c:v>52086</c:v>
                </c:pt>
                <c:pt idx="123">
                  <c:v>52176</c:v>
                </c:pt>
                <c:pt idx="124">
                  <c:v>52266</c:v>
                </c:pt>
                <c:pt idx="125">
                  <c:v>52356</c:v>
                </c:pt>
                <c:pt idx="126">
                  <c:v>52446</c:v>
                </c:pt>
                <c:pt idx="127">
                  <c:v>52536</c:v>
                </c:pt>
                <c:pt idx="128">
                  <c:v>52626</c:v>
                </c:pt>
                <c:pt idx="129">
                  <c:v>52716</c:v>
                </c:pt>
                <c:pt idx="130">
                  <c:v>52806</c:v>
                </c:pt>
                <c:pt idx="131">
                  <c:v>52896</c:v>
                </c:pt>
                <c:pt idx="132">
                  <c:v>52986</c:v>
                </c:pt>
                <c:pt idx="133">
                  <c:v>53076</c:v>
                </c:pt>
                <c:pt idx="134">
                  <c:v>53166</c:v>
                </c:pt>
                <c:pt idx="135">
                  <c:v>53256</c:v>
                </c:pt>
                <c:pt idx="136">
                  <c:v>53346</c:v>
                </c:pt>
                <c:pt idx="137">
                  <c:v>53436</c:v>
                </c:pt>
                <c:pt idx="138">
                  <c:v>53526</c:v>
                </c:pt>
                <c:pt idx="139">
                  <c:v>53616</c:v>
                </c:pt>
                <c:pt idx="140">
                  <c:v>53706</c:v>
                </c:pt>
                <c:pt idx="141">
                  <c:v>53796</c:v>
                </c:pt>
                <c:pt idx="142">
                  <c:v>53886</c:v>
                </c:pt>
                <c:pt idx="143">
                  <c:v>53976</c:v>
                </c:pt>
                <c:pt idx="144">
                  <c:v>54066</c:v>
                </c:pt>
                <c:pt idx="145">
                  <c:v>54156</c:v>
                </c:pt>
                <c:pt idx="146">
                  <c:v>54246</c:v>
                </c:pt>
                <c:pt idx="147">
                  <c:v>54336</c:v>
                </c:pt>
                <c:pt idx="148">
                  <c:v>54426</c:v>
                </c:pt>
                <c:pt idx="149">
                  <c:v>54516</c:v>
                </c:pt>
                <c:pt idx="150">
                  <c:v>54606</c:v>
                </c:pt>
                <c:pt idx="151">
                  <c:v>54696</c:v>
                </c:pt>
                <c:pt idx="152">
                  <c:v>54786</c:v>
                </c:pt>
                <c:pt idx="153">
                  <c:v>54876</c:v>
                </c:pt>
                <c:pt idx="154">
                  <c:v>54966</c:v>
                </c:pt>
                <c:pt idx="155">
                  <c:v>55056</c:v>
                </c:pt>
                <c:pt idx="156">
                  <c:v>55146</c:v>
                </c:pt>
                <c:pt idx="157">
                  <c:v>55236</c:v>
                </c:pt>
                <c:pt idx="158">
                  <c:v>55326</c:v>
                </c:pt>
                <c:pt idx="159">
                  <c:v>55416</c:v>
                </c:pt>
                <c:pt idx="160">
                  <c:v>55506</c:v>
                </c:pt>
                <c:pt idx="161">
                  <c:v>55596</c:v>
                </c:pt>
                <c:pt idx="162">
                  <c:v>55686</c:v>
                </c:pt>
                <c:pt idx="163">
                  <c:v>55776</c:v>
                </c:pt>
                <c:pt idx="164">
                  <c:v>55866</c:v>
                </c:pt>
                <c:pt idx="165">
                  <c:v>55956</c:v>
                </c:pt>
                <c:pt idx="166">
                  <c:v>56046</c:v>
                </c:pt>
                <c:pt idx="167">
                  <c:v>56136</c:v>
                </c:pt>
                <c:pt idx="168">
                  <c:v>56226</c:v>
                </c:pt>
                <c:pt idx="169">
                  <c:v>56316</c:v>
                </c:pt>
                <c:pt idx="170">
                  <c:v>56406</c:v>
                </c:pt>
                <c:pt idx="171">
                  <c:v>56496</c:v>
                </c:pt>
                <c:pt idx="172">
                  <c:v>56586</c:v>
                </c:pt>
                <c:pt idx="173">
                  <c:v>56676</c:v>
                </c:pt>
                <c:pt idx="174">
                  <c:v>56766</c:v>
                </c:pt>
                <c:pt idx="175">
                  <c:v>56856</c:v>
                </c:pt>
                <c:pt idx="176">
                  <c:v>56946</c:v>
                </c:pt>
                <c:pt idx="177">
                  <c:v>57036</c:v>
                </c:pt>
                <c:pt idx="178">
                  <c:v>57126</c:v>
                </c:pt>
                <c:pt idx="179">
                  <c:v>57216</c:v>
                </c:pt>
                <c:pt idx="180">
                  <c:v>57306</c:v>
                </c:pt>
                <c:pt idx="181">
                  <c:v>57396</c:v>
                </c:pt>
                <c:pt idx="182">
                  <c:v>57486</c:v>
                </c:pt>
                <c:pt idx="183">
                  <c:v>57576</c:v>
                </c:pt>
                <c:pt idx="184">
                  <c:v>57666</c:v>
                </c:pt>
                <c:pt idx="185">
                  <c:v>57756</c:v>
                </c:pt>
                <c:pt idx="186">
                  <c:v>57846</c:v>
                </c:pt>
                <c:pt idx="187">
                  <c:v>57936</c:v>
                </c:pt>
                <c:pt idx="188">
                  <c:v>58026</c:v>
                </c:pt>
                <c:pt idx="189">
                  <c:v>58116</c:v>
                </c:pt>
                <c:pt idx="190">
                  <c:v>58206</c:v>
                </c:pt>
                <c:pt idx="191">
                  <c:v>58296</c:v>
                </c:pt>
                <c:pt idx="192">
                  <c:v>58386</c:v>
                </c:pt>
                <c:pt idx="193">
                  <c:v>58476</c:v>
                </c:pt>
                <c:pt idx="194">
                  <c:v>58566</c:v>
                </c:pt>
                <c:pt idx="195">
                  <c:v>58656</c:v>
                </c:pt>
                <c:pt idx="196">
                  <c:v>58746</c:v>
                </c:pt>
                <c:pt idx="197">
                  <c:v>58836</c:v>
                </c:pt>
                <c:pt idx="198">
                  <c:v>58926</c:v>
                </c:pt>
                <c:pt idx="199">
                  <c:v>59016</c:v>
                </c:pt>
                <c:pt idx="200">
                  <c:v>59106</c:v>
                </c:pt>
                <c:pt idx="201">
                  <c:v>59196</c:v>
                </c:pt>
                <c:pt idx="202">
                  <c:v>59286</c:v>
                </c:pt>
                <c:pt idx="203">
                  <c:v>59376</c:v>
                </c:pt>
                <c:pt idx="204">
                  <c:v>59466</c:v>
                </c:pt>
                <c:pt idx="205">
                  <c:v>59556</c:v>
                </c:pt>
                <c:pt idx="206">
                  <c:v>59646</c:v>
                </c:pt>
                <c:pt idx="207">
                  <c:v>59736</c:v>
                </c:pt>
                <c:pt idx="208">
                  <c:v>59826</c:v>
                </c:pt>
                <c:pt idx="209">
                  <c:v>59916</c:v>
                </c:pt>
                <c:pt idx="210">
                  <c:v>60006</c:v>
                </c:pt>
                <c:pt idx="211">
                  <c:v>60096</c:v>
                </c:pt>
              </c:numCache>
            </c:numRef>
          </c:cat>
          <c:val>
            <c:numRef>
              <c:f>'Bumped Curve Snap'!$I$4:$I$215</c:f>
              <c:numCache>
                <c:formatCode>0.00%</c:formatCode>
                <c:ptCount val="212"/>
                <c:pt idx="0">
                  <c:v>2.4016920224418408E-2</c:v>
                </c:pt>
                <c:pt idx="1">
                  <c:v>2.4016920224904984E-2</c:v>
                </c:pt>
                <c:pt idx="2">
                  <c:v>2.2049354549397701E-2</c:v>
                </c:pt>
                <c:pt idx="3">
                  <c:v>2.1683029143990375E-2</c:v>
                </c:pt>
                <c:pt idx="4">
                  <c:v>2.2818084177824608E-2</c:v>
                </c:pt>
                <c:pt idx="5">
                  <c:v>2.4985026408419649E-2</c:v>
                </c:pt>
                <c:pt idx="6">
                  <c:v>2.6521136687345369E-2</c:v>
                </c:pt>
                <c:pt idx="7">
                  <c:v>2.2635928951853838E-2</c:v>
                </c:pt>
                <c:pt idx="8">
                  <c:v>2.2217069059233353E-2</c:v>
                </c:pt>
                <c:pt idx="9">
                  <c:v>2.289824672729026E-2</c:v>
                </c:pt>
                <c:pt idx="10">
                  <c:v>2.3460786495356104E-2</c:v>
                </c:pt>
                <c:pt idx="11">
                  <c:v>2.3719622519498211E-2</c:v>
                </c:pt>
                <c:pt idx="12">
                  <c:v>2.4115059377034204E-2</c:v>
                </c:pt>
                <c:pt idx="13">
                  <c:v>2.4660630456333862E-2</c:v>
                </c:pt>
                <c:pt idx="14">
                  <c:v>2.5264558340336331E-2</c:v>
                </c:pt>
                <c:pt idx="15">
                  <c:v>2.5713791599136039E-2</c:v>
                </c:pt>
                <c:pt idx="16">
                  <c:v>2.6033459851690727E-2</c:v>
                </c:pt>
                <c:pt idx="17">
                  <c:v>2.6302864469433314E-2</c:v>
                </c:pt>
                <c:pt idx="18">
                  <c:v>2.6545113405642418E-2</c:v>
                </c:pt>
                <c:pt idx="19">
                  <c:v>2.6937477998242816E-2</c:v>
                </c:pt>
                <c:pt idx="20">
                  <c:v>2.7420191520437901E-2</c:v>
                </c:pt>
                <c:pt idx="21">
                  <c:v>2.794027153710274E-2</c:v>
                </c:pt>
                <c:pt idx="22">
                  <c:v>2.8691740926225728E-2</c:v>
                </c:pt>
                <c:pt idx="23">
                  <c:v>2.9400424040780349E-2</c:v>
                </c:pt>
                <c:pt idx="24">
                  <c:v>2.9968644176493874E-2</c:v>
                </c:pt>
                <c:pt idx="25">
                  <c:v>3.1309421098944933E-2</c:v>
                </c:pt>
                <c:pt idx="26">
                  <c:v>3.1745101102127055E-2</c:v>
                </c:pt>
                <c:pt idx="27">
                  <c:v>3.0950709406315759E-2</c:v>
                </c:pt>
                <c:pt idx="28">
                  <c:v>3.0516181161731284E-2</c:v>
                </c:pt>
                <c:pt idx="29">
                  <c:v>3.0769707831524828E-2</c:v>
                </c:pt>
                <c:pt idx="30">
                  <c:v>3.1351946607798595E-2</c:v>
                </c:pt>
                <c:pt idx="31">
                  <c:v>3.1861057402671374E-2</c:v>
                </c:pt>
                <c:pt idx="32">
                  <c:v>3.2224220230488945E-2</c:v>
                </c:pt>
                <c:pt idx="33">
                  <c:v>3.2484920959009712E-2</c:v>
                </c:pt>
                <c:pt idx="34">
                  <c:v>3.2731896824668191E-2</c:v>
                </c:pt>
                <c:pt idx="35">
                  <c:v>3.2946311143252777E-2</c:v>
                </c:pt>
                <c:pt idx="36">
                  <c:v>3.3118563483542418E-2</c:v>
                </c:pt>
                <c:pt idx="37">
                  <c:v>3.3135635213631193E-2</c:v>
                </c:pt>
                <c:pt idx="38">
                  <c:v>3.293484049866717E-2</c:v>
                </c:pt>
                <c:pt idx="39">
                  <c:v>3.2833668017616939E-2</c:v>
                </c:pt>
                <c:pt idx="40">
                  <c:v>3.292544613052082E-2</c:v>
                </c:pt>
                <c:pt idx="41">
                  <c:v>3.3284306186235048E-2</c:v>
                </c:pt>
                <c:pt idx="42">
                  <c:v>3.3723353078760135E-2</c:v>
                </c:pt>
                <c:pt idx="43">
                  <c:v>3.4142134497142894E-2</c:v>
                </c:pt>
                <c:pt idx="44">
                  <c:v>3.4555336665420378E-2</c:v>
                </c:pt>
                <c:pt idx="45">
                  <c:v>3.493699973973894E-2</c:v>
                </c:pt>
                <c:pt idx="46">
                  <c:v>3.5291573379781421E-2</c:v>
                </c:pt>
                <c:pt idx="47">
                  <c:v>3.5590892016485888E-2</c:v>
                </c:pt>
                <c:pt idx="48">
                  <c:v>3.5865067494790022E-2</c:v>
                </c:pt>
                <c:pt idx="49">
                  <c:v>3.6122170267718516E-2</c:v>
                </c:pt>
                <c:pt idx="50">
                  <c:v>3.6369067788579845E-2</c:v>
                </c:pt>
                <c:pt idx="51">
                  <c:v>3.6606355852614604E-2</c:v>
                </c:pt>
                <c:pt idx="52">
                  <c:v>3.6842211808413586E-2</c:v>
                </c:pt>
                <c:pt idx="53">
                  <c:v>3.706160767131058E-2</c:v>
                </c:pt>
                <c:pt idx="54">
                  <c:v>3.7272940541578564E-2</c:v>
                </c:pt>
                <c:pt idx="55">
                  <c:v>3.7476646882163275E-2</c:v>
                </c:pt>
                <c:pt idx="56">
                  <c:v>3.7679707880703767E-2</c:v>
                </c:pt>
                <c:pt idx="57">
                  <c:v>3.7869122496479217E-2</c:v>
                </c:pt>
                <c:pt idx="58">
                  <c:v>3.8054099197464705E-2</c:v>
                </c:pt>
                <c:pt idx="59">
                  <c:v>3.823081119094382E-2</c:v>
                </c:pt>
                <c:pt idx="60">
                  <c:v>3.8405495853921334E-2</c:v>
                </c:pt>
                <c:pt idx="61">
                  <c:v>3.8572526138183988E-2</c:v>
                </c:pt>
                <c:pt idx="62">
                  <c:v>3.8604526487739918E-2</c:v>
                </c:pt>
                <c:pt idx="63">
                  <c:v>3.8604777605592194E-2</c:v>
                </c:pt>
                <c:pt idx="64">
                  <c:v>3.8604311954662074E-2</c:v>
                </c:pt>
                <c:pt idx="65">
                  <c:v>3.8603860678667182E-2</c:v>
                </c:pt>
                <c:pt idx="66">
                  <c:v>3.8603427964584984E-2</c:v>
                </c:pt>
                <c:pt idx="67">
                  <c:v>3.8603008067458526E-2</c:v>
                </c:pt>
                <c:pt idx="68">
                  <c:v>3.8602591299594917E-2</c:v>
                </c:pt>
                <c:pt idx="69">
                  <c:v>3.8602191214749428E-2</c:v>
                </c:pt>
                <c:pt idx="70">
                  <c:v>3.8717057424324838E-2</c:v>
                </c:pt>
                <c:pt idx="71">
                  <c:v>3.8895814803416882E-2</c:v>
                </c:pt>
                <c:pt idx="72">
                  <c:v>3.9083361383272314E-2</c:v>
                </c:pt>
                <c:pt idx="73">
                  <c:v>3.926369782623209E-2</c:v>
                </c:pt>
                <c:pt idx="74">
                  <c:v>3.9437199835334245E-2</c:v>
                </c:pt>
                <c:pt idx="75">
                  <c:v>3.9606111292232578E-2</c:v>
                </c:pt>
                <c:pt idx="76">
                  <c:v>3.9774388148812005E-2</c:v>
                </c:pt>
                <c:pt idx="77">
                  <c:v>3.9940201963765597E-2</c:v>
                </c:pt>
                <c:pt idx="78">
                  <c:v>4.0101157262875602E-2</c:v>
                </c:pt>
                <c:pt idx="79">
                  <c:v>4.0258069728662332E-2</c:v>
                </c:pt>
                <c:pt idx="80">
                  <c:v>4.0409919435568861E-2</c:v>
                </c:pt>
                <c:pt idx="81">
                  <c:v>4.0523498388627441E-2</c:v>
                </c:pt>
                <c:pt idx="82">
                  <c:v>4.0620714597421573E-2</c:v>
                </c:pt>
                <c:pt idx="83">
                  <c:v>4.0718001395002035E-2</c:v>
                </c:pt>
                <c:pt idx="84">
                  <c:v>4.0814079152522297E-2</c:v>
                </c:pt>
                <c:pt idx="85">
                  <c:v>4.090597400661658E-2</c:v>
                </c:pt>
                <c:pt idx="86">
                  <c:v>4.0995844957958598E-2</c:v>
                </c:pt>
                <c:pt idx="87">
                  <c:v>4.1084744380813804E-2</c:v>
                </c:pt>
                <c:pt idx="88">
                  <c:v>4.117267337833512E-2</c:v>
                </c:pt>
                <c:pt idx="89">
                  <c:v>4.1256860330131838E-2</c:v>
                </c:pt>
                <c:pt idx="90">
                  <c:v>4.1339291317247472E-2</c:v>
                </c:pt>
                <c:pt idx="91">
                  <c:v>4.1420916852152254E-2</c:v>
                </c:pt>
                <c:pt idx="92">
                  <c:v>4.1501757605851605E-2</c:v>
                </c:pt>
                <c:pt idx="93">
                  <c:v>4.157923058417267E-2</c:v>
                </c:pt>
                <c:pt idx="94">
                  <c:v>4.1655171587220846E-2</c:v>
                </c:pt>
                <c:pt idx="95">
                  <c:v>4.1730440220237974E-2</c:v>
                </c:pt>
                <c:pt idx="96">
                  <c:v>4.1804278787101821E-2</c:v>
                </c:pt>
                <c:pt idx="97">
                  <c:v>4.1875907296731407E-2</c:v>
                </c:pt>
                <c:pt idx="98">
                  <c:v>4.1946176499800709E-2</c:v>
                </c:pt>
                <c:pt idx="99">
                  <c:v>4.2015874041384405E-2</c:v>
                </c:pt>
                <c:pt idx="100">
                  <c:v>4.2085080699656982E-2</c:v>
                </c:pt>
                <c:pt idx="101">
                  <c:v>4.215150526331924E-2</c:v>
                </c:pt>
                <c:pt idx="102">
                  <c:v>4.2216756543764201E-2</c:v>
                </c:pt>
                <c:pt idx="103">
                  <c:v>4.2281521359590582E-2</c:v>
                </c:pt>
                <c:pt idx="104">
                  <c:v>4.2345911001875181E-2</c:v>
                </c:pt>
                <c:pt idx="105">
                  <c:v>4.2408457468033921E-2</c:v>
                </c:pt>
                <c:pt idx="106">
                  <c:v>4.2469253861770626E-2</c:v>
                </c:pt>
                <c:pt idx="107">
                  <c:v>4.2528960785672143E-2</c:v>
                </c:pt>
                <c:pt idx="108">
                  <c:v>4.2589664574340581E-2</c:v>
                </c:pt>
                <c:pt idx="109">
                  <c:v>4.2663066886979975E-2</c:v>
                </c:pt>
                <c:pt idx="110">
                  <c:v>4.2749930180475897E-2</c:v>
                </c:pt>
                <c:pt idx="111">
                  <c:v>4.2835269318579408E-2</c:v>
                </c:pt>
                <c:pt idx="112">
                  <c:v>4.291932511095764E-2</c:v>
                </c:pt>
                <c:pt idx="113">
                  <c:v>4.3003886581726561E-2</c:v>
                </c:pt>
                <c:pt idx="114">
                  <c:v>4.3085198363966959E-2</c:v>
                </c:pt>
                <c:pt idx="115">
                  <c:v>4.3165114755163381E-2</c:v>
                </c:pt>
                <c:pt idx="116">
                  <c:v>4.3243910681306577E-2</c:v>
                </c:pt>
                <c:pt idx="117">
                  <c:v>4.3324068536855206E-2</c:v>
                </c:pt>
                <c:pt idx="118">
                  <c:v>4.3400388746731036E-2</c:v>
                </c:pt>
                <c:pt idx="119">
                  <c:v>4.3475431033927807E-2</c:v>
                </c:pt>
                <c:pt idx="120">
                  <c:v>4.3549506070715081E-2</c:v>
                </c:pt>
                <c:pt idx="121">
                  <c:v>4.3624910195722941E-2</c:v>
                </c:pt>
                <c:pt idx="122">
                  <c:v>4.3696739751652204E-2</c:v>
                </c:pt>
                <c:pt idx="123">
                  <c:v>4.3760929761886377E-2</c:v>
                </c:pt>
                <c:pt idx="124">
                  <c:v>4.3823765239182633E-2</c:v>
                </c:pt>
                <c:pt idx="125">
                  <c:v>4.3887765793502356E-2</c:v>
                </c:pt>
                <c:pt idx="126">
                  <c:v>4.3948363365058453E-2</c:v>
                </c:pt>
                <c:pt idx="127">
                  <c:v>4.4008024638194164E-2</c:v>
                </c:pt>
                <c:pt idx="128">
                  <c:v>4.4067484680732578E-2</c:v>
                </c:pt>
                <c:pt idx="129">
                  <c:v>4.4126062604331294E-2</c:v>
                </c:pt>
                <c:pt idx="130">
                  <c:v>4.4183488621855137E-2</c:v>
                </c:pt>
                <c:pt idx="131">
                  <c:v>4.4239382362972847E-2</c:v>
                </c:pt>
                <c:pt idx="132">
                  <c:v>4.4294498800528881E-2</c:v>
                </c:pt>
                <c:pt idx="133">
                  <c:v>4.435007093301957E-2</c:v>
                </c:pt>
                <c:pt idx="134">
                  <c:v>4.4403964535372896E-2</c:v>
                </c:pt>
                <c:pt idx="135">
                  <c:v>4.4456419236976331E-2</c:v>
                </c:pt>
                <c:pt idx="136">
                  <c:v>4.4508166832793038E-2</c:v>
                </c:pt>
                <c:pt idx="137">
                  <c:v>4.4560367406139161E-2</c:v>
                </c:pt>
                <c:pt idx="138">
                  <c:v>4.4611023989365756E-2</c:v>
                </c:pt>
                <c:pt idx="139">
                  <c:v>4.4660327064151489E-2</c:v>
                </c:pt>
                <c:pt idx="140">
                  <c:v>4.4708985373414667E-2</c:v>
                </c:pt>
                <c:pt idx="141">
                  <c:v>4.4758084451483257E-2</c:v>
                </c:pt>
                <c:pt idx="142">
                  <c:v>4.4805779108585048E-2</c:v>
                </c:pt>
                <c:pt idx="143">
                  <c:v>4.4852186324183523E-2</c:v>
                </c:pt>
                <c:pt idx="144">
                  <c:v>4.489800152416188E-2</c:v>
                </c:pt>
                <c:pt idx="145">
                  <c:v>4.4943727595045356E-2</c:v>
                </c:pt>
                <c:pt idx="146">
                  <c:v>4.4988684130924383E-2</c:v>
                </c:pt>
                <c:pt idx="147">
                  <c:v>4.5032427840397515E-2</c:v>
                </c:pt>
                <c:pt idx="148">
                  <c:v>4.5075630154004856E-2</c:v>
                </c:pt>
                <c:pt idx="149">
                  <c:v>4.5119250891103184E-2</c:v>
                </c:pt>
                <c:pt idx="150">
                  <c:v>4.5161696774258291E-2</c:v>
                </c:pt>
                <c:pt idx="151">
                  <c:v>4.5202973218358602E-2</c:v>
                </c:pt>
                <c:pt idx="152">
                  <c:v>4.5244215396665684E-2</c:v>
                </c:pt>
                <c:pt idx="153">
                  <c:v>4.5285399542522371E-2</c:v>
                </c:pt>
                <c:pt idx="154">
                  <c:v>4.5325047760206273E-2</c:v>
                </c:pt>
                <c:pt idx="155">
                  <c:v>4.5364039120916071E-2</c:v>
                </c:pt>
                <c:pt idx="156">
                  <c:v>4.5403011223234903E-2</c:v>
                </c:pt>
                <c:pt idx="157">
                  <c:v>4.5441940897554704E-2</c:v>
                </c:pt>
                <c:pt idx="158">
                  <c:v>4.5479442192340978E-2</c:v>
                </c:pt>
                <c:pt idx="159">
                  <c:v>4.5516311928980958E-2</c:v>
                </c:pt>
                <c:pt idx="160">
                  <c:v>4.5553175883561996E-2</c:v>
                </c:pt>
                <c:pt idx="161">
                  <c:v>4.5589597505311302E-2</c:v>
                </c:pt>
                <c:pt idx="162">
                  <c:v>4.5625097567392948E-2</c:v>
                </c:pt>
                <c:pt idx="163">
                  <c:v>4.5659990520425735E-2</c:v>
                </c:pt>
                <c:pt idx="164">
                  <c:v>4.5694892980668124E-2</c:v>
                </c:pt>
                <c:pt idx="165">
                  <c:v>4.5729777546629463E-2</c:v>
                </c:pt>
                <c:pt idx="166">
                  <c:v>4.5763437597133451E-2</c:v>
                </c:pt>
                <c:pt idx="167">
                  <c:v>4.579648838686675E-2</c:v>
                </c:pt>
                <c:pt idx="168">
                  <c:v>4.5829559149839064E-2</c:v>
                </c:pt>
                <c:pt idx="169">
                  <c:v>4.586261855172296E-2</c:v>
                </c:pt>
                <c:pt idx="170">
                  <c:v>4.5894538763333645E-2</c:v>
                </c:pt>
                <c:pt idx="171">
                  <c:v>4.5925867483859607E-2</c:v>
                </c:pt>
                <c:pt idx="172">
                  <c:v>4.5957229591081783E-2</c:v>
                </c:pt>
                <c:pt idx="173">
                  <c:v>4.5988635074223495E-2</c:v>
                </c:pt>
                <c:pt idx="174">
                  <c:v>4.6018842116164263E-2</c:v>
                </c:pt>
                <c:pt idx="175">
                  <c:v>4.6048888875266994E-2</c:v>
                </c:pt>
                <c:pt idx="176">
                  <c:v>4.6078335639183489E-2</c:v>
                </c:pt>
                <c:pt idx="177">
                  <c:v>4.6107455529566639E-2</c:v>
                </c:pt>
                <c:pt idx="178">
                  <c:v>4.6136782113788931E-2</c:v>
                </c:pt>
                <c:pt idx="179">
                  <c:v>4.6164989429536903E-2</c:v>
                </c:pt>
                <c:pt idx="180">
                  <c:v>4.6192944499330292E-2</c:v>
                </c:pt>
                <c:pt idx="181">
                  <c:v>4.6220621150080056E-2</c:v>
                </c:pt>
                <c:pt idx="182">
                  <c:v>4.6248786725844218E-2</c:v>
                </c:pt>
                <c:pt idx="183">
                  <c:v>4.6275583913188603E-2</c:v>
                </c:pt>
                <c:pt idx="184">
                  <c:v>4.6302128232300656E-2</c:v>
                </c:pt>
                <c:pt idx="185">
                  <c:v>4.6328418557391324E-2</c:v>
                </c:pt>
                <c:pt idx="186">
                  <c:v>4.6355179523074351E-2</c:v>
                </c:pt>
                <c:pt idx="187">
                  <c:v>4.6380640054574547E-2</c:v>
                </c:pt>
                <c:pt idx="188">
                  <c:v>4.6405855929008734E-2</c:v>
                </c:pt>
                <c:pt idx="189">
                  <c:v>4.6430834186528755E-2</c:v>
                </c:pt>
                <c:pt idx="190">
                  <c:v>4.6456268012838024E-2</c:v>
                </c:pt>
                <c:pt idx="191">
                  <c:v>4.6480467751221471E-2</c:v>
                </c:pt>
                <c:pt idx="192">
                  <c:v>4.6504430072656283E-2</c:v>
                </c:pt>
                <c:pt idx="193">
                  <c:v>4.6528145059224299E-2</c:v>
                </c:pt>
                <c:pt idx="194">
                  <c:v>4.6552048103876399E-2</c:v>
                </c:pt>
                <c:pt idx="195">
                  <c:v>4.6575058933320125E-2</c:v>
                </c:pt>
                <c:pt idx="196">
                  <c:v>4.6597834767863999E-2</c:v>
                </c:pt>
                <c:pt idx="197">
                  <c:v>4.6620658612187393E-2</c:v>
                </c:pt>
                <c:pt idx="198">
                  <c:v>4.664339339319426E-2</c:v>
                </c:pt>
                <c:pt idx="199">
                  <c:v>4.6665516654509305E-2</c:v>
                </c:pt>
                <c:pt idx="200">
                  <c:v>4.6687162180975315E-2</c:v>
                </c:pt>
                <c:pt idx="201">
                  <c:v>4.6708615272502432E-2</c:v>
                </c:pt>
                <c:pt idx="202">
                  <c:v>4.6730235157061768E-2</c:v>
                </c:pt>
                <c:pt idx="203">
                  <c:v>4.6751267622161051E-2</c:v>
                </c:pt>
                <c:pt idx="204">
                  <c:v>4.6771843163375987E-2</c:v>
                </c:pt>
                <c:pt idx="205">
                  <c:v>4.6792236338380339E-2</c:v>
                </c:pt>
                <c:pt idx="206">
                  <c:v>4.6812792260621391E-2</c:v>
                </c:pt>
                <c:pt idx="207">
                  <c:v>4.6832785201601473E-2</c:v>
                </c:pt>
                <c:pt idx="208">
                  <c:v>4.68523416941743E-2</c:v>
                </c:pt>
                <c:pt idx="209">
                  <c:v>4.6871708673628533E-2</c:v>
                </c:pt>
                <c:pt idx="210">
                  <c:v>4.6891016331760231E-2</c:v>
                </c:pt>
                <c:pt idx="211">
                  <c:v>4.6910024073067519E-2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'Bumped Curve Snap'!$J$3</c:f>
              <c:strCache>
                <c:ptCount val="1"/>
                <c:pt idx="0">
                  <c:v>CNY_Treasury_Live_Curve_2012-7-16_Calibrated_Curve_8</c:v>
                </c:pt>
              </c:strCache>
            </c:strRef>
          </c:tx>
          <c:marker>
            <c:symbol val="none"/>
          </c:marker>
          <c:val>
            <c:numRef>
              <c:f>'Bumped Curve Snap'!$J$4:$J$215</c:f>
              <c:numCache>
                <c:formatCode>0.00%</c:formatCode>
                <c:ptCount val="212"/>
                <c:pt idx="0">
                  <c:v>2.4116320366454905E-2</c:v>
                </c:pt>
                <c:pt idx="1">
                  <c:v>2.4116320365777932E-2</c:v>
                </c:pt>
                <c:pt idx="2">
                  <c:v>2.2148276018456651E-2</c:v>
                </c:pt>
                <c:pt idx="3">
                  <c:v>2.1781437328659593E-2</c:v>
                </c:pt>
                <c:pt idx="4">
                  <c:v>2.2915855443029463E-2</c:v>
                </c:pt>
                <c:pt idx="5">
                  <c:v>2.5082911287335218E-2</c:v>
                </c:pt>
                <c:pt idx="6">
                  <c:v>2.661902302037417E-2</c:v>
                </c:pt>
                <c:pt idx="7">
                  <c:v>2.2733966814559942E-2</c:v>
                </c:pt>
                <c:pt idx="8">
                  <c:v>2.2314867910032288E-2</c:v>
                </c:pt>
                <c:pt idx="9">
                  <c:v>2.2996037925602193E-2</c:v>
                </c:pt>
                <c:pt idx="10">
                  <c:v>2.3558545313485609E-2</c:v>
                </c:pt>
                <c:pt idx="11">
                  <c:v>2.3817535338009004E-2</c:v>
                </c:pt>
                <c:pt idx="12">
                  <c:v>2.4212872720010058E-2</c:v>
                </c:pt>
                <c:pt idx="13">
                  <c:v>2.4758432228475458E-2</c:v>
                </c:pt>
                <c:pt idx="14">
                  <c:v>2.5362346598049822E-2</c:v>
                </c:pt>
                <c:pt idx="15">
                  <c:v>2.5811707438540818E-2</c:v>
                </c:pt>
                <c:pt idx="16">
                  <c:v>2.6131330403884316E-2</c:v>
                </c:pt>
                <c:pt idx="17">
                  <c:v>2.6400715827079427E-2</c:v>
                </c:pt>
                <c:pt idx="18">
                  <c:v>2.6642942084035913E-2</c:v>
                </c:pt>
                <c:pt idx="19">
                  <c:v>2.7035404794155688E-2</c:v>
                </c:pt>
                <c:pt idx="20">
                  <c:v>2.751812388478209E-2</c:v>
                </c:pt>
                <c:pt idx="21">
                  <c:v>2.8038229016398807E-2</c:v>
                </c:pt>
                <c:pt idx="22">
                  <c:v>2.8789772123955393E-2</c:v>
                </c:pt>
                <c:pt idx="23">
                  <c:v>2.9498593581936253E-2</c:v>
                </c:pt>
                <c:pt idx="24">
                  <c:v>3.0066876515461003E-2</c:v>
                </c:pt>
                <c:pt idx="25">
                  <c:v>3.1407838953053289E-2</c:v>
                </c:pt>
                <c:pt idx="26">
                  <c:v>3.1843560756636385E-2</c:v>
                </c:pt>
                <c:pt idx="27">
                  <c:v>3.1049025841965134E-2</c:v>
                </c:pt>
                <c:pt idx="28">
                  <c:v>3.0614374098896238E-2</c:v>
                </c:pt>
                <c:pt idx="29">
                  <c:v>3.0867820798325993E-2</c:v>
                </c:pt>
                <c:pt idx="30">
                  <c:v>3.1450123215306422E-2</c:v>
                </c:pt>
                <c:pt idx="31">
                  <c:v>3.1959433187719676E-2</c:v>
                </c:pt>
                <c:pt idx="32">
                  <c:v>3.2322726742839314E-2</c:v>
                </c:pt>
                <c:pt idx="33">
                  <c:v>3.2583387043258326E-2</c:v>
                </c:pt>
                <c:pt idx="34">
                  <c:v>3.2830337584941999E-2</c:v>
                </c:pt>
                <c:pt idx="35">
                  <c:v>3.3044852621972536E-2</c:v>
                </c:pt>
                <c:pt idx="36">
                  <c:v>3.3217188202681207E-2</c:v>
                </c:pt>
                <c:pt idx="37">
                  <c:v>3.323416280125862E-2</c:v>
                </c:pt>
                <c:pt idx="38">
                  <c:v>3.3033196476960458E-2</c:v>
                </c:pt>
                <c:pt idx="39">
                  <c:v>3.2932005237522745E-2</c:v>
                </c:pt>
                <c:pt idx="40">
                  <c:v>3.3023840682791038E-2</c:v>
                </c:pt>
                <c:pt idx="41">
                  <c:v>3.3382748476792179E-2</c:v>
                </c:pt>
                <c:pt idx="42">
                  <c:v>3.382189109750338E-2</c:v>
                </c:pt>
                <c:pt idx="43">
                  <c:v>3.4240880359293124E-2</c:v>
                </c:pt>
                <c:pt idx="44">
                  <c:v>3.4654303152029428E-2</c:v>
                </c:pt>
                <c:pt idx="45">
                  <c:v>3.5036047278452616E-2</c:v>
                </c:pt>
                <c:pt idx="46">
                  <c:v>3.5390689739452925E-2</c:v>
                </c:pt>
                <c:pt idx="47">
                  <c:v>3.5690167110182053E-2</c:v>
                </c:pt>
                <c:pt idx="48">
                  <c:v>3.5964514814553865E-2</c:v>
                </c:pt>
                <c:pt idx="49">
                  <c:v>3.622165607275564E-2</c:v>
                </c:pt>
                <c:pt idx="50">
                  <c:v>3.6468575586287376E-2</c:v>
                </c:pt>
                <c:pt idx="51">
                  <c:v>3.6705988103239995E-2</c:v>
                </c:pt>
                <c:pt idx="52">
                  <c:v>3.6942017123177393E-2</c:v>
                </c:pt>
                <c:pt idx="53">
                  <c:v>3.7161448255583117E-2</c:v>
                </c:pt>
                <c:pt idx="54">
                  <c:v>3.7372791877352561E-2</c:v>
                </c:pt>
                <c:pt idx="55">
                  <c:v>3.757660931915989E-2</c:v>
                </c:pt>
                <c:pt idx="56">
                  <c:v>3.7779839759574455E-2</c:v>
                </c:pt>
                <c:pt idx="57">
                  <c:v>3.796928709835274E-2</c:v>
                </c:pt>
                <c:pt idx="58">
                  <c:v>3.8154266795224961E-2</c:v>
                </c:pt>
                <c:pt idx="59">
                  <c:v>3.8331079467838355E-2</c:v>
                </c:pt>
                <c:pt idx="60">
                  <c:v>3.8505929564549221E-2</c:v>
                </c:pt>
                <c:pt idx="61">
                  <c:v>3.867299093355709E-2</c:v>
                </c:pt>
                <c:pt idx="62">
                  <c:v>3.8704898085693482E-2</c:v>
                </c:pt>
                <c:pt idx="63">
                  <c:v>3.87051270607583E-2</c:v>
                </c:pt>
                <c:pt idx="64">
                  <c:v>3.870469837651188E-2</c:v>
                </c:pt>
                <c:pt idx="65">
                  <c:v>3.8704164794827856E-2</c:v>
                </c:pt>
                <c:pt idx="66">
                  <c:v>3.8703638203463245E-2</c:v>
                </c:pt>
                <c:pt idx="67">
                  <c:v>3.8703209089519915E-2</c:v>
                </c:pt>
                <c:pt idx="68">
                  <c:v>3.8702800642795604E-2</c:v>
                </c:pt>
                <c:pt idx="69">
                  <c:v>3.8702366811565359E-2</c:v>
                </c:pt>
                <c:pt idx="70">
                  <c:v>3.8817212695547137E-2</c:v>
                </c:pt>
                <c:pt idx="71">
                  <c:v>3.8996105138687669E-2</c:v>
                </c:pt>
                <c:pt idx="72">
                  <c:v>3.9183828998212156E-2</c:v>
                </c:pt>
                <c:pt idx="73">
                  <c:v>3.9364304807352854E-2</c:v>
                </c:pt>
                <c:pt idx="74">
                  <c:v>3.9537858016918635E-2</c:v>
                </c:pt>
                <c:pt idx="75">
                  <c:v>3.9706898772812159E-2</c:v>
                </c:pt>
                <c:pt idx="76">
                  <c:v>3.9875344203778702E-2</c:v>
                </c:pt>
                <c:pt idx="77">
                  <c:v>4.0041296645686439E-2</c:v>
                </c:pt>
                <c:pt idx="78">
                  <c:v>4.0202308827966202E-2</c:v>
                </c:pt>
                <c:pt idx="79">
                  <c:v>4.0359342290443162E-2</c:v>
                </c:pt>
                <c:pt idx="80">
                  <c:v>4.05113532979232E-2</c:v>
                </c:pt>
                <c:pt idx="81">
                  <c:v>4.0625030527756942E-2</c:v>
                </c:pt>
                <c:pt idx="82">
                  <c:v>4.0719679124695436E-2</c:v>
                </c:pt>
                <c:pt idx="83">
                  <c:v>4.0813146838091015E-2</c:v>
                </c:pt>
                <c:pt idx="84">
                  <c:v>4.0905471461175333E-2</c:v>
                </c:pt>
                <c:pt idx="85">
                  <c:v>4.099356586220626E-2</c:v>
                </c:pt>
                <c:pt idx="86">
                  <c:v>4.1079576011651714E-2</c:v>
                </c:pt>
                <c:pt idx="87">
                  <c:v>4.1164609706816103E-2</c:v>
                </c:pt>
                <c:pt idx="88">
                  <c:v>4.1248686771157561E-2</c:v>
                </c:pt>
                <c:pt idx="89">
                  <c:v>4.1329002845214409E-2</c:v>
                </c:pt>
                <c:pt idx="90">
                  <c:v>4.1407494005027475E-2</c:v>
                </c:pt>
                <c:pt idx="91">
                  <c:v>4.1485171126611715E-2</c:v>
                </c:pt>
                <c:pt idx="92">
                  <c:v>4.1562059424369864E-2</c:v>
                </c:pt>
                <c:pt idx="93">
                  <c:v>4.1635586481326932E-2</c:v>
                </c:pt>
                <c:pt idx="94">
                  <c:v>4.1707503563819456E-2</c:v>
                </c:pt>
                <c:pt idx="95">
                  <c:v>4.177873716412963E-2</c:v>
                </c:pt>
                <c:pt idx="96">
                  <c:v>4.1848543054873337E-2</c:v>
                </c:pt>
                <c:pt idx="97">
                  <c:v>4.1916129479238624E-2</c:v>
                </c:pt>
                <c:pt idx="98">
                  <c:v>4.1982282371386334E-2</c:v>
                </c:pt>
                <c:pt idx="99">
                  <c:v>4.204785620712323E-2</c:v>
                </c:pt>
                <c:pt idx="100">
                  <c:v>4.2112892429735399E-2</c:v>
                </c:pt>
                <c:pt idx="101">
                  <c:v>4.2175213348302848E-2</c:v>
                </c:pt>
                <c:pt idx="102">
                  <c:v>4.2236253640022932E-2</c:v>
                </c:pt>
                <c:pt idx="103">
                  <c:v>4.2296803857291433E-2</c:v>
                </c:pt>
                <c:pt idx="104">
                  <c:v>4.235691128015167E-2</c:v>
                </c:pt>
                <c:pt idx="105">
                  <c:v>4.2415209150250176E-2</c:v>
                </c:pt>
                <c:pt idx="106">
                  <c:v>4.2471695528676641E-2</c:v>
                </c:pt>
                <c:pt idx="107">
                  <c:v>4.2527141773723118E-2</c:v>
                </c:pt>
                <c:pt idx="108">
                  <c:v>4.2583541025944173E-2</c:v>
                </c:pt>
                <c:pt idx="109">
                  <c:v>4.2652484808725785E-2</c:v>
                </c:pt>
                <c:pt idx="110">
                  <c:v>4.2734890333745765E-2</c:v>
                </c:pt>
                <c:pt idx="111">
                  <c:v>4.2815825434695018E-2</c:v>
                </c:pt>
                <c:pt idx="112">
                  <c:v>4.2895399422173117E-2</c:v>
                </c:pt>
                <c:pt idx="113">
                  <c:v>4.297534391860075E-2</c:v>
                </c:pt>
                <c:pt idx="114">
                  <c:v>4.3052059914991163E-2</c:v>
                </c:pt>
                <c:pt idx="115">
                  <c:v>4.3127447767048389E-2</c:v>
                </c:pt>
                <c:pt idx="116">
                  <c:v>4.3201619216216687E-2</c:v>
                </c:pt>
                <c:pt idx="117">
                  <c:v>4.3277018631546545E-2</c:v>
                </c:pt>
                <c:pt idx="118">
                  <c:v>4.3348600723677168E-2</c:v>
                </c:pt>
                <c:pt idx="119">
                  <c:v>4.3418982876958848E-2</c:v>
                </c:pt>
                <c:pt idx="120">
                  <c:v>4.3488272642007074E-2</c:v>
                </c:pt>
                <c:pt idx="121">
                  <c:v>4.3558755428246242E-2</c:v>
                </c:pt>
                <c:pt idx="122">
                  <c:v>4.3625705450766834E-2</c:v>
                </c:pt>
                <c:pt idx="123">
                  <c:v>4.3691566255208494E-2</c:v>
                </c:pt>
                <c:pt idx="124">
                  <c:v>4.3756439931578607E-2</c:v>
                </c:pt>
                <c:pt idx="125">
                  <c:v>4.3822470955049285E-2</c:v>
                </c:pt>
                <c:pt idx="126">
                  <c:v>4.3885227218197473E-2</c:v>
                </c:pt>
                <c:pt idx="127">
                  <c:v>4.3946989096680864E-2</c:v>
                </c:pt>
                <c:pt idx="128">
                  <c:v>4.4008545516624635E-2</c:v>
                </c:pt>
                <c:pt idx="129">
                  <c:v>4.4069166757950202E-2</c:v>
                </c:pt>
                <c:pt idx="130">
                  <c:v>4.4128789082779667E-2</c:v>
                </c:pt>
                <c:pt idx="131">
                  <c:v>4.4186822933352875E-2</c:v>
                </c:pt>
                <c:pt idx="132">
                  <c:v>4.4244049565388008E-2</c:v>
                </c:pt>
                <c:pt idx="133">
                  <c:v>4.430171497153354E-2</c:v>
                </c:pt>
                <c:pt idx="134">
                  <c:v>4.435782349730058E-2</c:v>
                </c:pt>
                <c:pt idx="135">
                  <c:v>4.4412457713267788E-2</c:v>
                </c:pt>
                <c:pt idx="136">
                  <c:v>4.4466354584528904E-2</c:v>
                </c:pt>
                <c:pt idx="137">
                  <c:v>4.4520695306162691E-2</c:v>
                </c:pt>
                <c:pt idx="138">
                  <c:v>4.4573593549639808E-2</c:v>
                </c:pt>
                <c:pt idx="139">
                  <c:v>4.4625118663620782E-2</c:v>
                </c:pt>
                <c:pt idx="140">
                  <c:v>4.4675965198379262E-2</c:v>
                </c:pt>
                <c:pt idx="141">
                  <c:v>4.4727260898149157E-2</c:v>
                </c:pt>
                <c:pt idx="142">
                  <c:v>4.4777221197017679E-2</c:v>
                </c:pt>
                <c:pt idx="143">
                  <c:v>4.4825898312483937E-2</c:v>
                </c:pt>
                <c:pt idx="144">
                  <c:v>4.4873946820414429E-2</c:v>
                </c:pt>
                <c:pt idx="145">
                  <c:v>4.4921911108800852E-2</c:v>
                </c:pt>
                <c:pt idx="146">
                  <c:v>4.4969177907954613E-2</c:v>
                </c:pt>
                <c:pt idx="147">
                  <c:v>4.5015241546425375E-2</c:v>
                </c:pt>
                <c:pt idx="148">
                  <c:v>4.5060726525851046E-2</c:v>
                </c:pt>
                <c:pt idx="149">
                  <c:v>4.5106659645128895E-2</c:v>
                </c:pt>
                <c:pt idx="150">
                  <c:v>4.5151436656766908E-2</c:v>
                </c:pt>
                <c:pt idx="151">
                  <c:v>4.5195086075634085E-2</c:v>
                </c:pt>
                <c:pt idx="152">
                  <c:v>4.523868804427307E-2</c:v>
                </c:pt>
                <c:pt idx="153">
                  <c:v>4.5282242390454995E-2</c:v>
                </c:pt>
                <c:pt idx="154">
                  <c:v>4.5324242404411956E-2</c:v>
                </c:pt>
                <c:pt idx="155">
                  <c:v>4.5365661629307871E-2</c:v>
                </c:pt>
                <c:pt idx="156">
                  <c:v>4.540704802793108E-2</c:v>
                </c:pt>
                <c:pt idx="157">
                  <c:v>4.5448410443586114E-2</c:v>
                </c:pt>
                <c:pt idx="158">
                  <c:v>4.5488312552797831E-2</c:v>
                </c:pt>
                <c:pt idx="159">
                  <c:v>4.5527668412618585E-2</c:v>
                </c:pt>
                <c:pt idx="160">
                  <c:v>4.5567003702866704E-2</c:v>
                </c:pt>
                <c:pt idx="161">
                  <c:v>4.5605901601878766E-2</c:v>
                </c:pt>
                <c:pt idx="162">
                  <c:v>4.564386722631384E-2</c:v>
                </c:pt>
                <c:pt idx="163">
                  <c:v>4.5681315490544959E-2</c:v>
                </c:pt>
                <c:pt idx="164">
                  <c:v>4.5718746573991706E-2</c:v>
                </c:pt>
                <c:pt idx="165">
                  <c:v>4.5756203349578028E-2</c:v>
                </c:pt>
                <c:pt idx="166">
                  <c:v>4.5792367045843545E-2</c:v>
                </c:pt>
                <c:pt idx="167">
                  <c:v>4.5828038807788081E-2</c:v>
                </c:pt>
                <c:pt idx="168">
                  <c:v>4.5863700872229303E-2</c:v>
                </c:pt>
                <c:pt idx="169">
                  <c:v>4.5899406645467995E-2</c:v>
                </c:pt>
                <c:pt idx="170">
                  <c:v>4.5933892884510427E-2</c:v>
                </c:pt>
                <c:pt idx="171">
                  <c:v>4.5967911819731644E-2</c:v>
                </c:pt>
                <c:pt idx="172">
                  <c:v>4.6001927565647173E-2</c:v>
                </c:pt>
                <c:pt idx="173">
                  <c:v>4.603601229922849E-2</c:v>
                </c:pt>
                <c:pt idx="174">
                  <c:v>4.6068929055128931E-2</c:v>
                </c:pt>
                <c:pt idx="175">
                  <c:v>4.6101769128602955E-2</c:v>
                </c:pt>
                <c:pt idx="176">
                  <c:v>4.6133886910213973E-2</c:v>
                </c:pt>
                <c:pt idx="177">
                  <c:v>4.6165728711503796E-2</c:v>
                </c:pt>
                <c:pt idx="178">
                  <c:v>4.6197904343584499E-2</c:v>
                </c:pt>
                <c:pt idx="179">
                  <c:v>4.6228943845518275E-2</c:v>
                </c:pt>
                <c:pt idx="180">
                  <c:v>4.6259650836861753E-2</c:v>
                </c:pt>
                <c:pt idx="181">
                  <c:v>4.6290100799866979E-2</c:v>
                </c:pt>
                <c:pt idx="182">
                  <c:v>4.6321224910900724E-2</c:v>
                </c:pt>
                <c:pt idx="183">
                  <c:v>4.6350924509482326E-2</c:v>
                </c:pt>
                <c:pt idx="184">
                  <c:v>4.6380303851983398E-2</c:v>
                </c:pt>
                <c:pt idx="185">
                  <c:v>4.6409450714813415E-2</c:v>
                </c:pt>
                <c:pt idx="186">
                  <c:v>4.643925357504175E-2</c:v>
                </c:pt>
                <c:pt idx="187">
                  <c:v>4.6467701370985777E-2</c:v>
                </c:pt>
                <c:pt idx="188">
                  <c:v>4.6495842510638354E-2</c:v>
                </c:pt>
                <c:pt idx="189">
                  <c:v>4.6523764367061481E-2</c:v>
                </c:pt>
                <c:pt idx="190">
                  <c:v>4.6552329870397001E-2</c:v>
                </c:pt>
                <c:pt idx="191">
                  <c:v>4.6579601710147613E-2</c:v>
                </c:pt>
                <c:pt idx="192">
                  <c:v>4.6606580671309523E-2</c:v>
                </c:pt>
                <c:pt idx="193">
                  <c:v>4.6633353725976816E-2</c:v>
                </c:pt>
                <c:pt idx="194">
                  <c:v>4.6660458619020358E-2</c:v>
                </c:pt>
                <c:pt idx="195">
                  <c:v>4.6686628426433778E-2</c:v>
                </c:pt>
                <c:pt idx="196">
                  <c:v>4.6712517396965712E-2</c:v>
                </c:pt>
                <c:pt idx="197">
                  <c:v>4.6738505717850425E-2</c:v>
                </c:pt>
                <c:pt idx="198">
                  <c:v>4.676453287892178E-2</c:v>
                </c:pt>
                <c:pt idx="199">
                  <c:v>4.6789947568879296E-2</c:v>
                </c:pt>
                <c:pt idx="200">
                  <c:v>4.6814805372550741E-2</c:v>
                </c:pt>
                <c:pt idx="201">
                  <c:v>4.6839485729843464E-2</c:v>
                </c:pt>
                <c:pt idx="202">
                  <c:v>4.6864500207097474E-2</c:v>
                </c:pt>
                <c:pt idx="203">
                  <c:v>4.688892781589634E-2</c:v>
                </c:pt>
                <c:pt idx="204">
                  <c:v>4.6912818688687359E-2</c:v>
                </c:pt>
                <c:pt idx="205">
                  <c:v>4.6936541160536263E-2</c:v>
                </c:pt>
                <c:pt idx="206">
                  <c:v>4.6960600130103294E-2</c:v>
                </c:pt>
                <c:pt idx="207">
                  <c:v>4.698409787772076E-2</c:v>
                </c:pt>
                <c:pt idx="208">
                  <c:v>4.700707719634712E-2</c:v>
                </c:pt>
                <c:pt idx="209">
                  <c:v>4.7029896044438885E-2</c:v>
                </c:pt>
                <c:pt idx="210">
                  <c:v>4.7052797784250075E-2</c:v>
                </c:pt>
                <c:pt idx="211">
                  <c:v>4.7075424105888414E-2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15360"/>
        <c:axId val="490017152"/>
      </c:lineChart>
      <c:dateAx>
        <c:axId val="490015360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490017152"/>
        <c:crosses val="autoZero"/>
        <c:auto val="1"/>
        <c:lblOffset val="100"/>
        <c:baseTimeUnit val="months"/>
      </c:dateAx>
      <c:valAx>
        <c:axId val="4900171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90015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altLang="en-US"/>
              <a:t>CTD vs. TF1209 </a:t>
            </a:r>
            <a:r>
              <a:rPr lang="zh-CN" altLang="en-US"/>
              <a:t>价格序列回归分析</a:t>
            </a:r>
            <a:endParaRPr lang="en-US" alt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CTD vs. TF1209</c:v>
          </c:tx>
          <c:spPr>
            <a:ln w="28575">
              <a:noFill/>
            </a:ln>
          </c:spPr>
          <c:trendline>
            <c:name>回归线</c:name>
            <c:trendlineType val="linear"/>
            <c:intercept val="0"/>
            <c:dispRSqr val="1"/>
            <c:dispEq val="1"/>
            <c:trendlineLbl>
              <c:layout>
                <c:manualLayout>
                  <c:x val="-1.5901110329502057E-2"/>
                  <c:y val="0.13773087017968907"/>
                </c:manualLayout>
              </c:layout>
              <c:numFmt formatCode="G/通用格式" sourceLinked="0"/>
              <c:spPr>
                <a:noFill/>
              </c:spPr>
              <c:txPr>
                <a:bodyPr/>
                <a:lstStyle/>
                <a:p>
                  <a:pPr>
                    <a:defRPr sz="1200" b="1">
                      <a:solidFill>
                        <a:srgbClr val="FF0000"/>
                      </a:solidFill>
                      <a:latin typeface="Times New Roman" pitchFamily="18" charset="0"/>
                      <a:cs typeface="Times New Roman" pitchFamily="18" charset="0"/>
                    </a:defRPr>
                  </a:pPr>
                  <a:endParaRPr lang="zh-CN"/>
                </a:p>
              </c:txPr>
            </c:trendlineLbl>
          </c:trendline>
          <c:xVal>
            <c:numRef>
              <c:f>'portfolio Analysis'!$H$1212:$H$1265</c:f>
              <c:numCache>
                <c:formatCode>0.0</c:formatCode>
                <c:ptCount val="54"/>
                <c:pt idx="0">
                  <c:v>98.94</c:v>
                </c:pt>
                <c:pt idx="1">
                  <c:v>98.96</c:v>
                </c:pt>
                <c:pt idx="2">
                  <c:v>98.89</c:v>
                </c:pt>
                <c:pt idx="3">
                  <c:v>98.89</c:v>
                </c:pt>
                <c:pt idx="4">
                  <c:v>98.84</c:v>
                </c:pt>
                <c:pt idx="5">
                  <c:v>99.1</c:v>
                </c:pt>
                <c:pt idx="6">
                  <c:v>98.95</c:v>
                </c:pt>
                <c:pt idx="7">
                  <c:v>98.95</c:v>
                </c:pt>
                <c:pt idx="8">
                  <c:v>98.88</c:v>
                </c:pt>
                <c:pt idx="9">
                  <c:v>98.87</c:v>
                </c:pt>
                <c:pt idx="10">
                  <c:v>98.87</c:v>
                </c:pt>
                <c:pt idx="11">
                  <c:v>98.864000000000004</c:v>
                </c:pt>
                <c:pt idx="12">
                  <c:v>98.85</c:v>
                </c:pt>
                <c:pt idx="13">
                  <c:v>98.78</c:v>
                </c:pt>
                <c:pt idx="14">
                  <c:v>98.92</c:v>
                </c:pt>
                <c:pt idx="15">
                  <c:v>98.926000000000002</c:v>
                </c:pt>
                <c:pt idx="16">
                  <c:v>98.97</c:v>
                </c:pt>
                <c:pt idx="17">
                  <c:v>99.013999999999996</c:v>
                </c:pt>
                <c:pt idx="18">
                  <c:v>99.07</c:v>
                </c:pt>
                <c:pt idx="19">
                  <c:v>99.164000000000001</c:v>
                </c:pt>
                <c:pt idx="20">
                  <c:v>99.19</c:v>
                </c:pt>
                <c:pt idx="21">
                  <c:v>99.298000000000002</c:v>
                </c:pt>
                <c:pt idx="22">
                  <c:v>99.457999999999998</c:v>
                </c:pt>
                <c:pt idx="23">
                  <c:v>99.658000000000001</c:v>
                </c:pt>
                <c:pt idx="24">
                  <c:v>99.658000000000001</c:v>
                </c:pt>
                <c:pt idx="25">
                  <c:v>99.61</c:v>
                </c:pt>
                <c:pt idx="26">
                  <c:v>99.7</c:v>
                </c:pt>
                <c:pt idx="27">
                  <c:v>99.85</c:v>
                </c:pt>
                <c:pt idx="28">
                  <c:v>99.97</c:v>
                </c:pt>
                <c:pt idx="29">
                  <c:v>99.89</c:v>
                </c:pt>
                <c:pt idx="30">
                  <c:v>99.835999999999999</c:v>
                </c:pt>
                <c:pt idx="31">
                  <c:v>99.798000000000002</c:v>
                </c:pt>
                <c:pt idx="32">
                  <c:v>99.77</c:v>
                </c:pt>
                <c:pt idx="33">
                  <c:v>99.757999999999996</c:v>
                </c:pt>
                <c:pt idx="34">
                  <c:v>99.738</c:v>
                </c:pt>
                <c:pt idx="35">
                  <c:v>99.768000000000001</c:v>
                </c:pt>
                <c:pt idx="36">
                  <c:v>99.84</c:v>
                </c:pt>
                <c:pt idx="37">
                  <c:v>99.83</c:v>
                </c:pt>
                <c:pt idx="38">
                  <c:v>99.82</c:v>
                </c:pt>
                <c:pt idx="39">
                  <c:v>99.835999999999999</c:v>
                </c:pt>
                <c:pt idx="40">
                  <c:v>99.88</c:v>
                </c:pt>
                <c:pt idx="41">
                  <c:v>99.83</c:v>
                </c:pt>
                <c:pt idx="42">
                  <c:v>99.74</c:v>
                </c:pt>
                <c:pt idx="43">
                  <c:v>99.688000000000002</c:v>
                </c:pt>
                <c:pt idx="44">
                  <c:v>99.73</c:v>
                </c:pt>
                <c:pt idx="45">
                  <c:v>99.697999999999993</c:v>
                </c:pt>
                <c:pt idx="46">
                  <c:v>99.658000000000001</c:v>
                </c:pt>
                <c:pt idx="47">
                  <c:v>99.382000000000005</c:v>
                </c:pt>
                <c:pt idx="48">
                  <c:v>99.4</c:v>
                </c:pt>
                <c:pt idx="49">
                  <c:v>99.29</c:v>
                </c:pt>
                <c:pt idx="50">
                  <c:v>99.236000000000004</c:v>
                </c:pt>
                <c:pt idx="51">
                  <c:v>99.18</c:v>
                </c:pt>
                <c:pt idx="52">
                  <c:v>99.126000000000005</c:v>
                </c:pt>
                <c:pt idx="53">
                  <c:v>99.05</c:v>
                </c:pt>
              </c:numCache>
            </c:numRef>
          </c:xVal>
          <c:yVal>
            <c:numRef>
              <c:f>'portfolio Analysis'!$F$1212:$F$1265</c:f>
              <c:numCache>
                <c:formatCode>0.0</c:formatCode>
                <c:ptCount val="54"/>
                <c:pt idx="0">
                  <c:v>103.0013</c:v>
                </c:pt>
                <c:pt idx="1">
                  <c:v>102.97320000000001</c:v>
                </c:pt>
                <c:pt idx="2">
                  <c:v>101.4791</c:v>
                </c:pt>
                <c:pt idx="3">
                  <c:v>102.79559999999999</c:v>
                </c:pt>
                <c:pt idx="4">
                  <c:v>102.82340000000001</c:v>
                </c:pt>
                <c:pt idx="5">
                  <c:v>103.1091</c:v>
                </c:pt>
                <c:pt idx="6">
                  <c:v>102.8192</c:v>
                </c:pt>
                <c:pt idx="7">
                  <c:v>102.8181</c:v>
                </c:pt>
                <c:pt idx="8">
                  <c:v>102.70189999999999</c:v>
                </c:pt>
                <c:pt idx="9">
                  <c:v>101.482</c:v>
                </c:pt>
                <c:pt idx="10">
                  <c:v>101.4795</c:v>
                </c:pt>
                <c:pt idx="11">
                  <c:v>101.4806</c:v>
                </c:pt>
                <c:pt idx="12">
                  <c:v>102.5812</c:v>
                </c:pt>
                <c:pt idx="13">
                  <c:v>101.4854</c:v>
                </c:pt>
                <c:pt idx="14">
                  <c:v>102.6909</c:v>
                </c:pt>
                <c:pt idx="15">
                  <c:v>102.74720000000001</c:v>
                </c:pt>
                <c:pt idx="16">
                  <c:v>102.8321</c:v>
                </c:pt>
                <c:pt idx="17">
                  <c:v>103.03189999999999</c:v>
                </c:pt>
                <c:pt idx="18">
                  <c:v>102.2234</c:v>
                </c:pt>
                <c:pt idx="19">
                  <c:v>103.0273</c:v>
                </c:pt>
                <c:pt idx="20">
                  <c:v>102.2475</c:v>
                </c:pt>
                <c:pt idx="21">
                  <c:v>103.1397</c:v>
                </c:pt>
                <c:pt idx="22">
                  <c:v>102.25369999999999</c:v>
                </c:pt>
                <c:pt idx="23">
                  <c:v>102.2551</c:v>
                </c:pt>
                <c:pt idx="24">
                  <c:v>103.36320000000001</c:v>
                </c:pt>
                <c:pt idx="25">
                  <c:v>103.5919</c:v>
                </c:pt>
                <c:pt idx="26">
                  <c:v>103.6193</c:v>
                </c:pt>
                <c:pt idx="27">
                  <c:v>103.7619</c:v>
                </c:pt>
                <c:pt idx="28">
                  <c:v>102.2542</c:v>
                </c:pt>
                <c:pt idx="29">
                  <c:v>103.6412</c:v>
                </c:pt>
                <c:pt idx="30">
                  <c:v>102.2518</c:v>
                </c:pt>
                <c:pt idx="31">
                  <c:v>103.46639999999999</c:v>
                </c:pt>
                <c:pt idx="32">
                  <c:v>102.2534</c:v>
                </c:pt>
                <c:pt idx="33">
                  <c:v>102.25579999999999</c:v>
                </c:pt>
                <c:pt idx="34">
                  <c:v>103.60290000000001</c:v>
                </c:pt>
                <c:pt idx="35">
                  <c:v>102.2689</c:v>
                </c:pt>
                <c:pt idx="36">
                  <c:v>102.2713</c:v>
                </c:pt>
                <c:pt idx="37">
                  <c:v>102.27290000000001</c:v>
                </c:pt>
                <c:pt idx="38">
                  <c:v>102.2745</c:v>
                </c:pt>
                <c:pt idx="39">
                  <c:v>102.2726</c:v>
                </c:pt>
                <c:pt idx="40">
                  <c:v>103.5064</c:v>
                </c:pt>
                <c:pt idx="41">
                  <c:v>103.30589999999999</c:v>
                </c:pt>
                <c:pt idx="42">
                  <c:v>102.2826</c:v>
                </c:pt>
                <c:pt idx="43">
                  <c:v>103.27500000000001</c:v>
                </c:pt>
                <c:pt idx="44">
                  <c:v>103.30419999999999</c:v>
                </c:pt>
                <c:pt idx="45">
                  <c:v>103.267</c:v>
                </c:pt>
                <c:pt idx="46">
                  <c:v>103.12730000000001</c:v>
                </c:pt>
                <c:pt idx="47">
                  <c:v>102.658</c:v>
                </c:pt>
                <c:pt idx="48">
                  <c:v>102.81699999999999</c:v>
                </c:pt>
                <c:pt idx="49">
                  <c:v>103.0932</c:v>
                </c:pt>
                <c:pt idx="50">
                  <c:v>102.28570000000001</c:v>
                </c:pt>
                <c:pt idx="51">
                  <c:v>102.75320000000001</c:v>
                </c:pt>
                <c:pt idx="52">
                  <c:v>102.48699999999999</c:v>
                </c:pt>
                <c:pt idx="53">
                  <c:v>102.583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74112"/>
        <c:axId val="490076032"/>
      </c:scatterChart>
      <c:valAx>
        <c:axId val="49007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TF1209</a:t>
                </a:r>
                <a:r>
                  <a:rPr lang="zh-CN" altLang="en-US" baseline="0"/>
                  <a:t>价格</a:t>
                </a:r>
                <a:endParaRPr lang="zh-CN" altLang="en-US"/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490076032"/>
        <c:crosses val="autoZero"/>
        <c:crossBetween val="midCat"/>
      </c:valAx>
      <c:valAx>
        <c:axId val="490076032"/>
        <c:scaling>
          <c:orientation val="minMax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en-US" altLang="zh-CN"/>
                  <a:t>CTD</a:t>
                </a:r>
                <a:r>
                  <a:rPr lang="zh-CN" altLang="en-US"/>
                  <a:t>价格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4900741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8864124096160735"/>
          <c:y val="0.72799252977993134"/>
          <c:w val="0.21851300589005082"/>
          <c:h val="4.851217541469288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altLang="en-US"/>
              <a:t>CTD vs. TF1209 </a:t>
            </a:r>
            <a:r>
              <a:rPr lang="zh-CN" altLang="en-US"/>
              <a:t>价格序列回归分析</a:t>
            </a:r>
            <a:endParaRPr lang="en-US" alt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CTD vs. TF1209</c:v>
          </c:tx>
          <c:spPr>
            <a:ln w="28575">
              <a:noFill/>
            </a:ln>
          </c:spPr>
          <c:trendline>
            <c:name>回归线</c:name>
            <c:trendlineType val="linear"/>
            <c:intercept val="0"/>
            <c:dispRSqr val="1"/>
            <c:dispEq val="1"/>
            <c:trendlineLbl>
              <c:layout>
                <c:manualLayout>
                  <c:x val="-1.5901110329502057E-2"/>
                  <c:y val="0.13773087017968907"/>
                </c:manualLayout>
              </c:layout>
              <c:numFmt formatCode="G/通用格式" sourceLinked="0"/>
              <c:spPr>
                <a:noFill/>
              </c:spPr>
              <c:txPr>
                <a:bodyPr/>
                <a:lstStyle/>
                <a:p>
                  <a:pPr>
                    <a:defRPr sz="1200" b="1">
                      <a:solidFill>
                        <a:srgbClr val="FF0000"/>
                      </a:solidFill>
                      <a:latin typeface="Times New Roman" pitchFamily="18" charset="0"/>
                      <a:cs typeface="Times New Roman" pitchFamily="18" charset="0"/>
                    </a:defRPr>
                  </a:pPr>
                  <a:endParaRPr lang="zh-CN"/>
                </a:p>
              </c:txPr>
            </c:trendlineLbl>
          </c:trendline>
          <c:xVal>
            <c:numRef>
              <c:f>'portfolio Analysis'!$H$1212:$H$1265</c:f>
              <c:numCache>
                <c:formatCode>0.0</c:formatCode>
                <c:ptCount val="54"/>
                <c:pt idx="0">
                  <c:v>98.94</c:v>
                </c:pt>
                <c:pt idx="1">
                  <c:v>98.96</c:v>
                </c:pt>
                <c:pt idx="2">
                  <c:v>98.89</c:v>
                </c:pt>
                <c:pt idx="3">
                  <c:v>98.89</c:v>
                </c:pt>
                <c:pt idx="4">
                  <c:v>98.84</c:v>
                </c:pt>
                <c:pt idx="5">
                  <c:v>99.1</c:v>
                </c:pt>
                <c:pt idx="6">
                  <c:v>98.95</c:v>
                </c:pt>
                <c:pt idx="7">
                  <c:v>98.95</c:v>
                </c:pt>
                <c:pt idx="8">
                  <c:v>98.88</c:v>
                </c:pt>
                <c:pt idx="9">
                  <c:v>98.87</c:v>
                </c:pt>
                <c:pt idx="10">
                  <c:v>98.87</c:v>
                </c:pt>
                <c:pt idx="11">
                  <c:v>98.864000000000004</c:v>
                </c:pt>
                <c:pt idx="12">
                  <c:v>98.85</c:v>
                </c:pt>
                <c:pt idx="13">
                  <c:v>98.78</c:v>
                </c:pt>
                <c:pt idx="14">
                  <c:v>98.92</c:v>
                </c:pt>
                <c:pt idx="15">
                  <c:v>98.926000000000002</c:v>
                </c:pt>
                <c:pt idx="16">
                  <c:v>98.97</c:v>
                </c:pt>
                <c:pt idx="17">
                  <c:v>99.013999999999996</c:v>
                </c:pt>
                <c:pt idx="18">
                  <c:v>99.07</c:v>
                </c:pt>
                <c:pt idx="19">
                  <c:v>99.164000000000001</c:v>
                </c:pt>
                <c:pt idx="20">
                  <c:v>99.19</c:v>
                </c:pt>
                <c:pt idx="21">
                  <c:v>99.298000000000002</c:v>
                </c:pt>
                <c:pt idx="22">
                  <c:v>99.457999999999998</c:v>
                </c:pt>
                <c:pt idx="23">
                  <c:v>99.658000000000001</c:v>
                </c:pt>
                <c:pt idx="24">
                  <c:v>99.658000000000001</c:v>
                </c:pt>
                <c:pt idx="25">
                  <c:v>99.61</c:v>
                </c:pt>
                <c:pt idx="26">
                  <c:v>99.7</c:v>
                </c:pt>
                <c:pt idx="27">
                  <c:v>99.85</c:v>
                </c:pt>
                <c:pt idx="28">
                  <c:v>99.97</c:v>
                </c:pt>
                <c:pt idx="29">
                  <c:v>99.89</c:v>
                </c:pt>
                <c:pt idx="30">
                  <c:v>99.835999999999999</c:v>
                </c:pt>
                <c:pt idx="31">
                  <c:v>99.798000000000002</c:v>
                </c:pt>
                <c:pt idx="32">
                  <c:v>99.77</c:v>
                </c:pt>
                <c:pt idx="33">
                  <c:v>99.757999999999996</c:v>
                </c:pt>
                <c:pt idx="34">
                  <c:v>99.738</c:v>
                </c:pt>
                <c:pt idx="35">
                  <c:v>99.768000000000001</c:v>
                </c:pt>
                <c:pt idx="36">
                  <c:v>99.84</c:v>
                </c:pt>
                <c:pt idx="37">
                  <c:v>99.83</c:v>
                </c:pt>
                <c:pt idx="38">
                  <c:v>99.82</c:v>
                </c:pt>
                <c:pt idx="39">
                  <c:v>99.835999999999999</c:v>
                </c:pt>
                <c:pt idx="40">
                  <c:v>99.88</c:v>
                </c:pt>
                <c:pt idx="41">
                  <c:v>99.83</c:v>
                </c:pt>
                <c:pt idx="42">
                  <c:v>99.74</c:v>
                </c:pt>
                <c:pt idx="43">
                  <c:v>99.688000000000002</c:v>
                </c:pt>
                <c:pt idx="44">
                  <c:v>99.73</c:v>
                </c:pt>
                <c:pt idx="45">
                  <c:v>99.697999999999993</c:v>
                </c:pt>
                <c:pt idx="46">
                  <c:v>99.658000000000001</c:v>
                </c:pt>
                <c:pt idx="47">
                  <c:v>99.382000000000005</c:v>
                </c:pt>
                <c:pt idx="48">
                  <c:v>99.4</c:v>
                </c:pt>
                <c:pt idx="49">
                  <c:v>99.29</c:v>
                </c:pt>
                <c:pt idx="50">
                  <c:v>99.236000000000004</c:v>
                </c:pt>
                <c:pt idx="51">
                  <c:v>99.18</c:v>
                </c:pt>
                <c:pt idx="52">
                  <c:v>99.126000000000005</c:v>
                </c:pt>
                <c:pt idx="53">
                  <c:v>99.05</c:v>
                </c:pt>
              </c:numCache>
            </c:numRef>
          </c:xVal>
          <c:yVal>
            <c:numRef>
              <c:f>'portfolio Analysis'!$F$1212:$F$1265</c:f>
              <c:numCache>
                <c:formatCode>0.0</c:formatCode>
                <c:ptCount val="54"/>
                <c:pt idx="0">
                  <c:v>103.0013</c:v>
                </c:pt>
                <c:pt idx="1">
                  <c:v>102.97320000000001</c:v>
                </c:pt>
                <c:pt idx="2">
                  <c:v>101.4791</c:v>
                </c:pt>
                <c:pt idx="3">
                  <c:v>102.79559999999999</c:v>
                </c:pt>
                <c:pt idx="4">
                  <c:v>102.82340000000001</c:v>
                </c:pt>
                <c:pt idx="5">
                  <c:v>103.1091</c:v>
                </c:pt>
                <c:pt idx="6">
                  <c:v>102.8192</c:v>
                </c:pt>
                <c:pt idx="7">
                  <c:v>102.8181</c:v>
                </c:pt>
                <c:pt idx="8">
                  <c:v>102.70189999999999</c:v>
                </c:pt>
                <c:pt idx="9">
                  <c:v>101.482</c:v>
                </c:pt>
                <c:pt idx="10">
                  <c:v>101.4795</c:v>
                </c:pt>
                <c:pt idx="11">
                  <c:v>101.4806</c:v>
                </c:pt>
                <c:pt idx="12">
                  <c:v>102.5812</c:v>
                </c:pt>
                <c:pt idx="13">
                  <c:v>101.4854</c:v>
                </c:pt>
                <c:pt idx="14">
                  <c:v>102.6909</c:v>
                </c:pt>
                <c:pt idx="15">
                  <c:v>102.74720000000001</c:v>
                </c:pt>
                <c:pt idx="16">
                  <c:v>102.8321</c:v>
                </c:pt>
                <c:pt idx="17">
                  <c:v>103.03189999999999</c:v>
                </c:pt>
                <c:pt idx="18">
                  <c:v>102.2234</c:v>
                </c:pt>
                <c:pt idx="19">
                  <c:v>103.0273</c:v>
                </c:pt>
                <c:pt idx="20">
                  <c:v>102.2475</c:v>
                </c:pt>
                <c:pt idx="21">
                  <c:v>103.1397</c:v>
                </c:pt>
                <c:pt idx="22">
                  <c:v>102.25369999999999</c:v>
                </c:pt>
                <c:pt idx="23">
                  <c:v>102.2551</c:v>
                </c:pt>
                <c:pt idx="24">
                  <c:v>103.36320000000001</c:v>
                </c:pt>
                <c:pt idx="25">
                  <c:v>103.5919</c:v>
                </c:pt>
                <c:pt idx="26">
                  <c:v>103.6193</c:v>
                </c:pt>
                <c:pt idx="27">
                  <c:v>103.7619</c:v>
                </c:pt>
                <c:pt idx="28">
                  <c:v>102.2542</c:v>
                </c:pt>
                <c:pt idx="29">
                  <c:v>103.6412</c:v>
                </c:pt>
                <c:pt idx="30">
                  <c:v>102.2518</c:v>
                </c:pt>
                <c:pt idx="31">
                  <c:v>103.46639999999999</c:v>
                </c:pt>
                <c:pt idx="32">
                  <c:v>102.2534</c:v>
                </c:pt>
                <c:pt idx="33">
                  <c:v>102.25579999999999</c:v>
                </c:pt>
                <c:pt idx="34">
                  <c:v>103.60290000000001</c:v>
                </c:pt>
                <c:pt idx="35">
                  <c:v>102.2689</c:v>
                </c:pt>
                <c:pt idx="36">
                  <c:v>102.2713</c:v>
                </c:pt>
                <c:pt idx="37">
                  <c:v>102.27290000000001</c:v>
                </c:pt>
                <c:pt idx="38">
                  <c:v>102.2745</c:v>
                </c:pt>
                <c:pt idx="39">
                  <c:v>102.2726</c:v>
                </c:pt>
                <c:pt idx="40">
                  <c:v>103.5064</c:v>
                </c:pt>
                <c:pt idx="41">
                  <c:v>103.30589999999999</c:v>
                </c:pt>
                <c:pt idx="42">
                  <c:v>102.2826</c:v>
                </c:pt>
                <c:pt idx="43">
                  <c:v>103.27500000000001</c:v>
                </c:pt>
                <c:pt idx="44">
                  <c:v>103.30419999999999</c:v>
                </c:pt>
                <c:pt idx="45">
                  <c:v>103.267</c:v>
                </c:pt>
                <c:pt idx="46">
                  <c:v>103.12730000000001</c:v>
                </c:pt>
                <c:pt idx="47">
                  <c:v>102.658</c:v>
                </c:pt>
                <c:pt idx="48">
                  <c:v>102.81699999999999</c:v>
                </c:pt>
                <c:pt idx="49">
                  <c:v>103.0932</c:v>
                </c:pt>
                <c:pt idx="50">
                  <c:v>102.28570000000001</c:v>
                </c:pt>
                <c:pt idx="51">
                  <c:v>102.75320000000001</c:v>
                </c:pt>
                <c:pt idx="52">
                  <c:v>102.48699999999999</c:v>
                </c:pt>
                <c:pt idx="53">
                  <c:v>102.583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8544"/>
        <c:axId val="492350464"/>
      </c:scatterChart>
      <c:valAx>
        <c:axId val="49234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TF1209</a:t>
                </a:r>
                <a:r>
                  <a:rPr lang="zh-CN" altLang="en-US" baseline="0"/>
                  <a:t>价格</a:t>
                </a:r>
                <a:endParaRPr lang="zh-CN" altLang="en-US"/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492350464"/>
        <c:crosses val="autoZero"/>
        <c:crossBetween val="midCat"/>
      </c:valAx>
      <c:valAx>
        <c:axId val="492350464"/>
        <c:scaling>
          <c:orientation val="minMax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en-US" altLang="zh-CN"/>
                  <a:t>CTD</a:t>
                </a:r>
                <a:r>
                  <a:rPr lang="zh-CN" altLang="en-US"/>
                  <a:t>价格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49234854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8864124096160735"/>
          <c:y val="0.72799252977993134"/>
          <c:w val="0.21851300589005082"/>
          <c:h val="4.851217541469288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互换与国债期货结合对冲</a:t>
            </a:r>
            <a:r>
              <a:rPr lang="en-US" altLang="zh-CN"/>
              <a:t>P/L</a:t>
            </a:r>
            <a:r>
              <a:rPr lang="zh-CN" altLang="en-US"/>
              <a:t>走势图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原资产组合</c:v>
          </c:tx>
          <c:marker>
            <c:symbol val="none"/>
          </c:marker>
          <c:cat>
            <c:numRef>
              <c:f>'portfolio Analysis2'!$A$1181:$A$1203</c:f>
              <c:numCache>
                <c:formatCode>yyyy-m-d</c:formatCode>
                <c:ptCount val="23"/>
                <c:pt idx="0">
                  <c:v>41107</c:v>
                </c:pt>
                <c:pt idx="1">
                  <c:v>41108</c:v>
                </c:pt>
                <c:pt idx="2">
                  <c:v>41109</c:v>
                </c:pt>
                <c:pt idx="3">
                  <c:v>41110</c:v>
                </c:pt>
                <c:pt idx="4">
                  <c:v>41113</c:v>
                </c:pt>
                <c:pt idx="5">
                  <c:v>41114</c:v>
                </c:pt>
                <c:pt idx="6">
                  <c:v>41115</c:v>
                </c:pt>
                <c:pt idx="7">
                  <c:v>41116</c:v>
                </c:pt>
                <c:pt idx="8">
                  <c:v>41117</c:v>
                </c:pt>
                <c:pt idx="9">
                  <c:v>41120</c:v>
                </c:pt>
                <c:pt idx="10">
                  <c:v>41121</c:v>
                </c:pt>
                <c:pt idx="11">
                  <c:v>41122</c:v>
                </c:pt>
                <c:pt idx="12">
                  <c:v>41123</c:v>
                </c:pt>
                <c:pt idx="13">
                  <c:v>41124</c:v>
                </c:pt>
                <c:pt idx="14">
                  <c:v>41127</c:v>
                </c:pt>
                <c:pt idx="15">
                  <c:v>41128</c:v>
                </c:pt>
                <c:pt idx="16">
                  <c:v>41129</c:v>
                </c:pt>
                <c:pt idx="17">
                  <c:v>41130</c:v>
                </c:pt>
                <c:pt idx="18">
                  <c:v>41131</c:v>
                </c:pt>
                <c:pt idx="19">
                  <c:v>41134</c:v>
                </c:pt>
                <c:pt idx="20">
                  <c:v>41135</c:v>
                </c:pt>
                <c:pt idx="21">
                  <c:v>41136</c:v>
                </c:pt>
                <c:pt idx="22">
                  <c:v>41137</c:v>
                </c:pt>
              </c:numCache>
            </c:numRef>
          </c:cat>
          <c:val>
            <c:numRef>
              <c:f>'portfolio Analysis2'!$V$1181:$V$1203</c:f>
              <c:numCache>
                <c:formatCode>G/通用格式</c:formatCode>
                <c:ptCount val="23"/>
                <c:pt idx="0">
                  <c:v>-0.12413300000000049</c:v>
                </c:pt>
                <c:pt idx="1">
                  <c:v>-3.7893000000000676E-2</c:v>
                </c:pt>
                <c:pt idx="2">
                  <c:v>-0.15877000000000263</c:v>
                </c:pt>
                <c:pt idx="3">
                  <c:v>-0.13443800000000236</c:v>
                </c:pt>
                <c:pt idx="4">
                  <c:v>-0.14862299999999976</c:v>
                </c:pt>
                <c:pt idx="5">
                  <c:v>-0.15925500000000056</c:v>
                </c:pt>
                <c:pt idx="6">
                  <c:v>-5.6292999999999718E-2</c:v>
                </c:pt>
                <c:pt idx="7">
                  <c:v>-0.16410100000000141</c:v>
                </c:pt>
                <c:pt idx="8">
                  <c:v>-0.20116900000000085</c:v>
                </c:pt>
                <c:pt idx="9">
                  <c:v>-8.4678000000000378E-2</c:v>
                </c:pt>
                <c:pt idx="10">
                  <c:v>-0.10694300000000252</c:v>
                </c:pt>
                <c:pt idx="11">
                  <c:v>-0.16782400000000036</c:v>
                </c:pt>
                <c:pt idx="12">
                  <c:v>-0.18234600000000084</c:v>
                </c:pt>
                <c:pt idx="13">
                  <c:v>-0.21091699999999974</c:v>
                </c:pt>
                <c:pt idx="14">
                  <c:v>-0.21107100000000145</c:v>
                </c:pt>
                <c:pt idx="15">
                  <c:v>-0.28589500000000001</c:v>
                </c:pt>
                <c:pt idx="16">
                  <c:v>-0.33776600000000001</c:v>
                </c:pt>
                <c:pt idx="17">
                  <c:v>-0.35128600000000104</c:v>
                </c:pt>
                <c:pt idx="18">
                  <c:v>-0.28115200000000201</c:v>
                </c:pt>
                <c:pt idx="19">
                  <c:v>-0.33105200000000023</c:v>
                </c:pt>
                <c:pt idx="20">
                  <c:v>-0.3614670000000022</c:v>
                </c:pt>
                <c:pt idx="21">
                  <c:v>-0.39478600000000097</c:v>
                </c:pt>
                <c:pt idx="22">
                  <c:v>-0.39736600000000177</c:v>
                </c:pt>
              </c:numCache>
            </c:numRef>
          </c:val>
          <c:smooth val="0"/>
        </c:ser>
        <c:ser>
          <c:idx val="1"/>
          <c:order val="1"/>
          <c:tx>
            <c:v>互换与国债期货结合对冲</c:v>
          </c:tx>
          <c:marker>
            <c:symbol val="none"/>
          </c:marker>
          <c:cat>
            <c:numRef>
              <c:f>'portfolio Analysis2'!$A$1181:$A$1203</c:f>
              <c:numCache>
                <c:formatCode>yyyy-m-d</c:formatCode>
                <c:ptCount val="23"/>
                <c:pt idx="0">
                  <c:v>41107</c:v>
                </c:pt>
                <c:pt idx="1">
                  <c:v>41108</c:v>
                </c:pt>
                <c:pt idx="2">
                  <c:v>41109</c:v>
                </c:pt>
                <c:pt idx="3">
                  <c:v>41110</c:v>
                </c:pt>
                <c:pt idx="4">
                  <c:v>41113</c:v>
                </c:pt>
                <c:pt idx="5">
                  <c:v>41114</c:v>
                </c:pt>
                <c:pt idx="6">
                  <c:v>41115</c:v>
                </c:pt>
                <c:pt idx="7">
                  <c:v>41116</c:v>
                </c:pt>
                <c:pt idx="8">
                  <c:v>41117</c:v>
                </c:pt>
                <c:pt idx="9">
                  <c:v>41120</c:v>
                </c:pt>
                <c:pt idx="10">
                  <c:v>41121</c:v>
                </c:pt>
                <c:pt idx="11">
                  <c:v>41122</c:v>
                </c:pt>
                <c:pt idx="12">
                  <c:v>41123</c:v>
                </c:pt>
                <c:pt idx="13">
                  <c:v>41124</c:v>
                </c:pt>
                <c:pt idx="14">
                  <c:v>41127</c:v>
                </c:pt>
                <c:pt idx="15">
                  <c:v>41128</c:v>
                </c:pt>
                <c:pt idx="16">
                  <c:v>41129</c:v>
                </c:pt>
                <c:pt idx="17">
                  <c:v>41130</c:v>
                </c:pt>
                <c:pt idx="18">
                  <c:v>41131</c:v>
                </c:pt>
                <c:pt idx="19">
                  <c:v>41134</c:v>
                </c:pt>
                <c:pt idx="20">
                  <c:v>41135</c:v>
                </c:pt>
                <c:pt idx="21">
                  <c:v>41136</c:v>
                </c:pt>
                <c:pt idx="22">
                  <c:v>41137</c:v>
                </c:pt>
              </c:numCache>
            </c:numRef>
          </c:cat>
          <c:val>
            <c:numRef>
              <c:f>'portfolio Analysis2'!$W$1181:$W$1203</c:f>
              <c:numCache>
                <c:formatCode>G/通用格式</c:formatCode>
                <c:ptCount val="23"/>
                <c:pt idx="0">
                  <c:v>-0.10324235099930494</c:v>
                </c:pt>
                <c:pt idx="1">
                  <c:v>-2.5507803546831603E-3</c:v>
                </c:pt>
                <c:pt idx="2">
                  <c:v>-0.11101657692647157</c:v>
                </c:pt>
                <c:pt idx="3">
                  <c:v>-8.0942698026005899E-2</c:v>
                </c:pt>
                <c:pt idx="4">
                  <c:v>-0.1059608692310597</c:v>
                </c:pt>
                <c:pt idx="5">
                  <c:v>-0.1579755255666335</c:v>
                </c:pt>
                <c:pt idx="6">
                  <c:v>-5.4115497627274231E-2</c:v>
                </c:pt>
                <c:pt idx="7">
                  <c:v>-0.15570398838039595</c:v>
                </c:pt>
                <c:pt idx="8">
                  <c:v>-0.19410739113230427</c:v>
                </c:pt>
                <c:pt idx="9">
                  <c:v>-9.322180754205088E-2</c:v>
                </c:pt>
                <c:pt idx="10">
                  <c:v>-8.8247765330355651E-2</c:v>
                </c:pt>
                <c:pt idx="11">
                  <c:v>-0.11455043058631051</c:v>
                </c:pt>
                <c:pt idx="12">
                  <c:v>-0.10286510855763945</c:v>
                </c:pt>
                <c:pt idx="13">
                  <c:v>-0.15065674969285464</c:v>
                </c:pt>
                <c:pt idx="14">
                  <c:v>-8.1528484846842122E-2</c:v>
                </c:pt>
                <c:pt idx="15">
                  <c:v>-0.15361879676722803</c:v>
                </c:pt>
                <c:pt idx="16">
                  <c:v>-8.1587281382828516E-2</c:v>
                </c:pt>
                <c:pt idx="17">
                  <c:v>-9.8919364396373638E-2</c:v>
                </c:pt>
                <c:pt idx="18">
                  <c:v>1.742593288347194E-4</c:v>
                </c:pt>
                <c:pt idx="19">
                  <c:v>-1.8423249640040058E-2</c:v>
                </c:pt>
                <c:pt idx="20">
                  <c:v>-2.2023763983549126E-2</c:v>
                </c:pt>
                <c:pt idx="21">
                  <c:v>-1.8077184440448091E-2</c:v>
                </c:pt>
                <c:pt idx="22">
                  <c:v>2.0013130997778787E-2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0448"/>
        <c:axId val="491801984"/>
      </c:lineChart>
      <c:dateAx>
        <c:axId val="491800448"/>
        <c:scaling>
          <c:orientation val="minMax"/>
        </c:scaling>
        <c:delete val="0"/>
        <c:axPos val="b"/>
        <c:numFmt formatCode="yyyy-m-d" sourceLinked="1"/>
        <c:majorTickMark val="none"/>
        <c:minorTickMark val="none"/>
        <c:tickLblPos val="nextTo"/>
        <c:crossAx val="491801984"/>
        <c:crosses val="autoZero"/>
        <c:auto val="1"/>
        <c:lblOffset val="100"/>
        <c:baseTimeUnit val="days"/>
        <c:majorUnit val="5"/>
        <c:majorTimeUnit val="days"/>
      </c:dateAx>
      <c:valAx>
        <c:axId val="491801984"/>
        <c:scaling>
          <c:orientation val="minMax"/>
          <c:max val="5.000000000000001E-2"/>
          <c:min val="-0.45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en-US" altLang="zh-CN"/>
                  <a:t>P/L</a:t>
                </a:r>
                <a:r>
                  <a:rPr lang="zh-CN" altLang="en-US"/>
                  <a:t>（百万）</a:t>
                </a:r>
              </a:p>
            </c:rich>
          </c:tx>
          <c:overlay val="0"/>
        </c:title>
        <c:numFmt formatCode="G/通用格式" sourceLinked="1"/>
        <c:majorTickMark val="none"/>
        <c:minorTickMark val="none"/>
        <c:tickLblPos val="nextTo"/>
        <c:crossAx val="491800448"/>
        <c:crosses val="autoZero"/>
        <c:crossBetween val="between"/>
        <c:majorUnit val="0.1"/>
      </c:valAx>
    </c:plotArea>
    <c:legend>
      <c:legendPos val="b"/>
      <c:layout>
        <c:manualLayout>
          <c:xMode val="edge"/>
          <c:yMode val="edge"/>
          <c:x val="0.34434390030997164"/>
          <c:y val="0.73616685834613915"/>
          <c:w val="0.37393254015953992"/>
          <c:h val="4.760225801517033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互换与国债期货结合对冲</c:v>
          </c:tx>
          <c:xVal>
            <c:numRef>
              <c:f>'portfolio Analysis2'!$V$1216:$V$1221</c:f>
              <c:numCache>
                <c:formatCode>G/通用格式</c:formatCode>
                <c:ptCount val="6"/>
                <c:pt idx="0">
                  <c:v>5.1931360823953852E-2</c:v>
                </c:pt>
                <c:pt idx="1">
                  <c:v>5.4061830745712129E-2</c:v>
                </c:pt>
                <c:pt idx="2">
                  <c:v>5.6377712575264034E-2</c:v>
                </c:pt>
                <c:pt idx="3">
                  <c:v>6.1964016806364729E-2</c:v>
                </c:pt>
                <c:pt idx="4">
                  <c:v>6.67452568825736E-2</c:v>
                </c:pt>
                <c:pt idx="5">
                  <c:v>7.4507045417806964E-2</c:v>
                </c:pt>
              </c:numCache>
            </c:numRef>
          </c:xVal>
          <c:yVal>
            <c:numRef>
              <c:f>'portfolio Analysis2'!$W$1216:$W$1221</c:f>
              <c:numCache>
                <c:formatCode>G/通用格式</c:formatCode>
                <c:ptCount val="6"/>
                <c:pt idx="0">
                  <c:v>-3.3828588427609503E-2</c:v>
                </c:pt>
                <c:pt idx="1">
                  <c:v>-2.9777287149152787E-3</c:v>
                </c:pt>
                <c:pt idx="2">
                  <c:v>2.0013130997778787E-2</c:v>
                </c:pt>
                <c:pt idx="3">
                  <c:v>5.0863990710472852E-2</c:v>
                </c:pt>
                <c:pt idx="4">
                  <c:v>7.3854850423166987E-2</c:v>
                </c:pt>
                <c:pt idx="5">
                  <c:v>0.10470571013586116</c:v>
                </c:pt>
              </c:numCache>
            </c:numRef>
          </c:yVal>
          <c:smooth val="1"/>
        </c:ser>
        <c:ser>
          <c:idx val="1"/>
          <c:order val="1"/>
          <c:tx>
            <c:v>国债期货DV01对冲</c:v>
          </c:tx>
          <c:xVal>
            <c:numRef>
              <c:f>'portfolio Analysis2'!$O$1217:$T$1217</c:f>
              <c:numCache>
                <c:formatCode>G/通用格式</c:formatCode>
                <c:ptCount val="6"/>
                <c:pt idx="0">
                  <c:v>5.0721414616467606E-2</c:v>
                </c:pt>
                <c:pt idx="1">
                  <c:v>5.4471186535159546E-2</c:v>
                </c:pt>
                <c:pt idx="2">
                  <c:v>5.74275533360952E-2</c:v>
                </c:pt>
                <c:pt idx="3">
                  <c:v>6.2417279492006643E-2</c:v>
                </c:pt>
                <c:pt idx="4">
                  <c:v>6.6048670859038733E-2</c:v>
                </c:pt>
                <c:pt idx="5">
                  <c:v>7.1860729570604256E-2</c:v>
                </c:pt>
              </c:numCache>
            </c:numRef>
          </c:xVal>
          <c:yVal>
            <c:numRef>
              <c:f>'portfolio Analysis2'!$O$1218:$T$1218</c:f>
              <c:numCache>
                <c:formatCode>G/通用格式</c:formatCode>
                <c:ptCount val="6"/>
                <c:pt idx="0">
                  <c:v>-4.3666000000001218E-2</c:v>
                </c:pt>
                <c:pt idx="1">
                  <c:v>-2.0086000000001089E-2</c:v>
                </c:pt>
                <c:pt idx="2">
                  <c:v>-4.3660000000011329E-3</c:v>
                </c:pt>
                <c:pt idx="3">
                  <c:v>1.921399999999893E-2</c:v>
                </c:pt>
                <c:pt idx="4">
                  <c:v>3.4933999999998917E-2</c:v>
                </c:pt>
                <c:pt idx="5">
                  <c:v>5.851399999999897E-2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38080"/>
        <c:axId val="491840256"/>
      </c:scatterChart>
      <c:valAx>
        <c:axId val="491838080"/>
        <c:scaling>
          <c:orientation val="minMax"/>
          <c:min val="5.000000000000001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标准差（百万）</a:t>
                </a:r>
              </a:p>
            </c:rich>
          </c:tx>
          <c:layout>
            <c:manualLayout>
              <c:xMode val="edge"/>
              <c:yMode val="edge"/>
              <c:x val="0.36655374912668293"/>
              <c:y val="0.74823589587902206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491840256"/>
        <c:crosses val="autoZero"/>
        <c:crossBetween val="midCat"/>
        <c:majorUnit val="1.0000000000000002E-2"/>
      </c:valAx>
      <c:valAx>
        <c:axId val="491840256"/>
        <c:scaling>
          <c:orientation val="minMax"/>
          <c:min val="-4.0000000000000008E-2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en-US" altLang="zh-CN"/>
                  <a:t>P/L</a:t>
                </a:r>
                <a:r>
                  <a:rPr lang="zh-CN" altLang="en-US"/>
                  <a:t>（百万）</a:t>
                </a:r>
              </a:p>
            </c:rich>
          </c:tx>
          <c:overlay val="0"/>
        </c:title>
        <c:numFmt formatCode="G/通用格式" sourceLinked="1"/>
        <c:majorTickMark val="none"/>
        <c:minorTickMark val="none"/>
        <c:tickLblPos val="nextTo"/>
        <c:crossAx val="491838080"/>
        <c:crosses val="max"/>
        <c:crossBetween val="midCat"/>
        <c:majorUnit val="4.0000000000000008E-2"/>
      </c:valAx>
    </c:plotArea>
    <c:legend>
      <c:legendPos val="b"/>
      <c:layout>
        <c:manualLayout>
          <c:xMode val="edge"/>
          <c:yMode val="edge"/>
          <c:x val="3.6071300439962997E-2"/>
          <c:y val="4.6670277466541531E-2"/>
          <c:w val="0.69054683812005502"/>
          <c:h val="6.7821512295127964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收益率曲线非平行移动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Sheet1!$R$6</c:f>
              <c:strCache>
                <c:ptCount val="1"/>
                <c:pt idx="0">
                  <c:v>收益率</c:v>
                </c:pt>
              </c:strCache>
            </c:strRef>
          </c:tx>
          <c:marker>
            <c:symbol val="square"/>
            <c:size val="5"/>
          </c:marker>
          <c:cat>
            <c:numRef>
              <c:f>Sheet1!$Q$7:$Q$21</c:f>
              <c:numCache>
                <c:formatCode>G/通用格式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Sheet1!$R$7:$R$21</c:f>
              <c:numCache>
                <c:formatCode>0%</c:formatCode>
                <c:ptCount val="15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5.5E-2</c:v>
                </c:pt>
                <c:pt idx="10">
                  <c:v>0.06</c:v>
                </c:pt>
                <c:pt idx="11">
                  <c:v>6.5000000000000002E-2</c:v>
                </c:pt>
                <c:pt idx="12">
                  <c:v>7.0000000000000007E-2</c:v>
                </c:pt>
                <c:pt idx="13">
                  <c:v>7.4999999999999997E-2</c:v>
                </c:pt>
                <c:pt idx="14">
                  <c:v>0.08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Sheet1!$S$6</c:f>
              <c:strCache>
                <c:ptCount val="1"/>
                <c:pt idx="0">
                  <c:v>收益率曲线转动</c:v>
                </c:pt>
              </c:strCache>
            </c:strRef>
          </c:tx>
          <c:spPr>
            <a:ln>
              <a:prstDash val="sysDash"/>
            </a:ln>
          </c:spPr>
          <c:val>
            <c:numRef>
              <c:f>Sheet1!$S$7:$S$21</c:f>
              <c:numCache>
                <c:formatCode>0%</c:formatCode>
                <c:ptCount val="15"/>
                <c:pt idx="0">
                  <c:v>5.0000000000000001E-3</c:v>
                </c:pt>
                <c:pt idx="1">
                  <c:v>1.0999999999999999E-2</c:v>
                </c:pt>
                <c:pt idx="2">
                  <c:v>1.7000000000000001E-2</c:v>
                </c:pt>
                <c:pt idx="3">
                  <c:v>2.3E-2</c:v>
                </c:pt>
                <c:pt idx="4">
                  <c:v>2.9000000000000001E-2</c:v>
                </c:pt>
                <c:pt idx="5">
                  <c:v>3.5000000000000003E-2</c:v>
                </c:pt>
                <c:pt idx="6">
                  <c:v>4.1000000000000002E-2</c:v>
                </c:pt>
                <c:pt idx="7">
                  <c:v>4.7E-2</c:v>
                </c:pt>
                <c:pt idx="8">
                  <c:v>5.2999999999999999E-2</c:v>
                </c:pt>
                <c:pt idx="9">
                  <c:v>5.8999999999999997E-2</c:v>
                </c:pt>
                <c:pt idx="10">
                  <c:v>6.5000000000000002E-2</c:v>
                </c:pt>
                <c:pt idx="11">
                  <c:v>7.0999999999999994E-2</c:v>
                </c:pt>
                <c:pt idx="12">
                  <c:v>7.6999999999999999E-2</c:v>
                </c:pt>
                <c:pt idx="13">
                  <c:v>8.3000000000000004E-2</c:v>
                </c:pt>
                <c:pt idx="14">
                  <c:v>8.8999999999999996E-2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959424"/>
        <c:axId val="493965696"/>
      </c:lineChart>
      <c:catAx>
        <c:axId val="493959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overlay val="0"/>
        </c:title>
        <c:numFmt formatCode="G/通用格式" sourceLinked="1"/>
        <c:majorTickMark val="none"/>
        <c:minorTickMark val="none"/>
        <c:tickLblPos val="nextTo"/>
        <c:crossAx val="493965696"/>
        <c:crosses val="autoZero"/>
        <c:auto val="1"/>
        <c:lblAlgn val="ctr"/>
        <c:lblOffset val="100"/>
        <c:noMultiLvlLbl val="0"/>
      </c:catAx>
      <c:valAx>
        <c:axId val="49396569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crossAx val="493959424"/>
        <c:crosses val="autoZero"/>
        <c:crossBetween val="between"/>
        <c:majorUnit val="2.0000000000000004E-2"/>
      </c:valAx>
    </c:plotArea>
    <c:legend>
      <c:legendPos val="b"/>
      <c:layout>
        <c:manualLayout>
          <c:xMode val="edge"/>
          <c:yMode val="edge"/>
          <c:x val="0.31169230769230766"/>
          <c:y val="0.69872169813918261"/>
          <c:w val="0.40371517027863779"/>
          <c:h val="4.732197002713173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2457450</xdr:colOff>
      <xdr:row>5</xdr:row>
      <xdr:rowOff>147636</xdr:rowOff>
    </xdr:from>
    <xdr:to>
      <xdr:col>12</xdr:col>
      <xdr:colOff>190500</xdr:colOff>
      <xdr:row>35</xdr:row>
      <xdr:rowOff>171449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730029</xdr:colOff>
      <xdr:row>38</xdr:row>
      <xdr:rowOff>23812</xdr:rowOff>
    </xdr:from>
    <xdr:to>
      <xdr:col>10</xdr:col>
      <xdr:colOff>533399</xdr:colOff>
      <xdr:row>63</xdr:row>
      <xdr:rowOff>161925</xdr:rowOff>
    </xdr:to>
    <xdr:grpSp>
      <xdr:nvGrpSpPr>
        <xdr:cNvPr id="13" name="组合 12"/>
        <xdr:cNvGrpSpPr/>
      </xdr:nvGrpSpPr>
      <xdr:grpSpPr>
        <a:xfrm>
          <a:off x="4463829" y="7262812"/>
          <a:ext cx="10147520" cy="4900613"/>
          <a:chOff x="7524750" y="1327616"/>
          <a:chExt cx="9560566" cy="4948238"/>
        </a:xfrm>
      </xdr:grpSpPr>
      <xdr:graphicFrame macro="">
        <xdr:nvGraphicFramePr>
          <xdr:cNvPr id="2" name="图表 1"/>
          <xdr:cNvGraphicFramePr/>
        </xdr:nvGraphicFramePr>
        <xdr:xfrm>
          <a:off x="9017641" y="1327616"/>
          <a:ext cx="8067675" cy="49482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9" name="直接箭头连接符 8"/>
          <xdr:cNvCxnSpPr/>
        </xdr:nvCxnSpPr>
        <xdr:spPr>
          <a:xfrm flipV="1">
            <a:off x="7524750" y="4257675"/>
            <a:ext cx="0" cy="1095375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0" name="TextBox 9"/>
          <xdr:cNvSpPr txBox="1"/>
        </xdr:nvSpPr>
        <xdr:spPr>
          <a:xfrm>
            <a:off x="7572375" y="5381626"/>
            <a:ext cx="1333500" cy="3619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平行移动</a:t>
            </a:r>
            <a:r>
              <a:rPr lang="en-US" altLang="zh-CN" sz="1100"/>
              <a:t>50</a:t>
            </a:r>
            <a:r>
              <a:rPr lang="zh-CN" altLang="en-US" sz="1100"/>
              <a:t>个基点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</xdr:colOff>
      <xdr:row>7</xdr:row>
      <xdr:rowOff>76199</xdr:rowOff>
    </xdr:from>
    <xdr:to>
      <xdr:col>9</xdr:col>
      <xdr:colOff>285749</xdr:colOff>
      <xdr:row>38</xdr:row>
      <xdr:rowOff>9525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33336</xdr:rowOff>
    </xdr:from>
    <xdr:to>
      <xdr:col>3</xdr:col>
      <xdr:colOff>1952625</xdr:colOff>
      <xdr:row>37</xdr:row>
      <xdr:rowOff>95249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28</xdr:row>
      <xdr:rowOff>123825</xdr:rowOff>
    </xdr:from>
    <xdr:to>
      <xdr:col>16</xdr:col>
      <xdr:colOff>533400</xdr:colOff>
      <xdr:row>30</xdr:row>
      <xdr:rowOff>66675</xdr:rowOff>
    </xdr:to>
    <xdr:sp macro="" textlink="">
      <xdr:nvSpPr>
        <xdr:cNvPr id="2" name="椭圆 1"/>
        <xdr:cNvSpPr/>
      </xdr:nvSpPr>
      <xdr:spPr>
        <a:xfrm>
          <a:off x="15230475" y="5457825"/>
          <a:ext cx="48577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47625</xdr:colOff>
      <xdr:row>28</xdr:row>
      <xdr:rowOff>123825</xdr:rowOff>
    </xdr:from>
    <xdr:to>
      <xdr:col>16</xdr:col>
      <xdr:colOff>533400</xdr:colOff>
      <xdr:row>30</xdr:row>
      <xdr:rowOff>66675</xdr:rowOff>
    </xdr:to>
    <xdr:sp macro="" textlink="">
      <xdr:nvSpPr>
        <xdr:cNvPr id="4" name="椭圆 3"/>
        <xdr:cNvSpPr/>
      </xdr:nvSpPr>
      <xdr:spPr>
        <a:xfrm>
          <a:off x="15230475" y="5457825"/>
          <a:ext cx="48577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219075</xdr:colOff>
      <xdr:row>23</xdr:row>
      <xdr:rowOff>104775</xdr:rowOff>
    </xdr:from>
    <xdr:to>
      <xdr:col>15</xdr:col>
      <xdr:colOff>1238250</xdr:colOff>
      <xdr:row>31</xdr:row>
      <xdr:rowOff>0</xdr:rowOff>
    </xdr:to>
    <xdr:sp macro="" textlink="">
      <xdr:nvSpPr>
        <xdr:cNvPr id="5" name="椭圆 4"/>
        <xdr:cNvSpPr/>
      </xdr:nvSpPr>
      <xdr:spPr>
        <a:xfrm>
          <a:off x="16573500" y="4486275"/>
          <a:ext cx="2486025" cy="1438275"/>
        </a:xfrm>
        <a:prstGeom prst="ellipse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19050</xdr:colOff>
      <xdr:row>56</xdr:row>
      <xdr:rowOff>142875</xdr:rowOff>
    </xdr:from>
    <xdr:to>
      <xdr:col>18</xdr:col>
      <xdr:colOff>495300</xdr:colOff>
      <xdr:row>58</xdr:row>
      <xdr:rowOff>85725</xdr:rowOff>
    </xdr:to>
    <xdr:sp macro="" textlink="">
      <xdr:nvSpPr>
        <xdr:cNvPr id="6" name="椭圆 5"/>
        <xdr:cNvSpPr/>
      </xdr:nvSpPr>
      <xdr:spPr>
        <a:xfrm>
          <a:off x="18326100" y="10829925"/>
          <a:ext cx="476250" cy="333375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19050</xdr:colOff>
      <xdr:row>66</xdr:row>
      <xdr:rowOff>123825</xdr:rowOff>
    </xdr:from>
    <xdr:to>
      <xdr:col>18</xdr:col>
      <xdr:colOff>495300</xdr:colOff>
      <xdr:row>68</xdr:row>
      <xdr:rowOff>66675</xdr:rowOff>
    </xdr:to>
    <xdr:sp macro="" textlink="">
      <xdr:nvSpPr>
        <xdr:cNvPr id="7" name="椭圆 6"/>
        <xdr:cNvSpPr/>
      </xdr:nvSpPr>
      <xdr:spPr>
        <a:xfrm>
          <a:off x="21574125" y="10810875"/>
          <a:ext cx="476250" cy="333375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647700</xdr:colOff>
      <xdr:row>63</xdr:row>
      <xdr:rowOff>57150</xdr:rowOff>
    </xdr:from>
    <xdr:to>
      <xdr:col>16</xdr:col>
      <xdr:colOff>361950</xdr:colOff>
      <xdr:row>65</xdr:row>
      <xdr:rowOff>28575</xdr:rowOff>
    </xdr:to>
    <xdr:sp macro="" textlink="">
      <xdr:nvSpPr>
        <xdr:cNvPr id="8" name="TextBox 7"/>
        <xdr:cNvSpPr txBox="1"/>
      </xdr:nvSpPr>
      <xdr:spPr>
        <a:xfrm>
          <a:off x="18468975" y="12087225"/>
          <a:ext cx="1162050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rgbClr val="FF0000"/>
              </a:solidFill>
            </a:rPr>
            <a:t>总风险变小了！</a:t>
          </a:r>
        </a:p>
      </xdr:txBody>
    </xdr:sp>
    <xdr:clientData/>
  </xdr:twoCellAnchor>
  <xdr:twoCellAnchor>
    <xdr:from>
      <xdr:col>16</xdr:col>
      <xdr:colOff>361950</xdr:colOff>
      <xdr:row>64</xdr:row>
      <xdr:rowOff>42863</xdr:rowOff>
    </xdr:from>
    <xdr:to>
      <xdr:col>17</xdr:col>
      <xdr:colOff>638175</xdr:colOff>
      <xdr:row>66</xdr:row>
      <xdr:rowOff>123825</xdr:rowOff>
    </xdr:to>
    <xdr:cxnSp macro="">
      <xdr:nvCxnSpPr>
        <xdr:cNvPr id="12" name="直接箭头连接符 11"/>
        <xdr:cNvCxnSpPr>
          <a:stCxn id="8" idx="3"/>
        </xdr:cNvCxnSpPr>
      </xdr:nvCxnSpPr>
      <xdr:spPr>
        <a:xfrm>
          <a:off x="19631025" y="12263438"/>
          <a:ext cx="962025" cy="461962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78</xdr:row>
      <xdr:rowOff>133350</xdr:rowOff>
    </xdr:from>
    <xdr:to>
      <xdr:col>18</xdr:col>
      <xdr:colOff>485775</xdr:colOff>
      <xdr:row>80</xdr:row>
      <xdr:rowOff>76200</xdr:rowOff>
    </xdr:to>
    <xdr:sp macro="" textlink="">
      <xdr:nvSpPr>
        <xdr:cNvPr id="23" name="椭圆 22"/>
        <xdr:cNvSpPr/>
      </xdr:nvSpPr>
      <xdr:spPr>
        <a:xfrm>
          <a:off x="20259675" y="1235392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88</xdr:row>
      <xdr:rowOff>133350</xdr:rowOff>
    </xdr:from>
    <xdr:to>
      <xdr:col>18</xdr:col>
      <xdr:colOff>476250</xdr:colOff>
      <xdr:row>90</xdr:row>
      <xdr:rowOff>76200</xdr:rowOff>
    </xdr:to>
    <xdr:sp macro="" textlink="">
      <xdr:nvSpPr>
        <xdr:cNvPr id="24" name="椭圆 23"/>
        <xdr:cNvSpPr/>
      </xdr:nvSpPr>
      <xdr:spPr>
        <a:xfrm>
          <a:off x="23498175" y="1235392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361950</xdr:colOff>
      <xdr:row>58</xdr:row>
      <xdr:rowOff>28575</xdr:rowOff>
    </xdr:from>
    <xdr:to>
      <xdr:col>17</xdr:col>
      <xdr:colOff>657225</xdr:colOff>
      <xdr:row>63</xdr:row>
      <xdr:rowOff>104775</xdr:rowOff>
    </xdr:to>
    <xdr:cxnSp macro="">
      <xdr:nvCxnSpPr>
        <xdr:cNvPr id="27" name="直接箭头连接符 26"/>
        <xdr:cNvCxnSpPr/>
      </xdr:nvCxnSpPr>
      <xdr:spPr>
        <a:xfrm flipV="1">
          <a:off x="19631025" y="11096625"/>
          <a:ext cx="981075" cy="10382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457199</xdr:colOff>
      <xdr:row>81</xdr:row>
      <xdr:rowOff>104775</xdr:rowOff>
    </xdr:from>
    <xdr:to>
      <xdr:col>16</xdr:col>
      <xdr:colOff>485774</xdr:colOff>
      <xdr:row>83</xdr:row>
      <xdr:rowOff>0</xdr:rowOff>
    </xdr:to>
    <xdr:sp macro="" textlink="">
      <xdr:nvSpPr>
        <xdr:cNvPr id="29" name="TextBox 28"/>
        <xdr:cNvSpPr txBox="1"/>
      </xdr:nvSpPr>
      <xdr:spPr>
        <a:xfrm>
          <a:off x="18278474" y="15573375"/>
          <a:ext cx="14763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rgbClr val="FF0000"/>
              </a:solidFill>
            </a:rPr>
            <a:t>2</a:t>
          </a:r>
          <a:r>
            <a:rPr lang="zh-CN" altLang="en-US" sz="1100" b="1">
              <a:solidFill>
                <a:srgbClr val="FF0000"/>
              </a:solidFill>
            </a:rPr>
            <a:t>年期风险变增大了！</a:t>
          </a:r>
        </a:p>
      </xdr:txBody>
    </xdr:sp>
    <xdr:clientData/>
  </xdr:twoCellAnchor>
  <xdr:twoCellAnchor>
    <xdr:from>
      <xdr:col>16</xdr:col>
      <xdr:colOff>409575</xdr:colOff>
      <xdr:row>79</xdr:row>
      <xdr:rowOff>133350</xdr:rowOff>
    </xdr:from>
    <xdr:to>
      <xdr:col>17</xdr:col>
      <xdr:colOff>561975</xdr:colOff>
      <xdr:row>81</xdr:row>
      <xdr:rowOff>95250</xdr:rowOff>
    </xdr:to>
    <xdr:cxnSp macro="">
      <xdr:nvCxnSpPr>
        <xdr:cNvPr id="31" name="直接箭头连接符 30"/>
        <xdr:cNvCxnSpPr/>
      </xdr:nvCxnSpPr>
      <xdr:spPr>
        <a:xfrm flipV="1">
          <a:off x="19678650" y="15220950"/>
          <a:ext cx="838200" cy="3429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390525</xdr:colOff>
      <xdr:row>83</xdr:row>
      <xdr:rowOff>76200</xdr:rowOff>
    </xdr:from>
    <xdr:to>
      <xdr:col>17</xdr:col>
      <xdr:colOff>609600</xdr:colOff>
      <xdr:row>88</xdr:row>
      <xdr:rowOff>142875</xdr:rowOff>
    </xdr:to>
    <xdr:cxnSp macro="">
      <xdr:nvCxnSpPr>
        <xdr:cNvPr id="33" name="直接箭头连接符 32"/>
        <xdr:cNvCxnSpPr/>
      </xdr:nvCxnSpPr>
      <xdr:spPr>
        <a:xfrm>
          <a:off x="19659600" y="15925800"/>
          <a:ext cx="904875" cy="10287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142874</xdr:colOff>
      <xdr:row>1211</xdr:row>
      <xdr:rowOff>133350</xdr:rowOff>
    </xdr:from>
    <xdr:to>
      <xdr:col>10</xdr:col>
      <xdr:colOff>180975</xdr:colOff>
      <xdr:row>1235</xdr:row>
      <xdr:rowOff>171450</xdr:rowOff>
    </xdr:to>
    <xdr:graphicFrame macro="">
      <xdr:nvGraphicFramePr>
        <xdr:cNvPr id="19" name="图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352425</xdr:colOff>
      <xdr:row>56</xdr:row>
      <xdr:rowOff>123825</xdr:rowOff>
    </xdr:from>
    <xdr:to>
      <xdr:col>18</xdr:col>
      <xdr:colOff>828675</xdr:colOff>
      <xdr:row>58</xdr:row>
      <xdr:rowOff>66675</xdr:rowOff>
    </xdr:to>
    <xdr:sp macro="" textlink="">
      <xdr:nvSpPr>
        <xdr:cNvPr id="5" name="椭圆 4"/>
        <xdr:cNvSpPr/>
      </xdr:nvSpPr>
      <xdr:spPr>
        <a:xfrm>
          <a:off x="24669750" y="1081087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419100</xdr:colOff>
      <xdr:row>66</xdr:row>
      <xdr:rowOff>152400</xdr:rowOff>
    </xdr:from>
    <xdr:to>
      <xdr:col>18</xdr:col>
      <xdr:colOff>895350</xdr:colOff>
      <xdr:row>68</xdr:row>
      <xdr:rowOff>95250</xdr:rowOff>
    </xdr:to>
    <xdr:sp macro="" textlink="">
      <xdr:nvSpPr>
        <xdr:cNvPr id="6" name="椭圆 5"/>
        <xdr:cNvSpPr/>
      </xdr:nvSpPr>
      <xdr:spPr>
        <a:xfrm>
          <a:off x="24736425" y="1275397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647700</xdr:colOff>
      <xdr:row>63</xdr:row>
      <xdr:rowOff>57150</xdr:rowOff>
    </xdr:from>
    <xdr:to>
      <xdr:col>16</xdr:col>
      <xdr:colOff>361950</xdr:colOff>
      <xdr:row>65</xdr:row>
      <xdr:rowOff>28575</xdr:rowOff>
    </xdr:to>
    <xdr:sp macro="" textlink="">
      <xdr:nvSpPr>
        <xdr:cNvPr id="7" name="TextBox 6"/>
        <xdr:cNvSpPr txBox="1"/>
      </xdr:nvSpPr>
      <xdr:spPr>
        <a:xfrm>
          <a:off x="18468975" y="12087225"/>
          <a:ext cx="1162050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rgbClr val="FF0000"/>
              </a:solidFill>
            </a:rPr>
            <a:t>总风险变小了！</a:t>
          </a:r>
        </a:p>
      </xdr:txBody>
    </xdr:sp>
    <xdr:clientData/>
  </xdr:twoCellAnchor>
  <xdr:twoCellAnchor>
    <xdr:from>
      <xdr:col>16</xdr:col>
      <xdr:colOff>933450</xdr:colOff>
      <xdr:row>63</xdr:row>
      <xdr:rowOff>157163</xdr:rowOff>
    </xdr:from>
    <xdr:to>
      <xdr:col>18</xdr:col>
      <xdr:colOff>9525</xdr:colOff>
      <xdr:row>66</xdr:row>
      <xdr:rowOff>47625</xdr:rowOff>
    </xdr:to>
    <xdr:cxnSp macro="">
      <xdr:nvCxnSpPr>
        <xdr:cNvPr id="8" name="直接箭头连接符 7"/>
        <xdr:cNvCxnSpPr/>
      </xdr:nvCxnSpPr>
      <xdr:spPr>
        <a:xfrm>
          <a:off x="23050500" y="12187238"/>
          <a:ext cx="1276350" cy="461962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209550</xdr:colOff>
      <xdr:row>78</xdr:row>
      <xdr:rowOff>123825</xdr:rowOff>
    </xdr:from>
    <xdr:to>
      <xdr:col>18</xdr:col>
      <xdr:colOff>600075</xdr:colOff>
      <xdr:row>80</xdr:row>
      <xdr:rowOff>66675</xdr:rowOff>
    </xdr:to>
    <xdr:sp macro="" textlink="">
      <xdr:nvSpPr>
        <xdr:cNvPr id="9" name="椭圆 8"/>
        <xdr:cNvSpPr/>
      </xdr:nvSpPr>
      <xdr:spPr>
        <a:xfrm>
          <a:off x="22621875" y="15020925"/>
          <a:ext cx="39052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200025</xdr:colOff>
      <xdr:row>88</xdr:row>
      <xdr:rowOff>133350</xdr:rowOff>
    </xdr:from>
    <xdr:to>
      <xdr:col>18</xdr:col>
      <xdr:colOff>590550</xdr:colOff>
      <xdr:row>90</xdr:row>
      <xdr:rowOff>76200</xdr:rowOff>
    </xdr:to>
    <xdr:sp macro="" textlink="">
      <xdr:nvSpPr>
        <xdr:cNvPr id="10" name="椭圆 9"/>
        <xdr:cNvSpPr/>
      </xdr:nvSpPr>
      <xdr:spPr>
        <a:xfrm>
          <a:off x="22612350" y="16944975"/>
          <a:ext cx="39052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904875</xdr:colOff>
      <xdr:row>57</xdr:row>
      <xdr:rowOff>47625</xdr:rowOff>
    </xdr:from>
    <xdr:to>
      <xdr:col>18</xdr:col>
      <xdr:colOff>0</xdr:colOff>
      <xdr:row>62</xdr:row>
      <xdr:rowOff>123825</xdr:rowOff>
    </xdr:to>
    <xdr:cxnSp macro="">
      <xdr:nvCxnSpPr>
        <xdr:cNvPr id="11" name="直接箭头连接符 10"/>
        <xdr:cNvCxnSpPr/>
      </xdr:nvCxnSpPr>
      <xdr:spPr>
        <a:xfrm flipV="1">
          <a:off x="23021925" y="10925175"/>
          <a:ext cx="1295400" cy="10382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962025</xdr:colOff>
      <xdr:row>81</xdr:row>
      <xdr:rowOff>161925</xdr:rowOff>
    </xdr:from>
    <xdr:to>
      <xdr:col>17</xdr:col>
      <xdr:colOff>295276</xdr:colOff>
      <xdr:row>83</xdr:row>
      <xdr:rowOff>114300</xdr:rowOff>
    </xdr:to>
    <xdr:sp macro="" textlink="">
      <xdr:nvSpPr>
        <xdr:cNvPr id="12" name="TextBox 11"/>
        <xdr:cNvSpPr txBox="1"/>
      </xdr:nvSpPr>
      <xdr:spPr>
        <a:xfrm>
          <a:off x="22088475" y="15630525"/>
          <a:ext cx="1323976" cy="333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rgbClr val="FF0000"/>
              </a:solidFill>
            </a:rPr>
            <a:t>2</a:t>
          </a:r>
          <a:r>
            <a:rPr lang="zh-CN" altLang="en-US" sz="1100" b="1">
              <a:solidFill>
                <a:srgbClr val="FF0000"/>
              </a:solidFill>
            </a:rPr>
            <a:t>年期风险减小！</a:t>
          </a:r>
        </a:p>
      </xdr:txBody>
    </xdr:sp>
    <xdr:clientData/>
  </xdr:twoCellAnchor>
  <xdr:twoCellAnchor>
    <xdr:from>
      <xdr:col>17</xdr:col>
      <xdr:colOff>238125</xdr:colOff>
      <xdr:row>80</xdr:row>
      <xdr:rowOff>95250</xdr:rowOff>
    </xdr:from>
    <xdr:to>
      <xdr:col>18</xdr:col>
      <xdr:colOff>190500</xdr:colOff>
      <xdr:row>82</xdr:row>
      <xdr:rowOff>57150</xdr:rowOff>
    </xdr:to>
    <xdr:cxnSp macro="">
      <xdr:nvCxnSpPr>
        <xdr:cNvPr id="13" name="直接箭头连接符 12"/>
        <xdr:cNvCxnSpPr/>
      </xdr:nvCxnSpPr>
      <xdr:spPr>
        <a:xfrm flipV="1">
          <a:off x="23355300" y="15373350"/>
          <a:ext cx="1152525" cy="3429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83</xdr:row>
      <xdr:rowOff>114300</xdr:rowOff>
    </xdr:from>
    <xdr:to>
      <xdr:col>18</xdr:col>
      <xdr:colOff>123825</xdr:colOff>
      <xdr:row>88</xdr:row>
      <xdr:rowOff>180975</xdr:rowOff>
    </xdr:to>
    <xdr:cxnSp macro="">
      <xdr:nvCxnSpPr>
        <xdr:cNvPr id="14" name="直接箭头连接符 13"/>
        <xdr:cNvCxnSpPr/>
      </xdr:nvCxnSpPr>
      <xdr:spPr>
        <a:xfrm>
          <a:off x="20631150" y="15963900"/>
          <a:ext cx="838200" cy="10287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142874</xdr:colOff>
      <xdr:row>1211</xdr:row>
      <xdr:rowOff>133350</xdr:rowOff>
    </xdr:from>
    <xdr:to>
      <xdr:col>10</xdr:col>
      <xdr:colOff>180975</xdr:colOff>
      <xdr:row>1235</xdr:row>
      <xdr:rowOff>171450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1628773</xdr:colOff>
      <xdr:row>1175</xdr:row>
      <xdr:rowOff>166686</xdr:rowOff>
    </xdr:from>
    <xdr:to>
      <xdr:col>19</xdr:col>
      <xdr:colOff>314324</xdr:colOff>
      <xdr:row>1201</xdr:row>
      <xdr:rowOff>38100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152400</xdr:colOff>
      <xdr:row>1221</xdr:row>
      <xdr:rowOff>14287</xdr:rowOff>
    </xdr:from>
    <xdr:to>
      <xdr:col>19</xdr:col>
      <xdr:colOff>685800</xdr:colOff>
      <xdr:row>1238</xdr:row>
      <xdr:rowOff>161925</xdr:rowOff>
    </xdr:to>
    <xdr:graphicFrame macro="">
      <xdr:nvGraphicFramePr>
        <xdr:cNvPr id="16" name="图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16</xdr:row>
      <xdr:rowOff>80961</xdr:rowOff>
    </xdr:from>
    <xdr:to>
      <xdr:col>13</xdr:col>
      <xdr:colOff>552450</xdr:colOff>
      <xdr:row>44</xdr:row>
      <xdr:rowOff>133350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0.07077</cdr:x>
      <cdr:y>0.22235</cdr:y>
    </cdr:from>
    <cdr:to>
      <cdr:x>0.30769</cdr:x>
      <cdr:y>0.30217</cdr:y>
    </cdr:to>
    <cdr:sp macro="" textlink="">
      <cdr:nvSpPr>
        <cdr:cNvPr id="2" name="圆角矩形 1"/>
        <cdr:cNvSpPr/>
      </cdr:nvSpPr>
      <cdr:spPr>
        <a:xfrm xmlns:a="http://schemas.openxmlformats.org/drawingml/2006/main">
          <a:off x="438150" y="928689"/>
          <a:ext cx="1466850" cy="33337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 xmlns:a="http://schemas.openxmlformats.org/drawingml/2006/main"/>
        <a:p xmlns:a="http://schemas.openxmlformats.org/drawingml/2006/main">
          <a:pPr algn="ctr"/>
          <a:r>
            <a:rPr lang="zh-CN" altLang="en-US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互换控制短期风险</a:t>
          </a:r>
          <a:endParaRPr lang="zh-CN" b="1" cap="none" spc="0">
            <a:ln w="11430"/>
            <a:gradFill>
              <a:gsLst>
                <a:gs pos="0">
                  <a:schemeClr val="accent6">
                    <a:tint val="90000"/>
                    <a:satMod val="120000"/>
                  </a:schemeClr>
                </a:gs>
                <a:gs pos="25000">
                  <a:schemeClr val="accent6">
                    <a:tint val="93000"/>
                    <a:satMod val="120000"/>
                  </a:schemeClr>
                </a:gs>
                <a:gs pos="50000">
                  <a:schemeClr val="accent6">
                    <a:shade val="89000"/>
                    <a:satMod val="110000"/>
                  </a:schemeClr>
                </a:gs>
                <a:gs pos="75000">
                  <a:schemeClr val="accent6">
                    <a:tint val="93000"/>
                    <a:satMod val="120000"/>
                  </a:schemeClr>
                </a:gs>
                <a:gs pos="100000">
                  <a:schemeClr val="accent6">
                    <a:tint val="90000"/>
                    <a:satMod val="120000"/>
                  </a:schemeClr>
                </a:gs>
              </a:gsLst>
              <a:lin ang="5400000"/>
            </a:gradFill>
            <a:effectLst>
              <a:outerShdw blurRad="80000" dist="40000" dir="5040000" algn="tl">
                <a:srgbClr val="000000">
                  <a:alpha val="3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0.67744</cdr:x>
      <cdr:y>0.28354</cdr:y>
    </cdr:from>
    <cdr:to>
      <cdr:x>0.75744</cdr:x>
      <cdr:y>0.42493</cdr:y>
    </cdr:to>
    <cdr:sp macro="" textlink="">
      <cdr:nvSpPr>
        <cdr:cNvPr id="3" name="椭圆 2"/>
        <cdr:cNvSpPr/>
      </cdr:nvSpPr>
      <cdr:spPr>
        <a:xfrm xmlns:a="http://schemas.openxmlformats.org/drawingml/2006/main">
          <a:off x="4194175" y="1184275"/>
          <a:ext cx="495300" cy="5905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bg2">
              <a:lumMod val="50000"/>
            </a:schemeClr>
          </a:solidFill>
          <a:prstDash val="dashDot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CN" altLang="en-US" sz="1100"/>
        </a:p>
      </cdr:txBody>
    </cdr:sp>
  </cdr:relSizeAnchor>
  <cdr:relSizeAnchor xmlns:cdr="http://schemas.openxmlformats.org/drawingml/2006/chartDrawing">
    <cdr:from>
      <cdr:x>0.73231</cdr:x>
      <cdr:y>0.439</cdr:y>
    </cdr:from>
    <cdr:to>
      <cdr:x>0.73969</cdr:x>
      <cdr:y>0.55758</cdr:y>
    </cdr:to>
    <cdr:sp macro="" textlink="">
      <cdr:nvSpPr>
        <cdr:cNvPr id="4" name="上箭头 3"/>
        <cdr:cNvSpPr/>
      </cdr:nvSpPr>
      <cdr:spPr>
        <a:xfrm xmlns:a="http://schemas.openxmlformats.org/drawingml/2006/main">
          <a:off x="4533900" y="1833564"/>
          <a:ext cx="45719" cy="495300"/>
        </a:xfrm>
        <a:prstGeom xmlns:a="http://schemas.openxmlformats.org/drawingml/2006/main" prst="up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0.67897</cdr:x>
      <cdr:y>0.55948</cdr:y>
    </cdr:from>
    <cdr:to>
      <cdr:x>0.92</cdr:x>
      <cdr:y>0.68985</cdr:y>
    </cdr:to>
    <cdr:sp macro="" textlink="">
      <cdr:nvSpPr>
        <cdr:cNvPr id="5" name="圆角矩形 4"/>
        <cdr:cNvSpPr/>
      </cdr:nvSpPr>
      <cdr:spPr>
        <a:xfrm xmlns:a="http://schemas.openxmlformats.org/drawingml/2006/main">
          <a:off x="4203700" y="2336800"/>
          <a:ext cx="1492250" cy="544514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CN" altLang="en-US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国债期货对冲中长期风险</a:t>
          </a:r>
          <a:endParaRPr lang="zh-CN" b="1" cap="none" spc="0">
            <a:ln w="11430"/>
            <a:gradFill>
              <a:gsLst>
                <a:gs pos="0">
                  <a:schemeClr val="accent6">
                    <a:tint val="90000"/>
                    <a:satMod val="120000"/>
                  </a:schemeClr>
                </a:gs>
                <a:gs pos="25000">
                  <a:schemeClr val="accent6">
                    <a:tint val="93000"/>
                    <a:satMod val="120000"/>
                  </a:schemeClr>
                </a:gs>
                <a:gs pos="50000">
                  <a:schemeClr val="accent6">
                    <a:shade val="89000"/>
                    <a:satMod val="110000"/>
                  </a:schemeClr>
                </a:gs>
                <a:gs pos="75000">
                  <a:schemeClr val="accent6">
                    <a:tint val="93000"/>
                    <a:satMod val="120000"/>
                  </a:schemeClr>
                </a:gs>
                <a:gs pos="100000">
                  <a:schemeClr val="accent6">
                    <a:tint val="90000"/>
                    <a:satMod val="120000"/>
                  </a:schemeClr>
                </a:gs>
              </a:gsLst>
              <a:lin ang="5400000"/>
            </a:gradFill>
            <a:effectLst>
              <a:outerShdw blurRad="80000" dist="40000" dir="5040000" algn="tl">
                <a:srgbClr val="000000">
                  <a:alpha val="30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0.1359</cdr:x>
      <cdr:y>0.61422</cdr:y>
    </cdr:from>
    <cdr:to>
      <cdr:x>0.2159</cdr:x>
      <cdr:y>0.75561</cdr:y>
    </cdr:to>
    <cdr:sp macro="" textlink="">
      <cdr:nvSpPr>
        <cdr:cNvPr id="6" name="椭圆 5"/>
        <cdr:cNvSpPr/>
      </cdr:nvSpPr>
      <cdr:spPr>
        <a:xfrm xmlns:a="http://schemas.openxmlformats.org/drawingml/2006/main">
          <a:off x="841375" y="2565400"/>
          <a:ext cx="495300" cy="5905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bg2">
              <a:lumMod val="50000"/>
            </a:schemeClr>
          </a:solidFill>
          <a:prstDash val="dashDot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CN" altLang="en-US" sz="1100"/>
        </a:p>
      </cdr:txBody>
    </cdr:sp>
  </cdr:relSizeAnchor>
  <cdr:relSizeAnchor xmlns:cdr="http://schemas.openxmlformats.org/drawingml/2006/chartDrawing">
    <cdr:from>
      <cdr:x>0.15692</cdr:x>
      <cdr:y>0.30673</cdr:y>
    </cdr:from>
    <cdr:to>
      <cdr:x>0.16923</cdr:x>
      <cdr:y>0.60319</cdr:y>
    </cdr:to>
    <cdr:sp macro="" textlink="">
      <cdr:nvSpPr>
        <cdr:cNvPr id="7" name="下箭头 6"/>
        <cdr:cNvSpPr/>
      </cdr:nvSpPr>
      <cdr:spPr>
        <a:xfrm xmlns:a="http://schemas.openxmlformats.org/drawingml/2006/main">
          <a:off x="971550" y="1281114"/>
          <a:ext cx="76200" cy="123825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4"/>
  <sheetViews>
    <sheetView workbookViewId="0">
      <selection activeCell="D3" sqref="D3"/>
    </sheetView>
  </sheetViews>
  <sheetFormatPr defaultRowHeight="15"/>
  <cols>
    <col min="1" max="2" width="10.5" style="3" bestFit="1" customWidth="1"/>
    <col min="3" max="3" width="28" style="3" bestFit="1" customWidth="1"/>
    <col min="4" max="5" width="37.125" style="3" bestFit="1" customWidth="1"/>
    <col min="6" max="6" width="17.25" style="3" bestFit="1" customWidth="1"/>
    <col min="7" max="7" width="9" style="3"/>
    <col min="8" max="8" width="12.625" style="3" bestFit="1" customWidth="1"/>
    <col min="9" max="9" width="13.625" style="3" bestFit="1" customWidth="1"/>
    <col min="10" max="16384" width="9" style="3"/>
  </cols>
  <sheetData>
    <row r="1" spans="1:6">
      <c r="A1" s="3" t="s">
        <v>32</v>
      </c>
      <c r="C1" s="3" t="s">
        <v>33</v>
      </c>
      <c r="D1" s="3" t="s">
        <v>34</v>
      </c>
      <c r="E1" s="3" t="s">
        <v>35</v>
      </c>
    </row>
    <row r="2" spans="1:6">
      <c r="A2" s="4">
        <v>41085</v>
      </c>
      <c r="C2" s="3" t="s">
        <v>1339</v>
      </c>
      <c r="D2" s="3" t="str">
        <f ca="1">"CNY_Treasury_Quote_Curve_"&amp;YEAR(A2)&amp;"-"&amp;MONTH(A2)&amp;"-"&amp;DAY(A2)</f>
        <v>CNY_Treasury_Quote_Curve_2012-6-25</v>
      </c>
      <c r="E2" s="3" t="str">
        <f ca="1">deserializeObject(C2,D2&amp;".xml",TRUE)</f>
        <v>CNY_Treasury_Quote_Curve_2012-6-25</v>
      </c>
    </row>
    <row r="4" spans="1:6">
      <c r="A4" s="3" t="b">
        <f ca="1">_xll.qlSettingsSetEvaluationDate(A2)</f>
        <v>1</v>
      </c>
      <c r="C4" s="3">
        <f ca="1">MATCH(A2,'中债收益率曲线（银行间）'!$A$2:$A$400,0)</f>
        <v>118</v>
      </c>
    </row>
    <row r="9" spans="1:6">
      <c r="A9" s="21"/>
      <c r="B9" s="22" t="s">
        <v>36</v>
      </c>
      <c r="C9" s="23" t="s">
        <v>39</v>
      </c>
      <c r="D9" s="23" t="s">
        <v>37</v>
      </c>
      <c r="E9" s="23" t="s">
        <v>40</v>
      </c>
      <c r="F9" s="24" t="s">
        <v>38</v>
      </c>
    </row>
    <row r="10" spans="1:6">
      <c r="A10" s="11">
        <v>0</v>
      </c>
      <c r="B10" s="5">
        <f ca="1">A2</f>
        <v>41085</v>
      </c>
      <c r="C10" s="15">
        <f t="array" aca="1" ref="C10:C40" ca="1">_xll.qlYieldTSZeroRate($E$2,B10:B40,"Bond Basis","Compounded",,TRUE)</f>
        <v>2.889938278224613E-2</v>
      </c>
      <c r="D10" s="16">
        <f ca="1">OFFSET('中债收益率曲线（银行间）'!$A$1,'中大 &amp; 中债'!$C$4,'中大 &amp; 中债'!A10+1)</f>
        <v>2.5954000000000001E-2</v>
      </c>
      <c r="E10" s="17">
        <f t="array" aca="1" ref="E10:E40" ca="1">_xll.qlYieldTSDiscount($E$2,B10:B40,TRUE)</f>
        <v>1</v>
      </c>
      <c r="F10" s="18">
        <f ca="1">(1+D10)^-A10</f>
        <v>1</v>
      </c>
    </row>
    <row r="11" spans="1:6">
      <c r="A11" s="11">
        <v>1</v>
      </c>
      <c r="B11" s="5">
        <f ca="1">_xll.qlCalendarAdvance("Null",B10,"1Y","UnAdjusted")</f>
        <v>41450</v>
      </c>
      <c r="C11" s="19">
        <f ca="1"/>
        <v>2.8899382781881755E-2</v>
      </c>
      <c r="D11" s="6">
        <f ca="1">OFFSET('中债收益率曲线（银行间）'!$A$1,'中大 &amp; 中债'!$C$4,'中大 &amp; 中债'!A11+1)</f>
        <v>2.3666E-2</v>
      </c>
      <c r="E11" s="7">
        <f ca="1"/>
        <v>0.97191233344533157</v>
      </c>
      <c r="F11" s="12">
        <f t="shared" ref="F11:F40" ca="1" si="0">(1+D11)^-A11</f>
        <v>0.97688113115019937</v>
      </c>
    </row>
    <row r="12" spans="1:6">
      <c r="A12" s="11">
        <v>2</v>
      </c>
      <c r="B12" s="5">
        <f ca="1">_xll.qlCalendarAdvance("Null",B11,"1Y","UnAdjusted")</f>
        <v>41815</v>
      </c>
      <c r="C12" s="19">
        <f ca="1"/>
        <v>2.8899382781881755E-2</v>
      </c>
      <c r="D12" s="6">
        <f ca="1">OFFSET('中债收益率曲线（银行间）'!$A$1,'中大 &amp; 中债'!$C$4,'中大 &amp; 中债'!A12+1)</f>
        <v>2.4373999999999996E-2</v>
      </c>
      <c r="E12" s="7">
        <f ca="1"/>
        <v>0.94461358390314942</v>
      </c>
      <c r="F12" s="12">
        <f t="shared" ca="1" si="0"/>
        <v>0.95297806858411005</v>
      </c>
    </row>
    <row r="13" spans="1:6">
      <c r="A13" s="11">
        <v>3</v>
      </c>
      <c r="B13" s="5">
        <f ca="1">_xll.qlCalendarAdvance("Null",B12,"1Y","UnAdjusted")</f>
        <v>42180</v>
      </c>
      <c r="C13" s="19">
        <f ca="1"/>
        <v>2.8899382781881533E-2</v>
      </c>
      <c r="D13" s="6">
        <f ca="1">OFFSET('中债收益率曲线（银行间）'!$A$1,'中大 &amp; 中债'!$C$4,'中大 &amp; 中债'!A13+1)</f>
        <v>2.6631999999999999E-2</v>
      </c>
      <c r="E13" s="7">
        <f ca="1"/>
        <v>0.91808159253546751</v>
      </c>
      <c r="F13" s="12">
        <f t="shared" ca="1" si="0"/>
        <v>0.92417796364293292</v>
      </c>
    </row>
    <row r="14" spans="1:6">
      <c r="A14" s="11">
        <v>4</v>
      </c>
      <c r="B14" s="5">
        <f ca="1">_xll.qlCalendarAdvance("Null",B13,"1Y","UnAdjusted")</f>
        <v>42546</v>
      </c>
      <c r="C14" s="19">
        <f ca="1"/>
        <v>2.8899382781881533E-2</v>
      </c>
      <c r="D14" s="6">
        <f ca="1">OFFSET('中债收益率曲线（银行间）'!$A$1,'中大 &amp; 中债'!$C$4,'中大 &amp; 中债'!A14+1)</f>
        <v>2.7864E-2</v>
      </c>
      <c r="E14" s="7">
        <f ca="1"/>
        <v>0.89229482289435236</v>
      </c>
      <c r="F14" s="12">
        <f t="shared" ca="1" si="0"/>
        <v>0.89589554661176274</v>
      </c>
    </row>
    <row r="15" spans="1:6">
      <c r="A15" s="11">
        <v>5</v>
      </c>
      <c r="B15" s="5">
        <f ca="1">_xll.qlCalendarAdvance("Null",B14,"1Y","UnAdjusted")</f>
        <v>42911</v>
      </c>
      <c r="C15" s="19">
        <f ca="1"/>
        <v>2.9279430152130859E-2</v>
      </c>
      <c r="D15" s="6">
        <f ca="1">OFFSET('中债收益率曲线（银行间）'!$A$1,'中大 &amp; 中债'!$C$4,'中大 &amp; 中债'!A15+1)</f>
        <v>3.0438E-2</v>
      </c>
      <c r="E15" s="7">
        <f ca="1"/>
        <v>0.86563245686456036</v>
      </c>
      <c r="F15" s="12">
        <f t="shared" ca="1" si="0"/>
        <v>0.86077703134329075</v>
      </c>
    </row>
    <row r="16" spans="1:6">
      <c r="A16" s="11">
        <v>6</v>
      </c>
      <c r="B16" s="5">
        <f ca="1">_xll.qlCalendarAdvance("Null",B15,"1Y","UnAdjusted")</f>
        <v>43276</v>
      </c>
      <c r="C16" s="19">
        <f ca="1"/>
        <v>3.9426895180740384E-2</v>
      </c>
      <c r="D16" s="6">
        <f ca="1">OFFSET('中债收益率曲线（银行间）'!$A$1,'中大 &amp; 中债'!$C$4,'中大 &amp; 中债'!A16+1)</f>
        <v>3.1941000000000004E-2</v>
      </c>
      <c r="E16" s="7">
        <f ca="1"/>
        <v>0.79293264839723687</v>
      </c>
      <c r="F16" s="12">
        <f t="shared" ca="1" si="0"/>
        <v>0.82807713618303103</v>
      </c>
    </row>
    <row r="17" spans="1:6">
      <c r="A17" s="11">
        <v>7</v>
      </c>
      <c r="B17" s="5">
        <f ca="1">_xll.qlCalendarAdvance("Null",B16,"1Y","UnAdjusted")</f>
        <v>43641</v>
      </c>
      <c r="C17" s="19">
        <f ca="1"/>
        <v>3.2582862360141185E-2</v>
      </c>
      <c r="D17" s="6">
        <f ca="1">OFFSET('中债收益率曲线（银行间）'!$A$1,'中大 &amp; 中债'!$C$4,'中大 &amp; 中债'!A17+1)</f>
        <v>3.2507000000000001E-2</v>
      </c>
      <c r="E17" s="7">
        <f ca="1"/>
        <v>0.79896105455151412</v>
      </c>
      <c r="F17" s="12">
        <f t="shared" ca="1" si="0"/>
        <v>0.79937206486939871</v>
      </c>
    </row>
    <row r="18" spans="1:6">
      <c r="A18" s="11">
        <v>8</v>
      </c>
      <c r="B18" s="5">
        <f ca="1">_xll.qlCalendarAdvance("Null",B17,"1Y","UnAdjusted")</f>
        <v>44007</v>
      </c>
      <c r="C18" s="19">
        <f ca="1"/>
        <v>3.5625770942550039E-2</v>
      </c>
      <c r="D18" s="6">
        <f ca="1">OFFSET('中债收益率曲线（银行间）'!$A$1,'中大 &amp; 中债'!$C$4,'中大 &amp; 中债'!A18+1)</f>
        <v>3.4431999999999997E-2</v>
      </c>
      <c r="E18" s="7">
        <f ca="1"/>
        <v>0.75574834971230087</v>
      </c>
      <c r="F18" s="12">
        <f t="shared" ca="1" si="0"/>
        <v>0.76275387855067323</v>
      </c>
    </row>
    <row r="19" spans="1:6">
      <c r="A19" s="11">
        <v>9</v>
      </c>
      <c r="B19" s="5">
        <f ca="1">_xll.qlCalendarAdvance("Null",B18,"1Y","UnAdjusted")</f>
        <v>44372</v>
      </c>
      <c r="C19" s="19">
        <f ca="1"/>
        <v>3.4656442645569774E-2</v>
      </c>
      <c r="D19" s="6">
        <f ca="1">OFFSET('中债收益率曲线（银行间）'!$A$1,'中大 &amp; 中债'!$C$4,'中大 &amp; 中债'!A19+1)</f>
        <v>3.4449E-2</v>
      </c>
      <c r="E19" s="7">
        <f ca="1"/>
        <v>0.7359266031086712</v>
      </c>
      <c r="F19" s="12">
        <f t="shared" ca="1" si="0"/>
        <v>0.73725587664164416</v>
      </c>
    </row>
    <row r="20" spans="1:6">
      <c r="A20" s="11">
        <v>10</v>
      </c>
      <c r="B20" s="5">
        <f ca="1">_xll.qlCalendarAdvance("Null",B19,"1Y","UnAdjusted")</f>
        <v>44737</v>
      </c>
      <c r="C20" s="19">
        <f ca="1"/>
        <v>3.555770412116166E-2</v>
      </c>
      <c r="D20" s="6">
        <f ca="1">OFFSET('中债收益率曲线（银行间）'!$A$1,'中大 &amp; 中债'!$C$4,'中大 &amp; 中债'!A20+1)</f>
        <v>3.4411999999999998E-2</v>
      </c>
      <c r="E20" s="7">
        <f ca="1"/>
        <v>0.70511013991486571</v>
      </c>
      <c r="F20" s="12">
        <f t="shared" ca="1" si="0"/>
        <v>0.71295890757527691</v>
      </c>
    </row>
    <row r="21" spans="1:6">
      <c r="A21" s="11">
        <v>11</v>
      </c>
      <c r="B21" s="5">
        <f ca="1">_xll.qlCalendarAdvance("Null",B20,"1Y","UnAdjusted")</f>
        <v>45102</v>
      </c>
      <c r="C21" s="19">
        <f ca="1"/>
        <v>3.5357974821753624E-2</v>
      </c>
      <c r="D21" s="6">
        <f ca="1">OFFSET('中债收益率曲线（银行间）'!$A$1,'中大 &amp; 中债'!$C$4,'中大 &amp; 中债'!A21+1)</f>
        <v>3.4668000000000004E-2</v>
      </c>
      <c r="E21" s="7">
        <f ca="1"/>
        <v>0.68234519413969819</v>
      </c>
      <c r="F21" s="12">
        <f t="shared" ca="1" si="0"/>
        <v>0.68736720433466525</v>
      </c>
    </row>
    <row r="22" spans="1:6">
      <c r="A22" s="11">
        <v>12</v>
      </c>
      <c r="B22" s="5">
        <f ca="1">_xll.qlCalendarAdvance("Null",B21,"1Y","UnAdjusted")</f>
        <v>45468</v>
      </c>
      <c r="C22" s="19">
        <f ca="1"/>
        <v>3.586546814795577E-2</v>
      </c>
      <c r="D22" s="6">
        <f ca="1">OFFSET('中债收益率曲线（银行间）'!$A$1,'中大 &amp; 中债'!$C$4,'中大 &amp; 中债'!A22+1)</f>
        <v>3.5320999999999998E-2</v>
      </c>
      <c r="E22" s="7">
        <f ca="1"/>
        <v>0.65517864448542729</v>
      </c>
      <c r="F22" s="12">
        <f t="shared" ca="1" si="0"/>
        <v>0.65932527154853982</v>
      </c>
    </row>
    <row r="23" spans="1:6">
      <c r="A23" s="11">
        <v>13</v>
      </c>
      <c r="B23" s="5">
        <f ca="1">_xll.qlCalendarAdvance("Null",B22,"1Y","UnAdjusted")</f>
        <v>45833</v>
      </c>
      <c r="C23" s="19">
        <f ca="1"/>
        <v>4.3416604812970272E-2</v>
      </c>
      <c r="D23" s="6">
        <f ca="1">OFFSET('中债收益率曲线（银行间）'!$A$1,'中大 &amp; 中债'!$C$4,'中大 &amp; 中债'!A23+1)</f>
        <v>3.6213999999999996E-2</v>
      </c>
      <c r="E23" s="7">
        <f ca="1"/>
        <v>0.57550530485404605</v>
      </c>
      <c r="F23" s="12">
        <f t="shared" ca="1" si="0"/>
        <v>0.62973390567659171</v>
      </c>
    </row>
    <row r="24" spans="1:6">
      <c r="A24" s="11">
        <v>14</v>
      </c>
      <c r="B24" s="5">
        <f ca="1">_xll.qlCalendarAdvance("Null",B23,"1Y","UnAdjusted")</f>
        <v>46198</v>
      </c>
      <c r="C24" s="19">
        <f ca="1"/>
        <v>4.3483917466367483E-2</v>
      </c>
      <c r="D24" s="6">
        <f ca="1">OFFSET('中债收益率曲线（银行间）'!$A$1,'中大 &amp; 中债'!$C$4,'中大 &amp; 中债'!A24+1)</f>
        <v>3.7180999999999999E-2</v>
      </c>
      <c r="E24" s="7">
        <f ca="1"/>
        <v>0.55106059983159572</v>
      </c>
      <c r="F24" s="12">
        <f t="shared" ca="1" si="0"/>
        <v>0.59984116518404984</v>
      </c>
    </row>
    <row r="25" spans="1:6">
      <c r="A25" s="11">
        <v>15</v>
      </c>
      <c r="B25" s="5">
        <f ca="1">_xll.qlCalendarAdvance("Null",B24,"1Y","UnAdjusted")</f>
        <v>46563</v>
      </c>
      <c r="C25" s="19">
        <f ca="1"/>
        <v>3.8948136077009643E-2</v>
      </c>
      <c r="D25" s="6">
        <f ca="1">OFFSET('中债收益率曲线（银行间）'!$A$1,'中大 &amp; 中债'!$C$4,'中大 &amp; 中债'!A25+1)</f>
        <v>3.8043E-2</v>
      </c>
      <c r="E25" s="7">
        <f ca="1"/>
        <v>0.56375703700098301</v>
      </c>
      <c r="F25" s="12">
        <f t="shared" ca="1" si="0"/>
        <v>0.57117585153875838</v>
      </c>
    </row>
    <row r="26" spans="1:6">
      <c r="A26" s="11">
        <v>16</v>
      </c>
      <c r="B26" s="5">
        <f ca="1">_xll.qlCalendarAdvance("Null",B25,"1Y","UnAdjusted")</f>
        <v>46929</v>
      </c>
      <c r="C26" s="19">
        <f ca="1"/>
        <v>4.0072297069809526E-2</v>
      </c>
      <c r="D26" s="6">
        <f ca="1">OFFSET('中债收益率曲线（银行间）'!$A$1,'中大 &amp; 中债'!$C$4,'中大 &amp; 中债'!A26+1)</f>
        <v>3.8803000000000004E-2</v>
      </c>
      <c r="E26" s="7">
        <f ca="1"/>
        <v>0.53331468033466545</v>
      </c>
      <c r="F26" s="12">
        <f t="shared" ca="1" si="0"/>
        <v>0.54383715737513327</v>
      </c>
    </row>
    <row r="27" spans="1:6">
      <c r="A27" s="11">
        <v>17</v>
      </c>
      <c r="B27" s="5">
        <f ca="1">_xll.qlCalendarAdvance("Null",B26,"1Y","UnAdjusted")</f>
        <v>47294</v>
      </c>
      <c r="C27" s="19">
        <f ca="1"/>
        <v>4.0220257047030694E-2</v>
      </c>
      <c r="D27" s="6">
        <f ca="1">OFFSET('中债收益率曲线（银行间）'!$A$1,'中大 &amp; 中债'!$C$4,'中大 &amp; 中债'!A27+1)</f>
        <v>3.9578000000000002E-2</v>
      </c>
      <c r="E27" s="7">
        <f ca="1"/>
        <v>0.51152843794305702</v>
      </c>
      <c r="F27" s="12">
        <f t="shared" ca="1" si="0"/>
        <v>0.51692749980622688</v>
      </c>
    </row>
    <row r="28" spans="1:6">
      <c r="A28" s="11">
        <v>18</v>
      </c>
      <c r="B28" s="5">
        <f ca="1">_xll.qlCalendarAdvance("Null",B27,"1Y","UnAdjusted")</f>
        <v>47659</v>
      </c>
      <c r="C28" s="19">
        <f ca="1"/>
        <v>4.1292353409906335E-2</v>
      </c>
      <c r="D28" s="6">
        <f ca="1">OFFSET('中债收益率曲线（银行间）'!$A$1,'中大 &amp; 中债'!$C$4,'中大 &amp; 中债'!A28+1)</f>
        <v>4.0350000000000004E-2</v>
      </c>
      <c r="E28" s="7">
        <f ca="1"/>
        <v>0.48271608887064732</v>
      </c>
      <c r="F28" s="12">
        <f t="shared" ca="1" si="0"/>
        <v>0.49064741249411253</v>
      </c>
    </row>
    <row r="29" spans="1:6">
      <c r="A29" s="11">
        <v>19</v>
      </c>
      <c r="B29" s="5">
        <f ca="1">_xll.qlCalendarAdvance("Null",B28,"1Y","UnAdjusted")</f>
        <v>48024</v>
      </c>
      <c r="C29" s="19">
        <f ca="1"/>
        <v>4.2311582923424629E-2</v>
      </c>
      <c r="D29" s="6">
        <f ca="1">OFFSET('中债收益率曲线（银行间）'!$A$1,'中大 &amp; 中债'!$C$4,'中大 &amp; 中债'!A29+1)</f>
        <v>4.1098999999999997E-2</v>
      </c>
      <c r="E29" s="7">
        <f ca="1"/>
        <v>0.45503655232661827</v>
      </c>
      <c r="F29" s="12">
        <f t="shared" ca="1" si="0"/>
        <v>0.46521257210754557</v>
      </c>
    </row>
    <row r="30" spans="1:6">
      <c r="A30" s="11">
        <v>20</v>
      </c>
      <c r="B30" s="5">
        <f ca="1">_xll.qlCalendarAdvance("Null",B29,"1Y","UnAdjusted")</f>
        <v>48390</v>
      </c>
      <c r="C30" s="19">
        <f ca="1"/>
        <v>4.2367919207282556E-2</v>
      </c>
      <c r="D30" s="6">
        <f ca="1">OFFSET('中债收益率曲线（银行间）'!$A$1,'中大 &amp; 中债'!$C$4,'中大 &amp; 中债'!A30+1)</f>
        <v>4.1801000000000005E-2</v>
      </c>
      <c r="E30" s="7">
        <f ca="1"/>
        <v>0.43609315107309438</v>
      </c>
      <c r="F30" s="12">
        <f t="shared" ca="1" si="0"/>
        <v>0.44086396341153683</v>
      </c>
    </row>
    <row r="31" spans="1:6">
      <c r="A31" s="11">
        <v>21</v>
      </c>
      <c r="B31" s="5">
        <f ca="1">_xll.qlCalendarAdvance("Null",B30,"1Y","UnAdjusted")</f>
        <v>48755</v>
      </c>
      <c r="C31" s="19">
        <f ca="1"/>
        <v>4.2436465256721956E-2</v>
      </c>
      <c r="D31" s="6">
        <f ca="1">OFFSET('中债收益率曲线（银行间）'!$A$1,'中大 &amp; 中债'!$C$4,'中大 &amp; 中债'!A31+1)</f>
        <v>4.2389000000000003E-2</v>
      </c>
      <c r="E31" s="7">
        <f ca="1"/>
        <v>0.4177904479097132</v>
      </c>
      <c r="F31" s="12">
        <f t="shared" ca="1" si="0"/>
        <v>0.4181901363462322</v>
      </c>
    </row>
    <row r="32" spans="1:6">
      <c r="A32" s="11">
        <v>22</v>
      </c>
      <c r="B32" s="5">
        <f ca="1">_xll.qlCalendarAdvance("Null",B31,"1Y","UnAdjusted")</f>
        <v>49120</v>
      </c>
      <c r="C32" s="19">
        <f ca="1"/>
        <v>4.2498783758653458E-2</v>
      </c>
      <c r="D32" s="6">
        <f ca="1">OFFSET('中债收益率曲线（银行间）'!$A$1,'中大 &amp; 中债'!$C$4,'中大 &amp; 中债'!A32+1)</f>
        <v>4.2824000000000001E-2</v>
      </c>
      <c r="E32" s="7">
        <f ca="1"/>
        <v>0.40025590389366678</v>
      </c>
      <c r="F32" s="12">
        <f t="shared" ca="1" si="0"/>
        <v>0.39751874411785093</v>
      </c>
    </row>
    <row r="33" spans="1:9">
      <c r="A33" s="11">
        <v>23</v>
      </c>
      <c r="B33" s="5">
        <f ca="1">_xll.qlCalendarAdvance("Null",B32,"1Y","UnAdjusted")</f>
        <v>49485</v>
      </c>
      <c r="C33" s="19">
        <f ca="1"/>
        <v>4.2555686514060609E-2</v>
      </c>
      <c r="D33" s="6">
        <f ca="1">OFFSET('中债收益率曲线（银行间）'!$A$1,'中大 &amp; 中债'!$C$4,'中大 &amp; 中债'!A33+1)</f>
        <v>4.3127000000000006E-2</v>
      </c>
      <c r="E33" s="7">
        <f ca="1"/>
        <v>0.383457279608167</v>
      </c>
      <c r="F33" s="12">
        <f t="shared" ca="1" si="0"/>
        <v>0.37865588056384925</v>
      </c>
    </row>
    <row r="34" spans="1:9">
      <c r="A34" s="11">
        <v>24</v>
      </c>
      <c r="B34" s="5">
        <f ca="1">_xll.qlCalendarAdvance("Null",B33,"1Y","UnAdjusted")</f>
        <v>49851</v>
      </c>
      <c r="C34" s="19">
        <f ca="1"/>
        <v>4.2607850101648914E-2</v>
      </c>
      <c r="D34" s="6">
        <f ca="1">OFFSET('中债收益率曲线（银行间）'!$A$1,'中大 &amp; 中债'!$C$4,'中大 &amp; 中债'!A34+1)</f>
        <v>4.3321999999999999E-2</v>
      </c>
      <c r="E34" s="7">
        <f ca="1"/>
        <v>0.36736368871540481</v>
      </c>
      <c r="F34" s="12">
        <f t="shared" ca="1" si="0"/>
        <v>0.36137594019856173</v>
      </c>
    </row>
    <row r="35" spans="1:9">
      <c r="A35" s="11">
        <v>25</v>
      </c>
      <c r="B35" s="5">
        <f ca="1">_xll.qlCalendarAdvance("Null",B34,"1Y","UnAdjusted")</f>
        <v>50216</v>
      </c>
      <c r="C35" s="19">
        <f ca="1"/>
        <v>4.2661504279246865E-2</v>
      </c>
      <c r="D35" s="6">
        <f ca="1">OFFSET('中债收益率曲线（银行间）'!$A$1,'中大 &amp; 中债'!$C$4,'中大 &amp; 中债'!A35+1)</f>
        <v>4.3434E-2</v>
      </c>
      <c r="E35" s="7">
        <f ca="1"/>
        <v>0.35189777003713657</v>
      </c>
      <c r="F35" s="12">
        <f t="shared" ca="1" si="0"/>
        <v>0.34544220768048872</v>
      </c>
    </row>
    <row r="36" spans="1:9">
      <c r="A36" s="11">
        <v>26</v>
      </c>
      <c r="B36" s="5">
        <f ca="1">_xll.qlCalendarAdvance("Null",B35,"1Y","UnAdjusted")</f>
        <v>50581</v>
      </c>
      <c r="C36" s="19">
        <f ca="1"/>
        <v>4.2758558523446677E-2</v>
      </c>
      <c r="D36" s="6">
        <f ca="1">OFFSET('中债收益率曲线（银行间）'!$A$1,'中大 &amp; 中债'!$C$4,'中大 &amp; 中债'!A36+1)</f>
        <v>4.3493000000000004E-2</v>
      </c>
      <c r="E36" s="7">
        <f ca="1"/>
        <v>0.33668375408244905</v>
      </c>
      <c r="F36" s="12">
        <f t="shared" ca="1" si="0"/>
        <v>0.33057648568812675</v>
      </c>
    </row>
    <row r="37" spans="1:9">
      <c r="A37" s="11">
        <v>27</v>
      </c>
      <c r="B37" s="5">
        <f ca="1">_xll.qlCalendarAdvance("Null",B36,"1Y","UnAdjusted")</f>
        <v>50946</v>
      </c>
      <c r="C37" s="19">
        <f ca="1"/>
        <v>4.3467848262394027E-2</v>
      </c>
      <c r="D37" s="6">
        <f ca="1">OFFSET('中债收益率曲线（银行间）'!$A$1,'中大 &amp; 中债'!$C$4,'中大 &amp; 中债'!A37+1)</f>
        <v>4.3526999999999996E-2</v>
      </c>
      <c r="E37" s="7">
        <f ca="1"/>
        <v>0.31700422987086718</v>
      </c>
      <c r="F37" s="12">
        <f t="shared" ca="1" si="0"/>
        <v>0.31651941867523564</v>
      </c>
    </row>
    <row r="38" spans="1:9">
      <c r="A38" s="11">
        <v>28</v>
      </c>
      <c r="B38" s="5">
        <f ca="1">_xll.qlCalendarAdvance("Null",B37,"1Y","UnAdjusted")</f>
        <v>51312</v>
      </c>
      <c r="C38" s="19">
        <f ca="1"/>
        <v>4.4425873904717195E-2</v>
      </c>
      <c r="D38" s="6">
        <f ca="1">OFFSET('中债收益率曲线（银行间）'!$A$1,'中大 &amp; 中债'!$C$4,'中大 &amp; 中债'!A38+1)</f>
        <v>4.3570000000000005E-2</v>
      </c>
      <c r="E38" s="7">
        <f ca="1"/>
        <v>0.29609193508600773</v>
      </c>
      <c r="F38" s="12">
        <f t="shared" ca="1" si="0"/>
        <v>0.30296719029561531</v>
      </c>
    </row>
    <row r="39" spans="1:9">
      <c r="A39" s="11">
        <v>29</v>
      </c>
      <c r="B39" s="5">
        <f ca="1">_xll.qlCalendarAdvance("Null",B38,"1Y","UnAdjusted")</f>
        <v>51677</v>
      </c>
      <c r="C39" s="19">
        <f ca="1"/>
        <v>4.4889194239424501E-2</v>
      </c>
      <c r="D39" s="6">
        <f ca="1">OFFSET('中债收益率曲线（银行间）'!$A$1,'中大 &amp; 中债'!$C$4,'中大 &amp; 中债'!A39+1)</f>
        <v>4.3654999999999999E-2</v>
      </c>
      <c r="E39" s="7">
        <f ca="1"/>
        <v>0.27987435136643835</v>
      </c>
      <c r="F39" s="12">
        <f t="shared" ca="1" si="0"/>
        <v>0.28963311512002837</v>
      </c>
    </row>
    <row r="40" spans="1:9">
      <c r="A40" s="13">
        <v>30</v>
      </c>
      <c r="B40" s="8">
        <f ca="1">_xll.qlCalendarAdvance("Null",B39,"1Y","UnAdjusted")</f>
        <v>52042</v>
      </c>
      <c r="C40" s="20">
        <f ca="1"/>
        <v>4.4970549956044881E-2</v>
      </c>
      <c r="D40" s="9">
        <f ca="1">OFFSET('中债收益率曲线（银行间）'!$A$1,'中大 &amp; 中债'!$C$4,'中大 &amp; 中债'!A40+1)</f>
        <v>4.3822E-2</v>
      </c>
      <c r="E40" s="10">
        <f ca="1"/>
        <v>0.26722585085636513</v>
      </c>
      <c r="F40" s="14">
        <f t="shared" ca="1" si="0"/>
        <v>0.27618915461665672</v>
      </c>
    </row>
    <row r="43" spans="1:9">
      <c r="A43" s="21"/>
      <c r="B43" s="169"/>
      <c r="C43" s="170" t="s">
        <v>574</v>
      </c>
      <c r="D43" s="171" t="s">
        <v>573</v>
      </c>
      <c r="G43" s="163"/>
      <c r="H43" s="164"/>
      <c r="I43" s="164"/>
    </row>
    <row r="44" spans="1:9">
      <c r="A44" s="11">
        <v>0</v>
      </c>
      <c r="B44" s="55">
        <f t="shared" ref="B44:C74" ca="1" si="1">B10</f>
        <v>41085</v>
      </c>
      <c r="C44" s="57">
        <f t="shared" ca="1" si="1"/>
        <v>2.889938278224613E-2</v>
      </c>
      <c r="D44" s="166">
        <f ca="1">C44+0.005</f>
        <v>3.3899382782246128E-2</v>
      </c>
      <c r="G44" s="163"/>
      <c r="H44" s="165"/>
      <c r="I44" s="163"/>
    </row>
    <row r="45" spans="1:9">
      <c r="A45" s="11">
        <v>1</v>
      </c>
      <c r="B45" s="55">
        <f t="shared" ca="1" si="1"/>
        <v>41450</v>
      </c>
      <c r="C45" s="53">
        <f t="shared" ca="1" si="1"/>
        <v>2.8899382781881755E-2</v>
      </c>
      <c r="D45" s="167">
        <f t="shared" ref="D45:D74" ca="1" si="2">C45+0.005</f>
        <v>3.3899382781881753E-2</v>
      </c>
      <c r="G45" s="163"/>
      <c r="H45" s="165"/>
      <c r="I45" s="163"/>
    </row>
    <row r="46" spans="1:9">
      <c r="A46" s="11">
        <v>2</v>
      </c>
      <c r="B46" s="55">
        <f t="shared" ca="1" si="1"/>
        <v>41815</v>
      </c>
      <c r="C46" s="53">
        <f t="shared" ca="1" si="1"/>
        <v>2.8899382781881755E-2</v>
      </c>
      <c r="D46" s="167">
        <f t="shared" ca="1" si="2"/>
        <v>3.3899382781881753E-2</v>
      </c>
      <c r="G46" s="163"/>
      <c r="H46" s="165"/>
      <c r="I46" s="163"/>
    </row>
    <row r="47" spans="1:9">
      <c r="A47" s="11">
        <v>3</v>
      </c>
      <c r="B47" s="55">
        <f t="shared" ca="1" si="1"/>
        <v>42180</v>
      </c>
      <c r="C47" s="53">
        <f t="shared" ca="1" si="1"/>
        <v>2.8899382781881533E-2</v>
      </c>
      <c r="D47" s="167">
        <f t="shared" ca="1" si="2"/>
        <v>3.389938278188153E-2</v>
      </c>
      <c r="G47" s="163"/>
      <c r="H47" s="165"/>
      <c r="I47" s="163"/>
    </row>
    <row r="48" spans="1:9">
      <c r="A48" s="11">
        <v>4</v>
      </c>
      <c r="B48" s="55">
        <f t="shared" ca="1" si="1"/>
        <v>42546</v>
      </c>
      <c r="C48" s="53">
        <f t="shared" ca="1" si="1"/>
        <v>2.8899382781881533E-2</v>
      </c>
      <c r="D48" s="167">
        <f t="shared" ca="1" si="2"/>
        <v>3.389938278188153E-2</v>
      </c>
      <c r="G48" s="163"/>
      <c r="H48" s="165"/>
      <c r="I48" s="163"/>
    </row>
    <row r="49" spans="1:9">
      <c r="A49" s="11">
        <v>5</v>
      </c>
      <c r="B49" s="55">
        <f t="shared" ca="1" si="1"/>
        <v>42911</v>
      </c>
      <c r="C49" s="53">
        <f t="shared" ca="1" si="1"/>
        <v>2.9279430152130859E-2</v>
      </c>
      <c r="D49" s="167">
        <f t="shared" ca="1" si="2"/>
        <v>3.4279430152130856E-2</v>
      </c>
      <c r="G49" s="163"/>
      <c r="H49" s="165"/>
      <c r="I49" s="163"/>
    </row>
    <row r="50" spans="1:9">
      <c r="A50" s="11">
        <v>6</v>
      </c>
      <c r="B50" s="55">
        <f t="shared" ca="1" si="1"/>
        <v>43276</v>
      </c>
      <c r="C50" s="53">
        <f t="shared" ca="1" si="1"/>
        <v>3.9426895180740384E-2</v>
      </c>
      <c r="D50" s="167">
        <f t="shared" ca="1" si="2"/>
        <v>4.4426895180740382E-2</v>
      </c>
      <c r="G50" s="163"/>
      <c r="H50" s="165"/>
      <c r="I50" s="163"/>
    </row>
    <row r="51" spans="1:9">
      <c r="A51" s="11">
        <v>7</v>
      </c>
      <c r="B51" s="55">
        <f t="shared" ca="1" si="1"/>
        <v>43641</v>
      </c>
      <c r="C51" s="53">
        <f t="shared" ca="1" si="1"/>
        <v>3.2582862360141185E-2</v>
      </c>
      <c r="D51" s="167">
        <f t="shared" ca="1" si="2"/>
        <v>3.7582862360141182E-2</v>
      </c>
      <c r="G51" s="163"/>
      <c r="H51" s="165"/>
      <c r="I51" s="163"/>
    </row>
    <row r="52" spans="1:9">
      <c r="A52" s="11">
        <v>8</v>
      </c>
      <c r="B52" s="55">
        <f t="shared" ca="1" si="1"/>
        <v>44007</v>
      </c>
      <c r="C52" s="53">
        <f t="shared" ca="1" si="1"/>
        <v>3.5625770942550039E-2</v>
      </c>
      <c r="D52" s="167">
        <f t="shared" ca="1" si="2"/>
        <v>4.0625770942550037E-2</v>
      </c>
      <c r="G52" s="163"/>
      <c r="H52" s="165"/>
      <c r="I52" s="163"/>
    </row>
    <row r="53" spans="1:9">
      <c r="A53" s="11">
        <v>9</v>
      </c>
      <c r="B53" s="55">
        <f t="shared" ca="1" si="1"/>
        <v>44372</v>
      </c>
      <c r="C53" s="53">
        <f t="shared" ca="1" si="1"/>
        <v>3.4656442645569774E-2</v>
      </c>
      <c r="D53" s="167">
        <f t="shared" ca="1" si="2"/>
        <v>3.9656442645569771E-2</v>
      </c>
      <c r="G53" s="163"/>
      <c r="H53" s="165"/>
      <c r="I53" s="163"/>
    </row>
    <row r="54" spans="1:9">
      <c r="A54" s="11">
        <v>10</v>
      </c>
      <c r="B54" s="55">
        <f t="shared" ca="1" si="1"/>
        <v>44737</v>
      </c>
      <c r="C54" s="53">
        <f t="shared" ca="1" si="1"/>
        <v>3.555770412116166E-2</v>
      </c>
      <c r="D54" s="167">
        <f t="shared" ca="1" si="2"/>
        <v>4.0557704121161657E-2</v>
      </c>
      <c r="G54" s="163"/>
      <c r="H54" s="165"/>
      <c r="I54" s="163"/>
    </row>
    <row r="55" spans="1:9">
      <c r="A55" s="11">
        <v>11</v>
      </c>
      <c r="B55" s="55">
        <f t="shared" ca="1" si="1"/>
        <v>45102</v>
      </c>
      <c r="C55" s="53">
        <f t="shared" ca="1" si="1"/>
        <v>3.5357974821753624E-2</v>
      </c>
      <c r="D55" s="167">
        <f t="shared" ca="1" si="2"/>
        <v>4.0357974821753621E-2</v>
      </c>
      <c r="G55" s="163"/>
      <c r="H55" s="165"/>
      <c r="I55" s="163"/>
    </row>
    <row r="56" spans="1:9">
      <c r="A56" s="11">
        <v>12</v>
      </c>
      <c r="B56" s="55">
        <f t="shared" ca="1" si="1"/>
        <v>45468</v>
      </c>
      <c r="C56" s="53">
        <f t="shared" ca="1" si="1"/>
        <v>3.586546814795577E-2</v>
      </c>
      <c r="D56" s="167">
        <f t="shared" ca="1" si="2"/>
        <v>4.0865468147955768E-2</v>
      </c>
      <c r="G56" s="163"/>
      <c r="H56" s="165"/>
      <c r="I56" s="163"/>
    </row>
    <row r="57" spans="1:9">
      <c r="A57" s="11">
        <v>13</v>
      </c>
      <c r="B57" s="55">
        <f t="shared" ca="1" si="1"/>
        <v>45833</v>
      </c>
      <c r="C57" s="53">
        <f t="shared" ca="1" si="1"/>
        <v>4.3416604812970272E-2</v>
      </c>
      <c r="D57" s="167">
        <f t="shared" ca="1" si="2"/>
        <v>4.8416604812970269E-2</v>
      </c>
      <c r="G57" s="163"/>
      <c r="H57" s="165"/>
      <c r="I57" s="163"/>
    </row>
    <row r="58" spans="1:9">
      <c r="A58" s="11">
        <v>14</v>
      </c>
      <c r="B58" s="55">
        <f t="shared" ca="1" si="1"/>
        <v>46198</v>
      </c>
      <c r="C58" s="53">
        <f t="shared" ca="1" si="1"/>
        <v>4.3483917466367483E-2</v>
      </c>
      <c r="D58" s="167">
        <f t="shared" ca="1" si="2"/>
        <v>4.8483917466367481E-2</v>
      </c>
      <c r="G58" s="163"/>
      <c r="H58" s="165"/>
      <c r="I58" s="163"/>
    </row>
    <row r="59" spans="1:9">
      <c r="A59" s="11">
        <v>15</v>
      </c>
      <c r="B59" s="55">
        <f t="shared" ca="1" si="1"/>
        <v>46563</v>
      </c>
      <c r="C59" s="53">
        <f t="shared" ca="1" si="1"/>
        <v>3.8948136077009643E-2</v>
      </c>
      <c r="D59" s="167">
        <f t="shared" ca="1" si="2"/>
        <v>4.394813607700964E-2</v>
      </c>
      <c r="G59" s="163"/>
      <c r="H59" s="165"/>
      <c r="I59" s="163"/>
    </row>
    <row r="60" spans="1:9">
      <c r="A60" s="11">
        <v>16</v>
      </c>
      <c r="B60" s="55">
        <f t="shared" ca="1" si="1"/>
        <v>46929</v>
      </c>
      <c r="C60" s="53">
        <f t="shared" ca="1" si="1"/>
        <v>4.0072297069809526E-2</v>
      </c>
      <c r="D60" s="167">
        <f t="shared" ca="1" si="2"/>
        <v>4.5072297069809523E-2</v>
      </c>
      <c r="G60" s="163"/>
      <c r="H60" s="165"/>
      <c r="I60" s="163"/>
    </row>
    <row r="61" spans="1:9">
      <c r="A61" s="11">
        <v>17</v>
      </c>
      <c r="B61" s="55">
        <f t="shared" ca="1" si="1"/>
        <v>47294</v>
      </c>
      <c r="C61" s="53">
        <f t="shared" ca="1" si="1"/>
        <v>4.0220257047030694E-2</v>
      </c>
      <c r="D61" s="167">
        <f t="shared" ca="1" si="2"/>
        <v>4.5220257047030692E-2</v>
      </c>
      <c r="G61" s="163"/>
      <c r="H61" s="165"/>
      <c r="I61" s="163"/>
    </row>
    <row r="62" spans="1:9">
      <c r="A62" s="11">
        <v>18</v>
      </c>
      <c r="B62" s="55">
        <f t="shared" ca="1" si="1"/>
        <v>47659</v>
      </c>
      <c r="C62" s="53">
        <f t="shared" ca="1" si="1"/>
        <v>4.1292353409906335E-2</v>
      </c>
      <c r="D62" s="167">
        <f t="shared" ca="1" si="2"/>
        <v>4.6292353409906332E-2</v>
      </c>
      <c r="G62" s="163"/>
      <c r="H62" s="165"/>
      <c r="I62" s="163"/>
    </row>
    <row r="63" spans="1:9">
      <c r="A63" s="11">
        <v>19</v>
      </c>
      <c r="B63" s="55">
        <f t="shared" ca="1" si="1"/>
        <v>48024</v>
      </c>
      <c r="C63" s="53">
        <f t="shared" ca="1" si="1"/>
        <v>4.2311582923424629E-2</v>
      </c>
      <c r="D63" s="167">
        <f t="shared" ca="1" si="2"/>
        <v>4.7311582923424626E-2</v>
      </c>
      <c r="G63" s="163"/>
      <c r="H63" s="165"/>
      <c r="I63" s="163"/>
    </row>
    <row r="64" spans="1:9">
      <c r="A64" s="11">
        <v>20</v>
      </c>
      <c r="B64" s="55">
        <f t="shared" ca="1" si="1"/>
        <v>48390</v>
      </c>
      <c r="C64" s="53">
        <f t="shared" ca="1" si="1"/>
        <v>4.2367919207282556E-2</v>
      </c>
      <c r="D64" s="167">
        <f t="shared" ca="1" si="2"/>
        <v>4.7367919207282554E-2</v>
      </c>
      <c r="G64" s="163"/>
      <c r="H64" s="165"/>
      <c r="I64" s="163"/>
    </row>
    <row r="65" spans="1:9">
      <c r="A65" s="11">
        <v>21</v>
      </c>
      <c r="B65" s="55">
        <f t="shared" ca="1" si="1"/>
        <v>48755</v>
      </c>
      <c r="C65" s="53">
        <f t="shared" ca="1" si="1"/>
        <v>4.2436465256721956E-2</v>
      </c>
      <c r="D65" s="167">
        <f t="shared" ca="1" si="2"/>
        <v>4.7436465256721953E-2</v>
      </c>
      <c r="G65" s="163"/>
      <c r="H65" s="165"/>
      <c r="I65" s="163"/>
    </row>
    <row r="66" spans="1:9">
      <c r="A66" s="11">
        <v>22</v>
      </c>
      <c r="B66" s="55">
        <f t="shared" ca="1" si="1"/>
        <v>49120</v>
      </c>
      <c r="C66" s="53">
        <f t="shared" ca="1" si="1"/>
        <v>4.2498783758653458E-2</v>
      </c>
      <c r="D66" s="167">
        <f t="shared" ca="1" si="2"/>
        <v>4.7498783758653455E-2</v>
      </c>
      <c r="G66" s="163"/>
      <c r="H66" s="165"/>
      <c r="I66" s="163"/>
    </row>
    <row r="67" spans="1:9">
      <c r="A67" s="11">
        <v>23</v>
      </c>
      <c r="B67" s="55">
        <f t="shared" ca="1" si="1"/>
        <v>49485</v>
      </c>
      <c r="C67" s="53">
        <f t="shared" ca="1" si="1"/>
        <v>4.2555686514060609E-2</v>
      </c>
      <c r="D67" s="167">
        <f t="shared" ca="1" si="2"/>
        <v>4.7555686514060606E-2</v>
      </c>
      <c r="G67" s="163"/>
      <c r="H67" s="165"/>
      <c r="I67" s="163"/>
    </row>
    <row r="68" spans="1:9">
      <c r="A68" s="11">
        <v>24</v>
      </c>
      <c r="B68" s="55">
        <f t="shared" ca="1" si="1"/>
        <v>49851</v>
      </c>
      <c r="C68" s="53">
        <f t="shared" ca="1" si="1"/>
        <v>4.2607850101648914E-2</v>
      </c>
      <c r="D68" s="167">
        <f t="shared" ca="1" si="2"/>
        <v>4.7607850101648912E-2</v>
      </c>
      <c r="G68" s="163"/>
      <c r="H68" s="165"/>
      <c r="I68" s="163"/>
    </row>
    <row r="69" spans="1:9">
      <c r="A69" s="11">
        <v>25</v>
      </c>
      <c r="B69" s="55">
        <f t="shared" ca="1" si="1"/>
        <v>50216</v>
      </c>
      <c r="C69" s="53">
        <f t="shared" ca="1" si="1"/>
        <v>4.2661504279246865E-2</v>
      </c>
      <c r="D69" s="167">
        <f t="shared" ca="1" si="2"/>
        <v>4.7661504279246862E-2</v>
      </c>
      <c r="G69" s="163"/>
      <c r="H69" s="165"/>
      <c r="I69" s="163"/>
    </row>
    <row r="70" spans="1:9">
      <c r="A70" s="11">
        <v>26</v>
      </c>
      <c r="B70" s="55">
        <f t="shared" ca="1" si="1"/>
        <v>50581</v>
      </c>
      <c r="C70" s="53">
        <f t="shared" ca="1" si="1"/>
        <v>4.2758558523446677E-2</v>
      </c>
      <c r="D70" s="167">
        <f t="shared" ca="1" si="2"/>
        <v>4.7758558523446674E-2</v>
      </c>
      <c r="G70" s="163"/>
      <c r="H70" s="165"/>
      <c r="I70" s="163"/>
    </row>
    <row r="71" spans="1:9">
      <c r="A71" s="11">
        <v>27</v>
      </c>
      <c r="B71" s="55">
        <f t="shared" ca="1" si="1"/>
        <v>50946</v>
      </c>
      <c r="C71" s="53">
        <f t="shared" ca="1" si="1"/>
        <v>4.3467848262394027E-2</v>
      </c>
      <c r="D71" s="167">
        <f t="shared" ca="1" si="2"/>
        <v>4.8467848262394024E-2</v>
      </c>
      <c r="G71" s="163"/>
      <c r="H71" s="165"/>
      <c r="I71" s="163"/>
    </row>
    <row r="72" spans="1:9">
      <c r="A72" s="11">
        <v>28</v>
      </c>
      <c r="B72" s="55">
        <f t="shared" ca="1" si="1"/>
        <v>51312</v>
      </c>
      <c r="C72" s="53">
        <f t="shared" ca="1" si="1"/>
        <v>4.4425873904717195E-2</v>
      </c>
      <c r="D72" s="167">
        <f t="shared" ca="1" si="2"/>
        <v>4.9425873904717192E-2</v>
      </c>
      <c r="G72" s="163"/>
      <c r="H72" s="165"/>
      <c r="I72" s="163"/>
    </row>
    <row r="73" spans="1:9">
      <c r="A73" s="11">
        <v>29</v>
      </c>
      <c r="B73" s="55">
        <f t="shared" ca="1" si="1"/>
        <v>51677</v>
      </c>
      <c r="C73" s="53">
        <f t="shared" ca="1" si="1"/>
        <v>4.4889194239424501E-2</v>
      </c>
      <c r="D73" s="167">
        <f t="shared" ca="1" si="2"/>
        <v>4.9889194239424499E-2</v>
      </c>
      <c r="G73" s="163"/>
      <c r="H73" s="165"/>
      <c r="I73" s="163"/>
    </row>
    <row r="74" spans="1:9">
      <c r="A74" s="13">
        <v>30</v>
      </c>
      <c r="B74" s="56">
        <f t="shared" ca="1" si="1"/>
        <v>52042</v>
      </c>
      <c r="C74" s="54">
        <f t="shared" ca="1" si="1"/>
        <v>4.4970549956044881E-2</v>
      </c>
      <c r="D74" s="168">
        <f t="shared" ca="1" si="2"/>
        <v>4.9970549956044878E-2</v>
      </c>
      <c r="G74" s="163"/>
      <c r="H74" s="165"/>
      <c r="I74" s="163"/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5"/>
  <sheetViews>
    <sheetView workbookViewId="0">
      <selection activeCell="J42" sqref="J42"/>
    </sheetView>
  </sheetViews>
  <sheetFormatPr defaultRowHeight="15"/>
  <cols>
    <col min="1" max="2" width="10.5" style="35" bestFit="1" customWidth="1"/>
    <col min="3" max="3" width="15.25" style="35" customWidth="1"/>
    <col min="4" max="4" width="14.125" style="35" customWidth="1"/>
    <col min="5" max="5" width="12.375" style="35" customWidth="1"/>
    <col min="6" max="6" width="14.5" style="35" customWidth="1"/>
    <col min="7" max="7" width="19.375" style="35" customWidth="1"/>
    <col min="8" max="8" width="10.5" style="35" bestFit="1" customWidth="1"/>
    <col min="9" max="9" width="37.125" style="35" bestFit="1" customWidth="1"/>
    <col min="10" max="10" width="10.5" style="35" bestFit="1" customWidth="1"/>
    <col min="11" max="11" width="37.125" style="35" bestFit="1" customWidth="1"/>
    <col min="12" max="13" width="9" style="35"/>
    <col min="14" max="14" width="10.5" style="35" bestFit="1" customWidth="1"/>
    <col min="15" max="15" width="37.125" style="35" bestFit="1" customWidth="1"/>
    <col min="16" max="17" width="9" style="35"/>
    <col min="18" max="18" width="10.5" style="35" bestFit="1" customWidth="1"/>
    <col min="19" max="19" width="37.125" style="35" bestFit="1" customWidth="1"/>
    <col min="20" max="16384" width="9" style="35"/>
  </cols>
  <sheetData>
    <row r="1" spans="1:19">
      <c r="A1" s="35" t="s">
        <v>41</v>
      </c>
      <c r="E1" s="35" t="s">
        <v>42</v>
      </c>
      <c r="I1" s="35" t="s">
        <v>43</v>
      </c>
      <c r="M1" s="35" t="s">
        <v>44</v>
      </c>
      <c r="Q1" s="35" t="s">
        <v>45</v>
      </c>
    </row>
    <row r="2" spans="1:19">
      <c r="A2" s="36">
        <f ca="1">'中大 &amp; 中债'!A2</f>
        <v>41143</v>
      </c>
      <c r="E2" s="36" t="e">
        <f ca="1">_xll.qlCalendarAdvance("China",$A$2,"-1W")</f>
        <v>#N/A</v>
      </c>
      <c r="I2" s="36" t="e">
        <f ca="1">_xll.qlCalendarAdvance("China",$A$2,"-1M")</f>
        <v>#N/A</v>
      </c>
      <c r="M2" s="36" t="e">
        <f ca="1">_xll.qlCalendarAdvance("China",$A$2,"-3M")</f>
        <v>#N/A</v>
      </c>
      <c r="Q2" s="36" t="e">
        <f ca="1">_xll.qlCalendarAdvance("China",$A$2,"-1Y")</f>
        <v>#N/A</v>
      </c>
    </row>
    <row r="4" spans="1:19">
      <c r="B4" s="35" t="e">
        <f ca="1">_xll.qlSettingsSetEvaluationDate(A2)</f>
        <v>#N/A</v>
      </c>
      <c r="C4" s="35" t="str">
        <f ca="1">"CNY_Treasury_Live_Curve_"&amp;YEAR(A2)&amp;"-"&amp;MONTH(A2)&amp;"-"&amp;DAY(A2)</f>
        <v>CNY_Treasury_Live_Curve_2012-8-22</v>
      </c>
      <c r="F4" s="35" t="e">
        <f ca="1">_xll.qlSettingsSetEvaluationDate(E2)</f>
        <v>#N/A</v>
      </c>
      <c r="G4" s="35" t="e">
        <f ca="1">"CNY_Treasury_Live_Curve_"&amp;YEAR(E2)&amp;"-"&amp;MONTH(E2)&amp;"-"&amp;DAY(E2)</f>
        <v>#N/A</v>
      </c>
      <c r="J4" s="35" t="e">
        <f ca="1">_xll.qlSettingsSetEvaluationDate(I2)</f>
        <v>#N/A</v>
      </c>
      <c r="K4" s="35" t="e">
        <f ca="1">"CNY_Treasury_Live_Curve_"&amp;YEAR(I2)&amp;"-"&amp;MONTH(I2)&amp;"-"&amp;DAY(I2)</f>
        <v>#N/A</v>
      </c>
      <c r="N4" s="35" t="e">
        <f ca="1">_xll.qlSettingsSetEvaluationDate(M2)</f>
        <v>#N/A</v>
      </c>
      <c r="O4" s="35" t="e">
        <f ca="1">"CNY_Treasury_Live_Curve_"&amp;YEAR(M2)&amp;"-"&amp;MONTH(M2)&amp;"-"&amp;DAY(M2)</f>
        <v>#N/A</v>
      </c>
      <c r="R4" s="35" t="e">
        <f ca="1">_xll.qlSettingsSetEvaluationDate(Q2)</f>
        <v>#N/A</v>
      </c>
      <c r="S4" s="35" t="e">
        <f ca="1">"CNY_Treasury_Live_Curve_"&amp;YEAR(Q2)&amp;"-"&amp;MONTH(Q2)&amp;"-"&amp;DAY(Q2)</f>
        <v>#N/A</v>
      </c>
    </row>
    <row r="5" spans="1:19">
      <c r="B5" s="35" t="s">
        <v>46</v>
      </c>
      <c r="C5" s="35" t="e">
        <f ca="1">deserializeObject('中大 &amp; 中债'!$C$2,C4&amp;".xml",TRUE)</f>
        <v>#N/A</v>
      </c>
      <c r="F5" s="35" t="s">
        <v>46</v>
      </c>
      <c r="G5" s="35" t="e">
        <f ca="1">deserializeObject('中大 &amp; 中债'!$C$2,G4&amp;".xml",TRUE)</f>
        <v>#N/A</v>
      </c>
      <c r="J5" s="35" t="s">
        <v>46</v>
      </c>
      <c r="K5" s="35" t="e">
        <f ca="1">deserializeObject('中大 &amp; 中债'!$C$2,K4&amp;".xml",TRUE)</f>
        <v>#N/A</v>
      </c>
      <c r="N5" s="35" t="s">
        <v>46</v>
      </c>
      <c r="O5" s="35" t="e">
        <f ca="1">deserializeObject('中大 &amp; 中债'!$C$2,O4&amp;".xml",TRUE)</f>
        <v>#N/A</v>
      </c>
      <c r="R5" s="35" t="s">
        <v>46</v>
      </c>
      <c r="S5" s="35" t="e">
        <f ca="1">deserializeObject('中大 &amp; 中债'!$C$2,S4&amp;".xml",TRUE)</f>
        <v>#N/A</v>
      </c>
    </row>
    <row r="7" spans="1:19">
      <c r="B7" s="35" t="s">
        <v>47</v>
      </c>
      <c r="C7" s="36">
        <f ca="1">A2</f>
        <v>41143</v>
      </c>
      <c r="F7" s="35" t="s">
        <v>47</v>
      </c>
      <c r="G7" s="36" t="e">
        <f ca="1">E2</f>
        <v>#N/A</v>
      </c>
      <c r="J7" s="35" t="s">
        <v>47</v>
      </c>
      <c r="K7" s="36" t="e">
        <f ca="1">I2</f>
        <v>#N/A</v>
      </c>
      <c r="N7" s="35" t="s">
        <v>47</v>
      </c>
      <c r="O7" s="36" t="e">
        <f ca="1">M2</f>
        <v>#N/A</v>
      </c>
      <c r="R7" s="35" t="s">
        <v>47</v>
      </c>
      <c r="S7" s="36" t="e">
        <f ca="1">Q2</f>
        <v>#N/A</v>
      </c>
    </row>
    <row r="8" spans="1:19">
      <c r="A8" s="35">
        <v>0</v>
      </c>
      <c r="B8" s="36" t="e">
        <f ca="1">_xll.qlCalendarAdvance("Null",A$2,$A8&amp;"Y","UnAdjusted")</f>
        <v>#N/A</v>
      </c>
      <c r="C8" s="37" t="e">
        <f t="array" aca="1" ref="C8:C38" ca="1">_xll.qlYieldTSZeroRate($C$5,B8:B38,"Bond Basis","Compounded",,TRUE)</f>
        <v>#N/A</v>
      </c>
      <c r="F8" s="36" t="e">
        <f ca="1">_xll.qlCalendarAdvance("Null",E$2,$A8&amp;"Y","UnAdjusted")</f>
        <v>#N/A</v>
      </c>
      <c r="G8" s="37" t="e">
        <f t="array" aca="1" ref="G8:G38" ca="1">_xll.qlYieldTSZeroRate($G$5,F8:F38,"Bond Basis","Compounded",,TRUE)</f>
        <v>#N/A</v>
      </c>
      <c r="J8" s="36" t="e">
        <f ca="1">_xll.qlCalendarAdvance("Null",I$2,$A8&amp;"Y","UnAdjusted")</f>
        <v>#N/A</v>
      </c>
      <c r="K8" s="37" t="e">
        <f t="array" aca="1" ref="K8:K38" ca="1">_xll.qlYieldTSZeroRate($K$5,J8:J38,"Bond Basis","Compounded",,TRUE)</f>
        <v>#N/A</v>
      </c>
      <c r="N8" s="36" t="e">
        <f ca="1">_xll.qlCalendarAdvance("Null",M$2,$A8&amp;"Y","UnAdjusted")</f>
        <v>#N/A</v>
      </c>
      <c r="O8" s="37" t="e">
        <f t="array" aca="1" ref="O8:O38" ca="1">_xll.qlYieldTSZeroRate($O$5,N8:N38,"Bond Basis","Compounded",,TRUE)</f>
        <v>#N/A</v>
      </c>
      <c r="R8" s="36" t="e">
        <f ca="1">_xll.qlCalendarAdvance("Null",Q$2,$A8&amp;"Y","UnAdjusted")</f>
        <v>#N/A</v>
      </c>
      <c r="S8" s="37" t="e">
        <f t="array" aca="1" ref="S8:S38" ca="1">_xll.qlYieldTSZeroRate($S$5,R8:R38,"Bond Basis","Compounded",,TRUE)</f>
        <v>#N/A</v>
      </c>
    </row>
    <row r="9" spans="1:19">
      <c r="A9" s="35">
        <v>1</v>
      </c>
      <c r="B9" s="36" t="e">
        <f ca="1">_xll.qlCalendarAdvance("Null",A$2,$A9&amp;"Y","UnAdjusted")</f>
        <v>#N/A</v>
      </c>
      <c r="C9" s="37" t="e">
        <f ca="1"/>
        <v>#N/A</v>
      </c>
      <c r="F9" s="36" t="e">
        <f ca="1">_xll.qlCalendarAdvance("Null",E$2,$A9&amp;"Y","UnAdjusted")</f>
        <v>#N/A</v>
      </c>
      <c r="G9" s="37" t="e">
        <f ca="1"/>
        <v>#N/A</v>
      </c>
      <c r="J9" s="36" t="e">
        <f ca="1">_xll.qlCalendarAdvance("Null",I$2,$A9&amp;"Y","UnAdjusted")</f>
        <v>#N/A</v>
      </c>
      <c r="K9" s="37" t="e">
        <f ca="1"/>
        <v>#N/A</v>
      </c>
      <c r="N9" s="36" t="e">
        <f ca="1">_xll.qlCalendarAdvance("Null",M$2,$A9&amp;"Y","UnAdjusted")</f>
        <v>#N/A</v>
      </c>
      <c r="O9" s="37" t="e">
        <f ca="1"/>
        <v>#N/A</v>
      </c>
      <c r="R9" s="36" t="e">
        <f ca="1">_xll.qlCalendarAdvance("Null",Q$2,$A9&amp;"Y","UnAdjusted")</f>
        <v>#N/A</v>
      </c>
      <c r="S9" s="37" t="e">
        <f ca="1"/>
        <v>#N/A</v>
      </c>
    </row>
    <row r="10" spans="1:19">
      <c r="A10" s="35">
        <v>2</v>
      </c>
      <c r="B10" s="36" t="e">
        <f ca="1">_xll.qlCalendarAdvance("Null",A$2,$A10&amp;"Y","UnAdjusted")</f>
        <v>#N/A</v>
      </c>
      <c r="C10" s="37" t="e">
        <f ca="1"/>
        <v>#N/A</v>
      </c>
      <c r="F10" s="36" t="e">
        <f ca="1">_xll.qlCalendarAdvance("Null",E$2,$A10&amp;"Y","UnAdjusted")</f>
        <v>#N/A</v>
      </c>
      <c r="G10" s="37" t="e">
        <f ca="1"/>
        <v>#N/A</v>
      </c>
      <c r="J10" s="36" t="e">
        <f ca="1">_xll.qlCalendarAdvance("Null",I$2,$A10&amp;"Y","UnAdjusted")</f>
        <v>#N/A</v>
      </c>
      <c r="K10" s="37" t="e">
        <f ca="1"/>
        <v>#N/A</v>
      </c>
      <c r="N10" s="36" t="e">
        <f ca="1">_xll.qlCalendarAdvance("Null",M$2,$A10&amp;"Y","UnAdjusted")</f>
        <v>#N/A</v>
      </c>
      <c r="O10" s="37" t="e">
        <f ca="1"/>
        <v>#N/A</v>
      </c>
      <c r="R10" s="36" t="e">
        <f ca="1">_xll.qlCalendarAdvance("Null",Q$2,$A10&amp;"Y","UnAdjusted")</f>
        <v>#N/A</v>
      </c>
      <c r="S10" s="37" t="e">
        <f ca="1"/>
        <v>#N/A</v>
      </c>
    </row>
    <row r="11" spans="1:19">
      <c r="A11" s="35">
        <v>3</v>
      </c>
      <c r="B11" s="36" t="e">
        <f ca="1">_xll.qlCalendarAdvance("Null",A$2,$A11&amp;"Y","UnAdjusted")</f>
        <v>#N/A</v>
      </c>
      <c r="C11" s="37" t="e">
        <f ca="1"/>
        <v>#N/A</v>
      </c>
      <c r="F11" s="36" t="e">
        <f ca="1">_xll.qlCalendarAdvance("Null",E$2,$A11&amp;"Y","UnAdjusted")</f>
        <v>#N/A</v>
      </c>
      <c r="G11" s="37" t="e">
        <f ca="1"/>
        <v>#N/A</v>
      </c>
      <c r="J11" s="36" t="e">
        <f ca="1">_xll.qlCalendarAdvance("Null",I$2,$A11&amp;"Y","UnAdjusted")</f>
        <v>#N/A</v>
      </c>
      <c r="K11" s="37" t="e">
        <f ca="1"/>
        <v>#N/A</v>
      </c>
      <c r="N11" s="36" t="e">
        <f ca="1">_xll.qlCalendarAdvance("Null",M$2,$A11&amp;"Y","UnAdjusted")</f>
        <v>#N/A</v>
      </c>
      <c r="O11" s="37" t="e">
        <f ca="1"/>
        <v>#N/A</v>
      </c>
      <c r="R11" s="36" t="e">
        <f ca="1">_xll.qlCalendarAdvance("Null",Q$2,$A11&amp;"Y","UnAdjusted")</f>
        <v>#N/A</v>
      </c>
      <c r="S11" s="37" t="e">
        <f ca="1"/>
        <v>#N/A</v>
      </c>
    </row>
    <row r="12" spans="1:19">
      <c r="A12" s="35">
        <v>4</v>
      </c>
      <c r="B12" s="36" t="e">
        <f ca="1">_xll.qlCalendarAdvance("Null",A$2,$A12&amp;"Y","UnAdjusted")</f>
        <v>#N/A</v>
      </c>
      <c r="C12" s="37" t="e">
        <f ca="1"/>
        <v>#N/A</v>
      </c>
      <c r="F12" s="36" t="e">
        <f ca="1">_xll.qlCalendarAdvance("Null",E$2,$A12&amp;"Y","UnAdjusted")</f>
        <v>#N/A</v>
      </c>
      <c r="G12" s="37" t="e">
        <f ca="1"/>
        <v>#N/A</v>
      </c>
      <c r="J12" s="36" t="e">
        <f ca="1">_xll.qlCalendarAdvance("Null",I$2,$A12&amp;"Y","UnAdjusted")</f>
        <v>#N/A</v>
      </c>
      <c r="K12" s="37" t="e">
        <f ca="1"/>
        <v>#N/A</v>
      </c>
      <c r="N12" s="36" t="e">
        <f ca="1">_xll.qlCalendarAdvance("Null",M$2,$A12&amp;"Y","UnAdjusted")</f>
        <v>#N/A</v>
      </c>
      <c r="O12" s="37" t="e">
        <f ca="1"/>
        <v>#N/A</v>
      </c>
      <c r="R12" s="36" t="e">
        <f ca="1">_xll.qlCalendarAdvance("Null",Q$2,$A12&amp;"Y","UnAdjusted")</f>
        <v>#N/A</v>
      </c>
      <c r="S12" s="37" t="e">
        <f ca="1"/>
        <v>#N/A</v>
      </c>
    </row>
    <row r="13" spans="1:19">
      <c r="A13" s="35">
        <v>5</v>
      </c>
      <c r="B13" s="36" t="e">
        <f ca="1">_xll.qlCalendarAdvance("Null",A$2,$A13&amp;"Y","UnAdjusted")</f>
        <v>#N/A</v>
      </c>
      <c r="C13" s="37" t="e">
        <f ca="1"/>
        <v>#N/A</v>
      </c>
      <c r="F13" s="36" t="e">
        <f ca="1">_xll.qlCalendarAdvance("Null",E$2,$A13&amp;"Y","UnAdjusted")</f>
        <v>#N/A</v>
      </c>
      <c r="G13" s="37" t="e">
        <f ca="1"/>
        <v>#N/A</v>
      </c>
      <c r="J13" s="36" t="e">
        <f ca="1">_xll.qlCalendarAdvance("Null",I$2,$A13&amp;"Y","UnAdjusted")</f>
        <v>#N/A</v>
      </c>
      <c r="K13" s="37" t="e">
        <f ca="1"/>
        <v>#N/A</v>
      </c>
      <c r="N13" s="36" t="e">
        <f ca="1">_xll.qlCalendarAdvance("Null",M$2,$A13&amp;"Y","UnAdjusted")</f>
        <v>#N/A</v>
      </c>
      <c r="O13" s="37" t="e">
        <f ca="1"/>
        <v>#N/A</v>
      </c>
      <c r="R13" s="36" t="e">
        <f ca="1">_xll.qlCalendarAdvance("Null",Q$2,$A13&amp;"Y","UnAdjusted")</f>
        <v>#N/A</v>
      </c>
      <c r="S13" s="37" t="e">
        <f ca="1"/>
        <v>#N/A</v>
      </c>
    </row>
    <row r="14" spans="1:19">
      <c r="A14" s="35">
        <v>6</v>
      </c>
      <c r="B14" s="36" t="e">
        <f ca="1">_xll.qlCalendarAdvance("Null",A$2,$A14&amp;"Y","UnAdjusted")</f>
        <v>#N/A</v>
      </c>
      <c r="C14" s="37" t="e">
        <f ca="1"/>
        <v>#N/A</v>
      </c>
      <c r="F14" s="36" t="e">
        <f ca="1">_xll.qlCalendarAdvance("Null",E$2,$A14&amp;"Y","UnAdjusted")</f>
        <v>#N/A</v>
      </c>
      <c r="G14" s="37" t="e">
        <f ca="1"/>
        <v>#N/A</v>
      </c>
      <c r="J14" s="36" t="e">
        <f ca="1">_xll.qlCalendarAdvance("Null",I$2,$A14&amp;"Y","UnAdjusted")</f>
        <v>#N/A</v>
      </c>
      <c r="K14" s="37" t="e">
        <f ca="1"/>
        <v>#N/A</v>
      </c>
      <c r="N14" s="36" t="e">
        <f ca="1">_xll.qlCalendarAdvance("Null",M$2,$A14&amp;"Y","UnAdjusted")</f>
        <v>#N/A</v>
      </c>
      <c r="O14" s="37" t="e">
        <f ca="1"/>
        <v>#N/A</v>
      </c>
      <c r="R14" s="36" t="e">
        <f ca="1">_xll.qlCalendarAdvance("Null",Q$2,$A14&amp;"Y","UnAdjusted")</f>
        <v>#N/A</v>
      </c>
      <c r="S14" s="37" t="e">
        <f ca="1"/>
        <v>#N/A</v>
      </c>
    </row>
    <row r="15" spans="1:19">
      <c r="A15" s="35">
        <v>7</v>
      </c>
      <c r="B15" s="36" t="e">
        <f ca="1">_xll.qlCalendarAdvance("Null",A$2,$A15&amp;"Y","UnAdjusted")</f>
        <v>#N/A</v>
      </c>
      <c r="C15" s="37" t="e">
        <f ca="1"/>
        <v>#N/A</v>
      </c>
      <c r="F15" s="36" t="e">
        <f ca="1">_xll.qlCalendarAdvance("Null",E$2,$A15&amp;"Y","UnAdjusted")</f>
        <v>#N/A</v>
      </c>
      <c r="G15" s="37" t="e">
        <f ca="1"/>
        <v>#N/A</v>
      </c>
      <c r="J15" s="36" t="e">
        <f ca="1">_xll.qlCalendarAdvance("Null",I$2,$A15&amp;"Y","UnAdjusted")</f>
        <v>#N/A</v>
      </c>
      <c r="K15" s="37" t="e">
        <f ca="1"/>
        <v>#N/A</v>
      </c>
      <c r="N15" s="36" t="e">
        <f ca="1">_xll.qlCalendarAdvance("Null",M$2,$A15&amp;"Y","UnAdjusted")</f>
        <v>#N/A</v>
      </c>
      <c r="O15" s="37" t="e">
        <f ca="1"/>
        <v>#N/A</v>
      </c>
      <c r="R15" s="36" t="e">
        <f ca="1">_xll.qlCalendarAdvance("Null",Q$2,$A15&amp;"Y","UnAdjusted")</f>
        <v>#N/A</v>
      </c>
      <c r="S15" s="37" t="e">
        <f ca="1"/>
        <v>#N/A</v>
      </c>
    </row>
    <row r="16" spans="1:19">
      <c r="A16" s="35">
        <v>8</v>
      </c>
      <c r="B16" s="36" t="e">
        <f ca="1">_xll.qlCalendarAdvance("Null",A$2,$A16&amp;"Y","UnAdjusted")</f>
        <v>#N/A</v>
      </c>
      <c r="C16" s="37" t="e">
        <f ca="1"/>
        <v>#N/A</v>
      </c>
      <c r="F16" s="36" t="e">
        <f ca="1">_xll.qlCalendarAdvance("Null",E$2,$A16&amp;"Y","UnAdjusted")</f>
        <v>#N/A</v>
      </c>
      <c r="G16" s="37" t="e">
        <f ca="1"/>
        <v>#N/A</v>
      </c>
      <c r="J16" s="36" t="e">
        <f ca="1">_xll.qlCalendarAdvance("Null",I$2,$A16&amp;"Y","UnAdjusted")</f>
        <v>#N/A</v>
      </c>
      <c r="K16" s="37" t="e">
        <f ca="1"/>
        <v>#N/A</v>
      </c>
      <c r="N16" s="36" t="e">
        <f ca="1">_xll.qlCalendarAdvance("Null",M$2,$A16&amp;"Y","UnAdjusted")</f>
        <v>#N/A</v>
      </c>
      <c r="O16" s="37" t="e">
        <f ca="1"/>
        <v>#N/A</v>
      </c>
      <c r="R16" s="36" t="e">
        <f ca="1">_xll.qlCalendarAdvance("Null",Q$2,$A16&amp;"Y","UnAdjusted")</f>
        <v>#N/A</v>
      </c>
      <c r="S16" s="37" t="e">
        <f ca="1"/>
        <v>#N/A</v>
      </c>
    </row>
    <row r="17" spans="1:19">
      <c r="A17" s="35">
        <v>9</v>
      </c>
      <c r="B17" s="36" t="e">
        <f ca="1">_xll.qlCalendarAdvance("Null",A$2,$A17&amp;"Y","UnAdjusted")</f>
        <v>#N/A</v>
      </c>
      <c r="C17" s="37" t="e">
        <f ca="1"/>
        <v>#N/A</v>
      </c>
      <c r="F17" s="36" t="e">
        <f ca="1">_xll.qlCalendarAdvance("Null",E$2,$A17&amp;"Y","UnAdjusted")</f>
        <v>#N/A</v>
      </c>
      <c r="G17" s="37" t="e">
        <f ca="1"/>
        <v>#N/A</v>
      </c>
      <c r="J17" s="36" t="e">
        <f ca="1">_xll.qlCalendarAdvance("Null",I$2,$A17&amp;"Y","UnAdjusted")</f>
        <v>#N/A</v>
      </c>
      <c r="K17" s="37" t="e">
        <f ca="1"/>
        <v>#N/A</v>
      </c>
      <c r="N17" s="36" t="e">
        <f ca="1">_xll.qlCalendarAdvance("Null",M$2,$A17&amp;"Y","UnAdjusted")</f>
        <v>#N/A</v>
      </c>
      <c r="O17" s="37" t="e">
        <f ca="1"/>
        <v>#N/A</v>
      </c>
      <c r="R17" s="36" t="e">
        <f ca="1">_xll.qlCalendarAdvance("Null",Q$2,$A17&amp;"Y","UnAdjusted")</f>
        <v>#N/A</v>
      </c>
      <c r="S17" s="37" t="e">
        <f ca="1"/>
        <v>#N/A</v>
      </c>
    </row>
    <row r="18" spans="1:19">
      <c r="A18" s="35">
        <v>10</v>
      </c>
      <c r="B18" s="36" t="e">
        <f ca="1">_xll.qlCalendarAdvance("Null",A$2,$A18&amp;"Y","UnAdjusted")</f>
        <v>#N/A</v>
      </c>
      <c r="C18" s="37" t="e">
        <f ca="1"/>
        <v>#N/A</v>
      </c>
      <c r="F18" s="36" t="e">
        <f ca="1">_xll.qlCalendarAdvance("Null",E$2,$A18&amp;"Y","UnAdjusted")</f>
        <v>#N/A</v>
      </c>
      <c r="G18" s="37" t="e">
        <f ca="1"/>
        <v>#N/A</v>
      </c>
      <c r="J18" s="36" t="e">
        <f ca="1">_xll.qlCalendarAdvance("Null",I$2,$A18&amp;"Y","UnAdjusted")</f>
        <v>#N/A</v>
      </c>
      <c r="K18" s="37" t="e">
        <f ca="1"/>
        <v>#N/A</v>
      </c>
      <c r="N18" s="36" t="e">
        <f ca="1">_xll.qlCalendarAdvance("Null",M$2,$A18&amp;"Y","UnAdjusted")</f>
        <v>#N/A</v>
      </c>
      <c r="O18" s="37" t="e">
        <f ca="1"/>
        <v>#N/A</v>
      </c>
      <c r="R18" s="36" t="e">
        <f ca="1">_xll.qlCalendarAdvance("Null",Q$2,$A18&amp;"Y","UnAdjusted")</f>
        <v>#N/A</v>
      </c>
      <c r="S18" s="37" t="e">
        <f ca="1"/>
        <v>#N/A</v>
      </c>
    </row>
    <row r="19" spans="1:19">
      <c r="A19" s="35">
        <v>11</v>
      </c>
      <c r="B19" s="36" t="e">
        <f ca="1">_xll.qlCalendarAdvance("Null",A$2,$A19&amp;"Y","UnAdjusted")</f>
        <v>#N/A</v>
      </c>
      <c r="C19" s="37" t="e">
        <f ca="1"/>
        <v>#N/A</v>
      </c>
      <c r="F19" s="36" t="e">
        <f ca="1">_xll.qlCalendarAdvance("Null",E$2,$A19&amp;"Y","UnAdjusted")</f>
        <v>#N/A</v>
      </c>
      <c r="G19" s="37" t="e">
        <f ca="1"/>
        <v>#N/A</v>
      </c>
      <c r="J19" s="36" t="e">
        <f ca="1">_xll.qlCalendarAdvance("Null",I$2,$A19&amp;"Y","UnAdjusted")</f>
        <v>#N/A</v>
      </c>
      <c r="K19" s="37" t="e">
        <f ca="1"/>
        <v>#N/A</v>
      </c>
      <c r="N19" s="36" t="e">
        <f ca="1">_xll.qlCalendarAdvance("Null",M$2,$A19&amp;"Y","UnAdjusted")</f>
        <v>#N/A</v>
      </c>
      <c r="O19" s="37" t="e">
        <f ca="1"/>
        <v>#N/A</v>
      </c>
      <c r="R19" s="36" t="e">
        <f ca="1">_xll.qlCalendarAdvance("Null",Q$2,$A19&amp;"Y","UnAdjusted")</f>
        <v>#N/A</v>
      </c>
      <c r="S19" s="37" t="e">
        <f ca="1"/>
        <v>#N/A</v>
      </c>
    </row>
    <row r="20" spans="1:19">
      <c r="A20" s="35">
        <v>12</v>
      </c>
      <c r="B20" s="36" t="e">
        <f ca="1">_xll.qlCalendarAdvance("Null",A$2,$A20&amp;"Y","UnAdjusted")</f>
        <v>#N/A</v>
      </c>
      <c r="C20" s="37" t="e">
        <f ca="1"/>
        <v>#N/A</v>
      </c>
      <c r="F20" s="36" t="e">
        <f ca="1">_xll.qlCalendarAdvance("Null",E$2,$A20&amp;"Y","UnAdjusted")</f>
        <v>#N/A</v>
      </c>
      <c r="G20" s="37" t="e">
        <f ca="1"/>
        <v>#N/A</v>
      </c>
      <c r="J20" s="36" t="e">
        <f ca="1">_xll.qlCalendarAdvance("Null",I$2,$A20&amp;"Y","UnAdjusted")</f>
        <v>#N/A</v>
      </c>
      <c r="K20" s="37" t="e">
        <f ca="1"/>
        <v>#N/A</v>
      </c>
      <c r="N20" s="36" t="e">
        <f ca="1">_xll.qlCalendarAdvance("Null",M$2,$A20&amp;"Y","UnAdjusted")</f>
        <v>#N/A</v>
      </c>
      <c r="O20" s="37" t="e">
        <f ca="1"/>
        <v>#N/A</v>
      </c>
      <c r="R20" s="36" t="e">
        <f ca="1">_xll.qlCalendarAdvance("Null",Q$2,$A20&amp;"Y","UnAdjusted")</f>
        <v>#N/A</v>
      </c>
      <c r="S20" s="37" t="e">
        <f ca="1"/>
        <v>#N/A</v>
      </c>
    </row>
    <row r="21" spans="1:19">
      <c r="A21" s="35">
        <v>13</v>
      </c>
      <c r="B21" s="36" t="e">
        <f ca="1">_xll.qlCalendarAdvance("Null",A$2,$A21&amp;"Y","UnAdjusted")</f>
        <v>#N/A</v>
      </c>
      <c r="C21" s="37" t="e">
        <f ca="1"/>
        <v>#N/A</v>
      </c>
      <c r="F21" s="36" t="e">
        <f ca="1">_xll.qlCalendarAdvance("Null",E$2,$A21&amp;"Y","UnAdjusted")</f>
        <v>#N/A</v>
      </c>
      <c r="G21" s="37" t="e">
        <f ca="1"/>
        <v>#N/A</v>
      </c>
      <c r="J21" s="36" t="e">
        <f ca="1">_xll.qlCalendarAdvance("Null",I$2,$A21&amp;"Y","UnAdjusted")</f>
        <v>#N/A</v>
      </c>
      <c r="K21" s="37" t="e">
        <f ca="1"/>
        <v>#N/A</v>
      </c>
      <c r="N21" s="36" t="e">
        <f ca="1">_xll.qlCalendarAdvance("Null",M$2,$A21&amp;"Y","UnAdjusted")</f>
        <v>#N/A</v>
      </c>
      <c r="O21" s="37" t="e">
        <f ca="1"/>
        <v>#N/A</v>
      </c>
      <c r="R21" s="36" t="e">
        <f ca="1">_xll.qlCalendarAdvance("Null",Q$2,$A21&amp;"Y","UnAdjusted")</f>
        <v>#N/A</v>
      </c>
      <c r="S21" s="37" t="e">
        <f ca="1"/>
        <v>#N/A</v>
      </c>
    </row>
    <row r="22" spans="1:19">
      <c r="A22" s="35">
        <v>14</v>
      </c>
      <c r="B22" s="36" t="e">
        <f ca="1">_xll.qlCalendarAdvance("Null",A$2,$A22&amp;"Y","UnAdjusted")</f>
        <v>#N/A</v>
      </c>
      <c r="C22" s="37" t="e">
        <f ca="1"/>
        <v>#N/A</v>
      </c>
      <c r="F22" s="36" t="e">
        <f ca="1">_xll.qlCalendarAdvance("Null",E$2,$A22&amp;"Y","UnAdjusted")</f>
        <v>#N/A</v>
      </c>
      <c r="G22" s="37" t="e">
        <f ca="1"/>
        <v>#N/A</v>
      </c>
      <c r="J22" s="36" t="e">
        <f ca="1">_xll.qlCalendarAdvance("Null",I$2,$A22&amp;"Y","UnAdjusted")</f>
        <v>#N/A</v>
      </c>
      <c r="K22" s="37" t="e">
        <f ca="1"/>
        <v>#N/A</v>
      </c>
      <c r="N22" s="36" t="e">
        <f ca="1">_xll.qlCalendarAdvance("Null",M$2,$A22&amp;"Y","UnAdjusted")</f>
        <v>#N/A</v>
      </c>
      <c r="O22" s="37" t="e">
        <f ca="1"/>
        <v>#N/A</v>
      </c>
      <c r="R22" s="36" t="e">
        <f ca="1">_xll.qlCalendarAdvance("Null",Q$2,$A22&amp;"Y","UnAdjusted")</f>
        <v>#N/A</v>
      </c>
      <c r="S22" s="37" t="e">
        <f ca="1"/>
        <v>#N/A</v>
      </c>
    </row>
    <row r="23" spans="1:19">
      <c r="A23" s="35">
        <v>15</v>
      </c>
      <c r="B23" s="36" t="e">
        <f ca="1">_xll.qlCalendarAdvance("Null",A$2,$A23&amp;"Y","UnAdjusted")</f>
        <v>#N/A</v>
      </c>
      <c r="C23" s="37" t="e">
        <f ca="1"/>
        <v>#N/A</v>
      </c>
      <c r="F23" s="36" t="e">
        <f ca="1">_xll.qlCalendarAdvance("Null",E$2,$A23&amp;"Y","UnAdjusted")</f>
        <v>#N/A</v>
      </c>
      <c r="G23" s="37" t="e">
        <f ca="1"/>
        <v>#N/A</v>
      </c>
      <c r="J23" s="36" t="e">
        <f ca="1">_xll.qlCalendarAdvance("Null",I$2,$A23&amp;"Y","UnAdjusted")</f>
        <v>#N/A</v>
      </c>
      <c r="K23" s="37" t="e">
        <f ca="1"/>
        <v>#N/A</v>
      </c>
      <c r="N23" s="36" t="e">
        <f ca="1">_xll.qlCalendarAdvance("Null",M$2,$A23&amp;"Y","UnAdjusted")</f>
        <v>#N/A</v>
      </c>
      <c r="O23" s="37" t="e">
        <f ca="1"/>
        <v>#N/A</v>
      </c>
      <c r="R23" s="36" t="e">
        <f ca="1">_xll.qlCalendarAdvance("Null",Q$2,$A23&amp;"Y","UnAdjusted")</f>
        <v>#N/A</v>
      </c>
      <c r="S23" s="37" t="e">
        <f ca="1"/>
        <v>#N/A</v>
      </c>
    </row>
    <row r="24" spans="1:19">
      <c r="A24" s="35">
        <v>16</v>
      </c>
      <c r="B24" s="36" t="e">
        <f ca="1">_xll.qlCalendarAdvance("Null",A$2,$A24&amp;"Y","UnAdjusted")</f>
        <v>#N/A</v>
      </c>
      <c r="C24" s="37" t="e">
        <f ca="1"/>
        <v>#N/A</v>
      </c>
      <c r="F24" s="36" t="e">
        <f ca="1">_xll.qlCalendarAdvance("Null",E$2,$A24&amp;"Y","UnAdjusted")</f>
        <v>#N/A</v>
      </c>
      <c r="G24" s="37" t="e">
        <f ca="1"/>
        <v>#N/A</v>
      </c>
      <c r="J24" s="36" t="e">
        <f ca="1">_xll.qlCalendarAdvance("Null",I$2,$A24&amp;"Y","UnAdjusted")</f>
        <v>#N/A</v>
      </c>
      <c r="K24" s="37" t="e">
        <f ca="1"/>
        <v>#N/A</v>
      </c>
      <c r="N24" s="36" t="e">
        <f ca="1">_xll.qlCalendarAdvance("Null",M$2,$A24&amp;"Y","UnAdjusted")</f>
        <v>#N/A</v>
      </c>
      <c r="O24" s="37" t="e">
        <f ca="1"/>
        <v>#N/A</v>
      </c>
      <c r="R24" s="36" t="e">
        <f ca="1">_xll.qlCalendarAdvance("Null",Q$2,$A24&amp;"Y","UnAdjusted")</f>
        <v>#N/A</v>
      </c>
      <c r="S24" s="37" t="e">
        <f ca="1"/>
        <v>#N/A</v>
      </c>
    </row>
    <row r="25" spans="1:19">
      <c r="A25" s="35">
        <v>17</v>
      </c>
      <c r="B25" s="36" t="e">
        <f ca="1">_xll.qlCalendarAdvance("Null",A$2,$A25&amp;"Y","UnAdjusted")</f>
        <v>#N/A</v>
      </c>
      <c r="C25" s="37" t="e">
        <f ca="1"/>
        <v>#N/A</v>
      </c>
      <c r="F25" s="36" t="e">
        <f ca="1">_xll.qlCalendarAdvance("Null",E$2,$A25&amp;"Y","UnAdjusted")</f>
        <v>#N/A</v>
      </c>
      <c r="G25" s="37" t="e">
        <f ca="1"/>
        <v>#N/A</v>
      </c>
      <c r="J25" s="36" t="e">
        <f ca="1">_xll.qlCalendarAdvance("Null",I$2,$A25&amp;"Y","UnAdjusted")</f>
        <v>#N/A</v>
      </c>
      <c r="K25" s="37" t="e">
        <f ca="1"/>
        <v>#N/A</v>
      </c>
      <c r="N25" s="36" t="e">
        <f ca="1">_xll.qlCalendarAdvance("Null",M$2,$A25&amp;"Y","UnAdjusted")</f>
        <v>#N/A</v>
      </c>
      <c r="O25" s="37" t="e">
        <f ca="1"/>
        <v>#N/A</v>
      </c>
      <c r="R25" s="36" t="e">
        <f ca="1">_xll.qlCalendarAdvance("Null",Q$2,$A25&amp;"Y","UnAdjusted")</f>
        <v>#N/A</v>
      </c>
      <c r="S25" s="37" t="e">
        <f ca="1"/>
        <v>#N/A</v>
      </c>
    </row>
    <row r="26" spans="1:19">
      <c r="A26" s="35">
        <v>18</v>
      </c>
      <c r="B26" s="36" t="e">
        <f ca="1">_xll.qlCalendarAdvance("Null",A$2,$A26&amp;"Y","UnAdjusted")</f>
        <v>#N/A</v>
      </c>
      <c r="C26" s="37" t="e">
        <f ca="1"/>
        <v>#N/A</v>
      </c>
      <c r="F26" s="36" t="e">
        <f ca="1">_xll.qlCalendarAdvance("Null",E$2,$A26&amp;"Y","UnAdjusted")</f>
        <v>#N/A</v>
      </c>
      <c r="G26" s="37" t="e">
        <f ca="1"/>
        <v>#N/A</v>
      </c>
      <c r="J26" s="36" t="e">
        <f ca="1">_xll.qlCalendarAdvance("Null",I$2,$A26&amp;"Y","UnAdjusted")</f>
        <v>#N/A</v>
      </c>
      <c r="K26" s="37" t="e">
        <f ca="1"/>
        <v>#N/A</v>
      </c>
      <c r="N26" s="36" t="e">
        <f ca="1">_xll.qlCalendarAdvance("Null",M$2,$A26&amp;"Y","UnAdjusted")</f>
        <v>#N/A</v>
      </c>
      <c r="O26" s="37" t="e">
        <f ca="1"/>
        <v>#N/A</v>
      </c>
      <c r="R26" s="36" t="e">
        <f ca="1">_xll.qlCalendarAdvance("Null",Q$2,$A26&amp;"Y","UnAdjusted")</f>
        <v>#N/A</v>
      </c>
      <c r="S26" s="37" t="e">
        <f ca="1"/>
        <v>#N/A</v>
      </c>
    </row>
    <row r="27" spans="1:19">
      <c r="A27" s="35">
        <v>19</v>
      </c>
      <c r="B27" s="36" t="e">
        <f ca="1">_xll.qlCalendarAdvance("Null",A$2,$A27&amp;"Y","UnAdjusted")</f>
        <v>#N/A</v>
      </c>
      <c r="C27" s="37" t="e">
        <f ca="1"/>
        <v>#N/A</v>
      </c>
      <c r="F27" s="36" t="e">
        <f ca="1">_xll.qlCalendarAdvance("Null",E$2,$A27&amp;"Y","UnAdjusted")</f>
        <v>#N/A</v>
      </c>
      <c r="G27" s="37" t="e">
        <f ca="1"/>
        <v>#N/A</v>
      </c>
      <c r="J27" s="36" t="e">
        <f ca="1">_xll.qlCalendarAdvance("Null",I$2,$A27&amp;"Y","UnAdjusted")</f>
        <v>#N/A</v>
      </c>
      <c r="K27" s="37" t="e">
        <f ca="1"/>
        <v>#N/A</v>
      </c>
      <c r="N27" s="36" t="e">
        <f ca="1">_xll.qlCalendarAdvance("Null",M$2,$A27&amp;"Y","UnAdjusted")</f>
        <v>#N/A</v>
      </c>
      <c r="O27" s="37" t="e">
        <f ca="1"/>
        <v>#N/A</v>
      </c>
      <c r="R27" s="36" t="e">
        <f ca="1">_xll.qlCalendarAdvance("Null",Q$2,$A27&amp;"Y","UnAdjusted")</f>
        <v>#N/A</v>
      </c>
      <c r="S27" s="37" t="e">
        <f ca="1"/>
        <v>#N/A</v>
      </c>
    </row>
    <row r="28" spans="1:19">
      <c r="A28" s="35">
        <v>20</v>
      </c>
      <c r="B28" s="36" t="e">
        <f ca="1">_xll.qlCalendarAdvance("Null",A$2,$A28&amp;"Y","UnAdjusted")</f>
        <v>#N/A</v>
      </c>
      <c r="C28" s="37" t="e">
        <f ca="1"/>
        <v>#N/A</v>
      </c>
      <c r="F28" s="36" t="e">
        <f ca="1">_xll.qlCalendarAdvance("Null",E$2,$A28&amp;"Y","UnAdjusted")</f>
        <v>#N/A</v>
      </c>
      <c r="G28" s="37" t="e">
        <f ca="1"/>
        <v>#N/A</v>
      </c>
      <c r="J28" s="36" t="e">
        <f ca="1">_xll.qlCalendarAdvance("Null",I$2,$A28&amp;"Y","UnAdjusted")</f>
        <v>#N/A</v>
      </c>
      <c r="K28" s="37" t="e">
        <f ca="1"/>
        <v>#N/A</v>
      </c>
      <c r="N28" s="36" t="e">
        <f ca="1">_xll.qlCalendarAdvance("Null",M$2,$A28&amp;"Y","UnAdjusted")</f>
        <v>#N/A</v>
      </c>
      <c r="O28" s="37" t="e">
        <f ca="1"/>
        <v>#N/A</v>
      </c>
      <c r="R28" s="36" t="e">
        <f ca="1">_xll.qlCalendarAdvance("Null",Q$2,$A28&amp;"Y","UnAdjusted")</f>
        <v>#N/A</v>
      </c>
      <c r="S28" s="37" t="e">
        <f ca="1"/>
        <v>#N/A</v>
      </c>
    </row>
    <row r="29" spans="1:19">
      <c r="A29" s="35">
        <v>21</v>
      </c>
      <c r="B29" s="36" t="e">
        <f ca="1">_xll.qlCalendarAdvance("Null",A$2,$A29&amp;"Y","UnAdjusted")</f>
        <v>#N/A</v>
      </c>
      <c r="C29" s="37" t="e">
        <f ca="1"/>
        <v>#N/A</v>
      </c>
      <c r="F29" s="36" t="e">
        <f ca="1">_xll.qlCalendarAdvance("Null",E$2,$A29&amp;"Y","UnAdjusted")</f>
        <v>#N/A</v>
      </c>
      <c r="G29" s="37" t="e">
        <f ca="1"/>
        <v>#N/A</v>
      </c>
      <c r="J29" s="36" t="e">
        <f ca="1">_xll.qlCalendarAdvance("Null",I$2,$A29&amp;"Y","UnAdjusted")</f>
        <v>#N/A</v>
      </c>
      <c r="K29" s="37" t="e">
        <f ca="1"/>
        <v>#N/A</v>
      </c>
      <c r="N29" s="36" t="e">
        <f ca="1">_xll.qlCalendarAdvance("Null",M$2,$A29&amp;"Y","UnAdjusted")</f>
        <v>#N/A</v>
      </c>
      <c r="O29" s="37" t="e">
        <f ca="1"/>
        <v>#N/A</v>
      </c>
      <c r="R29" s="36" t="e">
        <f ca="1">_xll.qlCalendarAdvance("Null",Q$2,$A29&amp;"Y","UnAdjusted")</f>
        <v>#N/A</v>
      </c>
      <c r="S29" s="37" t="e">
        <f ca="1"/>
        <v>#N/A</v>
      </c>
    </row>
    <row r="30" spans="1:19">
      <c r="A30" s="35">
        <v>22</v>
      </c>
      <c r="B30" s="36" t="e">
        <f ca="1">_xll.qlCalendarAdvance("Null",A$2,$A30&amp;"Y","UnAdjusted")</f>
        <v>#N/A</v>
      </c>
      <c r="C30" s="37" t="e">
        <f ca="1"/>
        <v>#N/A</v>
      </c>
      <c r="F30" s="36" t="e">
        <f ca="1">_xll.qlCalendarAdvance("Null",E$2,$A30&amp;"Y","UnAdjusted")</f>
        <v>#N/A</v>
      </c>
      <c r="G30" s="37" t="e">
        <f ca="1"/>
        <v>#N/A</v>
      </c>
      <c r="J30" s="36" t="e">
        <f ca="1">_xll.qlCalendarAdvance("Null",I$2,$A30&amp;"Y","UnAdjusted")</f>
        <v>#N/A</v>
      </c>
      <c r="K30" s="37" t="e">
        <f ca="1"/>
        <v>#N/A</v>
      </c>
      <c r="N30" s="36" t="e">
        <f ca="1">_xll.qlCalendarAdvance("Null",M$2,$A30&amp;"Y","UnAdjusted")</f>
        <v>#N/A</v>
      </c>
      <c r="O30" s="37" t="e">
        <f ca="1"/>
        <v>#N/A</v>
      </c>
      <c r="R30" s="36" t="e">
        <f ca="1">_xll.qlCalendarAdvance("Null",Q$2,$A30&amp;"Y","UnAdjusted")</f>
        <v>#N/A</v>
      </c>
      <c r="S30" s="37" t="e">
        <f ca="1"/>
        <v>#N/A</v>
      </c>
    </row>
    <row r="31" spans="1:19">
      <c r="A31" s="35">
        <v>23</v>
      </c>
      <c r="B31" s="36" t="e">
        <f ca="1">_xll.qlCalendarAdvance("Null",A$2,$A31&amp;"Y","UnAdjusted")</f>
        <v>#N/A</v>
      </c>
      <c r="C31" s="37" t="e">
        <f ca="1"/>
        <v>#N/A</v>
      </c>
      <c r="F31" s="36" t="e">
        <f ca="1">_xll.qlCalendarAdvance("Null",E$2,$A31&amp;"Y","UnAdjusted")</f>
        <v>#N/A</v>
      </c>
      <c r="G31" s="37" t="e">
        <f ca="1"/>
        <v>#N/A</v>
      </c>
      <c r="J31" s="36" t="e">
        <f ca="1">_xll.qlCalendarAdvance("Null",I$2,$A31&amp;"Y","UnAdjusted")</f>
        <v>#N/A</v>
      </c>
      <c r="K31" s="37" t="e">
        <f ca="1"/>
        <v>#N/A</v>
      </c>
      <c r="N31" s="36" t="e">
        <f ca="1">_xll.qlCalendarAdvance("Null",M$2,$A31&amp;"Y","UnAdjusted")</f>
        <v>#N/A</v>
      </c>
      <c r="O31" s="37" t="e">
        <f ca="1"/>
        <v>#N/A</v>
      </c>
      <c r="R31" s="36" t="e">
        <f ca="1">_xll.qlCalendarAdvance("Null",Q$2,$A31&amp;"Y","UnAdjusted")</f>
        <v>#N/A</v>
      </c>
      <c r="S31" s="37" t="e">
        <f ca="1"/>
        <v>#N/A</v>
      </c>
    </row>
    <row r="32" spans="1:19">
      <c r="A32" s="35">
        <v>24</v>
      </c>
      <c r="B32" s="36" t="e">
        <f ca="1">_xll.qlCalendarAdvance("Null",A$2,$A32&amp;"Y","UnAdjusted")</f>
        <v>#N/A</v>
      </c>
      <c r="C32" s="37" t="e">
        <f ca="1"/>
        <v>#N/A</v>
      </c>
      <c r="F32" s="36" t="e">
        <f ca="1">_xll.qlCalendarAdvance("Null",E$2,$A32&amp;"Y","UnAdjusted")</f>
        <v>#N/A</v>
      </c>
      <c r="G32" s="37" t="e">
        <f ca="1"/>
        <v>#N/A</v>
      </c>
      <c r="J32" s="36" t="e">
        <f ca="1">_xll.qlCalendarAdvance("Null",I$2,$A32&amp;"Y","UnAdjusted")</f>
        <v>#N/A</v>
      </c>
      <c r="K32" s="37" t="e">
        <f ca="1"/>
        <v>#N/A</v>
      </c>
      <c r="N32" s="36" t="e">
        <f ca="1">_xll.qlCalendarAdvance("Null",M$2,$A32&amp;"Y","UnAdjusted")</f>
        <v>#N/A</v>
      </c>
      <c r="O32" s="37" t="e">
        <f ca="1"/>
        <v>#N/A</v>
      </c>
      <c r="R32" s="36" t="e">
        <f ca="1">_xll.qlCalendarAdvance("Null",Q$2,$A32&amp;"Y","UnAdjusted")</f>
        <v>#N/A</v>
      </c>
      <c r="S32" s="37" t="e">
        <f ca="1"/>
        <v>#N/A</v>
      </c>
    </row>
    <row r="33" spans="1:19">
      <c r="A33" s="35">
        <v>25</v>
      </c>
      <c r="B33" s="36" t="e">
        <f ca="1">_xll.qlCalendarAdvance("Null",A$2,$A33&amp;"Y","UnAdjusted")</f>
        <v>#N/A</v>
      </c>
      <c r="C33" s="37" t="e">
        <f ca="1"/>
        <v>#N/A</v>
      </c>
      <c r="F33" s="36" t="e">
        <f ca="1">_xll.qlCalendarAdvance("Null",E$2,$A33&amp;"Y","UnAdjusted")</f>
        <v>#N/A</v>
      </c>
      <c r="G33" s="37" t="e">
        <f ca="1"/>
        <v>#N/A</v>
      </c>
      <c r="J33" s="36" t="e">
        <f ca="1">_xll.qlCalendarAdvance("Null",I$2,$A33&amp;"Y","UnAdjusted")</f>
        <v>#N/A</v>
      </c>
      <c r="K33" s="37" t="e">
        <f ca="1"/>
        <v>#N/A</v>
      </c>
      <c r="N33" s="36" t="e">
        <f ca="1">_xll.qlCalendarAdvance("Null",M$2,$A33&amp;"Y","UnAdjusted")</f>
        <v>#N/A</v>
      </c>
      <c r="O33" s="37" t="e">
        <f ca="1"/>
        <v>#N/A</v>
      </c>
      <c r="R33" s="36" t="e">
        <f ca="1">_xll.qlCalendarAdvance("Null",Q$2,$A33&amp;"Y","UnAdjusted")</f>
        <v>#N/A</v>
      </c>
      <c r="S33" s="37" t="e">
        <f ca="1"/>
        <v>#N/A</v>
      </c>
    </row>
    <row r="34" spans="1:19">
      <c r="A34" s="35">
        <v>26</v>
      </c>
      <c r="B34" s="36" t="e">
        <f ca="1">_xll.qlCalendarAdvance("Null",A$2,$A34&amp;"Y","UnAdjusted")</f>
        <v>#N/A</v>
      </c>
      <c r="C34" s="37" t="e">
        <f ca="1"/>
        <v>#N/A</v>
      </c>
      <c r="F34" s="36" t="e">
        <f ca="1">_xll.qlCalendarAdvance("Null",E$2,$A34&amp;"Y","UnAdjusted")</f>
        <v>#N/A</v>
      </c>
      <c r="G34" s="37" t="e">
        <f ca="1"/>
        <v>#N/A</v>
      </c>
      <c r="J34" s="36" t="e">
        <f ca="1">_xll.qlCalendarAdvance("Null",I$2,$A34&amp;"Y","UnAdjusted")</f>
        <v>#N/A</v>
      </c>
      <c r="K34" s="37" t="e">
        <f ca="1"/>
        <v>#N/A</v>
      </c>
      <c r="N34" s="36" t="e">
        <f ca="1">_xll.qlCalendarAdvance("Null",M$2,$A34&amp;"Y","UnAdjusted")</f>
        <v>#N/A</v>
      </c>
      <c r="O34" s="37" t="e">
        <f ca="1"/>
        <v>#N/A</v>
      </c>
      <c r="R34" s="36" t="e">
        <f ca="1">_xll.qlCalendarAdvance("Null",Q$2,$A34&amp;"Y","UnAdjusted")</f>
        <v>#N/A</v>
      </c>
      <c r="S34" s="37" t="e">
        <f ca="1"/>
        <v>#N/A</v>
      </c>
    </row>
    <row r="35" spans="1:19">
      <c r="A35" s="35">
        <v>27</v>
      </c>
      <c r="B35" s="36" t="e">
        <f ca="1">_xll.qlCalendarAdvance("Null",A$2,$A35&amp;"Y","UnAdjusted")</f>
        <v>#N/A</v>
      </c>
      <c r="C35" s="37" t="e">
        <f ca="1"/>
        <v>#N/A</v>
      </c>
      <c r="F35" s="36" t="e">
        <f ca="1">_xll.qlCalendarAdvance("Null",E$2,$A35&amp;"Y","UnAdjusted")</f>
        <v>#N/A</v>
      </c>
      <c r="G35" s="37" t="e">
        <f ca="1"/>
        <v>#N/A</v>
      </c>
      <c r="J35" s="36" t="e">
        <f ca="1">_xll.qlCalendarAdvance("Null",I$2,$A35&amp;"Y","UnAdjusted")</f>
        <v>#N/A</v>
      </c>
      <c r="K35" s="37" t="e">
        <f ca="1"/>
        <v>#N/A</v>
      </c>
      <c r="N35" s="36" t="e">
        <f ca="1">_xll.qlCalendarAdvance("Null",M$2,$A35&amp;"Y","UnAdjusted")</f>
        <v>#N/A</v>
      </c>
      <c r="O35" s="37" t="e">
        <f ca="1"/>
        <v>#N/A</v>
      </c>
      <c r="R35" s="36" t="e">
        <f ca="1">_xll.qlCalendarAdvance("Null",Q$2,$A35&amp;"Y","UnAdjusted")</f>
        <v>#N/A</v>
      </c>
      <c r="S35" s="37" t="e">
        <f ca="1"/>
        <v>#N/A</v>
      </c>
    </row>
    <row r="36" spans="1:19">
      <c r="A36" s="35">
        <v>28</v>
      </c>
      <c r="B36" s="36" t="e">
        <f ca="1">_xll.qlCalendarAdvance("Null",A$2,$A36&amp;"Y","UnAdjusted")</f>
        <v>#N/A</v>
      </c>
      <c r="C36" s="37" t="e">
        <f ca="1"/>
        <v>#N/A</v>
      </c>
      <c r="F36" s="36" t="e">
        <f ca="1">_xll.qlCalendarAdvance("Null",E$2,$A36&amp;"Y","UnAdjusted")</f>
        <v>#N/A</v>
      </c>
      <c r="G36" s="37" t="e">
        <f ca="1"/>
        <v>#N/A</v>
      </c>
      <c r="J36" s="36" t="e">
        <f ca="1">_xll.qlCalendarAdvance("Null",I$2,$A36&amp;"Y","UnAdjusted")</f>
        <v>#N/A</v>
      </c>
      <c r="K36" s="37" t="e">
        <f ca="1"/>
        <v>#N/A</v>
      </c>
      <c r="N36" s="36" t="e">
        <f ca="1">_xll.qlCalendarAdvance("Null",M$2,$A36&amp;"Y","UnAdjusted")</f>
        <v>#N/A</v>
      </c>
      <c r="O36" s="37" t="e">
        <f ca="1"/>
        <v>#N/A</v>
      </c>
      <c r="R36" s="36" t="e">
        <f ca="1">_xll.qlCalendarAdvance("Null",Q$2,$A36&amp;"Y","UnAdjusted")</f>
        <v>#N/A</v>
      </c>
      <c r="S36" s="37" t="e">
        <f ca="1"/>
        <v>#N/A</v>
      </c>
    </row>
    <row r="37" spans="1:19">
      <c r="A37" s="35">
        <v>29</v>
      </c>
      <c r="B37" s="36" t="e">
        <f ca="1">_xll.qlCalendarAdvance("Null",A$2,$A37&amp;"Y","UnAdjusted")</f>
        <v>#N/A</v>
      </c>
      <c r="C37" s="37" t="e">
        <f ca="1"/>
        <v>#N/A</v>
      </c>
      <c r="F37" s="36" t="e">
        <f ca="1">_xll.qlCalendarAdvance("Null",E$2,$A37&amp;"Y","UnAdjusted")</f>
        <v>#N/A</v>
      </c>
      <c r="G37" s="37" t="e">
        <f ca="1"/>
        <v>#N/A</v>
      </c>
      <c r="J37" s="36" t="e">
        <f ca="1">_xll.qlCalendarAdvance("Null",I$2,$A37&amp;"Y","UnAdjusted")</f>
        <v>#N/A</v>
      </c>
      <c r="K37" s="37" t="e">
        <f ca="1"/>
        <v>#N/A</v>
      </c>
      <c r="N37" s="36" t="e">
        <f ca="1">_xll.qlCalendarAdvance("Null",M$2,$A37&amp;"Y","UnAdjusted")</f>
        <v>#N/A</v>
      </c>
      <c r="O37" s="37" t="e">
        <f ca="1"/>
        <v>#N/A</v>
      </c>
      <c r="R37" s="36" t="e">
        <f ca="1">_xll.qlCalendarAdvance("Null",Q$2,$A37&amp;"Y","UnAdjusted")</f>
        <v>#N/A</v>
      </c>
      <c r="S37" s="37" t="e">
        <f ca="1"/>
        <v>#N/A</v>
      </c>
    </row>
    <row r="38" spans="1:19">
      <c r="A38" s="35">
        <v>30</v>
      </c>
      <c r="B38" s="36" t="e">
        <f ca="1">_xll.qlCalendarAdvance("Null",A$2,$A38&amp;"Y","UnAdjusted")</f>
        <v>#N/A</v>
      </c>
      <c r="C38" s="37" t="e">
        <f ca="1"/>
        <v>#N/A</v>
      </c>
      <c r="F38" s="36" t="e">
        <f ca="1">_xll.qlCalendarAdvance("Null",E$2,$A38&amp;"Y","UnAdjusted")</f>
        <v>#N/A</v>
      </c>
      <c r="G38" s="37" t="e">
        <f ca="1"/>
        <v>#N/A</v>
      </c>
      <c r="J38" s="36" t="e">
        <f ca="1">_xll.qlCalendarAdvance("Null",I$2,$A38&amp;"Y","UnAdjusted")</f>
        <v>#N/A</v>
      </c>
      <c r="K38" s="37" t="e">
        <f ca="1"/>
        <v>#N/A</v>
      </c>
      <c r="N38" s="36" t="e">
        <f ca="1">_xll.qlCalendarAdvance("Null",M$2,$A38&amp;"Y","UnAdjusted")</f>
        <v>#N/A</v>
      </c>
      <c r="O38" s="37" t="e">
        <f ca="1"/>
        <v>#N/A</v>
      </c>
      <c r="R38" s="36" t="e">
        <f ca="1">_xll.qlCalendarAdvance("Null",Q$2,$A38&amp;"Y","UnAdjusted")</f>
        <v>#N/A</v>
      </c>
      <c r="S38" s="37" t="e">
        <f ca="1"/>
        <v>#N/A</v>
      </c>
    </row>
    <row r="43" spans="1:19">
      <c r="A43" s="25"/>
      <c r="B43" s="26"/>
      <c r="C43" s="29" t="s">
        <v>49</v>
      </c>
      <c r="D43" s="30"/>
      <c r="E43" s="30"/>
      <c r="F43" s="30"/>
      <c r="G43" s="31"/>
    </row>
    <row r="44" spans="1:19">
      <c r="A44" s="27"/>
      <c r="B44" s="28" t="s">
        <v>48</v>
      </c>
      <c r="C44" s="32">
        <f ca="1">C7</f>
        <v>41143</v>
      </c>
      <c r="D44" s="33">
        <f ca="1">G7</f>
        <v>41136</v>
      </c>
      <c r="E44" s="33">
        <f ca="1">K7</f>
        <v>41113</v>
      </c>
      <c r="F44" s="33">
        <f ca="1">O7</f>
        <v>41051</v>
      </c>
      <c r="G44" s="34">
        <f ca="1">S7</f>
        <v>40777</v>
      </c>
    </row>
    <row r="45" spans="1:19">
      <c r="A45" s="39">
        <f ca="1">A8</f>
        <v>0</v>
      </c>
      <c r="B45" s="40" t="str">
        <f t="shared" ref="B45:B75" ca="1" si="0">A45&amp;"Y"</f>
        <v>0Y</v>
      </c>
      <c r="C45" s="41">
        <v>2.4393919708574296E-2</v>
      </c>
      <c r="D45" s="42">
        <v>2.4376430139760652E-2</v>
      </c>
      <c r="E45" s="42">
        <v>2.4319995441911768E-2</v>
      </c>
      <c r="F45" s="42">
        <v>2.2132924612309202E-2</v>
      </c>
      <c r="G45" s="43">
        <v>3.5786134796388369E-2</v>
      </c>
    </row>
    <row r="46" spans="1:19">
      <c r="A46" s="39">
        <f t="shared" ref="A46:A75" ca="1" si="1">A9</f>
        <v>1</v>
      </c>
      <c r="B46" s="40" t="str">
        <f t="shared" ca="1" si="0"/>
        <v>1Y</v>
      </c>
      <c r="C46" s="44">
        <v>2.7781414506657498E-2</v>
      </c>
      <c r="D46" s="45">
        <v>2.8128663575547996E-2</v>
      </c>
      <c r="E46" s="45">
        <v>2.3371550788122697E-2</v>
      </c>
      <c r="F46" s="45">
        <v>2.4003622042993333E-2</v>
      </c>
      <c r="G46" s="46">
        <v>3.6716682392526234E-2</v>
      </c>
    </row>
    <row r="47" spans="1:19">
      <c r="A47" s="39">
        <f t="shared" ca="1" si="1"/>
        <v>2</v>
      </c>
      <c r="B47" s="40" t="str">
        <f t="shared" ca="1" si="0"/>
        <v>2Y</v>
      </c>
      <c r="C47" s="44">
        <v>2.5340163937598748E-2</v>
      </c>
      <c r="D47" s="45">
        <v>2.4776812338767495E-2</v>
      </c>
      <c r="E47" s="45">
        <v>2.2905060087390128E-2</v>
      </c>
      <c r="F47" s="45">
        <v>2.5535419445296359E-2</v>
      </c>
      <c r="G47" s="46">
        <v>3.3025315207909411E-2</v>
      </c>
    </row>
    <row r="48" spans="1:19">
      <c r="A48" s="39">
        <f t="shared" ca="1" si="1"/>
        <v>3</v>
      </c>
      <c r="B48" s="40" t="str">
        <f t="shared" ca="1" si="0"/>
        <v>3Y</v>
      </c>
      <c r="C48" s="44">
        <v>2.8683448262357913E-2</v>
      </c>
      <c r="D48" s="45">
        <v>2.7260415207525757E-2</v>
      </c>
      <c r="E48" s="45">
        <v>2.3933111830701792E-2</v>
      </c>
      <c r="F48" s="45">
        <v>2.6521440658909157E-2</v>
      </c>
      <c r="G48" s="46">
        <v>3.820764945709354E-2</v>
      </c>
    </row>
    <row r="49" spans="1:7">
      <c r="A49" s="39">
        <f t="shared" ca="1" si="1"/>
        <v>4</v>
      </c>
      <c r="B49" s="40" t="str">
        <f t="shared" ca="1" si="0"/>
        <v>4Y</v>
      </c>
      <c r="C49" s="44">
        <v>2.9398474346821413E-2</v>
      </c>
      <c r="D49" s="45">
        <v>2.8522391620223964E-2</v>
      </c>
      <c r="E49" s="45">
        <v>2.6493654294804214E-2</v>
      </c>
      <c r="F49" s="45">
        <v>2.8003432536271911E-2</v>
      </c>
      <c r="G49" s="46">
        <v>3.4568919811111209E-2</v>
      </c>
    </row>
    <row r="50" spans="1:7">
      <c r="A50" s="39">
        <f t="shared" ca="1" si="1"/>
        <v>5</v>
      </c>
      <c r="B50" s="40" t="str">
        <f t="shared" ca="1" si="0"/>
        <v>5Y</v>
      </c>
      <c r="C50" s="44">
        <v>3.1162513362855471E-2</v>
      </c>
      <c r="D50" s="45">
        <v>3.0137139407103497E-2</v>
      </c>
      <c r="E50" s="45">
        <v>2.8446526887983881E-2</v>
      </c>
      <c r="F50" s="45">
        <v>2.9179254442666558E-2</v>
      </c>
      <c r="G50" s="46">
        <v>3.8274128854916878E-2</v>
      </c>
    </row>
    <row r="51" spans="1:7">
      <c r="A51" s="39">
        <f t="shared" ca="1" si="1"/>
        <v>6</v>
      </c>
      <c r="B51" s="40" t="str">
        <f t="shared" ca="1" si="0"/>
        <v>6Y</v>
      </c>
      <c r="C51" s="44">
        <v>3.2155823015994844E-2</v>
      </c>
      <c r="D51" s="45">
        <v>3.1774665493350396E-2</v>
      </c>
      <c r="E51" s="45">
        <v>3.0420417103735442E-2</v>
      </c>
      <c r="F51" s="45">
        <v>3.2290994767032011E-2</v>
      </c>
      <c r="G51" s="46">
        <v>3.6704467636120119E-2</v>
      </c>
    </row>
    <row r="52" spans="1:7">
      <c r="A52" s="39">
        <f t="shared" ca="1" si="1"/>
        <v>7</v>
      </c>
      <c r="B52" s="40" t="str">
        <f t="shared" ca="1" si="0"/>
        <v>7Y</v>
      </c>
      <c r="C52" s="44">
        <v>3.223491787252275E-2</v>
      </c>
      <c r="D52" s="45">
        <v>3.2213742777911669E-2</v>
      </c>
      <c r="E52" s="45">
        <v>3.1600323335068126E-2</v>
      </c>
      <c r="F52" s="45">
        <v>3.3162222914709716E-2</v>
      </c>
      <c r="G52" s="46">
        <v>4.0538818957615685E-2</v>
      </c>
    </row>
    <row r="53" spans="1:7">
      <c r="A53" s="39">
        <f t="shared" ca="1" si="1"/>
        <v>8</v>
      </c>
      <c r="B53" s="40" t="str">
        <f t="shared" ca="1" si="0"/>
        <v>8Y</v>
      </c>
      <c r="C53" s="44">
        <v>3.3850907104242767E-2</v>
      </c>
      <c r="D53" s="45">
        <v>3.3422226340926509E-2</v>
      </c>
      <c r="E53" s="45">
        <v>3.308816869883624E-2</v>
      </c>
      <c r="F53" s="45">
        <v>3.4232145398451763E-2</v>
      </c>
      <c r="G53" s="46">
        <v>4.0156959256103297E-2</v>
      </c>
    </row>
    <row r="54" spans="1:7">
      <c r="A54" s="39">
        <f t="shared" ca="1" si="1"/>
        <v>9</v>
      </c>
      <c r="B54" s="40" t="str">
        <f t="shared" ca="1" si="0"/>
        <v>9Y</v>
      </c>
      <c r="C54" s="44">
        <v>3.4087037562455347E-2</v>
      </c>
      <c r="D54" s="45">
        <v>3.3991720218013111E-2</v>
      </c>
      <c r="E54" s="45">
        <v>3.3883208676866561E-2</v>
      </c>
      <c r="F54" s="45">
        <v>3.4827992252953965E-2</v>
      </c>
      <c r="G54" s="46">
        <v>4.0295668385561534E-2</v>
      </c>
    </row>
    <row r="55" spans="1:7">
      <c r="A55" s="39">
        <f t="shared" ca="1" si="1"/>
        <v>10</v>
      </c>
      <c r="B55" s="40" t="str">
        <f t="shared" ca="1" si="0"/>
        <v>10Y</v>
      </c>
      <c r="C55" s="44">
        <v>3.4431682693988996E-2</v>
      </c>
      <c r="D55" s="45">
        <v>3.4173020784154629E-2</v>
      </c>
      <c r="E55" s="45">
        <v>3.401281488099106E-2</v>
      </c>
      <c r="F55" s="45">
        <v>3.4618220641221109E-2</v>
      </c>
      <c r="G55" s="46">
        <v>4.0465691927183967E-2</v>
      </c>
    </row>
    <row r="56" spans="1:7">
      <c r="A56" s="39">
        <f t="shared" ca="1" si="1"/>
        <v>11</v>
      </c>
      <c r="B56" s="40" t="str">
        <f t="shared" ca="1" si="0"/>
        <v>11Y</v>
      </c>
      <c r="C56" s="44">
        <v>3.5553815459507199E-2</v>
      </c>
      <c r="D56" s="45">
        <v>3.5393318887143144E-2</v>
      </c>
      <c r="E56" s="45">
        <v>3.5446729788346287E-2</v>
      </c>
      <c r="F56" s="45">
        <v>3.5195182999158137E-2</v>
      </c>
      <c r="G56" s="46">
        <v>4.0550364480520962E-2</v>
      </c>
    </row>
    <row r="57" spans="1:7">
      <c r="A57" s="39">
        <f t="shared" ca="1" si="1"/>
        <v>12</v>
      </c>
      <c r="B57" s="40" t="str">
        <f t="shared" ca="1" si="0"/>
        <v>12Y</v>
      </c>
      <c r="C57" s="44">
        <v>3.6489855899920931E-2</v>
      </c>
      <c r="D57" s="45">
        <v>3.6411333840546067E-2</v>
      </c>
      <c r="E57" s="45">
        <v>3.664317773725001E-2</v>
      </c>
      <c r="F57" s="45">
        <v>3.5676230735638192E-2</v>
      </c>
      <c r="G57" s="46">
        <v>4.0904348245439204E-2</v>
      </c>
    </row>
    <row r="58" spans="1:7">
      <c r="A58" s="39">
        <f t="shared" ca="1" si="1"/>
        <v>13</v>
      </c>
      <c r="B58" s="40" t="str">
        <f t="shared" ca="1" si="0"/>
        <v>13Y</v>
      </c>
      <c r="C58" s="44">
        <v>3.7282550939451875E-2</v>
      </c>
      <c r="D58" s="45">
        <v>3.7273512859531621E-2</v>
      </c>
      <c r="E58" s="45">
        <v>3.7656636516326669E-2</v>
      </c>
      <c r="F58" s="45">
        <v>3.7120431465755832E-2</v>
      </c>
      <c r="G58" s="46">
        <v>4.1583537920746094E-2</v>
      </c>
    </row>
    <row r="59" spans="1:7">
      <c r="A59" s="39">
        <f t="shared" ca="1" si="1"/>
        <v>14</v>
      </c>
      <c r="B59" s="40" t="str">
        <f t="shared" ca="1" si="0"/>
        <v>14Y</v>
      </c>
      <c r="C59" s="44">
        <v>3.7962486333390721E-2</v>
      </c>
      <c r="D59" s="45">
        <v>3.8013094286807769E-2</v>
      </c>
      <c r="E59" s="45">
        <v>3.8526104023383967E-2</v>
      </c>
      <c r="F59" s="45">
        <v>3.8413665132864594E-2</v>
      </c>
      <c r="G59" s="46">
        <v>4.2199280939650974E-2</v>
      </c>
    </row>
    <row r="60" spans="1:7">
      <c r="A60" s="39">
        <f t="shared" ca="1" si="1"/>
        <v>15</v>
      </c>
      <c r="B60" s="40" t="str">
        <f t="shared" ca="1" si="0"/>
        <v>15Y</v>
      </c>
      <c r="C60" s="44">
        <v>3.8548539482293753E-2</v>
      </c>
      <c r="D60" s="45">
        <v>3.8654491391270085E-2</v>
      </c>
      <c r="E60" s="45">
        <v>3.9280231814986966E-2</v>
      </c>
      <c r="F60" s="45">
        <v>3.9535771980786505E-2</v>
      </c>
      <c r="G60" s="46">
        <v>4.2733219319563753E-2</v>
      </c>
    </row>
    <row r="61" spans="1:7">
      <c r="A61" s="39">
        <f t="shared" ca="1" si="1"/>
        <v>16</v>
      </c>
      <c r="B61" s="40" t="str">
        <f t="shared" ca="1" si="0"/>
        <v>16Y</v>
      </c>
      <c r="C61" s="44">
        <v>3.886325001761759E-2</v>
      </c>
      <c r="D61" s="45">
        <v>3.8953336348870993E-2</v>
      </c>
      <c r="E61" s="45">
        <v>3.9330554262512418E-2</v>
      </c>
      <c r="F61" s="45">
        <v>4.0346792737673498E-2</v>
      </c>
      <c r="G61" s="46">
        <v>4.3200639790990758E-2</v>
      </c>
    </row>
    <row r="62" spans="1:7">
      <c r="A62" s="39">
        <f t="shared" ca="1" si="1"/>
        <v>17</v>
      </c>
      <c r="B62" s="40" t="str">
        <f t="shared" ca="1" si="0"/>
        <v>17Y</v>
      </c>
      <c r="C62" s="44">
        <v>3.9141014980217825E-2</v>
      </c>
      <c r="D62" s="45">
        <v>3.9216405676420152E-2</v>
      </c>
      <c r="E62" s="45">
        <v>3.9335786634662862E-2</v>
      </c>
      <c r="F62" s="45">
        <v>4.1013679857578866E-2</v>
      </c>
      <c r="G62" s="46">
        <v>4.3613243618226161E-2</v>
      </c>
    </row>
    <row r="63" spans="1:7">
      <c r="A63" s="39">
        <f t="shared" ca="1" si="1"/>
        <v>18</v>
      </c>
      <c r="B63" s="40" t="str">
        <f t="shared" ca="1" si="0"/>
        <v>18Y</v>
      </c>
      <c r="C63" s="44">
        <v>4.1116374171100034E-2</v>
      </c>
      <c r="D63" s="45">
        <v>3.9974537614058558E-2</v>
      </c>
      <c r="E63" s="45">
        <v>4.0046419554998547E-2</v>
      </c>
      <c r="F63" s="45">
        <v>4.1695238593404627E-2</v>
      </c>
      <c r="G63" s="46">
        <v>4.3980139574388399E-2</v>
      </c>
    </row>
    <row r="64" spans="1:7">
      <c r="A64" s="39">
        <f t="shared" ca="1" si="1"/>
        <v>19</v>
      </c>
      <c r="B64" s="40" t="str">
        <f t="shared" ca="1" si="0"/>
        <v>19Y</v>
      </c>
      <c r="C64" s="44">
        <v>4.0959797907849316E-2</v>
      </c>
      <c r="D64" s="45">
        <v>4.0670476325827432E-2</v>
      </c>
      <c r="E64" s="45">
        <v>4.0711922567986614E-2</v>
      </c>
      <c r="F64" s="45">
        <v>4.2310682374598674E-2</v>
      </c>
      <c r="G64" s="46">
        <v>4.4308524237560931E-2</v>
      </c>
    </row>
    <row r="65" spans="1:7">
      <c r="A65" s="39">
        <f t="shared" ca="1" si="1"/>
        <v>20</v>
      </c>
      <c r="B65" s="40" t="str">
        <f t="shared" ca="1" si="0"/>
        <v>20Y</v>
      </c>
      <c r="C65" s="44">
        <v>4.08188994044969E-2</v>
      </c>
      <c r="D65" s="45">
        <v>4.1297219342999902E-2</v>
      </c>
      <c r="E65" s="45">
        <v>4.1186509724574272E-2</v>
      </c>
      <c r="F65" s="45">
        <v>4.2534987441547933E-2</v>
      </c>
      <c r="G65" s="46">
        <v>4.4604158749534717E-2</v>
      </c>
    </row>
    <row r="66" spans="1:7">
      <c r="A66" s="39">
        <f t="shared" ca="1" si="1"/>
        <v>21</v>
      </c>
      <c r="B66" s="40" t="str">
        <f t="shared" ca="1" si="0"/>
        <v>21Y</v>
      </c>
      <c r="C66" s="44">
        <v>4.069143623955962E-2</v>
      </c>
      <c r="D66" s="45">
        <v>4.1864597787909741E-2</v>
      </c>
      <c r="E66" s="45">
        <v>4.1616084587732693E-2</v>
      </c>
      <c r="F66" s="45">
        <v>4.2737971714434275E-2</v>
      </c>
      <c r="G66" s="46">
        <v>4.4871709708192764E-2</v>
      </c>
    </row>
    <row r="67" spans="1:7">
      <c r="A67" s="39">
        <f t="shared" ca="1" si="1"/>
        <v>22</v>
      </c>
      <c r="B67" s="40" t="str">
        <f t="shared" ca="1" si="0"/>
        <v>22Y</v>
      </c>
      <c r="C67" s="44">
        <v>4.0575574180718554E-2</v>
      </c>
      <c r="D67" s="45">
        <v>4.2380664641477273E-2</v>
      </c>
      <c r="E67" s="45">
        <v>4.2006760987541858E-2</v>
      </c>
      <c r="F67" s="45">
        <v>4.2922537166975028E-2</v>
      </c>
      <c r="G67" s="46">
        <v>4.5114997317483141E-2</v>
      </c>
    </row>
    <row r="68" spans="1:7">
      <c r="A68" s="39">
        <f t="shared" ca="1" si="1"/>
        <v>23</v>
      </c>
      <c r="B68" s="40" t="str">
        <f t="shared" ca="1" si="0"/>
        <v>23Y</v>
      </c>
      <c r="C68" s="44">
        <v>4.0469798348957031E-2</v>
      </c>
      <c r="D68" s="45">
        <v>4.2852079360948814E-2</v>
      </c>
      <c r="E68" s="45">
        <v>4.2363593496524077E-2</v>
      </c>
      <c r="F68" s="45">
        <v>4.3091081980251023E-2</v>
      </c>
      <c r="G68" s="46">
        <v>4.5337178954591772E-2</v>
      </c>
    </row>
    <row r="69" spans="1:7">
      <c r="A69" s="39">
        <f t="shared" ca="1" si="1"/>
        <v>24</v>
      </c>
      <c r="B69" s="40" t="str">
        <f t="shared" ca="1" si="0"/>
        <v>24Y</v>
      </c>
      <c r="C69" s="44">
        <v>4.0372846615420066E-2</v>
      </c>
      <c r="D69" s="45">
        <v>4.3284396805254532E-2</v>
      </c>
      <c r="E69" s="45">
        <v>4.2690797308183148E-2</v>
      </c>
      <c r="F69" s="45">
        <v>4.3245605320333613E-2</v>
      </c>
      <c r="G69" s="46">
        <v>4.554088694854963E-2</v>
      </c>
    </row>
    <row r="70" spans="1:7">
      <c r="A70" s="39">
        <f t="shared" ca="1" si="1"/>
        <v>25</v>
      </c>
      <c r="B70" s="40" t="str">
        <f t="shared" ca="1" si="0"/>
        <v>25Y</v>
      </c>
      <c r="C70" s="44">
        <v>4.0283658999443972E-2</v>
      </c>
      <c r="D70" s="45">
        <v>4.3682287138034459E-2</v>
      </c>
      <c r="E70" s="45">
        <v>4.2991915528613367E-2</v>
      </c>
      <c r="F70" s="45">
        <v>4.3387787010515488E-2</v>
      </c>
      <c r="G70" s="46">
        <v>4.5728333363365348E-2</v>
      </c>
    </row>
    <row r="71" spans="1:7">
      <c r="A71" s="39">
        <f t="shared" ca="1" si="1"/>
        <v>26</v>
      </c>
      <c r="B71" s="40" t="str">
        <f t="shared" ca="1" si="0"/>
        <v>26Y</v>
      </c>
      <c r="C71" s="44">
        <v>4.020133875549603E-2</v>
      </c>
      <c r="D71" s="45">
        <v>4.4049705208733414E-2</v>
      </c>
      <c r="E71" s="45">
        <v>4.3269947991692925E-2</v>
      </c>
      <c r="F71" s="45">
        <v>4.351904884663127E-2</v>
      </c>
      <c r="G71" s="46">
        <v>4.5901390650623819E-2</v>
      </c>
    </row>
    <row r="72" spans="1:7">
      <c r="A72" s="39">
        <f t="shared" ca="1" si="1"/>
        <v>27</v>
      </c>
      <c r="B72" s="40" t="str">
        <f t="shared" ca="1" si="0"/>
        <v>27Y</v>
      </c>
      <c r="C72" s="44">
        <v>4.0125122115684642E-2</v>
      </c>
      <c r="D72" s="45">
        <v>4.4390022454048328E-2</v>
      </c>
      <c r="E72" s="45">
        <v>4.3535738114708566E-2</v>
      </c>
      <c r="F72" s="45">
        <v>4.3640602307432053E-2</v>
      </c>
      <c r="G72" s="46">
        <v>4.6061654415101794E-2</v>
      </c>
    </row>
    <row r="73" spans="1:7">
      <c r="A73" s="39">
        <f t="shared" ca="1" si="1"/>
        <v>28</v>
      </c>
      <c r="B73" s="40" t="str">
        <f t="shared" ca="1" si="0"/>
        <v>28Y</v>
      </c>
      <c r="C73" s="44">
        <v>4.0054354521965596E-2</v>
      </c>
      <c r="D73" s="45">
        <v>4.470613065103457E-2</v>
      </c>
      <c r="E73" s="45">
        <v>4.3802820497994999E-2</v>
      </c>
      <c r="F73" s="45">
        <v>4.3753486056274049E-2</v>
      </c>
      <c r="G73" s="46">
        <v>4.6210492756523669E-2</v>
      </c>
    </row>
    <row r="74" spans="1:7">
      <c r="A74" s="39">
        <f t="shared" ca="1" si="1"/>
        <v>29</v>
      </c>
      <c r="B74" s="40" t="str">
        <f t="shared" ca="1" si="0"/>
        <v>29Y</v>
      </c>
      <c r="C74" s="44">
        <v>3.9988471780175283E-2</v>
      </c>
      <c r="D74" s="45">
        <v>4.5000524289271926E-2</v>
      </c>
      <c r="E74" s="45">
        <v>4.4028744752147686E-2</v>
      </c>
      <c r="F74" s="45">
        <v>4.385859569479944E-2</v>
      </c>
      <c r="G74" s="46">
        <v>4.674046470327764E-2</v>
      </c>
    </row>
    <row r="75" spans="1:7">
      <c r="A75" s="38">
        <f t="shared" ca="1" si="1"/>
        <v>30</v>
      </c>
      <c r="B75" s="47" t="str">
        <f t="shared" ca="1" si="0"/>
        <v>30Y</v>
      </c>
      <c r="C75" s="48">
        <v>3.9926984986487168E-2</v>
      </c>
      <c r="D75" s="49">
        <v>4.5275366531805084E-2</v>
      </c>
      <c r="E75" s="49">
        <v>4.42061110462586E-2</v>
      </c>
      <c r="F75" s="49">
        <v>4.3956707574009046E-2</v>
      </c>
      <c r="G75" s="50">
        <v>4.9092669594782645E-2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64"/>
  <sheetViews>
    <sheetView topLeftCell="H127" workbookViewId="0">
      <selection activeCell="S1" sqref="S1:S1048576"/>
    </sheetView>
  </sheetViews>
  <sheetFormatPr defaultRowHeight="13.5"/>
  <cols>
    <col min="1" max="1" width="40.25" style="51" bestFit="1" customWidth="1"/>
    <col min="2" max="16384" width="9" style="51"/>
  </cols>
  <sheetData>
    <row r="1" spans="1:32">
      <c r="A1" s="51" t="s">
        <v>0</v>
      </c>
      <c r="B1" s="51" t="s">
        <v>1</v>
      </c>
      <c r="C1" s="51" t="s">
        <v>2</v>
      </c>
      <c r="D1" s="51" t="s">
        <v>3</v>
      </c>
      <c r="E1" s="51" t="s">
        <v>4</v>
      </c>
      <c r="F1" s="51" t="s">
        <v>5</v>
      </c>
      <c r="G1" s="51" t="s">
        <v>6</v>
      </c>
      <c r="H1" s="51" t="s">
        <v>7</v>
      </c>
      <c r="I1" s="51" t="s">
        <v>8</v>
      </c>
      <c r="J1" s="51" t="s">
        <v>9</v>
      </c>
      <c r="K1" s="51" t="s">
        <v>10</v>
      </c>
      <c r="L1" s="51" t="s">
        <v>11</v>
      </c>
      <c r="M1" s="51" t="s">
        <v>12</v>
      </c>
      <c r="N1" s="51" t="s">
        <v>13</v>
      </c>
      <c r="O1" s="51" t="s">
        <v>14</v>
      </c>
      <c r="P1" s="51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  <c r="V1" s="51" t="s">
        <v>21</v>
      </c>
      <c r="W1" s="51" t="s">
        <v>22</v>
      </c>
      <c r="X1" s="51" t="s">
        <v>23</v>
      </c>
      <c r="Y1" s="51" t="s">
        <v>24</v>
      </c>
      <c r="Z1" s="51" t="s">
        <v>25</v>
      </c>
      <c r="AA1" s="51" t="s">
        <v>26</v>
      </c>
      <c r="AB1" s="51" t="s">
        <v>27</v>
      </c>
      <c r="AC1" s="51" t="s">
        <v>28</v>
      </c>
      <c r="AD1" s="51" t="s">
        <v>29</v>
      </c>
      <c r="AE1" s="51" t="s">
        <v>30</v>
      </c>
      <c r="AF1" s="51" t="s">
        <v>31</v>
      </c>
    </row>
    <row r="2" spans="1:32">
      <c r="A2" s="2">
        <v>40912</v>
      </c>
      <c r="B2" s="51">
        <v>2.3431E-2</v>
      </c>
      <c r="C2" s="51">
        <v>2.7654999999999999E-2</v>
      </c>
      <c r="D2" s="51">
        <v>2.8608999999999999E-2</v>
      </c>
      <c r="E2" s="51">
        <v>2.895E-2</v>
      </c>
      <c r="F2" s="51">
        <v>3.0253000000000002E-2</v>
      </c>
      <c r="G2" s="51">
        <v>3.0842000000000001E-2</v>
      </c>
      <c r="H2" s="51">
        <v>3.3782E-2</v>
      </c>
      <c r="I2" s="51">
        <v>3.4105999999999997E-2</v>
      </c>
      <c r="J2" s="51">
        <v>3.4977000000000001E-2</v>
      </c>
      <c r="K2" s="51">
        <v>3.5062000000000003E-2</v>
      </c>
      <c r="L2" s="51">
        <v>3.5052E-2</v>
      </c>
      <c r="M2" s="51">
        <v>3.5312000000000003E-2</v>
      </c>
      <c r="N2" s="51">
        <v>3.5904999999999999E-2</v>
      </c>
      <c r="O2" s="51">
        <v>3.6698000000000001E-2</v>
      </c>
      <c r="P2" s="51">
        <v>3.7552000000000002E-2</v>
      </c>
      <c r="Q2" s="51">
        <v>3.8314000000000001E-2</v>
      </c>
      <c r="R2" s="51">
        <v>3.8948000000000003E-2</v>
      </c>
      <c r="S2" s="51">
        <v>3.9539999999999999E-2</v>
      </c>
      <c r="T2" s="51">
        <v>4.0114000000000004E-2</v>
      </c>
      <c r="U2" s="51">
        <v>4.0694999999999995E-2</v>
      </c>
      <c r="V2" s="51">
        <v>4.1313000000000002E-2</v>
      </c>
      <c r="W2" s="51">
        <v>4.1877000000000004E-2</v>
      </c>
      <c r="X2" s="51">
        <v>4.2291999999999996E-2</v>
      </c>
      <c r="Y2" s="51">
        <v>4.258E-2</v>
      </c>
      <c r="Z2" s="51">
        <v>4.2765000000000004E-2</v>
      </c>
      <c r="AA2" s="51">
        <v>4.2874999999999996E-2</v>
      </c>
      <c r="AB2" s="51">
        <v>4.2938000000000004E-2</v>
      </c>
      <c r="AC2" s="51">
        <v>4.2984999999999995E-2</v>
      </c>
      <c r="AD2" s="51">
        <v>4.3051000000000006E-2</v>
      </c>
      <c r="AE2" s="51">
        <v>4.317E-2</v>
      </c>
      <c r="AF2" s="51">
        <v>4.3381999999999997E-2</v>
      </c>
    </row>
    <row r="3" spans="1:32">
      <c r="A3" s="1">
        <v>40913</v>
      </c>
      <c r="B3" s="51">
        <v>2.8456000000000002E-2</v>
      </c>
      <c r="C3" s="51">
        <v>2.7785000000000001E-2</v>
      </c>
      <c r="D3" s="51">
        <v>2.8635000000000001E-2</v>
      </c>
      <c r="E3" s="51">
        <v>2.9216000000000002E-2</v>
      </c>
      <c r="F3" s="51">
        <v>3.0265E-2</v>
      </c>
      <c r="G3" s="51">
        <v>3.1141000000000002E-2</v>
      </c>
      <c r="H3" s="51">
        <v>3.3637E-2</v>
      </c>
      <c r="I3" s="51">
        <v>3.4162999999999999E-2</v>
      </c>
      <c r="J3" s="51">
        <v>3.5062999999999997E-2</v>
      </c>
      <c r="K3" s="51">
        <v>3.4988999999999999E-2</v>
      </c>
      <c r="L3" s="51">
        <v>3.4935000000000001E-2</v>
      </c>
      <c r="M3" s="51">
        <v>3.5193000000000002E-2</v>
      </c>
      <c r="N3" s="51">
        <v>3.5809000000000001E-2</v>
      </c>
      <c r="O3" s="51">
        <v>3.6638999999999998E-2</v>
      </c>
      <c r="P3" s="51">
        <v>3.7532999999999997E-2</v>
      </c>
      <c r="Q3" s="51">
        <v>3.8328000000000001E-2</v>
      </c>
      <c r="R3" s="51">
        <v>3.9011999999999998E-2</v>
      </c>
      <c r="S3" s="51">
        <v>3.9683000000000003E-2</v>
      </c>
      <c r="T3" s="51">
        <v>4.0330000000000005E-2</v>
      </c>
      <c r="U3" s="51">
        <v>4.0940999999999998E-2</v>
      </c>
      <c r="V3" s="51">
        <v>4.1501000000000003E-2</v>
      </c>
      <c r="W3" s="51">
        <v>4.1966999999999997E-2</v>
      </c>
      <c r="X3" s="51">
        <v>4.2310999999999994E-2</v>
      </c>
      <c r="Y3" s="51">
        <v>4.2549999999999998E-2</v>
      </c>
      <c r="Z3" s="51">
        <v>4.2704000000000006E-2</v>
      </c>
      <c r="AA3" s="51">
        <v>4.2790999999999996E-2</v>
      </c>
      <c r="AB3" s="51">
        <v>4.2834999999999998E-2</v>
      </c>
      <c r="AC3" s="51">
        <v>4.2858E-2</v>
      </c>
      <c r="AD3" s="51">
        <v>4.2886000000000001E-2</v>
      </c>
      <c r="AE3" s="51">
        <v>4.2944000000000003E-2</v>
      </c>
      <c r="AF3" s="51">
        <v>4.3061999999999996E-2</v>
      </c>
    </row>
    <row r="4" spans="1:32">
      <c r="A4" s="1">
        <v>40914</v>
      </c>
      <c r="B4" s="51">
        <v>2.8435000000000002E-2</v>
      </c>
      <c r="C4" s="51">
        <v>2.7771000000000001E-2</v>
      </c>
      <c r="D4" s="51">
        <v>2.8597999999999998E-2</v>
      </c>
      <c r="E4" s="51">
        <v>2.9037E-2</v>
      </c>
      <c r="F4" s="51">
        <v>3.0044000000000001E-2</v>
      </c>
      <c r="G4" s="51">
        <v>3.0587E-2</v>
      </c>
      <c r="H4" s="51">
        <v>3.3298999999999995E-2</v>
      </c>
      <c r="I4" s="51">
        <v>3.3673000000000002E-2</v>
      </c>
      <c r="J4" s="51">
        <v>3.4700000000000002E-2</v>
      </c>
      <c r="K4" s="51">
        <v>3.4637000000000001E-2</v>
      </c>
      <c r="L4" s="51">
        <v>3.4591999999999998E-2</v>
      </c>
      <c r="M4" s="51">
        <v>3.4869999999999998E-2</v>
      </c>
      <c r="N4" s="51">
        <v>3.5527999999999997E-2</v>
      </c>
      <c r="O4" s="51">
        <v>3.6414000000000002E-2</v>
      </c>
      <c r="P4" s="51">
        <v>3.7368999999999999E-2</v>
      </c>
      <c r="Q4" s="51">
        <v>3.8218999999999996E-2</v>
      </c>
      <c r="R4" s="51">
        <v>3.8960000000000002E-2</v>
      </c>
      <c r="S4" s="51">
        <v>3.9695999999999995E-2</v>
      </c>
      <c r="T4" s="51">
        <v>4.0397999999999996E-2</v>
      </c>
      <c r="U4" s="51">
        <v>4.1033999999999994E-2</v>
      </c>
      <c r="V4" s="51">
        <v>4.1569000000000002E-2</v>
      </c>
      <c r="W4" s="51">
        <v>4.1981999999999998E-2</v>
      </c>
      <c r="X4" s="51">
        <v>4.2289E-2</v>
      </c>
      <c r="Y4" s="51">
        <v>4.2502000000000005E-2</v>
      </c>
      <c r="Z4" s="51">
        <v>4.2637999999999995E-2</v>
      </c>
      <c r="AA4" s="51">
        <v>4.2713000000000001E-2</v>
      </c>
      <c r="AB4" s="51">
        <v>4.2746000000000006E-2</v>
      </c>
      <c r="AC4" s="51">
        <v>4.2758000000000004E-2</v>
      </c>
      <c r="AD4" s="51">
        <v>4.2768E-2</v>
      </c>
      <c r="AE4" s="51">
        <v>4.2798999999999997E-2</v>
      </c>
      <c r="AF4" s="51">
        <v>4.2876000000000004E-2</v>
      </c>
    </row>
    <row r="5" spans="1:32">
      <c r="A5" s="1">
        <v>40917</v>
      </c>
      <c r="B5" s="51">
        <v>2.8456000000000002E-2</v>
      </c>
      <c r="C5" s="51">
        <v>2.7307999999999999E-2</v>
      </c>
      <c r="D5" s="51">
        <v>2.8627E-2</v>
      </c>
      <c r="E5" s="51">
        <v>2.9020999999999998E-2</v>
      </c>
      <c r="F5" s="51">
        <v>2.9992999999999999E-2</v>
      </c>
      <c r="G5" s="51">
        <v>3.0558999999999999E-2</v>
      </c>
      <c r="H5" s="51">
        <v>3.3271999999999996E-2</v>
      </c>
      <c r="I5" s="51">
        <v>3.3589000000000001E-2</v>
      </c>
      <c r="J5" s="51">
        <v>3.4447999999999999E-2</v>
      </c>
      <c r="K5" s="51">
        <v>3.4408000000000001E-2</v>
      </c>
      <c r="L5" s="51">
        <v>3.4382000000000003E-2</v>
      </c>
      <c r="M5" s="51">
        <v>3.4689999999999999E-2</v>
      </c>
      <c r="N5" s="51">
        <v>3.5402000000000003E-2</v>
      </c>
      <c r="O5" s="51">
        <v>3.6357E-2</v>
      </c>
      <c r="P5" s="51">
        <v>3.7385000000000002E-2</v>
      </c>
      <c r="Q5" s="51">
        <v>3.8301000000000002E-2</v>
      </c>
      <c r="R5" s="51">
        <v>3.9108000000000004E-2</v>
      </c>
      <c r="S5" s="51">
        <v>3.9913999999999998E-2</v>
      </c>
      <c r="T5" s="51">
        <v>4.0674999999999996E-2</v>
      </c>
      <c r="U5" s="51">
        <v>4.1341999999999997E-2</v>
      </c>
      <c r="V5" s="51">
        <v>4.1860999999999995E-2</v>
      </c>
      <c r="W5" s="51">
        <v>4.2234000000000001E-2</v>
      </c>
      <c r="X5" s="51">
        <v>4.2510000000000006E-2</v>
      </c>
      <c r="Y5" s="51">
        <v>4.2701999999999997E-2</v>
      </c>
      <c r="Z5" s="51">
        <v>4.2824000000000001E-2</v>
      </c>
      <c r="AA5" s="51">
        <v>4.2888999999999997E-2</v>
      </c>
      <c r="AB5" s="51">
        <v>4.2914000000000001E-2</v>
      </c>
      <c r="AC5" s="51">
        <v>4.2915999999999996E-2</v>
      </c>
      <c r="AD5" s="51">
        <v>4.2914000000000001E-2</v>
      </c>
      <c r="AE5" s="51">
        <v>4.2925999999999999E-2</v>
      </c>
      <c r="AF5" s="51">
        <v>4.2973999999999998E-2</v>
      </c>
    </row>
    <row r="6" spans="1:32">
      <c r="A6" s="1">
        <v>40918</v>
      </c>
      <c r="B6" s="51">
        <v>2.5388999999999998E-2</v>
      </c>
      <c r="C6" s="51">
        <v>2.7282999999999998E-2</v>
      </c>
      <c r="D6" s="51">
        <v>2.8558E-2</v>
      </c>
      <c r="E6" s="51">
        <v>2.9035999999999999E-2</v>
      </c>
      <c r="F6" s="51">
        <v>2.9994E-2</v>
      </c>
      <c r="G6" s="51">
        <v>3.0607000000000002E-2</v>
      </c>
      <c r="H6" s="51">
        <v>3.3334999999999997E-2</v>
      </c>
      <c r="I6" s="51">
        <v>3.3628999999999999E-2</v>
      </c>
      <c r="J6" s="51">
        <v>3.4664E-2</v>
      </c>
      <c r="K6" s="51">
        <v>3.4660000000000003E-2</v>
      </c>
      <c r="L6" s="51">
        <v>3.4636E-2</v>
      </c>
      <c r="M6" s="51">
        <v>3.4918999999999999E-2</v>
      </c>
      <c r="N6" s="51">
        <v>3.5576999999999998E-2</v>
      </c>
      <c r="O6" s="51">
        <v>3.6458999999999998E-2</v>
      </c>
      <c r="P6" s="51">
        <v>3.7408000000000004E-2</v>
      </c>
      <c r="Q6" s="51">
        <v>3.8253000000000002E-2</v>
      </c>
      <c r="R6" s="51">
        <v>3.8997000000000004E-2</v>
      </c>
      <c r="S6" s="51">
        <v>3.9742E-2</v>
      </c>
      <c r="T6" s="51">
        <v>4.0444000000000008E-2</v>
      </c>
      <c r="U6" s="51">
        <v>4.1056000000000002E-2</v>
      </c>
      <c r="V6" s="51">
        <v>4.1528000000000002E-2</v>
      </c>
      <c r="W6" s="51">
        <v>4.1860000000000001E-2</v>
      </c>
      <c r="X6" s="51">
        <v>4.2099999999999999E-2</v>
      </c>
      <c r="Y6" s="51">
        <v>4.2261E-2</v>
      </c>
      <c r="Z6" s="51">
        <v>4.2355999999999998E-2</v>
      </c>
      <c r="AA6" s="51">
        <v>4.2401000000000001E-2</v>
      </c>
      <c r="AB6" s="51">
        <v>4.2412999999999999E-2</v>
      </c>
      <c r="AC6" s="51">
        <v>4.2409000000000002E-2</v>
      </c>
      <c r="AD6" s="51">
        <v>4.2407E-2</v>
      </c>
      <c r="AE6" s="51">
        <v>4.2426999999999999E-2</v>
      </c>
      <c r="AF6" s="51">
        <v>4.2487999999999998E-2</v>
      </c>
    </row>
    <row r="7" spans="1:32">
      <c r="A7" s="1">
        <v>40919</v>
      </c>
      <c r="B7" s="51">
        <v>2.0856E-2</v>
      </c>
      <c r="C7" s="51">
        <v>2.7884000000000003E-2</v>
      </c>
      <c r="D7" s="51">
        <v>2.8742999999999998E-2</v>
      </c>
      <c r="E7" s="51">
        <v>2.8997999999999999E-2</v>
      </c>
      <c r="F7" s="51">
        <v>3.0102000000000004E-2</v>
      </c>
      <c r="G7" s="51">
        <v>3.0609000000000001E-2</v>
      </c>
      <c r="H7" s="51">
        <v>3.3301999999999998E-2</v>
      </c>
      <c r="I7" s="51">
        <v>3.3831E-2</v>
      </c>
      <c r="J7" s="51">
        <v>3.4854999999999997E-2</v>
      </c>
      <c r="K7" s="51">
        <v>3.4852000000000001E-2</v>
      </c>
      <c r="L7" s="51">
        <v>3.4826999999999997E-2</v>
      </c>
      <c r="M7" s="51">
        <v>3.5105999999999998E-2</v>
      </c>
      <c r="N7" s="51">
        <v>3.5751999999999999E-2</v>
      </c>
      <c r="O7" s="51">
        <v>3.6617999999999998E-2</v>
      </c>
      <c r="P7" s="51">
        <v>3.7551000000000001E-2</v>
      </c>
      <c r="Q7" s="51">
        <v>3.8379999999999997E-2</v>
      </c>
      <c r="R7" s="51">
        <v>3.9116999999999999E-2</v>
      </c>
      <c r="S7" s="51">
        <v>3.9861000000000001E-2</v>
      </c>
      <c r="T7" s="51">
        <v>4.0566999999999999E-2</v>
      </c>
      <c r="U7" s="51">
        <v>4.1184999999999999E-2</v>
      </c>
      <c r="V7" s="51">
        <v>4.1661000000000004E-2</v>
      </c>
      <c r="W7" s="51">
        <v>4.1993000000000003E-2</v>
      </c>
      <c r="X7" s="51">
        <v>4.2229000000000003E-2</v>
      </c>
      <c r="Y7" s="51">
        <v>4.2384000000000005E-2</v>
      </c>
      <c r="Z7" s="51">
        <v>4.2472000000000003E-2</v>
      </c>
      <c r="AA7" s="51">
        <v>4.2510000000000006E-2</v>
      </c>
      <c r="AB7" s="51">
        <v>4.2516999999999999E-2</v>
      </c>
      <c r="AC7" s="51">
        <v>4.2511E-2</v>
      </c>
      <c r="AD7" s="51">
        <v>4.2512000000000001E-2</v>
      </c>
      <c r="AE7" s="51">
        <v>4.2542999999999997E-2</v>
      </c>
      <c r="AF7" s="51">
        <v>4.2615999999999994E-2</v>
      </c>
    </row>
    <row r="8" spans="1:32">
      <c r="A8" s="1">
        <v>40920</v>
      </c>
      <c r="B8" s="51">
        <v>2.3206000000000001E-2</v>
      </c>
      <c r="C8" s="51">
        <v>2.7841000000000001E-2</v>
      </c>
      <c r="D8" s="51">
        <v>2.8638E-2</v>
      </c>
      <c r="E8" s="51">
        <v>2.8986000000000001E-2</v>
      </c>
      <c r="F8" s="51">
        <v>2.9990000000000003E-2</v>
      </c>
      <c r="G8" s="51">
        <v>3.0699999999999998E-2</v>
      </c>
      <c r="H8" s="51">
        <v>3.3360000000000001E-2</v>
      </c>
      <c r="I8" s="51">
        <v>3.3466000000000003E-2</v>
      </c>
      <c r="J8" s="51">
        <v>3.4660999999999997E-2</v>
      </c>
      <c r="K8" s="51">
        <v>3.4620000000000005E-2</v>
      </c>
      <c r="L8" s="51">
        <v>3.4624000000000002E-2</v>
      </c>
      <c r="M8" s="51">
        <v>3.4992000000000002E-2</v>
      </c>
      <c r="N8" s="51">
        <v>3.5687000000000003E-2</v>
      </c>
      <c r="O8" s="51">
        <v>3.6575000000000003E-2</v>
      </c>
      <c r="P8" s="51">
        <v>3.7512999999999998E-2</v>
      </c>
      <c r="Q8" s="51">
        <v>3.8344999999999997E-2</v>
      </c>
      <c r="R8" s="51">
        <v>3.9085999999999996E-2</v>
      </c>
      <c r="S8" s="51">
        <v>3.9834000000000001E-2</v>
      </c>
      <c r="T8" s="51">
        <v>4.0541000000000001E-2</v>
      </c>
      <c r="U8" s="51">
        <v>4.1154999999999997E-2</v>
      </c>
      <c r="V8" s="51">
        <v>4.1619999999999997E-2</v>
      </c>
      <c r="W8" s="51">
        <v>4.1944000000000002E-2</v>
      </c>
      <c r="X8" s="51">
        <v>4.2183999999999999E-2</v>
      </c>
      <c r="Y8" s="51">
        <v>4.2350000000000006E-2</v>
      </c>
      <c r="Z8" s="51">
        <v>4.2453000000000005E-2</v>
      </c>
      <c r="AA8" s="51">
        <v>4.2507999999999997E-2</v>
      </c>
      <c r="AB8" s="51">
        <v>4.2527000000000002E-2</v>
      </c>
      <c r="AC8" s="51">
        <v>4.2526000000000001E-2</v>
      </c>
      <c r="AD8" s="51">
        <v>4.2519000000000001E-2</v>
      </c>
      <c r="AE8" s="51">
        <v>4.2525000000000007E-2</v>
      </c>
      <c r="AF8" s="51">
        <v>4.2560000000000001E-2</v>
      </c>
    </row>
    <row r="9" spans="1:32">
      <c r="A9" s="1">
        <v>40921</v>
      </c>
      <c r="B9" s="51">
        <v>2.7077E-2</v>
      </c>
      <c r="C9" s="51">
        <v>2.7938000000000001E-2</v>
      </c>
      <c r="D9" s="51">
        <v>2.8732999999999998E-2</v>
      </c>
      <c r="E9" s="51">
        <v>2.9033000000000003E-2</v>
      </c>
      <c r="F9" s="51">
        <v>3.0215000000000002E-2</v>
      </c>
      <c r="G9" s="51">
        <v>3.0697000000000002E-2</v>
      </c>
      <c r="H9" s="51">
        <v>3.3397000000000003E-2</v>
      </c>
      <c r="I9" s="51">
        <v>3.3614000000000005E-2</v>
      </c>
      <c r="J9" s="51">
        <v>3.4672000000000001E-2</v>
      </c>
      <c r="K9" s="51">
        <v>3.4728000000000002E-2</v>
      </c>
      <c r="L9" s="51">
        <v>3.4714999999999996E-2</v>
      </c>
      <c r="M9" s="51">
        <v>3.5012000000000001E-2</v>
      </c>
      <c r="N9" s="51">
        <v>3.5682999999999999E-2</v>
      </c>
      <c r="O9" s="51">
        <v>3.6577999999999999E-2</v>
      </c>
      <c r="P9" s="51">
        <v>3.7539999999999997E-2</v>
      </c>
      <c r="Q9" s="51">
        <v>3.8397000000000001E-2</v>
      </c>
      <c r="R9" s="51">
        <v>3.9149999999999997E-2</v>
      </c>
      <c r="S9" s="51">
        <v>3.9893999999999999E-2</v>
      </c>
      <c r="T9" s="51">
        <v>4.0591999999999996E-2</v>
      </c>
      <c r="U9" s="51">
        <v>4.1201000000000002E-2</v>
      </c>
      <c r="V9" s="51">
        <v>4.1673000000000002E-2</v>
      </c>
      <c r="W9" s="51">
        <v>4.2009999999999999E-2</v>
      </c>
      <c r="X9" s="51">
        <v>4.2253999999999993E-2</v>
      </c>
      <c r="Y9" s="51">
        <v>4.2416000000000002E-2</v>
      </c>
      <c r="Z9" s="51">
        <v>4.2512999999999995E-2</v>
      </c>
      <c r="AA9" s="51">
        <v>4.2558999999999993E-2</v>
      </c>
      <c r="AB9" s="51">
        <v>4.2569999999999997E-2</v>
      </c>
      <c r="AC9" s="51">
        <v>4.2566E-2</v>
      </c>
      <c r="AD9" s="51">
        <v>4.2564999999999999E-2</v>
      </c>
      <c r="AE9" s="51">
        <v>4.2587E-2</v>
      </c>
      <c r="AF9" s="51">
        <v>4.2649999999999993E-2</v>
      </c>
    </row>
    <row r="10" spans="1:32">
      <c r="A10" s="1">
        <v>40924</v>
      </c>
      <c r="B10" s="51">
        <v>3.0438999999999997E-2</v>
      </c>
      <c r="C10" s="51">
        <v>2.8250999999999998E-2</v>
      </c>
      <c r="D10" s="51">
        <v>2.8957E-2</v>
      </c>
      <c r="E10" s="51">
        <v>2.921E-2</v>
      </c>
      <c r="F10" s="51">
        <v>3.031E-2</v>
      </c>
      <c r="G10" s="51">
        <v>3.0903E-2</v>
      </c>
      <c r="H10" s="51">
        <v>3.3551000000000004E-2</v>
      </c>
      <c r="I10" s="51">
        <v>3.3765999999999997E-2</v>
      </c>
      <c r="J10" s="51">
        <v>3.4790000000000001E-2</v>
      </c>
      <c r="K10" s="51">
        <v>3.4851E-2</v>
      </c>
      <c r="L10" s="51">
        <v>3.4840000000000003E-2</v>
      </c>
      <c r="M10" s="51">
        <v>3.5135E-2</v>
      </c>
      <c r="N10" s="51">
        <v>3.5795E-2</v>
      </c>
      <c r="O10" s="51">
        <v>3.6674000000000005E-2</v>
      </c>
      <c r="P10" s="51">
        <v>3.7617999999999999E-2</v>
      </c>
      <c r="Q10" s="51">
        <v>3.8459E-2</v>
      </c>
      <c r="R10" s="51">
        <v>3.9203999999999996E-2</v>
      </c>
      <c r="S10" s="51">
        <v>3.9951E-2</v>
      </c>
      <c r="T10" s="51">
        <v>4.0655999999999998E-2</v>
      </c>
      <c r="U10" s="51">
        <v>4.1270000000000001E-2</v>
      </c>
      <c r="V10" s="51">
        <v>4.1740000000000006E-2</v>
      </c>
      <c r="W10" s="51">
        <v>4.2072000000000005E-2</v>
      </c>
      <c r="X10" s="51">
        <v>4.2317999999999995E-2</v>
      </c>
      <c r="Y10" s="51">
        <v>4.2488999999999999E-2</v>
      </c>
      <c r="Z10" s="51">
        <v>4.2595000000000001E-2</v>
      </c>
      <c r="AA10" s="51">
        <v>4.2652000000000002E-2</v>
      </c>
      <c r="AB10" s="51">
        <v>4.2672999999999996E-2</v>
      </c>
      <c r="AC10" s="51">
        <v>4.2672000000000002E-2</v>
      </c>
      <c r="AD10" s="51">
        <v>4.2667999999999998E-2</v>
      </c>
      <c r="AE10" s="51">
        <v>4.2675999999999999E-2</v>
      </c>
      <c r="AF10" s="51">
        <v>4.2714000000000002E-2</v>
      </c>
    </row>
    <row r="11" spans="1:32">
      <c r="A11" s="1">
        <v>40925</v>
      </c>
      <c r="B11" s="51">
        <v>4.2381000000000002E-2</v>
      </c>
      <c r="C11" s="51">
        <v>2.8208E-2</v>
      </c>
      <c r="D11" s="51">
        <v>2.8772000000000002E-2</v>
      </c>
      <c r="E11" s="51">
        <v>2.9302999999999999E-2</v>
      </c>
      <c r="F11" s="51">
        <v>3.0438999999999997E-2</v>
      </c>
      <c r="G11" s="51">
        <v>3.0872999999999998E-2</v>
      </c>
      <c r="H11" s="51">
        <v>3.3446999999999998E-2</v>
      </c>
      <c r="I11" s="51">
        <v>3.3584000000000003E-2</v>
      </c>
      <c r="J11" s="51">
        <v>3.4641999999999999E-2</v>
      </c>
      <c r="K11" s="51">
        <v>3.4648999999999999E-2</v>
      </c>
      <c r="L11" s="51">
        <v>3.4630999999999995E-2</v>
      </c>
      <c r="M11" s="51">
        <v>3.4937999999999997E-2</v>
      </c>
      <c r="N11" s="51">
        <v>3.5630999999999996E-2</v>
      </c>
      <c r="O11" s="51">
        <v>3.6554999999999997E-2</v>
      </c>
      <c r="P11" s="51">
        <v>3.7548999999999999E-2</v>
      </c>
      <c r="Q11" s="51">
        <v>3.8433000000000002E-2</v>
      </c>
      <c r="R11" s="51">
        <v>3.9201E-2</v>
      </c>
      <c r="S11" s="51">
        <v>3.9951E-2</v>
      </c>
      <c r="T11" s="51">
        <v>4.0645000000000001E-2</v>
      </c>
      <c r="U11" s="51">
        <v>4.1243999999999996E-2</v>
      </c>
      <c r="V11" s="51">
        <v>4.1707000000000001E-2</v>
      </c>
      <c r="W11" s="51">
        <v>4.2037999999999999E-2</v>
      </c>
      <c r="X11" s="51">
        <v>4.2283999999999995E-2</v>
      </c>
      <c r="Y11" s="51">
        <v>4.2453000000000005E-2</v>
      </c>
      <c r="Z11" s="51">
        <v>4.2558999999999993E-2</v>
      </c>
      <c r="AA11" s="51">
        <v>4.2615E-2</v>
      </c>
      <c r="AB11" s="51">
        <v>4.2636E-2</v>
      </c>
      <c r="AC11" s="51">
        <v>4.2634999999999999E-2</v>
      </c>
      <c r="AD11" s="51">
        <v>4.2630000000000001E-2</v>
      </c>
      <c r="AE11" s="51">
        <v>4.2637000000000001E-2</v>
      </c>
      <c r="AF11" s="51">
        <v>4.2675999999999999E-2</v>
      </c>
    </row>
    <row r="12" spans="1:32">
      <c r="A12" s="1">
        <v>40926</v>
      </c>
      <c r="B12" s="51">
        <v>5.0381000000000002E-2</v>
      </c>
      <c r="C12" s="51">
        <v>2.8614000000000001E-2</v>
      </c>
      <c r="D12" s="51">
        <v>2.9002E-2</v>
      </c>
      <c r="E12" s="51">
        <v>2.9373E-2</v>
      </c>
      <c r="F12" s="51">
        <v>3.0405999999999999E-2</v>
      </c>
      <c r="G12" s="51">
        <v>3.0979E-2</v>
      </c>
      <c r="H12" s="51">
        <v>3.3217999999999998E-2</v>
      </c>
      <c r="I12" s="51">
        <v>3.3576999999999996E-2</v>
      </c>
      <c r="J12" s="51">
        <v>3.4540000000000001E-2</v>
      </c>
      <c r="K12" s="51">
        <v>3.4548000000000002E-2</v>
      </c>
      <c r="L12" s="51">
        <v>3.4530999999999999E-2</v>
      </c>
      <c r="M12" s="51">
        <v>3.4844E-2</v>
      </c>
      <c r="N12" s="51">
        <v>3.5548000000000003E-2</v>
      </c>
      <c r="O12" s="51">
        <v>3.6485999999999998E-2</v>
      </c>
      <c r="P12" s="51">
        <v>3.7494E-2</v>
      </c>
      <c r="Q12" s="51">
        <v>3.8391000000000002E-2</v>
      </c>
      <c r="R12" s="51">
        <v>3.9163000000000003E-2</v>
      </c>
      <c r="S12" s="51">
        <v>3.9909E-2</v>
      </c>
      <c r="T12" s="51">
        <v>4.0605000000000002E-2</v>
      </c>
      <c r="U12" s="51">
        <v>4.1223000000000003E-2</v>
      </c>
      <c r="V12" s="51">
        <v>4.1734E-2</v>
      </c>
      <c r="W12" s="51">
        <v>4.2126000000000004E-2</v>
      </c>
      <c r="X12" s="51">
        <v>4.2416000000000002E-2</v>
      </c>
      <c r="Y12" s="51">
        <v>4.2618000000000003E-2</v>
      </c>
      <c r="Z12" s="51">
        <v>4.2746000000000006E-2</v>
      </c>
      <c r="AA12" s="51">
        <v>4.2816E-2</v>
      </c>
      <c r="AB12" s="51">
        <v>4.2846000000000002E-2</v>
      </c>
      <c r="AC12" s="51">
        <v>4.2853000000000002E-2</v>
      </c>
      <c r="AD12" s="51">
        <v>4.2859000000000001E-2</v>
      </c>
      <c r="AE12" s="51">
        <v>4.2882999999999998E-2</v>
      </c>
      <c r="AF12" s="51">
        <v>4.2948000000000007E-2</v>
      </c>
    </row>
    <row r="13" spans="1:32">
      <c r="A13" s="1">
        <v>40927</v>
      </c>
      <c r="B13" s="51">
        <v>3.5688999999999999E-2</v>
      </c>
      <c r="C13" s="51">
        <v>2.8439000000000002E-2</v>
      </c>
      <c r="D13" s="51">
        <v>2.9005E-2</v>
      </c>
      <c r="E13" s="51">
        <v>2.9301000000000001E-2</v>
      </c>
      <c r="F13" s="51">
        <v>3.0234999999999998E-2</v>
      </c>
      <c r="G13" s="51">
        <v>3.0659000000000002E-2</v>
      </c>
      <c r="H13" s="51">
        <v>3.2996999999999999E-2</v>
      </c>
      <c r="I13" s="51">
        <v>3.3368000000000002E-2</v>
      </c>
      <c r="J13" s="51">
        <v>3.4373999999999995E-2</v>
      </c>
      <c r="K13" s="51">
        <v>3.4345000000000001E-2</v>
      </c>
      <c r="L13" s="51">
        <v>3.4324E-2</v>
      </c>
      <c r="M13" s="51">
        <v>3.4647999999999998E-2</v>
      </c>
      <c r="N13" s="51">
        <v>3.5375000000000004E-2</v>
      </c>
      <c r="O13" s="51">
        <v>3.6343E-2</v>
      </c>
      <c r="P13" s="51">
        <v>3.7384000000000001E-2</v>
      </c>
      <c r="Q13" s="51">
        <v>3.8311000000000005E-2</v>
      </c>
      <c r="R13" s="51">
        <v>3.9099000000000002E-2</v>
      </c>
      <c r="S13" s="51">
        <v>3.9845999999999999E-2</v>
      </c>
      <c r="T13" s="51">
        <v>4.0533E-2</v>
      </c>
      <c r="U13" s="51">
        <v>4.1139999999999996E-2</v>
      </c>
      <c r="V13" s="51">
        <v>4.1645000000000001E-2</v>
      </c>
      <c r="W13" s="51">
        <v>4.2035999999999997E-2</v>
      </c>
      <c r="X13" s="51">
        <v>4.2325000000000002E-2</v>
      </c>
      <c r="Y13" s="51">
        <v>4.2526000000000001E-2</v>
      </c>
      <c r="Z13" s="51">
        <v>4.2653999999999997E-2</v>
      </c>
      <c r="AA13" s="51">
        <v>4.2723000000000004E-2</v>
      </c>
      <c r="AB13" s="51">
        <v>4.2751999999999998E-2</v>
      </c>
      <c r="AC13" s="51">
        <v>4.2759999999999999E-2</v>
      </c>
      <c r="AD13" s="51">
        <v>4.2765000000000004E-2</v>
      </c>
      <c r="AE13" s="51">
        <v>4.2789000000000001E-2</v>
      </c>
      <c r="AF13" s="51">
        <v>4.2854000000000003E-2</v>
      </c>
    </row>
    <row r="14" spans="1:32">
      <c r="A14" s="1">
        <v>40928</v>
      </c>
      <c r="B14" s="51">
        <v>2.1488999999999998E-2</v>
      </c>
      <c r="C14" s="51">
        <v>2.8154999999999999E-2</v>
      </c>
      <c r="D14" s="51">
        <v>2.8853E-2</v>
      </c>
      <c r="E14" s="51">
        <v>2.9170999999999999E-2</v>
      </c>
      <c r="F14" s="51">
        <v>3.0077E-2</v>
      </c>
      <c r="G14" s="51">
        <v>3.0615E-2</v>
      </c>
      <c r="H14" s="51">
        <v>3.2896000000000002E-2</v>
      </c>
      <c r="I14" s="51">
        <v>3.3352E-2</v>
      </c>
      <c r="J14" s="51">
        <v>3.4444000000000002E-2</v>
      </c>
      <c r="K14" s="51">
        <v>3.4412999999999999E-2</v>
      </c>
      <c r="L14" s="51">
        <v>3.4390000000000004E-2</v>
      </c>
      <c r="M14" s="51">
        <v>3.4710999999999999E-2</v>
      </c>
      <c r="N14" s="51">
        <v>3.5431999999999998E-2</v>
      </c>
      <c r="O14" s="51">
        <v>3.6392000000000001E-2</v>
      </c>
      <c r="P14" s="51">
        <v>3.7423999999999999E-2</v>
      </c>
      <c r="Q14" s="51">
        <v>3.8342000000000001E-2</v>
      </c>
      <c r="R14" s="51">
        <v>3.9125E-2</v>
      </c>
      <c r="S14" s="51">
        <v>3.9871999999999998E-2</v>
      </c>
      <c r="T14" s="51">
        <v>4.0559999999999999E-2</v>
      </c>
      <c r="U14" s="51">
        <v>4.1169999999999998E-2</v>
      </c>
      <c r="V14" s="51">
        <v>4.1676000000000005E-2</v>
      </c>
      <c r="W14" s="51">
        <v>4.2066999999999993E-2</v>
      </c>
      <c r="X14" s="51">
        <v>4.2356999999999999E-2</v>
      </c>
      <c r="Y14" s="51">
        <v>4.2557999999999999E-2</v>
      </c>
      <c r="Z14" s="51">
        <v>4.2685000000000001E-2</v>
      </c>
      <c r="AA14" s="51">
        <v>4.2754E-2</v>
      </c>
      <c r="AB14" s="51">
        <v>4.2782999999999995E-2</v>
      </c>
      <c r="AC14" s="51">
        <v>4.2790000000000002E-2</v>
      </c>
      <c r="AD14" s="51">
        <v>4.2795E-2</v>
      </c>
      <c r="AE14" s="51">
        <v>4.2819000000000003E-2</v>
      </c>
      <c r="AF14" s="51">
        <v>4.2884000000000005E-2</v>
      </c>
    </row>
    <row r="15" spans="1:32">
      <c r="A15" s="1">
        <v>40929</v>
      </c>
      <c r="B15" s="51">
        <v>2.1406000000000001E-2</v>
      </c>
      <c r="C15" s="51">
        <v>2.8169E-2</v>
      </c>
      <c r="D15" s="51">
        <v>2.8794E-2</v>
      </c>
      <c r="E15" s="51">
        <v>2.9182E-2</v>
      </c>
      <c r="F15" s="51">
        <v>3.0147E-2</v>
      </c>
      <c r="G15" s="51">
        <v>3.0679999999999999E-2</v>
      </c>
      <c r="H15" s="51">
        <v>3.2915E-2</v>
      </c>
      <c r="I15" s="51">
        <v>3.3315999999999998E-2</v>
      </c>
      <c r="J15" s="51">
        <v>3.4327000000000003E-2</v>
      </c>
      <c r="K15" s="51">
        <v>3.4419999999999999E-2</v>
      </c>
      <c r="L15" s="51">
        <v>3.4397000000000004E-2</v>
      </c>
      <c r="M15" s="51">
        <v>3.4717999999999999E-2</v>
      </c>
      <c r="N15" s="51">
        <v>3.5437999999999997E-2</v>
      </c>
      <c r="O15" s="51">
        <v>3.6396999999999999E-2</v>
      </c>
      <c r="P15" s="51">
        <v>3.7427000000000002E-2</v>
      </c>
      <c r="Q15" s="51">
        <v>3.8342999999999995E-2</v>
      </c>
      <c r="R15" s="51">
        <v>3.9126000000000001E-2</v>
      </c>
      <c r="S15" s="51">
        <v>3.9871999999999998E-2</v>
      </c>
      <c r="T15" s="51">
        <v>4.0561E-2</v>
      </c>
      <c r="U15" s="51">
        <v>4.1170999999999999E-2</v>
      </c>
      <c r="V15" s="51">
        <v>4.1676999999999999E-2</v>
      </c>
      <c r="W15" s="51">
        <v>4.2069000000000002E-2</v>
      </c>
      <c r="X15" s="51">
        <v>4.2358E-2</v>
      </c>
      <c r="Y15" s="51">
        <v>4.2558999999999993E-2</v>
      </c>
      <c r="Z15" s="51">
        <v>4.2686000000000002E-2</v>
      </c>
      <c r="AA15" s="51">
        <v>4.2755000000000001E-2</v>
      </c>
      <c r="AB15" s="51">
        <v>4.2784000000000003E-2</v>
      </c>
      <c r="AC15" s="51">
        <v>4.2790999999999996E-2</v>
      </c>
      <c r="AD15" s="51">
        <v>4.2796000000000001E-2</v>
      </c>
      <c r="AE15" s="51">
        <v>4.2819999999999997E-2</v>
      </c>
      <c r="AF15" s="51">
        <v>4.2885E-2</v>
      </c>
    </row>
    <row r="16" spans="1:32">
      <c r="A16" s="1">
        <v>40937</v>
      </c>
      <c r="B16" s="51">
        <v>1.9705999999999998E-2</v>
      </c>
      <c r="C16" s="51">
        <v>2.7757E-2</v>
      </c>
      <c r="D16" s="51">
        <v>2.8706999999999996E-2</v>
      </c>
      <c r="E16" s="51">
        <v>2.9045999999999999E-2</v>
      </c>
      <c r="F16" s="51">
        <v>3.0207000000000001E-2</v>
      </c>
      <c r="G16" s="51">
        <v>3.0647000000000001E-2</v>
      </c>
      <c r="H16" s="51">
        <v>3.2927999999999999E-2</v>
      </c>
      <c r="I16" s="51">
        <v>3.3350999999999999E-2</v>
      </c>
      <c r="J16" s="51">
        <v>3.4327999999999997E-2</v>
      </c>
      <c r="K16" s="51">
        <v>3.4403999999999997E-2</v>
      </c>
      <c r="L16" s="51">
        <v>3.4401000000000001E-2</v>
      </c>
      <c r="M16" s="51">
        <v>3.4738999999999999E-2</v>
      </c>
      <c r="N16" s="51">
        <v>3.5460999999999999E-2</v>
      </c>
      <c r="O16" s="51">
        <v>3.6412E-2</v>
      </c>
      <c r="P16" s="51">
        <v>3.7430999999999999E-2</v>
      </c>
      <c r="Q16" s="51">
        <v>3.8341E-2</v>
      </c>
      <c r="R16" s="51">
        <v>3.9121000000000003E-2</v>
      </c>
      <c r="S16" s="51">
        <v>3.9867E-2</v>
      </c>
      <c r="T16" s="51">
        <v>4.0556999999999996E-2</v>
      </c>
      <c r="U16" s="51">
        <v>4.1167999999999996E-2</v>
      </c>
      <c r="V16" s="51">
        <v>4.1675000000000004E-2</v>
      </c>
      <c r="W16" s="51">
        <v>4.2065999999999999E-2</v>
      </c>
      <c r="X16" s="51">
        <v>4.2355999999999998E-2</v>
      </c>
      <c r="Y16" s="51">
        <v>4.2556999999999998E-2</v>
      </c>
      <c r="Z16" s="51">
        <v>4.2684E-2</v>
      </c>
      <c r="AA16" s="51">
        <v>4.2752999999999999E-2</v>
      </c>
      <c r="AB16" s="51">
        <v>4.2782000000000001E-2</v>
      </c>
      <c r="AC16" s="51">
        <v>4.2789000000000001E-2</v>
      </c>
      <c r="AD16" s="51">
        <v>4.2793999999999999E-2</v>
      </c>
      <c r="AE16" s="51">
        <v>4.2817999999999995E-2</v>
      </c>
      <c r="AF16" s="51">
        <v>4.2882999999999998E-2</v>
      </c>
    </row>
    <row r="17" spans="1:32">
      <c r="A17" s="1">
        <v>40938</v>
      </c>
      <c r="B17" s="51">
        <v>1.6292000000000001E-2</v>
      </c>
      <c r="C17" s="51">
        <v>2.7757E-2</v>
      </c>
      <c r="D17" s="51">
        <v>2.8579E-2</v>
      </c>
      <c r="E17" s="51">
        <v>2.9090999999999999E-2</v>
      </c>
      <c r="F17" s="51">
        <v>3.0249999999999999E-2</v>
      </c>
      <c r="G17" s="51">
        <v>3.0896E-2</v>
      </c>
      <c r="H17" s="51">
        <v>3.3089E-2</v>
      </c>
      <c r="I17" s="51">
        <v>3.3427999999999999E-2</v>
      </c>
      <c r="J17" s="51">
        <v>3.4453999999999999E-2</v>
      </c>
      <c r="K17" s="51">
        <v>3.4597000000000003E-2</v>
      </c>
      <c r="L17" s="51">
        <v>3.4611999999999997E-2</v>
      </c>
      <c r="M17" s="51">
        <v>3.4949000000000001E-2</v>
      </c>
      <c r="N17" s="51">
        <v>3.5638000000000003E-2</v>
      </c>
      <c r="O17" s="51">
        <v>3.6539000000000002E-2</v>
      </c>
      <c r="P17" s="51">
        <v>3.7502000000000001E-2</v>
      </c>
      <c r="Q17" s="51">
        <v>3.8365999999999997E-2</v>
      </c>
      <c r="R17" s="51">
        <v>3.9122999999999998E-2</v>
      </c>
      <c r="S17" s="51">
        <v>3.9867E-2</v>
      </c>
      <c r="T17" s="51">
        <v>4.0566999999999999E-2</v>
      </c>
      <c r="U17" s="51">
        <v>4.1193E-2</v>
      </c>
      <c r="V17" s="51">
        <v>4.1707999999999995E-2</v>
      </c>
      <c r="W17" s="51">
        <v>4.2099999999999999E-2</v>
      </c>
      <c r="X17" s="51">
        <v>4.2389999999999997E-2</v>
      </c>
      <c r="Y17" s="51">
        <v>4.2591999999999998E-2</v>
      </c>
      <c r="Z17" s="51">
        <v>4.2720000000000001E-2</v>
      </c>
      <c r="AA17" s="51">
        <v>4.2790000000000002E-2</v>
      </c>
      <c r="AB17" s="51">
        <v>4.2819000000000003E-2</v>
      </c>
      <c r="AC17" s="51">
        <v>4.2827000000000004E-2</v>
      </c>
      <c r="AD17" s="51">
        <v>4.2832000000000002E-2</v>
      </c>
      <c r="AE17" s="51">
        <v>4.2855999999999998E-2</v>
      </c>
      <c r="AF17" s="51">
        <v>4.2922000000000002E-2</v>
      </c>
    </row>
    <row r="18" spans="1:32">
      <c r="A18" s="1">
        <v>40939</v>
      </c>
      <c r="B18" s="51">
        <v>1.7388999999999998E-2</v>
      </c>
      <c r="C18" s="51">
        <v>2.7658000000000002E-2</v>
      </c>
      <c r="D18" s="51">
        <v>2.8624999999999998E-2</v>
      </c>
      <c r="E18" s="51">
        <v>2.9127E-2</v>
      </c>
      <c r="F18" s="51">
        <v>3.0394000000000001E-2</v>
      </c>
      <c r="G18" s="51">
        <v>3.0825000000000002E-2</v>
      </c>
      <c r="H18" s="51">
        <v>3.3146000000000002E-2</v>
      </c>
      <c r="I18" s="51">
        <v>3.3533E-2</v>
      </c>
      <c r="J18" s="51">
        <v>3.4557000000000004E-2</v>
      </c>
      <c r="K18" s="51">
        <v>3.4666999999999996E-2</v>
      </c>
      <c r="L18" s="51">
        <v>3.4672000000000001E-2</v>
      </c>
      <c r="M18" s="51">
        <v>3.4998999999999995E-2</v>
      </c>
      <c r="N18" s="51">
        <v>3.5680999999999997E-2</v>
      </c>
      <c r="O18" s="51">
        <v>3.6575999999999997E-2</v>
      </c>
      <c r="P18" s="51">
        <v>3.7533999999999998E-2</v>
      </c>
      <c r="Q18" s="51">
        <v>3.8391000000000002E-2</v>
      </c>
      <c r="R18" s="51">
        <v>3.9147000000000001E-2</v>
      </c>
      <c r="S18" s="51">
        <v>3.9900999999999999E-2</v>
      </c>
      <c r="T18" s="51">
        <v>4.0612000000000002E-2</v>
      </c>
      <c r="U18" s="51">
        <v>4.1238000000000004E-2</v>
      </c>
      <c r="V18" s="51">
        <v>4.1732999999999999E-2</v>
      </c>
      <c r="W18" s="51">
        <v>4.2091999999999997E-2</v>
      </c>
      <c r="X18" s="51">
        <v>4.2350000000000006E-2</v>
      </c>
      <c r="Y18" s="51">
        <v>4.2522999999999998E-2</v>
      </c>
      <c r="Z18" s="51">
        <v>4.2625000000000003E-2</v>
      </c>
      <c r="AA18" s="51">
        <v>4.2674000000000004E-2</v>
      </c>
      <c r="AB18" s="51">
        <v>4.2687999999999997E-2</v>
      </c>
      <c r="AC18" s="51">
        <v>4.2686000000000002E-2</v>
      </c>
      <c r="AD18" s="51">
        <v>4.2689000000000005E-2</v>
      </c>
      <c r="AE18" s="51">
        <v>4.2718999999999993E-2</v>
      </c>
      <c r="AF18" s="51">
        <v>4.2790999999999996E-2</v>
      </c>
    </row>
    <row r="19" spans="1:32">
      <c r="A19" s="1">
        <v>40940</v>
      </c>
      <c r="B19" s="51">
        <v>1.7364000000000001E-2</v>
      </c>
      <c r="C19" s="51">
        <v>2.7829000000000003E-2</v>
      </c>
      <c r="D19" s="51">
        <v>2.8767999999999998E-2</v>
      </c>
      <c r="E19" s="51">
        <v>2.9312999999999999E-2</v>
      </c>
      <c r="F19" s="51">
        <v>3.0447000000000002E-2</v>
      </c>
      <c r="G19" s="51">
        <v>3.15E-2</v>
      </c>
      <c r="H19" s="51">
        <v>3.3576000000000002E-2</v>
      </c>
      <c r="I19" s="51">
        <v>3.4098000000000003E-2</v>
      </c>
      <c r="J19" s="51">
        <v>3.4901000000000001E-2</v>
      </c>
      <c r="K19" s="51">
        <v>3.4966999999999998E-2</v>
      </c>
      <c r="L19" s="51">
        <v>3.4915000000000002E-2</v>
      </c>
      <c r="M19" s="51">
        <v>3.5215999999999997E-2</v>
      </c>
      <c r="N19" s="51">
        <v>3.5874000000000003E-2</v>
      </c>
      <c r="O19" s="51">
        <v>3.6746000000000001E-2</v>
      </c>
      <c r="P19" s="51">
        <v>3.7679999999999998E-2</v>
      </c>
      <c r="Q19" s="51">
        <v>3.8509000000000002E-2</v>
      </c>
      <c r="R19" s="51">
        <v>3.9251000000000001E-2</v>
      </c>
      <c r="S19" s="51">
        <v>4.0007000000000001E-2</v>
      </c>
      <c r="T19" s="51">
        <v>4.0730000000000002E-2</v>
      </c>
      <c r="U19" s="51">
        <v>4.1368000000000002E-2</v>
      </c>
      <c r="V19" s="51">
        <v>4.1863000000000004E-2</v>
      </c>
      <c r="W19" s="51">
        <v>4.2217999999999999E-2</v>
      </c>
      <c r="X19" s="51">
        <v>4.2480000000000004E-2</v>
      </c>
      <c r="Y19" s="51">
        <v>4.2662000000000005E-2</v>
      </c>
      <c r="Z19" s="51">
        <v>4.2777000000000003E-2</v>
      </c>
      <c r="AA19" s="51">
        <v>4.2839000000000002E-2</v>
      </c>
      <c r="AB19" s="51">
        <v>4.2862999999999998E-2</v>
      </c>
      <c r="AC19" s="51">
        <v>4.2865E-2</v>
      </c>
      <c r="AD19" s="51">
        <v>4.2864000000000006E-2</v>
      </c>
      <c r="AE19" s="51">
        <v>4.2876000000000004E-2</v>
      </c>
      <c r="AF19" s="51">
        <v>4.2923000000000003E-2</v>
      </c>
    </row>
    <row r="20" spans="1:32">
      <c r="A20" s="1">
        <v>40941</v>
      </c>
      <c r="B20" s="51">
        <v>1.7388999999999998E-2</v>
      </c>
      <c r="C20" s="51">
        <v>2.7732999999999997E-2</v>
      </c>
      <c r="D20" s="51">
        <v>2.8946999999999997E-2</v>
      </c>
      <c r="E20" s="51">
        <v>2.9293E-2</v>
      </c>
      <c r="F20" s="51">
        <v>3.0516999999999999E-2</v>
      </c>
      <c r="G20" s="51">
        <v>3.1433000000000003E-2</v>
      </c>
      <c r="H20" s="51">
        <v>3.3793000000000004E-2</v>
      </c>
      <c r="I20" s="51">
        <v>3.4162999999999999E-2</v>
      </c>
      <c r="J20" s="51">
        <v>3.4992999999999996E-2</v>
      </c>
      <c r="K20" s="51">
        <v>3.5034999999999997E-2</v>
      </c>
      <c r="L20" s="51">
        <v>3.5012000000000001E-2</v>
      </c>
      <c r="M20" s="51">
        <v>3.5309E-2</v>
      </c>
      <c r="N20" s="51">
        <v>3.5956999999999996E-2</v>
      </c>
      <c r="O20" s="51">
        <v>3.6814E-2</v>
      </c>
      <c r="P20" s="51">
        <v>3.7732000000000002E-2</v>
      </c>
      <c r="Q20" s="51">
        <v>3.8547999999999999E-2</v>
      </c>
      <c r="R20" s="51">
        <v>3.9281999999999997E-2</v>
      </c>
      <c r="S20" s="51">
        <v>4.0037000000000003E-2</v>
      </c>
      <c r="T20" s="51">
        <v>4.0763999999999995E-2</v>
      </c>
      <c r="U20" s="51">
        <v>4.1407999999999993E-2</v>
      </c>
      <c r="V20" s="51">
        <v>4.1905999999999999E-2</v>
      </c>
      <c r="W20" s="51">
        <v>4.2259999999999999E-2</v>
      </c>
      <c r="X20" s="51">
        <v>4.2522999999999998E-2</v>
      </c>
      <c r="Y20" s="51">
        <v>4.2705E-2</v>
      </c>
      <c r="Z20" s="51">
        <v>4.2819999999999997E-2</v>
      </c>
      <c r="AA20" s="51">
        <v>4.2881999999999997E-2</v>
      </c>
      <c r="AB20" s="51">
        <v>4.2907000000000001E-2</v>
      </c>
      <c r="AC20" s="51">
        <v>4.2908999999999996E-2</v>
      </c>
      <c r="AD20" s="51">
        <v>4.2908000000000002E-2</v>
      </c>
      <c r="AE20" s="51">
        <v>4.2920999999999994E-2</v>
      </c>
      <c r="AF20" s="51">
        <v>4.2967000000000005E-2</v>
      </c>
    </row>
    <row r="21" spans="1:32">
      <c r="A21" s="1">
        <v>40942</v>
      </c>
      <c r="B21" s="51">
        <v>1.6955999999999999E-2</v>
      </c>
      <c r="C21" s="51">
        <v>2.7803000000000001E-2</v>
      </c>
      <c r="D21" s="51">
        <v>2.8961000000000001E-2</v>
      </c>
      <c r="E21" s="51">
        <v>2.9291000000000001E-2</v>
      </c>
      <c r="F21" s="51">
        <v>3.0520000000000002E-2</v>
      </c>
      <c r="G21" s="51">
        <v>3.1475000000000003E-2</v>
      </c>
      <c r="H21" s="51">
        <v>3.3696999999999998E-2</v>
      </c>
      <c r="I21" s="51">
        <v>3.4203000000000004E-2</v>
      </c>
      <c r="J21" s="51">
        <v>3.4959999999999998E-2</v>
      </c>
      <c r="K21" s="51">
        <v>3.5012000000000001E-2</v>
      </c>
      <c r="L21" s="51">
        <v>3.4955E-2</v>
      </c>
      <c r="M21" s="51">
        <v>3.5255999999999996E-2</v>
      </c>
      <c r="N21" s="51">
        <v>3.5910000000000004E-2</v>
      </c>
      <c r="O21" s="51">
        <v>3.6775000000000002E-2</v>
      </c>
      <c r="P21" s="51">
        <v>3.7700999999999998E-2</v>
      </c>
      <c r="Q21" s="51">
        <v>3.8523999999999996E-2</v>
      </c>
      <c r="R21" s="51">
        <v>3.9260999999999997E-2</v>
      </c>
      <c r="S21" s="51">
        <v>4.0016999999999997E-2</v>
      </c>
      <c r="T21" s="51">
        <v>4.0742E-2</v>
      </c>
      <c r="U21" s="51">
        <v>4.1383000000000003E-2</v>
      </c>
      <c r="V21" s="51">
        <v>4.1880000000000001E-2</v>
      </c>
      <c r="W21" s="51">
        <v>4.2234000000000001E-2</v>
      </c>
      <c r="X21" s="51">
        <v>4.2497E-2</v>
      </c>
      <c r="Y21" s="51">
        <v>4.2679000000000002E-2</v>
      </c>
      <c r="Z21" s="51">
        <v>4.2793999999999999E-2</v>
      </c>
      <c r="AA21" s="51">
        <v>4.2855999999999998E-2</v>
      </c>
      <c r="AB21" s="51">
        <v>4.2881000000000002E-2</v>
      </c>
      <c r="AC21" s="51">
        <v>4.2882999999999998E-2</v>
      </c>
      <c r="AD21" s="51">
        <v>4.2881999999999997E-2</v>
      </c>
      <c r="AE21" s="51">
        <v>4.2895000000000003E-2</v>
      </c>
      <c r="AF21" s="51">
        <v>4.2941E-2</v>
      </c>
    </row>
    <row r="22" spans="1:32">
      <c r="A22" s="1">
        <v>40945</v>
      </c>
      <c r="B22" s="51">
        <v>1.5464E-2</v>
      </c>
      <c r="C22" s="51">
        <v>2.8131E-2</v>
      </c>
      <c r="D22" s="51">
        <v>2.8976000000000002E-2</v>
      </c>
      <c r="E22" s="51">
        <v>2.9382999999999999E-2</v>
      </c>
      <c r="F22" s="51">
        <v>3.1015999999999998E-2</v>
      </c>
      <c r="G22" s="51">
        <v>3.1780000000000003E-2</v>
      </c>
      <c r="H22" s="51">
        <v>3.4119999999999998E-2</v>
      </c>
      <c r="I22" s="51">
        <v>3.4550999999999998E-2</v>
      </c>
      <c r="J22" s="51">
        <v>3.5371E-2</v>
      </c>
      <c r="K22" s="51">
        <v>3.5445999999999998E-2</v>
      </c>
      <c r="L22" s="51">
        <v>3.5404999999999999E-2</v>
      </c>
      <c r="M22" s="51">
        <v>3.5682999999999999E-2</v>
      </c>
      <c r="N22" s="51">
        <v>3.6287E-2</v>
      </c>
      <c r="O22" s="51">
        <v>3.7087000000000002E-2</v>
      </c>
      <c r="P22" s="51">
        <v>3.7942000000000004E-2</v>
      </c>
      <c r="Q22" s="51">
        <v>3.8700999999999999E-2</v>
      </c>
      <c r="R22" s="51">
        <v>3.9403000000000001E-2</v>
      </c>
      <c r="S22" s="51">
        <v>4.0156999999999998E-2</v>
      </c>
      <c r="T22" s="51">
        <v>4.0899999999999999E-2</v>
      </c>
      <c r="U22" s="51">
        <v>4.1563999999999997E-2</v>
      </c>
      <c r="V22" s="51">
        <v>4.2074E-2</v>
      </c>
      <c r="W22" s="51">
        <v>4.2430000000000002E-2</v>
      </c>
      <c r="X22" s="51">
        <v>4.2694000000000003E-2</v>
      </c>
      <c r="Y22" s="51">
        <v>4.2877999999999999E-2</v>
      </c>
      <c r="Z22" s="51">
        <v>4.2994000000000004E-2</v>
      </c>
      <c r="AA22" s="51">
        <v>4.3056999999999998E-2</v>
      </c>
      <c r="AB22" s="51">
        <v>4.3082000000000002E-2</v>
      </c>
      <c r="AC22" s="51">
        <v>4.3085000000000005E-2</v>
      </c>
      <c r="AD22" s="51">
        <v>4.3085000000000005E-2</v>
      </c>
      <c r="AE22" s="51">
        <v>4.3097999999999997E-2</v>
      </c>
      <c r="AF22" s="51">
        <v>4.3146000000000004E-2</v>
      </c>
    </row>
    <row r="23" spans="1:32">
      <c r="A23" s="1">
        <v>40946</v>
      </c>
      <c r="B23" s="51">
        <v>1.5481E-2</v>
      </c>
      <c r="C23" s="51">
        <v>2.8176E-2</v>
      </c>
      <c r="D23" s="51">
        <v>2.8988E-2</v>
      </c>
      <c r="E23" s="51">
        <v>2.9352E-2</v>
      </c>
      <c r="F23" s="51">
        <v>3.0889000000000003E-2</v>
      </c>
      <c r="G23" s="51">
        <v>3.1738000000000002E-2</v>
      </c>
      <c r="H23" s="51">
        <v>3.4028999999999997E-2</v>
      </c>
      <c r="I23" s="51">
        <v>3.4571999999999999E-2</v>
      </c>
      <c r="J23" s="51">
        <v>3.5388000000000003E-2</v>
      </c>
      <c r="K23" s="51">
        <v>3.5464999999999997E-2</v>
      </c>
      <c r="L23" s="51">
        <v>3.5441E-2</v>
      </c>
      <c r="M23" s="51">
        <v>3.5718E-2</v>
      </c>
      <c r="N23" s="51">
        <v>3.6323000000000001E-2</v>
      </c>
      <c r="O23" s="51">
        <v>3.7122000000000002E-2</v>
      </c>
      <c r="P23" s="51">
        <v>3.7976000000000003E-2</v>
      </c>
      <c r="Q23" s="51">
        <v>3.8734999999999999E-2</v>
      </c>
      <c r="R23" s="51">
        <v>3.9437E-2</v>
      </c>
      <c r="S23" s="51">
        <v>4.0190999999999998E-2</v>
      </c>
      <c r="T23" s="51">
        <v>4.0933999999999998E-2</v>
      </c>
      <c r="U23" s="51">
        <v>4.1597999999999996E-2</v>
      </c>
      <c r="V23" s="51">
        <v>4.2108E-2</v>
      </c>
      <c r="W23" s="51">
        <v>4.2464000000000002E-2</v>
      </c>
      <c r="X23" s="51">
        <v>4.2727000000000001E-2</v>
      </c>
      <c r="Y23" s="51">
        <v>4.2911000000000005E-2</v>
      </c>
      <c r="Z23" s="51">
        <v>4.3026999999999996E-2</v>
      </c>
      <c r="AA23" s="51">
        <v>4.3089000000000002E-2</v>
      </c>
      <c r="AB23" s="51">
        <v>4.3114E-2</v>
      </c>
      <c r="AC23" s="51">
        <v>4.3117000000000003E-2</v>
      </c>
      <c r="AD23" s="51">
        <v>4.3116000000000002E-2</v>
      </c>
      <c r="AE23" s="51">
        <v>4.3129999999999995E-2</v>
      </c>
      <c r="AF23" s="51">
        <v>4.3177E-2</v>
      </c>
    </row>
    <row r="24" spans="1:32">
      <c r="A24" s="1">
        <v>40947</v>
      </c>
      <c r="B24" s="51">
        <v>1.5381000000000001E-2</v>
      </c>
      <c r="C24" s="51">
        <v>2.9275000000000002E-2</v>
      </c>
      <c r="D24" s="51">
        <v>2.9628000000000002E-2</v>
      </c>
      <c r="E24" s="51">
        <v>3.0001000000000003E-2</v>
      </c>
      <c r="F24" s="51">
        <v>3.1181E-2</v>
      </c>
      <c r="G24" s="51">
        <v>3.2028000000000001E-2</v>
      </c>
      <c r="H24" s="51">
        <v>3.4211999999999999E-2</v>
      </c>
      <c r="I24" s="51">
        <v>3.4706000000000001E-2</v>
      </c>
      <c r="J24" s="51">
        <v>3.5716999999999999E-2</v>
      </c>
      <c r="K24" s="51">
        <v>3.5761000000000001E-2</v>
      </c>
      <c r="L24" s="51">
        <v>3.5729000000000004E-2</v>
      </c>
      <c r="M24" s="51">
        <v>3.5992000000000003E-2</v>
      </c>
      <c r="N24" s="51">
        <v>3.6562000000000004E-2</v>
      </c>
      <c r="O24" s="51">
        <v>3.7317000000000003E-2</v>
      </c>
      <c r="P24" s="51">
        <v>3.8122999999999997E-2</v>
      </c>
      <c r="Q24" s="51">
        <v>3.8837999999999998E-2</v>
      </c>
      <c r="R24" s="51">
        <v>3.9516000000000003E-2</v>
      </c>
      <c r="S24" s="51">
        <v>4.0266999999999997E-2</v>
      </c>
      <c r="T24" s="51">
        <v>4.1021999999999996E-2</v>
      </c>
      <c r="U24" s="51">
        <v>4.1703000000000004E-2</v>
      </c>
      <c r="V24" s="51">
        <v>4.2224000000000005E-2</v>
      </c>
      <c r="W24" s="51">
        <v>4.2583000000000003E-2</v>
      </c>
      <c r="X24" s="51">
        <v>4.2840999999999997E-2</v>
      </c>
      <c r="Y24" s="51">
        <v>4.3014999999999998E-2</v>
      </c>
      <c r="Z24" s="51">
        <v>4.3117999999999997E-2</v>
      </c>
      <c r="AA24" s="51">
        <v>4.3167999999999998E-2</v>
      </c>
      <c r="AB24" s="51">
        <v>4.3182999999999999E-2</v>
      </c>
      <c r="AC24" s="51">
        <v>4.3182999999999999E-2</v>
      </c>
      <c r="AD24" s="51">
        <v>4.3186999999999996E-2</v>
      </c>
      <c r="AE24" s="51">
        <v>4.3216999999999998E-2</v>
      </c>
      <c r="AF24" s="51">
        <v>4.3289000000000001E-2</v>
      </c>
    </row>
    <row r="25" spans="1:32">
      <c r="A25" s="1">
        <v>40948</v>
      </c>
      <c r="B25" s="51">
        <v>1.5381000000000001E-2</v>
      </c>
      <c r="C25" s="51">
        <v>2.9588999999999997E-2</v>
      </c>
      <c r="D25" s="51">
        <v>3.0240999999999997E-2</v>
      </c>
      <c r="E25" s="51">
        <v>3.0529999999999998E-2</v>
      </c>
      <c r="F25" s="51">
        <v>3.1669000000000003E-2</v>
      </c>
      <c r="G25" s="51">
        <v>3.2059000000000004E-2</v>
      </c>
      <c r="H25" s="51">
        <v>3.4556000000000003E-2</v>
      </c>
      <c r="I25" s="51">
        <v>3.4992000000000002E-2</v>
      </c>
      <c r="J25" s="51">
        <v>3.6019999999999996E-2</v>
      </c>
      <c r="K25" s="51">
        <v>3.6072E-2</v>
      </c>
      <c r="L25" s="51">
        <v>3.6046999999999996E-2</v>
      </c>
      <c r="M25" s="51">
        <v>3.6291999999999998E-2</v>
      </c>
      <c r="N25" s="51">
        <v>3.6825000000000004E-2</v>
      </c>
      <c r="O25" s="51">
        <v>3.7530000000000001E-2</v>
      </c>
      <c r="P25" s="51">
        <v>3.8282999999999998E-2</v>
      </c>
      <c r="Q25" s="51">
        <v>3.8951E-2</v>
      </c>
      <c r="R25" s="51">
        <v>3.9581999999999999E-2</v>
      </c>
      <c r="S25" s="51">
        <v>4.0281000000000004E-2</v>
      </c>
      <c r="T25" s="51">
        <v>4.0984999999999994E-2</v>
      </c>
      <c r="U25" s="51">
        <v>4.1624999999999995E-2</v>
      </c>
      <c r="V25" s="51">
        <v>4.2125000000000003E-2</v>
      </c>
      <c r="W25" s="51">
        <v>4.2477999999999995E-2</v>
      </c>
      <c r="X25" s="51">
        <v>4.2741000000000001E-2</v>
      </c>
      <c r="Y25" s="51">
        <v>4.2923000000000003E-2</v>
      </c>
      <c r="Z25" s="51">
        <v>4.3038999999999994E-2</v>
      </c>
      <c r="AA25" s="51">
        <v>4.3102999999999995E-2</v>
      </c>
      <c r="AB25" s="51">
        <v>4.3129999999999995E-2</v>
      </c>
      <c r="AC25" s="51">
        <v>4.3137000000000002E-2</v>
      </c>
      <c r="AD25" s="51">
        <v>4.3139999999999998E-2</v>
      </c>
      <c r="AE25" s="51">
        <v>4.3159000000000003E-2</v>
      </c>
      <c r="AF25" s="51">
        <v>4.3213000000000001E-2</v>
      </c>
    </row>
    <row r="26" spans="1:32">
      <c r="A26" s="1">
        <v>40949</v>
      </c>
      <c r="B26" s="51">
        <v>1.6680999999999998E-2</v>
      </c>
      <c r="C26" s="51">
        <v>2.9547E-2</v>
      </c>
      <c r="D26" s="51">
        <v>3.0320999999999997E-2</v>
      </c>
      <c r="E26" s="51">
        <v>3.0494E-2</v>
      </c>
      <c r="F26" s="51">
        <v>3.1567999999999999E-2</v>
      </c>
      <c r="G26" s="51">
        <v>3.1925000000000002E-2</v>
      </c>
      <c r="H26" s="51">
        <v>3.4359000000000001E-2</v>
      </c>
      <c r="I26" s="51">
        <v>3.4792000000000003E-2</v>
      </c>
      <c r="J26" s="51">
        <v>3.5844000000000001E-2</v>
      </c>
      <c r="K26" s="51">
        <v>3.5922000000000003E-2</v>
      </c>
      <c r="L26" s="51">
        <v>3.5830000000000001E-2</v>
      </c>
      <c r="M26" s="51">
        <v>3.6088000000000002E-2</v>
      </c>
      <c r="N26" s="51">
        <v>3.6645999999999998E-2</v>
      </c>
      <c r="O26" s="51">
        <v>3.7381000000000005E-2</v>
      </c>
      <c r="P26" s="51">
        <v>3.8166000000000005E-2</v>
      </c>
      <c r="Q26" s="51">
        <v>3.8863000000000002E-2</v>
      </c>
      <c r="R26" s="51">
        <v>3.9510999999999998E-2</v>
      </c>
      <c r="S26" s="51">
        <v>4.0210999999999997E-2</v>
      </c>
      <c r="T26" s="51">
        <v>4.0906000000000005E-2</v>
      </c>
      <c r="U26" s="51">
        <v>4.1535999999999997E-2</v>
      </c>
      <c r="V26" s="51">
        <v>4.2030000000000005E-2</v>
      </c>
      <c r="W26" s="51">
        <v>4.2382999999999997E-2</v>
      </c>
      <c r="X26" s="51">
        <v>4.2644000000000001E-2</v>
      </c>
      <c r="Y26" s="51">
        <v>4.2827000000000004E-2</v>
      </c>
      <c r="Z26" s="51">
        <v>4.2942000000000001E-2</v>
      </c>
      <c r="AA26" s="51">
        <v>4.3006000000000003E-2</v>
      </c>
      <c r="AB26" s="51">
        <v>4.3033000000000002E-2</v>
      </c>
      <c r="AC26" s="51">
        <v>4.3038999999999994E-2</v>
      </c>
      <c r="AD26" s="51">
        <v>4.3041999999999997E-2</v>
      </c>
      <c r="AE26" s="51">
        <v>4.3060000000000001E-2</v>
      </c>
      <c r="AF26" s="51">
        <v>4.3114E-2</v>
      </c>
    </row>
    <row r="27" spans="1:32">
      <c r="A27" s="1">
        <v>40952</v>
      </c>
      <c r="B27" s="51">
        <v>1.6697E-2</v>
      </c>
      <c r="C27" s="51">
        <v>2.9037E-2</v>
      </c>
      <c r="D27" s="51">
        <v>2.997E-2</v>
      </c>
      <c r="E27" s="51">
        <v>3.0497999999999997E-2</v>
      </c>
      <c r="F27" s="51">
        <v>3.1206000000000001E-2</v>
      </c>
      <c r="G27" s="51">
        <v>3.1606999999999996E-2</v>
      </c>
      <c r="H27" s="51">
        <v>3.4002999999999999E-2</v>
      </c>
      <c r="I27" s="51">
        <v>3.4564999999999999E-2</v>
      </c>
      <c r="J27" s="51">
        <v>3.5869999999999999E-2</v>
      </c>
      <c r="K27" s="51">
        <v>3.5924999999999999E-2</v>
      </c>
      <c r="L27" s="51">
        <v>3.5790000000000002E-2</v>
      </c>
      <c r="M27" s="51">
        <v>3.6047999999999997E-2</v>
      </c>
      <c r="N27" s="51">
        <v>3.6603999999999998E-2</v>
      </c>
      <c r="O27" s="51">
        <v>3.7336999999999995E-2</v>
      </c>
      <c r="P27" s="51">
        <v>3.8120000000000001E-2</v>
      </c>
      <c r="Q27" s="51">
        <v>3.8814000000000001E-2</v>
      </c>
      <c r="R27" s="51">
        <v>3.9459000000000001E-2</v>
      </c>
      <c r="S27" s="51">
        <v>4.0155000000000003E-2</v>
      </c>
      <c r="T27" s="51">
        <v>4.0849000000000003E-2</v>
      </c>
      <c r="U27" s="51">
        <v>4.1478000000000001E-2</v>
      </c>
      <c r="V27" s="51">
        <v>4.1978000000000001E-2</v>
      </c>
      <c r="W27" s="51">
        <v>4.2332000000000002E-2</v>
      </c>
      <c r="X27" s="51">
        <v>4.2583999999999997E-2</v>
      </c>
      <c r="Y27" s="51">
        <v>4.2748999999999995E-2</v>
      </c>
      <c r="Z27" s="51">
        <v>4.2842999999999999E-2</v>
      </c>
      <c r="AA27" s="51">
        <v>4.2886000000000001E-2</v>
      </c>
      <c r="AB27" s="51">
        <v>4.2897999999999999E-2</v>
      </c>
      <c r="AC27" s="51">
        <v>4.2899E-2</v>
      </c>
      <c r="AD27" s="51">
        <v>4.2913E-2</v>
      </c>
      <c r="AE27" s="51">
        <v>4.2962999999999994E-2</v>
      </c>
      <c r="AF27" s="51">
        <v>4.3052E-2</v>
      </c>
    </row>
    <row r="28" spans="1:32">
      <c r="A28" s="1">
        <v>40953</v>
      </c>
      <c r="B28" s="51">
        <v>1.9786999999999999E-2</v>
      </c>
      <c r="C28" s="51">
        <v>2.9325E-2</v>
      </c>
      <c r="D28" s="51">
        <v>3.0099000000000001E-2</v>
      </c>
      <c r="E28" s="51">
        <v>3.0404E-2</v>
      </c>
      <c r="F28" s="51">
        <v>3.1206000000000001E-2</v>
      </c>
      <c r="G28" s="51">
        <v>3.1702000000000001E-2</v>
      </c>
      <c r="H28" s="51">
        <v>3.3794999999999999E-2</v>
      </c>
      <c r="I28" s="51">
        <v>3.4543999999999998E-2</v>
      </c>
      <c r="J28" s="51">
        <v>3.5859000000000002E-2</v>
      </c>
      <c r="K28" s="51">
        <v>3.5931999999999999E-2</v>
      </c>
      <c r="L28" s="51">
        <v>3.5804999999999997E-2</v>
      </c>
      <c r="M28" s="51">
        <v>3.6062999999999998E-2</v>
      </c>
      <c r="N28" s="51">
        <v>3.6617000000000004E-2</v>
      </c>
      <c r="O28" s="51">
        <v>3.7349E-2</v>
      </c>
      <c r="P28" s="51">
        <v>3.8128999999999996E-2</v>
      </c>
      <c r="Q28" s="51">
        <v>3.8821000000000001E-2</v>
      </c>
      <c r="R28" s="51">
        <v>3.9467000000000002E-2</v>
      </c>
      <c r="S28" s="51">
        <v>4.0167000000000001E-2</v>
      </c>
      <c r="T28" s="51">
        <v>4.0864000000000004E-2</v>
      </c>
      <c r="U28" s="51">
        <v>4.1493000000000002E-2</v>
      </c>
      <c r="V28" s="51">
        <v>4.1984E-2</v>
      </c>
      <c r="W28" s="51">
        <v>4.2332000000000002E-2</v>
      </c>
      <c r="X28" s="51">
        <v>4.2588999999999995E-2</v>
      </c>
      <c r="Y28" s="51">
        <v>4.2769000000000001E-2</v>
      </c>
      <c r="Z28" s="51">
        <v>4.2881999999999997E-2</v>
      </c>
      <c r="AA28" s="51">
        <v>4.2945000000000004E-2</v>
      </c>
      <c r="AB28" s="51">
        <v>4.2969999999999994E-2</v>
      </c>
      <c r="AC28" s="51">
        <v>4.2975000000000006E-2</v>
      </c>
      <c r="AD28" s="51">
        <v>4.2977000000000001E-2</v>
      </c>
      <c r="AE28" s="51">
        <v>4.2994000000000004E-2</v>
      </c>
      <c r="AF28" s="51">
        <v>4.3045E-2</v>
      </c>
    </row>
    <row r="29" spans="1:32">
      <c r="A29" s="1">
        <v>40954</v>
      </c>
      <c r="B29" s="51">
        <v>1.9889E-2</v>
      </c>
      <c r="C29" s="51">
        <v>2.9437000000000001E-2</v>
      </c>
      <c r="D29" s="51">
        <v>3.0377999999999999E-2</v>
      </c>
      <c r="E29" s="51">
        <v>3.0495000000000001E-2</v>
      </c>
      <c r="F29" s="51">
        <v>3.1620000000000002E-2</v>
      </c>
      <c r="G29" s="51">
        <v>3.1928999999999999E-2</v>
      </c>
      <c r="H29" s="51">
        <v>3.3995000000000004E-2</v>
      </c>
      <c r="I29" s="51">
        <v>3.4937999999999997E-2</v>
      </c>
      <c r="J29" s="51">
        <v>3.6061999999999997E-2</v>
      </c>
      <c r="K29" s="51">
        <v>3.6083999999999998E-2</v>
      </c>
      <c r="L29" s="51">
        <v>3.5976000000000001E-2</v>
      </c>
      <c r="M29" s="51">
        <v>3.6226000000000001E-2</v>
      </c>
      <c r="N29" s="51">
        <v>3.6763999999999998E-2</v>
      </c>
      <c r="O29" s="51">
        <v>3.7472999999999999E-2</v>
      </c>
      <c r="P29" s="51">
        <v>3.8228999999999999E-2</v>
      </c>
      <c r="Q29" s="51">
        <v>3.8900000000000004E-2</v>
      </c>
      <c r="R29" s="51">
        <v>3.9532999999999999E-2</v>
      </c>
      <c r="S29" s="51">
        <v>4.0232999999999998E-2</v>
      </c>
      <c r="T29" s="51">
        <v>4.0937000000000001E-2</v>
      </c>
      <c r="U29" s="51">
        <v>4.1575000000000001E-2</v>
      </c>
      <c r="V29" s="51">
        <v>4.2069999999999996E-2</v>
      </c>
      <c r="W29" s="51">
        <v>4.2419000000000005E-2</v>
      </c>
      <c r="X29" s="51">
        <v>4.2678000000000001E-2</v>
      </c>
      <c r="Y29" s="51">
        <v>4.2858E-2</v>
      </c>
      <c r="Z29" s="51">
        <v>4.2972000000000003E-2</v>
      </c>
      <c r="AA29" s="51">
        <v>4.3034999999999997E-2</v>
      </c>
      <c r="AB29" s="51">
        <v>4.3060999999999995E-2</v>
      </c>
      <c r="AC29" s="51">
        <v>4.3067000000000001E-2</v>
      </c>
      <c r="AD29" s="51">
        <v>4.3068999999999996E-2</v>
      </c>
      <c r="AE29" s="51">
        <v>4.3085999999999999E-2</v>
      </c>
      <c r="AF29" s="51">
        <v>4.3137999999999996E-2</v>
      </c>
    </row>
    <row r="30" spans="1:32">
      <c r="A30" s="1">
        <v>40955</v>
      </c>
      <c r="B30" s="51">
        <v>2.5739000000000001E-2</v>
      </c>
      <c r="C30" s="51">
        <v>2.9695999999999997E-2</v>
      </c>
      <c r="D30" s="51">
        <v>3.0435E-2</v>
      </c>
      <c r="E30" s="51">
        <v>3.0613000000000001E-2</v>
      </c>
      <c r="F30" s="51">
        <v>3.1709999999999995E-2</v>
      </c>
      <c r="G30" s="51">
        <v>3.2031999999999998E-2</v>
      </c>
      <c r="H30" s="51">
        <v>3.4027000000000002E-2</v>
      </c>
      <c r="I30" s="51">
        <v>3.5025000000000001E-2</v>
      </c>
      <c r="J30" s="51">
        <v>3.601E-2</v>
      </c>
      <c r="K30" s="51">
        <v>3.6014999999999998E-2</v>
      </c>
      <c r="L30" s="51">
        <v>3.5997000000000001E-2</v>
      </c>
      <c r="M30" s="51">
        <v>3.6248999999999997E-2</v>
      </c>
      <c r="N30" s="51">
        <v>3.6783999999999997E-2</v>
      </c>
      <c r="O30" s="51">
        <v>3.7488E-2</v>
      </c>
      <c r="P30" s="51">
        <v>3.8239000000000002E-2</v>
      </c>
      <c r="Q30" s="51">
        <v>3.8906000000000003E-2</v>
      </c>
      <c r="R30" s="51">
        <v>3.9535000000000001E-2</v>
      </c>
      <c r="S30" s="51">
        <v>4.0232000000000004E-2</v>
      </c>
      <c r="T30" s="51">
        <v>4.0933000000000004E-2</v>
      </c>
      <c r="U30" s="51">
        <v>4.1572999999999999E-2</v>
      </c>
      <c r="V30" s="51">
        <v>4.2079000000000005E-2</v>
      </c>
      <c r="W30" s="51">
        <v>4.2436000000000001E-2</v>
      </c>
      <c r="X30" s="51">
        <v>4.2694000000000003E-2</v>
      </c>
      <c r="Y30" s="51">
        <v>4.2866999999999995E-2</v>
      </c>
      <c r="Z30" s="51">
        <v>4.2969999999999994E-2</v>
      </c>
      <c r="AA30" s="51">
        <v>4.3021000000000004E-2</v>
      </c>
      <c r="AB30" s="51">
        <v>4.3038E-2</v>
      </c>
      <c r="AC30" s="51">
        <v>4.3041000000000003E-2</v>
      </c>
      <c r="AD30" s="51">
        <v>4.3051000000000006E-2</v>
      </c>
      <c r="AE30" s="51">
        <v>4.3089000000000002E-2</v>
      </c>
      <c r="AF30" s="51">
        <v>4.317E-2</v>
      </c>
    </row>
    <row r="31" spans="1:32">
      <c r="A31" s="1">
        <v>40956</v>
      </c>
      <c r="B31" s="51">
        <v>3.0705E-2</v>
      </c>
      <c r="C31" s="51">
        <v>2.9855999999999997E-2</v>
      </c>
      <c r="D31" s="51">
        <v>3.0594E-2</v>
      </c>
      <c r="E31" s="51">
        <v>3.0852000000000001E-2</v>
      </c>
      <c r="F31" s="51">
        <v>3.1896000000000001E-2</v>
      </c>
      <c r="G31" s="51">
        <v>3.2312E-2</v>
      </c>
      <c r="H31" s="51">
        <v>3.4387000000000001E-2</v>
      </c>
      <c r="I31" s="51">
        <v>3.5104000000000003E-2</v>
      </c>
      <c r="J31" s="51">
        <v>3.5992000000000003E-2</v>
      </c>
      <c r="K31" s="51">
        <v>3.5990000000000001E-2</v>
      </c>
      <c r="L31" s="51">
        <v>3.5973999999999999E-2</v>
      </c>
      <c r="M31" s="51">
        <v>3.6227999999999996E-2</v>
      </c>
      <c r="N31" s="51">
        <v>3.6764999999999999E-2</v>
      </c>
      <c r="O31" s="51">
        <v>3.7469999999999996E-2</v>
      </c>
      <c r="P31" s="51">
        <v>3.8220999999999998E-2</v>
      </c>
      <c r="Q31" s="51">
        <v>3.8887999999999999E-2</v>
      </c>
      <c r="R31" s="51">
        <v>3.9535000000000001E-2</v>
      </c>
      <c r="S31" s="51">
        <v>4.0271999999999995E-2</v>
      </c>
      <c r="T31" s="51">
        <v>4.1021999999999996E-2</v>
      </c>
      <c r="U31" s="51">
        <v>4.1702000000000003E-2</v>
      </c>
      <c r="V31" s="51">
        <v>4.2220000000000008E-2</v>
      </c>
      <c r="W31" s="51">
        <v>4.2571000000000005E-2</v>
      </c>
      <c r="X31" s="51">
        <v>4.2824000000000001E-2</v>
      </c>
      <c r="Y31" s="51">
        <v>4.2994000000000004E-2</v>
      </c>
      <c r="Z31" s="51">
        <v>4.3095000000000001E-2</v>
      </c>
      <c r="AA31" s="51">
        <v>4.3144000000000002E-2</v>
      </c>
      <c r="AB31" s="51">
        <v>4.3159000000000003E-2</v>
      </c>
      <c r="AC31" s="51">
        <v>4.3159000000000003E-2</v>
      </c>
      <c r="AD31" s="51">
        <v>4.3164000000000001E-2</v>
      </c>
      <c r="AE31" s="51">
        <v>4.3194999999999997E-2</v>
      </c>
      <c r="AF31" s="51">
        <v>4.3268000000000001E-2</v>
      </c>
    </row>
    <row r="32" spans="1:32">
      <c r="A32" s="1">
        <v>40959</v>
      </c>
      <c r="B32" s="51">
        <v>3.0539E-2</v>
      </c>
      <c r="C32" s="51">
        <v>2.9218999999999998E-2</v>
      </c>
      <c r="D32" s="51">
        <v>3.0096999999999999E-2</v>
      </c>
      <c r="E32" s="51">
        <v>3.0301999999999999E-2</v>
      </c>
      <c r="F32" s="51">
        <v>3.1307999999999996E-2</v>
      </c>
      <c r="G32" s="51">
        <v>3.1809999999999998E-2</v>
      </c>
      <c r="H32" s="51">
        <v>3.4264000000000003E-2</v>
      </c>
      <c r="I32" s="51">
        <v>3.4787999999999999E-2</v>
      </c>
      <c r="J32" s="51">
        <v>3.5674000000000004E-2</v>
      </c>
      <c r="K32" s="51">
        <v>3.5743999999999998E-2</v>
      </c>
      <c r="L32" s="51">
        <v>3.5742999999999997E-2</v>
      </c>
      <c r="M32" s="51">
        <v>3.6019999999999996E-2</v>
      </c>
      <c r="N32" s="51">
        <v>3.6584999999999999E-2</v>
      </c>
      <c r="O32" s="51">
        <v>3.7321E-2</v>
      </c>
      <c r="P32" s="51">
        <v>3.8105E-2</v>
      </c>
      <c r="Q32" s="51">
        <v>3.8803000000000004E-2</v>
      </c>
      <c r="R32" s="51">
        <v>3.9473000000000001E-2</v>
      </c>
      <c r="S32" s="51">
        <v>4.0217999999999997E-2</v>
      </c>
      <c r="T32" s="51">
        <v>4.0965000000000001E-2</v>
      </c>
      <c r="U32" s="51">
        <v>4.1628999999999999E-2</v>
      </c>
      <c r="V32" s="51">
        <v>4.2119999999999998E-2</v>
      </c>
      <c r="W32" s="51">
        <v>4.2443000000000002E-2</v>
      </c>
      <c r="X32" s="51">
        <v>4.2674999999999998E-2</v>
      </c>
      <c r="Y32" s="51">
        <v>4.2830000000000007E-2</v>
      </c>
      <c r="Z32" s="51">
        <v>4.2920999999999994E-2</v>
      </c>
      <c r="AA32" s="51">
        <v>4.2964000000000002E-2</v>
      </c>
      <c r="AB32" s="51">
        <v>4.2973999999999998E-2</v>
      </c>
      <c r="AC32" s="51">
        <v>4.2967999999999999E-2</v>
      </c>
      <c r="AD32" s="51">
        <v>4.2965999999999997E-2</v>
      </c>
      <c r="AE32" s="51">
        <v>4.2987000000000004E-2</v>
      </c>
      <c r="AF32" s="51">
        <v>4.3047000000000002E-2</v>
      </c>
    </row>
    <row r="33" spans="1:32">
      <c r="A33" s="1">
        <v>40960</v>
      </c>
      <c r="B33" s="51">
        <v>3.1063999999999998E-2</v>
      </c>
      <c r="C33" s="51">
        <v>2.9360000000000001E-2</v>
      </c>
      <c r="D33" s="51">
        <v>3.0203999999999998E-2</v>
      </c>
      <c r="E33" s="51">
        <v>3.0629E-2</v>
      </c>
      <c r="F33" s="51">
        <v>3.1299E-2</v>
      </c>
      <c r="G33" s="51">
        <v>3.1779000000000002E-2</v>
      </c>
      <c r="H33" s="51">
        <v>3.4130000000000001E-2</v>
      </c>
      <c r="I33" s="51">
        <v>3.4929999999999996E-2</v>
      </c>
      <c r="J33" s="51">
        <v>3.5663E-2</v>
      </c>
      <c r="K33" s="51">
        <v>3.5800999999999999E-2</v>
      </c>
      <c r="L33" s="51">
        <v>3.5792999999999998E-2</v>
      </c>
      <c r="M33" s="51">
        <v>3.6062999999999998E-2</v>
      </c>
      <c r="N33" s="51">
        <v>3.6622000000000002E-2</v>
      </c>
      <c r="O33" s="51">
        <v>3.7352999999999997E-2</v>
      </c>
      <c r="P33" s="51">
        <v>3.8131999999999999E-2</v>
      </c>
      <c r="Q33" s="51">
        <v>3.8823999999999997E-2</v>
      </c>
      <c r="R33" s="51">
        <v>3.9483999999999998E-2</v>
      </c>
      <c r="S33" s="51">
        <v>4.0217000000000003E-2</v>
      </c>
      <c r="T33" s="51">
        <v>4.0955999999999999E-2</v>
      </c>
      <c r="U33" s="51">
        <v>4.1626999999999997E-2</v>
      </c>
      <c r="V33" s="51">
        <v>4.2145999999999996E-2</v>
      </c>
      <c r="W33" s="51">
        <v>4.2510000000000006E-2</v>
      </c>
      <c r="X33" s="51">
        <v>4.2779999999999999E-2</v>
      </c>
      <c r="Y33" s="51">
        <v>4.2967999999999999E-2</v>
      </c>
      <c r="Z33" s="51">
        <v>4.3087999999999994E-2</v>
      </c>
      <c r="AA33" s="51">
        <v>4.3154000000000005E-2</v>
      </c>
      <c r="AB33" s="51">
        <v>4.3181000000000004E-2</v>
      </c>
      <c r="AC33" s="51">
        <v>4.3186999999999996E-2</v>
      </c>
      <c r="AD33" s="51">
        <v>4.3189999999999999E-2</v>
      </c>
      <c r="AE33" s="51">
        <v>4.3208000000000003E-2</v>
      </c>
      <c r="AF33" s="51">
        <v>4.3261000000000001E-2</v>
      </c>
    </row>
    <row r="34" spans="1:32">
      <c r="A34" s="1">
        <v>40961</v>
      </c>
      <c r="B34" s="51">
        <v>2.9789E-2</v>
      </c>
      <c r="C34" s="51">
        <v>2.9394999999999998E-2</v>
      </c>
      <c r="D34" s="51">
        <v>3.0262999999999998E-2</v>
      </c>
      <c r="E34" s="51">
        <v>3.0748000000000001E-2</v>
      </c>
      <c r="F34" s="51">
        <v>3.1448000000000004E-2</v>
      </c>
      <c r="G34" s="51">
        <v>3.2074999999999999E-2</v>
      </c>
      <c r="H34" s="51">
        <v>3.4113999999999998E-2</v>
      </c>
      <c r="I34" s="51">
        <v>3.4884999999999999E-2</v>
      </c>
      <c r="J34" s="51">
        <v>3.5666000000000003E-2</v>
      </c>
      <c r="K34" s="51">
        <v>3.5861000000000004E-2</v>
      </c>
      <c r="L34" s="51">
        <v>3.5916999999999998E-2</v>
      </c>
      <c r="M34" s="51">
        <v>3.6226000000000001E-2</v>
      </c>
      <c r="N34" s="51">
        <v>3.6762999999999997E-2</v>
      </c>
      <c r="O34" s="51">
        <v>3.7436999999999998E-2</v>
      </c>
      <c r="P34" s="51">
        <v>3.8149000000000002E-2</v>
      </c>
      <c r="Q34" s="51">
        <v>3.8795999999999997E-2</v>
      </c>
      <c r="R34" s="51">
        <v>3.9441000000000004E-2</v>
      </c>
      <c r="S34" s="51">
        <v>4.0172999999999993E-2</v>
      </c>
      <c r="T34" s="51">
        <v>4.0919999999999998E-2</v>
      </c>
      <c r="U34" s="51">
        <v>4.1599999999999998E-2</v>
      </c>
      <c r="V34" s="51">
        <v>4.2123999999999995E-2</v>
      </c>
      <c r="W34" s="51">
        <v>4.2488999999999999E-2</v>
      </c>
      <c r="X34" s="51">
        <v>4.2759999999999999E-2</v>
      </c>
      <c r="Y34" s="51">
        <v>4.2949000000000001E-2</v>
      </c>
      <c r="Z34" s="51">
        <v>4.3068999999999996E-2</v>
      </c>
      <c r="AA34" s="51">
        <v>4.3135000000000007E-2</v>
      </c>
      <c r="AB34" s="51">
        <v>4.3163E-2</v>
      </c>
      <c r="AC34" s="51">
        <v>4.317E-2</v>
      </c>
      <c r="AD34" s="51">
        <v>4.3173000000000003E-2</v>
      </c>
      <c r="AE34" s="51">
        <v>4.3191E-2</v>
      </c>
      <c r="AF34" s="51">
        <v>4.3246E-2</v>
      </c>
    </row>
    <row r="35" spans="1:32">
      <c r="A35" s="1">
        <v>40962</v>
      </c>
      <c r="B35" s="51">
        <v>3.0394000000000001E-2</v>
      </c>
      <c r="C35" s="51">
        <v>2.9411999999999997E-2</v>
      </c>
      <c r="D35" s="51">
        <v>3.0282E-2</v>
      </c>
      <c r="E35" s="51">
        <v>3.0743999999999997E-2</v>
      </c>
      <c r="F35" s="51">
        <v>3.1509999999999996E-2</v>
      </c>
      <c r="G35" s="51">
        <v>3.2072999999999997E-2</v>
      </c>
      <c r="H35" s="51">
        <v>3.4306000000000003E-2</v>
      </c>
      <c r="I35" s="51">
        <v>3.4787999999999999E-2</v>
      </c>
      <c r="J35" s="51">
        <v>3.5671000000000001E-2</v>
      </c>
      <c r="K35" s="51">
        <v>3.5846000000000003E-2</v>
      </c>
      <c r="L35" s="51">
        <v>3.5889000000000004E-2</v>
      </c>
      <c r="M35" s="51">
        <v>3.6211E-2</v>
      </c>
      <c r="N35" s="51">
        <v>3.6759E-2</v>
      </c>
      <c r="O35" s="51">
        <v>3.7437999999999999E-2</v>
      </c>
      <c r="P35" s="51">
        <v>3.8147E-2</v>
      </c>
      <c r="Q35" s="51">
        <v>3.8780999999999996E-2</v>
      </c>
      <c r="R35" s="51">
        <v>3.9411000000000002E-2</v>
      </c>
      <c r="S35" s="51">
        <v>4.0141999999999997E-2</v>
      </c>
      <c r="T35" s="51">
        <v>4.0894000000000007E-2</v>
      </c>
      <c r="U35" s="51">
        <v>4.1582000000000001E-2</v>
      </c>
      <c r="V35" s="51">
        <v>4.2110000000000002E-2</v>
      </c>
      <c r="W35" s="51">
        <v>4.2474999999999999E-2</v>
      </c>
      <c r="X35" s="51">
        <v>4.2746000000000006E-2</v>
      </c>
      <c r="Y35" s="51">
        <v>4.2934E-2</v>
      </c>
      <c r="Z35" s="51">
        <v>4.3055000000000003E-2</v>
      </c>
      <c r="AA35" s="51">
        <v>4.3121E-2</v>
      </c>
      <c r="AB35" s="51">
        <v>4.3150000000000001E-2</v>
      </c>
      <c r="AC35" s="51">
        <v>4.3156E-2</v>
      </c>
      <c r="AD35" s="51">
        <v>4.3159000000000003E-2</v>
      </c>
      <c r="AE35" s="51">
        <v>4.3178000000000001E-2</v>
      </c>
      <c r="AF35" s="51">
        <v>4.3232E-2</v>
      </c>
    </row>
    <row r="36" spans="1:32">
      <c r="A36" s="1">
        <v>40963</v>
      </c>
      <c r="B36" s="51">
        <v>2.8774000000000001E-2</v>
      </c>
      <c r="C36" s="51">
        <v>2.9269E-2</v>
      </c>
      <c r="D36" s="51">
        <v>3.0217000000000001E-2</v>
      </c>
      <c r="E36" s="51">
        <v>3.0757E-2</v>
      </c>
      <c r="F36" s="51">
        <v>3.1497999999999998E-2</v>
      </c>
      <c r="G36" s="51">
        <v>3.2155000000000003E-2</v>
      </c>
      <c r="H36" s="51">
        <v>3.4336999999999999E-2</v>
      </c>
      <c r="I36" s="51">
        <v>3.4786000000000004E-2</v>
      </c>
      <c r="J36" s="51">
        <v>3.5693999999999997E-2</v>
      </c>
      <c r="K36" s="51">
        <v>3.5789000000000001E-2</v>
      </c>
      <c r="L36" s="51">
        <v>3.5781E-2</v>
      </c>
      <c r="M36" s="51">
        <v>3.6046999999999996E-2</v>
      </c>
      <c r="N36" s="51">
        <v>3.6596000000000004E-2</v>
      </c>
      <c r="O36" s="51">
        <v>3.7314E-2</v>
      </c>
      <c r="P36" s="51">
        <v>3.8077E-2</v>
      </c>
      <c r="Q36" s="51">
        <v>3.8755000000000005E-2</v>
      </c>
      <c r="R36" s="51">
        <v>3.9406999999999998E-2</v>
      </c>
      <c r="S36" s="51">
        <v>4.0138999999999994E-2</v>
      </c>
      <c r="T36" s="51">
        <v>4.0883000000000003E-2</v>
      </c>
      <c r="U36" s="51">
        <v>4.1558000000000005E-2</v>
      </c>
      <c r="V36" s="51">
        <v>4.2079999999999999E-2</v>
      </c>
      <c r="W36" s="51">
        <v>4.2443999999999996E-2</v>
      </c>
      <c r="X36" s="51">
        <v>4.2714999999999996E-2</v>
      </c>
      <c r="Y36" s="51">
        <v>4.2903999999999998E-2</v>
      </c>
      <c r="Z36" s="51">
        <v>4.3023999999999993E-2</v>
      </c>
      <c r="AA36" s="51">
        <v>4.3090000000000003E-2</v>
      </c>
      <c r="AB36" s="51">
        <v>4.3117999999999997E-2</v>
      </c>
      <c r="AC36" s="51">
        <v>4.3124999999999997E-2</v>
      </c>
      <c r="AD36" s="51">
        <v>4.3128E-2</v>
      </c>
      <c r="AE36" s="51">
        <v>4.3146000000000004E-2</v>
      </c>
      <c r="AF36" s="51">
        <v>4.3200000000000002E-2</v>
      </c>
    </row>
    <row r="37" spans="1:32">
      <c r="A37" s="1">
        <v>40966</v>
      </c>
      <c r="B37" s="51">
        <v>2.0622999999999999E-2</v>
      </c>
      <c r="C37" s="51">
        <v>2.9371000000000001E-2</v>
      </c>
      <c r="D37" s="51">
        <v>3.0261E-2</v>
      </c>
      <c r="E37" s="51">
        <v>3.0898999999999999E-2</v>
      </c>
      <c r="F37" s="51">
        <v>3.1696000000000002E-2</v>
      </c>
      <c r="G37" s="51">
        <v>3.2425999999999996E-2</v>
      </c>
      <c r="H37" s="51">
        <v>3.4596000000000002E-2</v>
      </c>
      <c r="I37" s="51">
        <v>3.5076999999999997E-2</v>
      </c>
      <c r="J37" s="51">
        <v>3.6087000000000001E-2</v>
      </c>
      <c r="K37" s="51">
        <v>3.6166000000000004E-2</v>
      </c>
      <c r="L37" s="51">
        <v>3.6137999999999997E-2</v>
      </c>
      <c r="M37" s="51">
        <v>3.6391E-2</v>
      </c>
      <c r="N37" s="51">
        <v>3.6920000000000001E-2</v>
      </c>
      <c r="O37" s="51">
        <v>3.7613000000000001E-2</v>
      </c>
      <c r="P37" s="51">
        <v>3.8350000000000002E-2</v>
      </c>
      <c r="Q37" s="51">
        <v>3.9003000000000003E-2</v>
      </c>
      <c r="R37" s="51">
        <v>3.9640000000000002E-2</v>
      </c>
      <c r="S37" s="51">
        <v>4.0372999999999999E-2</v>
      </c>
      <c r="T37" s="51">
        <v>4.1124000000000001E-2</v>
      </c>
      <c r="U37" s="51">
        <v>4.181E-2</v>
      </c>
      <c r="V37" s="51">
        <v>4.2339000000000002E-2</v>
      </c>
      <c r="W37" s="51">
        <v>4.2704000000000006E-2</v>
      </c>
      <c r="X37" s="51">
        <v>4.2975000000000006E-2</v>
      </c>
      <c r="Y37" s="51">
        <v>4.3164999999999995E-2</v>
      </c>
      <c r="Z37" s="51">
        <v>4.3285999999999998E-2</v>
      </c>
      <c r="AA37" s="51">
        <v>4.3352000000000002E-2</v>
      </c>
      <c r="AB37" s="51">
        <v>4.3380000000000002E-2</v>
      </c>
      <c r="AC37" s="51">
        <v>4.3387000000000002E-2</v>
      </c>
      <c r="AD37" s="51">
        <v>4.3390000000000005E-2</v>
      </c>
      <c r="AE37" s="51">
        <v>4.3409000000000003E-2</v>
      </c>
      <c r="AF37" s="51">
        <v>4.3463000000000002E-2</v>
      </c>
    </row>
    <row r="38" spans="1:32">
      <c r="A38" s="1">
        <v>40967</v>
      </c>
      <c r="B38" s="51">
        <v>1.7309000000000001E-2</v>
      </c>
      <c r="C38" s="51">
        <v>2.9468000000000001E-2</v>
      </c>
      <c r="D38" s="51">
        <v>3.0369999999999998E-2</v>
      </c>
      <c r="E38" s="51">
        <v>3.0956000000000001E-2</v>
      </c>
      <c r="F38" s="51">
        <v>3.1948999999999998E-2</v>
      </c>
      <c r="G38" s="51">
        <v>3.2634999999999997E-2</v>
      </c>
      <c r="H38" s="51">
        <v>3.4515999999999998E-2</v>
      </c>
      <c r="I38" s="51">
        <v>3.5242000000000002E-2</v>
      </c>
      <c r="J38" s="51">
        <v>3.6070999999999999E-2</v>
      </c>
      <c r="K38" s="51">
        <v>3.6093E-2</v>
      </c>
      <c r="L38" s="51">
        <v>3.6082999999999997E-2</v>
      </c>
      <c r="M38" s="51">
        <v>3.6332000000000003E-2</v>
      </c>
      <c r="N38" s="51">
        <v>3.6852999999999997E-2</v>
      </c>
      <c r="O38" s="51">
        <v>3.7551000000000001E-2</v>
      </c>
      <c r="P38" s="51">
        <v>3.8323000000000003E-2</v>
      </c>
      <c r="Q38" s="51">
        <v>3.9060000000000004E-2</v>
      </c>
      <c r="R38" s="51">
        <v>3.9698999999999998E-2</v>
      </c>
      <c r="S38" s="51">
        <v>4.0412999999999998E-2</v>
      </c>
      <c r="T38" s="51">
        <v>4.1161000000000003E-2</v>
      </c>
      <c r="U38" s="51">
        <v>4.1855000000000003E-2</v>
      </c>
      <c r="V38" s="51">
        <v>4.2396000000000003E-2</v>
      </c>
      <c r="W38" s="51">
        <v>4.2746000000000006E-2</v>
      </c>
      <c r="X38" s="51">
        <v>4.2954999999999993E-2</v>
      </c>
      <c r="Y38" s="51">
        <v>4.3056999999999998E-2</v>
      </c>
      <c r="Z38" s="51">
        <v>4.3087999999999994E-2</v>
      </c>
      <c r="AA38" s="51">
        <v>4.3085999999999999E-2</v>
      </c>
      <c r="AB38" s="51">
        <v>4.3094E-2</v>
      </c>
      <c r="AC38" s="51">
        <v>4.3149E-2</v>
      </c>
      <c r="AD38" s="51">
        <v>4.3238000000000006E-2</v>
      </c>
      <c r="AE38" s="51">
        <v>4.3348999999999999E-2</v>
      </c>
      <c r="AF38" s="51">
        <v>4.3479000000000004E-2</v>
      </c>
    </row>
    <row r="39" spans="1:32">
      <c r="A39" s="1">
        <v>40968</v>
      </c>
      <c r="B39" s="51">
        <v>1.6425000000000002E-2</v>
      </c>
      <c r="C39" s="51">
        <v>2.9474999999999998E-2</v>
      </c>
      <c r="D39" s="51">
        <v>3.0394999999999998E-2</v>
      </c>
      <c r="E39" s="51">
        <v>3.0859999999999999E-2</v>
      </c>
      <c r="F39" s="51">
        <v>3.1604E-2</v>
      </c>
      <c r="G39" s="51">
        <v>3.2379999999999999E-2</v>
      </c>
      <c r="H39" s="51">
        <v>3.4397999999999998E-2</v>
      </c>
      <c r="I39" s="51">
        <v>3.4953999999999999E-2</v>
      </c>
      <c r="J39" s="51">
        <v>3.5956000000000002E-2</v>
      </c>
      <c r="K39" s="51">
        <v>3.5971999999999997E-2</v>
      </c>
      <c r="L39" s="51">
        <v>3.5962000000000001E-2</v>
      </c>
      <c r="M39" s="51">
        <v>3.6233000000000001E-2</v>
      </c>
      <c r="N39" s="51">
        <v>3.6788000000000001E-2</v>
      </c>
      <c r="O39" s="51">
        <v>3.7511000000000003E-2</v>
      </c>
      <c r="P39" s="51">
        <v>3.8280000000000002E-2</v>
      </c>
      <c r="Q39" s="51">
        <v>3.8962999999999998E-2</v>
      </c>
      <c r="R39" s="51">
        <v>3.9631E-2</v>
      </c>
      <c r="S39" s="51">
        <v>4.0392000000000004E-2</v>
      </c>
      <c r="T39" s="51">
        <v>4.1151E-2</v>
      </c>
      <c r="U39" s="51">
        <v>4.1806000000000003E-2</v>
      </c>
      <c r="V39" s="51">
        <v>4.2295999999999993E-2</v>
      </c>
      <c r="W39" s="51">
        <v>4.2672999999999996E-2</v>
      </c>
      <c r="X39" s="51">
        <v>4.2950999999999996E-2</v>
      </c>
      <c r="Y39" s="51">
        <v>4.3144000000000002E-2</v>
      </c>
      <c r="Z39" s="51">
        <v>4.3268000000000001E-2</v>
      </c>
      <c r="AA39" s="51">
        <v>4.3338999999999996E-2</v>
      </c>
      <c r="AB39" s="51">
        <v>4.3376999999999999E-2</v>
      </c>
      <c r="AC39" s="51">
        <v>4.3400000000000001E-2</v>
      </c>
      <c r="AD39" s="51">
        <v>4.3429999999999996E-2</v>
      </c>
      <c r="AE39" s="51">
        <v>4.3487999999999999E-2</v>
      </c>
      <c r="AF39" s="51">
        <v>4.3598999999999999E-2</v>
      </c>
    </row>
    <row r="40" spans="1:32">
      <c r="A40" s="1">
        <v>40969</v>
      </c>
      <c r="B40" s="51">
        <v>1.5559E-2</v>
      </c>
      <c r="C40" s="51">
        <v>2.9304999999999998E-2</v>
      </c>
      <c r="D40" s="51">
        <v>3.0223E-2</v>
      </c>
      <c r="E40" s="51">
        <v>3.0890000000000001E-2</v>
      </c>
      <c r="F40" s="51">
        <v>3.1720999999999999E-2</v>
      </c>
      <c r="G40" s="51">
        <v>3.2375000000000001E-2</v>
      </c>
      <c r="H40" s="51">
        <v>3.4502999999999999E-2</v>
      </c>
      <c r="I40" s="51">
        <v>3.5038E-2</v>
      </c>
      <c r="J40" s="51">
        <v>3.6101000000000001E-2</v>
      </c>
      <c r="K40" s="51">
        <v>3.6159999999999998E-2</v>
      </c>
      <c r="L40" s="51">
        <v>3.6142000000000001E-2</v>
      </c>
      <c r="M40" s="51">
        <v>3.6327999999999999E-2</v>
      </c>
      <c r="N40" s="51">
        <v>3.6831999999999997E-2</v>
      </c>
      <c r="O40" s="51">
        <v>3.7526999999999998E-2</v>
      </c>
      <c r="P40" s="51">
        <v>3.8282999999999998E-2</v>
      </c>
      <c r="Q40" s="51">
        <v>3.8956999999999999E-2</v>
      </c>
      <c r="R40" s="51">
        <v>3.9597E-2</v>
      </c>
      <c r="S40" s="51">
        <v>4.0315000000000004E-2</v>
      </c>
      <c r="T40" s="51">
        <v>4.1051000000000004E-2</v>
      </c>
      <c r="U40" s="51">
        <v>4.1737999999999997E-2</v>
      </c>
      <c r="V40" s="51">
        <v>4.2303E-2</v>
      </c>
      <c r="W40" s="51">
        <v>4.2717999999999999E-2</v>
      </c>
      <c r="X40" s="51">
        <v>4.3018000000000001E-2</v>
      </c>
      <c r="Y40" s="51">
        <v>4.3217999999999999E-2</v>
      </c>
      <c r="Z40" s="51">
        <v>4.3338999999999996E-2</v>
      </c>
      <c r="AA40" s="51">
        <v>4.3400999999999995E-2</v>
      </c>
      <c r="AB40" s="51">
        <v>4.3425000000000005E-2</v>
      </c>
      <c r="AC40" s="51">
        <v>4.3436000000000002E-2</v>
      </c>
      <c r="AD40" s="51">
        <v>4.3456999999999996E-2</v>
      </c>
      <c r="AE40" s="51">
        <v>4.3517E-2</v>
      </c>
      <c r="AF40" s="51">
        <v>4.3631000000000003E-2</v>
      </c>
    </row>
    <row r="41" spans="1:32">
      <c r="A41" s="1">
        <v>40970</v>
      </c>
      <c r="B41" s="51">
        <v>1.5783999999999999E-2</v>
      </c>
      <c r="C41" s="51">
        <v>2.9256000000000001E-2</v>
      </c>
      <c r="D41" s="51">
        <v>3.0278999999999997E-2</v>
      </c>
      <c r="E41" s="51">
        <v>3.0890000000000001E-2</v>
      </c>
      <c r="F41" s="51">
        <v>3.1829999999999997E-2</v>
      </c>
      <c r="G41" s="51">
        <v>3.2596E-2</v>
      </c>
      <c r="H41" s="51">
        <v>3.4715999999999997E-2</v>
      </c>
      <c r="I41" s="51">
        <v>3.5369000000000005E-2</v>
      </c>
      <c r="J41" s="51">
        <v>3.6201999999999998E-2</v>
      </c>
      <c r="K41" s="51">
        <v>3.6260000000000001E-2</v>
      </c>
      <c r="L41" s="51">
        <v>3.6255999999999997E-2</v>
      </c>
      <c r="M41" s="51">
        <v>3.6505999999999997E-2</v>
      </c>
      <c r="N41" s="51">
        <v>3.7010000000000001E-2</v>
      </c>
      <c r="O41" s="51">
        <v>3.7665000000000004E-2</v>
      </c>
      <c r="P41" s="51">
        <v>3.8360999999999999E-2</v>
      </c>
      <c r="Q41" s="51">
        <v>3.8980000000000001E-2</v>
      </c>
      <c r="R41" s="51">
        <v>3.9592999999999996E-2</v>
      </c>
      <c r="S41" s="51">
        <v>4.0311000000000007E-2</v>
      </c>
      <c r="T41" s="51">
        <v>4.1062000000000001E-2</v>
      </c>
      <c r="U41" s="51">
        <v>4.1765999999999998E-2</v>
      </c>
      <c r="V41" s="51">
        <v>4.2333999999999997E-2</v>
      </c>
      <c r="W41" s="51">
        <v>4.2746000000000006E-2</v>
      </c>
      <c r="X41" s="51">
        <v>4.3052E-2</v>
      </c>
      <c r="Y41" s="51">
        <v>4.3267E-2</v>
      </c>
      <c r="Z41" s="51">
        <v>4.3403999999999998E-2</v>
      </c>
      <c r="AA41" s="51">
        <v>4.3482E-2</v>
      </c>
      <c r="AB41" s="51">
        <v>4.3518000000000001E-2</v>
      </c>
      <c r="AC41" s="51">
        <v>4.3533000000000002E-2</v>
      </c>
      <c r="AD41" s="51">
        <v>4.3545E-2</v>
      </c>
      <c r="AE41" s="51">
        <v>4.3579E-2</v>
      </c>
      <c r="AF41" s="51">
        <v>4.3657000000000001E-2</v>
      </c>
    </row>
    <row r="42" spans="1:32">
      <c r="A42" s="1">
        <v>40973</v>
      </c>
      <c r="B42" s="51">
        <v>1.4957E-2</v>
      </c>
      <c r="C42" s="51">
        <v>2.9307E-2</v>
      </c>
      <c r="D42" s="51">
        <v>3.0334E-2</v>
      </c>
      <c r="E42" s="51">
        <v>3.0889000000000003E-2</v>
      </c>
      <c r="F42" s="51">
        <v>3.1918000000000002E-2</v>
      </c>
      <c r="G42" s="51">
        <v>3.2652E-2</v>
      </c>
      <c r="H42" s="51">
        <v>3.4638000000000002E-2</v>
      </c>
      <c r="I42" s="51">
        <v>3.5559E-2</v>
      </c>
      <c r="J42" s="51">
        <v>3.6275000000000002E-2</v>
      </c>
      <c r="K42" s="51">
        <v>3.6260000000000001E-2</v>
      </c>
      <c r="L42" s="51">
        <v>3.6242999999999997E-2</v>
      </c>
      <c r="M42" s="51">
        <v>3.6488E-2</v>
      </c>
      <c r="N42" s="51">
        <v>3.6993999999999999E-2</v>
      </c>
      <c r="O42" s="51">
        <v>3.7652999999999999E-2</v>
      </c>
      <c r="P42" s="51">
        <v>3.8352999999999998E-2</v>
      </c>
      <c r="Q42" s="51">
        <v>3.8973000000000001E-2</v>
      </c>
      <c r="R42" s="51">
        <v>3.9586000000000003E-2</v>
      </c>
      <c r="S42" s="51">
        <v>4.0305000000000001E-2</v>
      </c>
      <c r="T42" s="51">
        <v>4.1056000000000002E-2</v>
      </c>
      <c r="U42" s="51">
        <v>4.1759999999999999E-2</v>
      </c>
      <c r="V42" s="51">
        <v>4.2328999999999999E-2</v>
      </c>
      <c r="W42" s="51">
        <v>4.2741000000000001E-2</v>
      </c>
      <c r="X42" s="51">
        <v>4.3047000000000002E-2</v>
      </c>
      <c r="Y42" s="51">
        <v>4.3262000000000002E-2</v>
      </c>
      <c r="Z42" s="51">
        <v>4.3399E-2</v>
      </c>
      <c r="AA42" s="51">
        <v>4.3476999999999995E-2</v>
      </c>
      <c r="AB42" s="51">
        <v>4.3513999999999997E-2</v>
      </c>
      <c r="AC42" s="51">
        <v>4.3528000000000004E-2</v>
      </c>
      <c r="AD42" s="51">
        <v>4.3540999999999996E-2</v>
      </c>
      <c r="AE42" s="51">
        <v>4.3575000000000003E-2</v>
      </c>
      <c r="AF42" s="51">
        <v>4.3653000000000004E-2</v>
      </c>
    </row>
    <row r="43" spans="1:32">
      <c r="A43" s="1">
        <v>40974</v>
      </c>
      <c r="B43" s="51">
        <v>1.3646E-2</v>
      </c>
      <c r="C43" s="51">
        <v>2.9322000000000001E-2</v>
      </c>
      <c r="D43" s="51">
        <v>3.0335000000000001E-2</v>
      </c>
      <c r="E43" s="51">
        <v>3.0575999999999999E-2</v>
      </c>
      <c r="F43" s="51">
        <v>3.1775999999999999E-2</v>
      </c>
      <c r="G43" s="51">
        <v>3.2495999999999997E-2</v>
      </c>
      <c r="H43" s="51">
        <v>3.4582000000000002E-2</v>
      </c>
      <c r="I43" s="51">
        <v>3.5224999999999999E-2</v>
      </c>
      <c r="J43" s="51">
        <v>3.6091999999999999E-2</v>
      </c>
      <c r="K43" s="51">
        <v>3.6103999999999997E-2</v>
      </c>
      <c r="L43" s="51">
        <v>3.6094000000000001E-2</v>
      </c>
      <c r="M43" s="51">
        <v>3.6351000000000001E-2</v>
      </c>
      <c r="N43" s="51">
        <v>3.6873999999999997E-2</v>
      </c>
      <c r="O43" s="51">
        <v>3.7553999999999997E-2</v>
      </c>
      <c r="P43" s="51">
        <v>3.8275000000000003E-2</v>
      </c>
      <c r="Q43" s="51">
        <v>3.8915999999999999E-2</v>
      </c>
      <c r="R43" s="51">
        <v>3.9539999999999999E-2</v>
      </c>
      <c r="S43" s="51">
        <v>4.0259000000000003E-2</v>
      </c>
      <c r="T43" s="51">
        <v>4.1005E-2</v>
      </c>
      <c r="U43" s="51">
        <v>4.1700999999999995E-2</v>
      </c>
      <c r="V43" s="51">
        <v>4.2264999999999997E-2</v>
      </c>
      <c r="W43" s="51">
        <v>4.2675999999999999E-2</v>
      </c>
      <c r="X43" s="51">
        <v>4.2981999999999992E-2</v>
      </c>
      <c r="Y43" s="51">
        <v>4.3196000000000005E-2</v>
      </c>
      <c r="Z43" s="51">
        <v>4.3333000000000003E-2</v>
      </c>
      <c r="AA43" s="51">
        <v>4.3410000000000004E-2</v>
      </c>
      <c r="AB43" s="51">
        <v>4.3445999999999999E-2</v>
      </c>
      <c r="AC43" s="51">
        <v>4.3459999999999999E-2</v>
      </c>
      <c r="AD43" s="51">
        <v>4.3472999999999998E-2</v>
      </c>
      <c r="AE43" s="51">
        <v>4.3506000000000003E-2</v>
      </c>
      <c r="AF43" s="51">
        <v>4.3583999999999998E-2</v>
      </c>
    </row>
    <row r="44" spans="1:32">
      <c r="A44" s="1">
        <v>40975</v>
      </c>
      <c r="B44" s="51">
        <v>1.3646E-2</v>
      </c>
      <c r="C44" s="51">
        <v>2.9013000000000001E-2</v>
      </c>
      <c r="D44" s="51">
        <v>3.0352999999999998E-2</v>
      </c>
      <c r="E44" s="51">
        <v>3.0591E-2</v>
      </c>
      <c r="F44" s="51">
        <v>3.1865000000000004E-2</v>
      </c>
      <c r="G44" s="51">
        <v>3.2238000000000003E-2</v>
      </c>
      <c r="H44" s="51">
        <v>3.4264999999999997E-2</v>
      </c>
      <c r="I44" s="51">
        <v>3.4904000000000004E-2</v>
      </c>
      <c r="J44" s="51">
        <v>3.5952000000000005E-2</v>
      </c>
      <c r="K44" s="51">
        <v>3.5955000000000001E-2</v>
      </c>
      <c r="L44" s="51">
        <v>3.5943999999999997E-2</v>
      </c>
      <c r="M44" s="51">
        <v>3.6208999999999998E-2</v>
      </c>
      <c r="N44" s="51">
        <v>3.6749999999999998E-2</v>
      </c>
      <c r="O44" s="51">
        <v>3.7451999999999999E-2</v>
      </c>
      <c r="P44" s="51">
        <v>3.8197999999999996E-2</v>
      </c>
      <c r="Q44" s="51">
        <v>3.8858999999999998E-2</v>
      </c>
      <c r="R44" s="51">
        <v>3.9495000000000002E-2</v>
      </c>
      <c r="S44" s="51">
        <v>4.0214999999999994E-2</v>
      </c>
      <c r="T44" s="51">
        <v>4.0953999999999997E-2</v>
      </c>
      <c r="U44" s="51">
        <v>4.1641999999999998E-2</v>
      </c>
      <c r="V44" s="51">
        <v>4.2202000000000003E-2</v>
      </c>
      <c r="W44" s="51">
        <v>4.2611999999999997E-2</v>
      </c>
      <c r="X44" s="51">
        <v>4.2916999999999997E-2</v>
      </c>
      <c r="Y44" s="51">
        <v>4.3129999999999995E-2</v>
      </c>
      <c r="Z44" s="51">
        <v>4.3267E-2</v>
      </c>
      <c r="AA44" s="51">
        <v>4.3343999999999994E-2</v>
      </c>
      <c r="AB44" s="51">
        <v>4.3379000000000001E-2</v>
      </c>
      <c r="AC44" s="51">
        <v>4.3392999999999994E-2</v>
      </c>
      <c r="AD44" s="51">
        <v>4.3404999999999999E-2</v>
      </c>
      <c r="AE44" s="51">
        <v>4.3437999999999997E-2</v>
      </c>
      <c r="AF44" s="51">
        <v>4.3516000000000006E-2</v>
      </c>
    </row>
    <row r="45" spans="1:32">
      <c r="A45" s="1">
        <v>40976</v>
      </c>
      <c r="B45" s="51">
        <v>1.3637999999999999E-2</v>
      </c>
      <c r="C45" s="51">
        <v>2.8957999999999998E-2</v>
      </c>
      <c r="D45" s="51">
        <v>2.9881999999999999E-2</v>
      </c>
      <c r="E45" s="51">
        <v>3.0272999999999998E-2</v>
      </c>
      <c r="F45" s="51">
        <v>3.1709999999999995E-2</v>
      </c>
      <c r="G45" s="51">
        <v>3.2226999999999999E-2</v>
      </c>
      <c r="H45" s="51">
        <v>3.4179000000000001E-2</v>
      </c>
      <c r="I45" s="51">
        <v>3.4938999999999998E-2</v>
      </c>
      <c r="J45" s="51">
        <v>3.5977000000000002E-2</v>
      </c>
      <c r="K45" s="51">
        <v>3.5968E-2</v>
      </c>
      <c r="L45" s="51">
        <v>3.5955000000000001E-2</v>
      </c>
      <c r="M45" s="51">
        <v>3.6219000000000001E-2</v>
      </c>
      <c r="N45" s="51">
        <v>3.6759E-2</v>
      </c>
      <c r="O45" s="51">
        <v>3.7461000000000001E-2</v>
      </c>
      <c r="P45" s="51">
        <v>3.8206999999999998E-2</v>
      </c>
      <c r="Q45" s="51">
        <v>3.8866999999999999E-2</v>
      </c>
      <c r="R45" s="51">
        <v>3.9501000000000001E-2</v>
      </c>
      <c r="S45" s="51">
        <v>4.0217000000000003E-2</v>
      </c>
      <c r="T45" s="51">
        <v>4.0953999999999997E-2</v>
      </c>
      <c r="U45" s="51">
        <v>4.1642999999999999E-2</v>
      </c>
      <c r="V45" s="51">
        <v>4.2209000000000003E-2</v>
      </c>
      <c r="W45" s="51">
        <v>4.2624000000000002E-2</v>
      </c>
      <c r="X45" s="51">
        <v>4.2923000000000003E-2</v>
      </c>
      <c r="Y45" s="51">
        <v>4.3124000000000003E-2</v>
      </c>
      <c r="Z45" s="51">
        <v>4.3243999999999998E-2</v>
      </c>
      <c r="AA45" s="51">
        <v>4.3304999999999996E-2</v>
      </c>
      <c r="AB45" s="51">
        <v>4.3329000000000006E-2</v>
      </c>
      <c r="AC45" s="51">
        <v>4.3338999999999996E-2</v>
      </c>
      <c r="AD45" s="51">
        <v>4.3361000000000004E-2</v>
      </c>
      <c r="AE45" s="51">
        <v>4.3422000000000002E-2</v>
      </c>
      <c r="AF45" s="51">
        <v>4.3535999999999998E-2</v>
      </c>
    </row>
    <row r="46" spans="1:32">
      <c r="A46" s="1">
        <v>40977</v>
      </c>
      <c r="B46" s="51">
        <v>1.3580000000000002E-2</v>
      </c>
      <c r="C46" s="51">
        <v>2.8922E-2</v>
      </c>
      <c r="D46" s="51">
        <v>2.9916000000000002E-2</v>
      </c>
      <c r="E46" s="51">
        <v>3.0287999999999999E-2</v>
      </c>
      <c r="F46" s="51">
        <v>3.1830999999999998E-2</v>
      </c>
      <c r="G46" s="51">
        <v>3.2053999999999999E-2</v>
      </c>
      <c r="H46" s="51">
        <v>3.4344E-2</v>
      </c>
      <c r="I46" s="51">
        <v>3.4898999999999999E-2</v>
      </c>
      <c r="J46" s="51">
        <v>3.5947E-2</v>
      </c>
      <c r="K46" s="51">
        <v>3.6024E-2</v>
      </c>
      <c r="L46" s="51">
        <v>3.6015999999999999E-2</v>
      </c>
      <c r="M46" s="51">
        <v>3.6278999999999999E-2</v>
      </c>
      <c r="N46" s="51">
        <v>3.6811999999999998E-2</v>
      </c>
      <c r="O46" s="51">
        <v>3.7505000000000004E-2</v>
      </c>
      <c r="P46" s="51">
        <v>3.8239999999999996E-2</v>
      </c>
      <c r="Q46" s="51">
        <v>3.8892999999999997E-2</v>
      </c>
      <c r="R46" s="51">
        <v>3.9513E-2</v>
      </c>
      <c r="S46" s="51">
        <v>4.0209000000000002E-2</v>
      </c>
      <c r="T46" s="51">
        <v>4.0932000000000003E-2</v>
      </c>
      <c r="U46" s="51">
        <v>4.1628999999999999E-2</v>
      </c>
      <c r="V46" s="51">
        <v>4.2241000000000001E-2</v>
      </c>
      <c r="W46" s="51">
        <v>4.2721000000000002E-2</v>
      </c>
      <c r="X46" s="51">
        <v>4.3076999999999997E-2</v>
      </c>
      <c r="Y46" s="51">
        <v>4.3326000000000003E-2</v>
      </c>
      <c r="Z46" s="51">
        <v>4.3486999999999998E-2</v>
      </c>
      <c r="AA46" s="51">
        <v>4.3579E-2</v>
      </c>
      <c r="AB46" s="51">
        <v>4.3625999999999998E-2</v>
      </c>
      <c r="AC46" s="51">
        <v>4.3651000000000002E-2</v>
      </c>
      <c r="AD46" s="51">
        <v>4.3680000000000004E-2</v>
      </c>
      <c r="AE46" s="51">
        <v>4.3739999999999994E-2</v>
      </c>
      <c r="AF46" s="51">
        <v>4.3859000000000002E-2</v>
      </c>
    </row>
    <row r="47" spans="1:32">
      <c r="A47" s="1">
        <v>40980</v>
      </c>
      <c r="B47" s="51">
        <v>1.355E-2</v>
      </c>
      <c r="C47" s="51">
        <v>2.8595000000000002E-2</v>
      </c>
      <c r="D47" s="51">
        <v>2.9655999999999998E-2</v>
      </c>
      <c r="E47" s="51">
        <v>3.0247000000000003E-2</v>
      </c>
      <c r="F47" s="51">
        <v>3.1640000000000001E-2</v>
      </c>
      <c r="G47" s="51">
        <v>3.1830999999999998E-2</v>
      </c>
      <c r="H47" s="51">
        <v>3.4148999999999999E-2</v>
      </c>
      <c r="I47" s="51">
        <v>3.4793999999999999E-2</v>
      </c>
      <c r="J47" s="51">
        <v>3.5969000000000001E-2</v>
      </c>
      <c r="K47" s="51">
        <v>3.5910000000000004E-2</v>
      </c>
      <c r="L47" s="51">
        <v>3.5886999999999995E-2</v>
      </c>
      <c r="M47" s="51">
        <v>3.6157000000000002E-2</v>
      </c>
      <c r="N47" s="51">
        <v>3.6705999999999996E-2</v>
      </c>
      <c r="O47" s="51">
        <v>3.7418E-2</v>
      </c>
      <c r="P47" s="51">
        <v>3.8174E-2</v>
      </c>
      <c r="Q47" s="51">
        <v>3.8843999999999997E-2</v>
      </c>
      <c r="R47" s="51">
        <v>3.9473000000000001E-2</v>
      </c>
      <c r="S47" s="51">
        <v>4.0168999999999996E-2</v>
      </c>
      <c r="T47" s="51">
        <v>4.0888000000000001E-2</v>
      </c>
      <c r="U47" s="51">
        <v>4.1578999999999998E-2</v>
      </c>
      <c r="V47" s="51">
        <v>4.2187000000000002E-2</v>
      </c>
      <c r="W47" s="51">
        <v>4.2666000000000003E-2</v>
      </c>
      <c r="X47" s="51">
        <v>4.3021999999999998E-2</v>
      </c>
      <c r="Y47" s="51">
        <v>4.3270000000000003E-2</v>
      </c>
      <c r="Z47" s="51">
        <v>4.3429999999999996E-2</v>
      </c>
      <c r="AA47" s="51">
        <v>4.3522999999999999E-2</v>
      </c>
      <c r="AB47" s="51">
        <v>4.3569000000000004E-2</v>
      </c>
      <c r="AC47" s="51">
        <v>4.3594000000000001E-2</v>
      </c>
      <c r="AD47" s="51">
        <v>4.3621999999999994E-2</v>
      </c>
      <c r="AE47" s="51">
        <v>4.3680999999999998E-2</v>
      </c>
      <c r="AF47" s="51">
        <v>4.3801E-2</v>
      </c>
    </row>
    <row r="48" spans="1:32">
      <c r="A48" s="1">
        <v>40981</v>
      </c>
      <c r="B48" s="51">
        <v>1.4666999999999999E-2</v>
      </c>
      <c r="C48" s="51">
        <v>2.8654000000000002E-2</v>
      </c>
      <c r="D48" s="51">
        <v>2.9807999999999998E-2</v>
      </c>
      <c r="E48" s="51">
        <v>3.0058999999999999E-2</v>
      </c>
      <c r="F48" s="51">
        <v>3.1505999999999999E-2</v>
      </c>
      <c r="G48" s="51">
        <v>3.1919000000000003E-2</v>
      </c>
      <c r="H48" s="51">
        <v>3.4195000000000003E-2</v>
      </c>
      <c r="I48" s="51">
        <v>3.4820999999999998E-2</v>
      </c>
      <c r="J48" s="51">
        <v>3.5962999999999995E-2</v>
      </c>
      <c r="K48" s="51">
        <v>3.6089999999999997E-2</v>
      </c>
      <c r="L48" s="51">
        <v>3.6073000000000001E-2</v>
      </c>
      <c r="M48" s="51">
        <v>3.6269999999999997E-2</v>
      </c>
      <c r="N48" s="51">
        <v>3.6778999999999999E-2</v>
      </c>
      <c r="O48" s="51">
        <v>3.7475999999999995E-2</v>
      </c>
      <c r="P48" s="51">
        <v>3.8231000000000001E-2</v>
      </c>
      <c r="Q48" s="51">
        <v>3.8904999999999995E-2</v>
      </c>
      <c r="R48" s="51">
        <v>3.9535000000000001E-2</v>
      </c>
      <c r="S48" s="51">
        <v>4.0232000000000004E-2</v>
      </c>
      <c r="T48" s="51">
        <v>4.0951000000000001E-2</v>
      </c>
      <c r="U48" s="51">
        <v>4.1641000000000004E-2</v>
      </c>
      <c r="V48" s="51">
        <v>4.2249000000000002E-2</v>
      </c>
      <c r="W48" s="51">
        <v>4.2728999999999996E-2</v>
      </c>
      <c r="X48" s="51">
        <v>4.3085000000000005E-2</v>
      </c>
      <c r="Y48" s="51">
        <v>4.3334000000000004E-2</v>
      </c>
      <c r="Z48" s="51">
        <v>4.3494000000000005E-2</v>
      </c>
      <c r="AA48" s="51">
        <v>4.3586E-2</v>
      </c>
      <c r="AB48" s="51">
        <v>4.3632999999999998E-2</v>
      </c>
      <c r="AC48" s="51">
        <v>4.3658000000000002E-2</v>
      </c>
      <c r="AD48" s="51">
        <v>4.3685999999999996E-2</v>
      </c>
      <c r="AE48" s="51">
        <v>4.3745000000000006E-2</v>
      </c>
      <c r="AF48" s="51">
        <v>4.3865000000000001E-2</v>
      </c>
    </row>
    <row r="49" spans="1:32">
      <c r="A49" s="1">
        <v>40982</v>
      </c>
      <c r="B49" s="51">
        <v>1.4631E-2</v>
      </c>
      <c r="C49" s="51">
        <v>2.8784999999999998E-2</v>
      </c>
      <c r="D49" s="51">
        <v>2.9876E-2</v>
      </c>
      <c r="E49" s="51">
        <v>3.0171E-2</v>
      </c>
      <c r="F49" s="51">
        <v>3.1642999999999998E-2</v>
      </c>
      <c r="G49" s="51">
        <v>3.2101999999999999E-2</v>
      </c>
      <c r="H49" s="51">
        <v>3.4201000000000002E-2</v>
      </c>
      <c r="I49" s="51">
        <v>3.5070999999999998E-2</v>
      </c>
      <c r="J49" s="51">
        <v>3.5998000000000002E-2</v>
      </c>
      <c r="K49" s="51">
        <v>3.6139000000000004E-2</v>
      </c>
      <c r="L49" s="51">
        <v>3.6112999999999999E-2</v>
      </c>
      <c r="M49" s="51">
        <v>3.6305999999999998E-2</v>
      </c>
      <c r="N49" s="51">
        <v>3.6815000000000001E-2</v>
      </c>
      <c r="O49" s="51">
        <v>3.7515E-2</v>
      </c>
      <c r="P49" s="51">
        <v>3.8274000000000002E-2</v>
      </c>
      <c r="Q49" s="51">
        <v>3.8949999999999999E-2</v>
      </c>
      <c r="R49" s="51">
        <v>3.9572999999999997E-2</v>
      </c>
      <c r="S49" s="51">
        <v>4.0252999999999997E-2</v>
      </c>
      <c r="T49" s="51">
        <v>4.095E-2</v>
      </c>
      <c r="U49" s="51">
        <v>4.1622000000000006E-2</v>
      </c>
      <c r="V49" s="51">
        <v>4.2222000000000003E-2</v>
      </c>
      <c r="W49" s="51">
        <v>4.2701999999999997E-2</v>
      </c>
      <c r="X49" s="51">
        <v>4.3056999999999998E-2</v>
      </c>
      <c r="Y49" s="51">
        <v>4.3304999999999996E-2</v>
      </c>
      <c r="Z49" s="51">
        <v>4.3464999999999997E-2</v>
      </c>
      <c r="AA49" s="51">
        <v>4.3558000000000006E-2</v>
      </c>
      <c r="AB49" s="51">
        <v>4.3604000000000004E-2</v>
      </c>
      <c r="AC49" s="51">
        <v>4.3630000000000002E-2</v>
      </c>
      <c r="AD49" s="51">
        <v>4.3661000000000005E-2</v>
      </c>
      <c r="AE49" s="51">
        <v>4.3722999999999998E-2</v>
      </c>
      <c r="AF49" s="51">
        <v>4.3845999999999996E-2</v>
      </c>
    </row>
    <row r="50" spans="1:32">
      <c r="A50" s="1">
        <v>40983</v>
      </c>
      <c r="B50" s="51">
        <v>1.5969000000000001E-2</v>
      </c>
      <c r="C50" s="51">
        <v>2.8871999999999998E-2</v>
      </c>
      <c r="D50" s="51">
        <v>3.0030999999999999E-2</v>
      </c>
      <c r="E50" s="51">
        <v>3.0196000000000001E-2</v>
      </c>
      <c r="F50" s="51">
        <v>3.1959000000000001E-2</v>
      </c>
      <c r="G50" s="51">
        <v>3.2254999999999999E-2</v>
      </c>
      <c r="H50" s="51">
        <v>3.4521999999999997E-2</v>
      </c>
      <c r="I50" s="51">
        <v>3.5164000000000001E-2</v>
      </c>
      <c r="J50" s="51">
        <v>3.6206999999999996E-2</v>
      </c>
      <c r="K50" s="51">
        <v>3.6296000000000002E-2</v>
      </c>
      <c r="L50" s="51">
        <v>3.6249999999999998E-2</v>
      </c>
      <c r="M50" s="51">
        <v>3.6436999999999997E-2</v>
      </c>
      <c r="N50" s="51">
        <v>3.6937999999999999E-2</v>
      </c>
      <c r="O50" s="51">
        <v>3.7628000000000002E-2</v>
      </c>
      <c r="P50" s="51">
        <v>3.8376E-2</v>
      </c>
      <c r="Q50" s="51">
        <v>3.9039999999999998E-2</v>
      </c>
      <c r="R50" s="51">
        <v>3.9655000000000003E-2</v>
      </c>
      <c r="S50" s="51">
        <v>4.0330000000000005E-2</v>
      </c>
      <c r="T50" s="51">
        <v>4.1026999999999994E-2</v>
      </c>
      <c r="U50" s="51">
        <v>4.1704999999999999E-2</v>
      </c>
      <c r="V50" s="51">
        <v>4.2319000000000002E-2</v>
      </c>
      <c r="W50" s="51">
        <v>4.2809E-2</v>
      </c>
      <c r="X50" s="51">
        <v>4.3162000000000006E-2</v>
      </c>
      <c r="Y50" s="51">
        <v>4.3396999999999998E-2</v>
      </c>
      <c r="Z50" s="51">
        <v>4.3540000000000002E-2</v>
      </c>
      <c r="AA50" s="51">
        <v>4.3615000000000001E-2</v>
      </c>
      <c r="AB50" s="51">
        <v>4.3651000000000002E-2</v>
      </c>
      <c r="AC50" s="51">
        <v>4.3678000000000002E-2</v>
      </c>
      <c r="AD50" s="51">
        <v>4.3727000000000002E-2</v>
      </c>
      <c r="AE50" s="51">
        <v>4.3833000000000004E-2</v>
      </c>
      <c r="AF50" s="51">
        <v>4.3998000000000002E-2</v>
      </c>
    </row>
    <row r="51" spans="1:32">
      <c r="A51" s="1">
        <v>40984</v>
      </c>
      <c r="B51" s="51">
        <v>1.6774999999999998E-2</v>
      </c>
      <c r="C51" s="51">
        <v>2.8690000000000004E-2</v>
      </c>
      <c r="D51" s="51">
        <v>2.9944999999999999E-2</v>
      </c>
      <c r="E51" s="51">
        <v>3.0118999999999996E-2</v>
      </c>
      <c r="F51" s="51">
        <v>3.1732999999999997E-2</v>
      </c>
      <c r="G51" s="51">
        <v>3.2240999999999999E-2</v>
      </c>
      <c r="H51" s="51">
        <v>3.4263000000000002E-2</v>
      </c>
      <c r="I51" s="51">
        <v>3.5067000000000001E-2</v>
      </c>
      <c r="J51" s="51">
        <v>3.6104999999999998E-2</v>
      </c>
      <c r="K51" s="51">
        <v>3.6149000000000001E-2</v>
      </c>
      <c r="L51" s="51">
        <v>3.6143999999999996E-2</v>
      </c>
      <c r="M51" s="51">
        <v>3.6406000000000001E-2</v>
      </c>
      <c r="N51" s="51">
        <v>3.6927000000000001E-2</v>
      </c>
      <c r="O51" s="51">
        <v>3.7599999999999995E-2</v>
      </c>
      <c r="P51" s="51">
        <v>3.8313E-2</v>
      </c>
      <c r="Q51" s="51">
        <v>3.8946000000000001E-2</v>
      </c>
      <c r="R51" s="51">
        <v>3.9579000000000003E-2</v>
      </c>
      <c r="S51" s="51">
        <v>4.0321999999999997E-2</v>
      </c>
      <c r="T51" s="51">
        <v>4.1081000000000006E-2</v>
      </c>
      <c r="U51" s="51">
        <v>4.1756000000000001E-2</v>
      </c>
      <c r="V51" s="51">
        <v>4.2268E-2</v>
      </c>
      <c r="W51" s="51">
        <v>4.2633000000000004E-2</v>
      </c>
      <c r="X51" s="51">
        <v>4.2873999999999995E-2</v>
      </c>
      <c r="Y51" s="51">
        <v>4.3017E-2</v>
      </c>
      <c r="Z51" s="51">
        <v>4.3090999999999997E-2</v>
      </c>
      <c r="AA51" s="51">
        <v>4.3125999999999998E-2</v>
      </c>
      <c r="AB51" s="51">
        <v>4.3154999999999999E-2</v>
      </c>
      <c r="AC51" s="51">
        <v>4.3212E-2</v>
      </c>
      <c r="AD51" s="51">
        <v>4.3334999999999999E-2</v>
      </c>
      <c r="AE51" s="51">
        <v>4.3499999999999997E-2</v>
      </c>
      <c r="AF51" s="51">
        <v>4.3665000000000002E-2</v>
      </c>
    </row>
    <row r="52" spans="1:32">
      <c r="A52" s="1">
        <v>40987</v>
      </c>
      <c r="B52" s="51">
        <v>1.6941999999999999E-2</v>
      </c>
      <c r="C52" s="51">
        <v>2.8452000000000002E-2</v>
      </c>
      <c r="D52" s="51">
        <v>2.9868000000000002E-2</v>
      </c>
      <c r="E52" s="51">
        <v>3.0157E-2</v>
      </c>
      <c r="F52" s="51">
        <v>3.1865000000000004E-2</v>
      </c>
      <c r="G52" s="51">
        <v>3.2181000000000001E-2</v>
      </c>
      <c r="H52" s="51">
        <v>3.4306999999999997E-2</v>
      </c>
      <c r="I52" s="51">
        <v>3.5009999999999999E-2</v>
      </c>
      <c r="J52" s="51">
        <v>3.6223999999999999E-2</v>
      </c>
      <c r="K52" s="51">
        <v>3.6287E-2</v>
      </c>
      <c r="L52" s="51">
        <v>3.6266E-2</v>
      </c>
      <c r="M52" s="51">
        <v>3.6458999999999998E-2</v>
      </c>
      <c r="N52" s="51">
        <v>3.6953E-2</v>
      </c>
      <c r="O52" s="51">
        <v>3.7627000000000001E-2</v>
      </c>
      <c r="P52" s="51">
        <v>3.8357999999999996E-2</v>
      </c>
      <c r="Q52" s="51">
        <v>3.9008000000000001E-2</v>
      </c>
      <c r="R52" s="51">
        <v>3.9634000000000003E-2</v>
      </c>
      <c r="S52" s="51">
        <v>4.0349000000000003E-2</v>
      </c>
      <c r="T52" s="51">
        <v>4.1085999999999998E-2</v>
      </c>
      <c r="U52" s="51">
        <v>4.1773999999999999E-2</v>
      </c>
      <c r="V52" s="51">
        <v>4.2337E-2</v>
      </c>
      <c r="W52" s="51">
        <v>4.2750000000000003E-2</v>
      </c>
      <c r="X52" s="51">
        <v>4.3056999999999998E-2</v>
      </c>
      <c r="Y52" s="51">
        <v>4.3272000000000005E-2</v>
      </c>
      <c r="Z52" s="51">
        <v>4.3409000000000003E-2</v>
      </c>
      <c r="AA52" s="51">
        <v>4.3486999999999998E-2</v>
      </c>
      <c r="AB52" s="51">
        <v>4.3522999999999999E-2</v>
      </c>
      <c r="AC52" s="51">
        <v>4.3536999999999999E-2</v>
      </c>
      <c r="AD52" s="51">
        <v>4.3550000000000005E-2</v>
      </c>
      <c r="AE52" s="51">
        <v>4.3583999999999998E-2</v>
      </c>
      <c r="AF52" s="51">
        <v>4.3663999999999994E-2</v>
      </c>
    </row>
    <row r="53" spans="1:32">
      <c r="A53" s="1">
        <v>40988</v>
      </c>
      <c r="B53" s="51">
        <v>1.7984E-2</v>
      </c>
      <c r="C53" s="51">
        <v>2.8711E-2</v>
      </c>
      <c r="D53" s="51">
        <v>2.9949E-2</v>
      </c>
      <c r="E53" s="51">
        <v>3.0110999999999999E-2</v>
      </c>
      <c r="F53" s="51">
        <v>3.1671999999999999E-2</v>
      </c>
      <c r="G53" s="51">
        <v>3.2413999999999998E-2</v>
      </c>
      <c r="H53" s="51">
        <v>3.4277000000000002E-2</v>
      </c>
      <c r="I53" s="51">
        <v>3.5128E-2</v>
      </c>
      <c r="J53" s="51">
        <v>3.6305999999999998E-2</v>
      </c>
      <c r="K53" s="51">
        <v>3.6309000000000001E-2</v>
      </c>
      <c r="L53" s="51">
        <v>3.6270999999999998E-2</v>
      </c>
      <c r="M53" s="51">
        <v>3.6457000000000003E-2</v>
      </c>
      <c r="N53" s="51">
        <v>3.6949999999999997E-2</v>
      </c>
      <c r="O53" s="51">
        <v>3.7626E-2</v>
      </c>
      <c r="P53" s="51">
        <v>3.8357999999999996E-2</v>
      </c>
      <c r="Q53" s="51">
        <v>3.9008000000000001E-2</v>
      </c>
      <c r="R53" s="51">
        <v>3.9634000000000003E-2</v>
      </c>
      <c r="S53" s="51">
        <v>4.0347999999999995E-2</v>
      </c>
      <c r="T53" s="51">
        <v>4.1085999999999998E-2</v>
      </c>
      <c r="U53" s="51">
        <v>4.1775E-2</v>
      </c>
      <c r="V53" s="51">
        <v>4.2337999999999994E-2</v>
      </c>
      <c r="W53" s="51">
        <v>4.2751999999999998E-2</v>
      </c>
      <c r="X53" s="51">
        <v>4.3059E-2</v>
      </c>
      <c r="Y53" s="51">
        <v>4.3274E-2</v>
      </c>
      <c r="Z53" s="51">
        <v>4.3410999999999998E-2</v>
      </c>
      <c r="AA53" s="51">
        <v>4.3489000000000007E-2</v>
      </c>
      <c r="AB53" s="51">
        <v>4.3525000000000001E-2</v>
      </c>
      <c r="AC53" s="51">
        <v>4.3539000000000001E-2</v>
      </c>
      <c r="AD53" s="51">
        <v>4.3552E-2</v>
      </c>
      <c r="AE53" s="51">
        <v>4.3587000000000001E-2</v>
      </c>
      <c r="AF53" s="51">
        <v>4.3666999999999997E-2</v>
      </c>
    </row>
    <row r="54" spans="1:32">
      <c r="A54" s="1">
        <v>40989</v>
      </c>
      <c r="B54" s="51">
        <v>1.847E-2</v>
      </c>
      <c r="C54" s="51">
        <v>2.8774999999999998E-2</v>
      </c>
      <c r="D54" s="51">
        <v>2.9929000000000001E-2</v>
      </c>
      <c r="E54" s="51">
        <v>3.0144999999999998E-2</v>
      </c>
      <c r="F54" s="51">
        <v>3.168E-2</v>
      </c>
      <c r="G54" s="51">
        <v>3.2532999999999999E-2</v>
      </c>
      <c r="H54" s="51">
        <v>3.4440999999999999E-2</v>
      </c>
      <c r="I54" s="51">
        <v>3.5076000000000003E-2</v>
      </c>
      <c r="J54" s="51">
        <v>3.6240999999999995E-2</v>
      </c>
      <c r="K54" s="51">
        <v>3.6282999999999996E-2</v>
      </c>
      <c r="L54" s="51">
        <v>3.6276999999999997E-2</v>
      </c>
      <c r="M54" s="51">
        <v>3.6531000000000001E-2</v>
      </c>
      <c r="N54" s="51">
        <v>3.7033999999999997E-2</v>
      </c>
      <c r="O54" s="51">
        <v>3.7683000000000001E-2</v>
      </c>
      <c r="P54" s="51">
        <v>3.8371000000000002E-2</v>
      </c>
      <c r="Q54" s="51">
        <v>3.8981000000000002E-2</v>
      </c>
      <c r="R54" s="51">
        <v>3.9647000000000002E-2</v>
      </c>
      <c r="S54" s="51">
        <v>4.0490000000000005E-2</v>
      </c>
      <c r="T54" s="51">
        <v>4.1355000000000003E-2</v>
      </c>
      <c r="U54" s="51">
        <v>4.2069999999999996E-2</v>
      </c>
      <c r="V54" s="51">
        <v>4.2566E-2</v>
      </c>
      <c r="W54" s="51">
        <v>4.2949000000000001E-2</v>
      </c>
      <c r="X54" s="51">
        <v>4.3230999999999999E-2</v>
      </c>
      <c r="Y54" s="51">
        <v>4.3429000000000002E-2</v>
      </c>
      <c r="Z54" s="51">
        <v>4.3555000000000003E-2</v>
      </c>
      <c r="AA54" s="51">
        <v>4.3628E-2</v>
      </c>
      <c r="AB54" s="51">
        <v>4.3666000000000003E-2</v>
      </c>
      <c r="AC54" s="51">
        <v>4.3688999999999999E-2</v>
      </c>
      <c r="AD54" s="51">
        <v>4.3715999999999998E-2</v>
      </c>
      <c r="AE54" s="51">
        <v>4.3769999999999996E-2</v>
      </c>
      <c r="AF54" s="51">
        <v>4.3875000000000004E-2</v>
      </c>
    </row>
    <row r="55" spans="1:32">
      <c r="A55" s="1">
        <v>40990</v>
      </c>
      <c r="B55" s="51">
        <v>1.9975E-2</v>
      </c>
      <c r="C55" s="51">
        <v>2.8816000000000001E-2</v>
      </c>
      <c r="D55" s="51">
        <v>2.9923999999999999E-2</v>
      </c>
      <c r="E55" s="51">
        <v>3.0192999999999998E-2</v>
      </c>
      <c r="F55" s="51">
        <v>3.177E-2</v>
      </c>
      <c r="G55" s="51">
        <v>3.2217999999999997E-2</v>
      </c>
      <c r="H55" s="51">
        <v>3.4266999999999999E-2</v>
      </c>
      <c r="I55" s="51">
        <v>3.5131000000000003E-2</v>
      </c>
      <c r="J55" s="51">
        <v>3.6131000000000003E-2</v>
      </c>
      <c r="K55" s="51">
        <v>3.6180999999999998E-2</v>
      </c>
      <c r="L55" s="51">
        <v>3.6159999999999998E-2</v>
      </c>
      <c r="M55" s="51">
        <v>3.6361999999999998E-2</v>
      </c>
      <c r="N55" s="51">
        <v>3.687E-2</v>
      </c>
      <c r="O55" s="51">
        <v>3.7562000000000005E-2</v>
      </c>
      <c r="P55" s="51">
        <v>3.8311000000000005E-2</v>
      </c>
      <c r="Q55" s="51">
        <v>3.8977999999999999E-2</v>
      </c>
      <c r="R55" s="51">
        <v>3.9692999999999999E-2</v>
      </c>
      <c r="S55" s="51">
        <v>4.0579000000000004E-2</v>
      </c>
      <c r="T55" s="51">
        <v>4.1468999999999999E-2</v>
      </c>
      <c r="U55" s="51">
        <v>4.2176999999999999E-2</v>
      </c>
      <c r="V55" s="51">
        <v>4.2645000000000002E-2</v>
      </c>
      <c r="W55" s="51">
        <v>4.3005000000000002E-2</v>
      </c>
      <c r="X55" s="51">
        <v>4.3272000000000005E-2</v>
      </c>
      <c r="Y55" s="51">
        <v>4.3457999999999997E-2</v>
      </c>
      <c r="Z55" s="51">
        <v>4.3575999999999997E-2</v>
      </c>
      <c r="AA55" s="51">
        <v>4.3643999999999995E-2</v>
      </c>
      <c r="AB55" s="51">
        <v>4.3676000000000006E-2</v>
      </c>
      <c r="AC55" s="51">
        <v>4.3692000000000002E-2</v>
      </c>
      <c r="AD55" s="51">
        <v>4.3708999999999998E-2</v>
      </c>
      <c r="AE55" s="51">
        <v>4.3749000000000003E-2</v>
      </c>
      <c r="AF55" s="51">
        <v>4.3833000000000004E-2</v>
      </c>
    </row>
    <row r="56" spans="1:32">
      <c r="A56" s="1">
        <v>40991</v>
      </c>
      <c r="B56" s="51">
        <v>2.0116999999999999E-2</v>
      </c>
      <c r="C56" s="51">
        <v>2.8527999999999998E-2</v>
      </c>
      <c r="D56" s="51">
        <v>2.9672E-2</v>
      </c>
      <c r="E56" s="51">
        <v>3.0034000000000002E-2</v>
      </c>
      <c r="F56" s="51">
        <v>3.1503999999999997E-2</v>
      </c>
      <c r="G56" s="51">
        <v>3.1945000000000001E-2</v>
      </c>
      <c r="H56" s="51">
        <v>3.4321999999999998E-2</v>
      </c>
      <c r="I56" s="51">
        <v>3.4914000000000001E-2</v>
      </c>
      <c r="J56" s="51">
        <v>3.5899E-2</v>
      </c>
      <c r="K56" s="51">
        <v>3.5935000000000002E-2</v>
      </c>
      <c r="L56" s="51">
        <v>3.5913E-2</v>
      </c>
      <c r="M56" s="51">
        <v>3.6131000000000003E-2</v>
      </c>
      <c r="N56" s="51">
        <v>3.6678999999999996E-2</v>
      </c>
      <c r="O56" s="51">
        <v>3.7426000000000001E-2</v>
      </c>
      <c r="P56" s="51">
        <v>3.8233999999999997E-2</v>
      </c>
      <c r="Q56" s="51">
        <v>3.8954000000000003E-2</v>
      </c>
      <c r="R56" s="51">
        <v>3.9727999999999999E-2</v>
      </c>
      <c r="S56" s="51">
        <v>4.0684999999999999E-2</v>
      </c>
      <c r="T56" s="51">
        <v>4.1624999999999995E-2</v>
      </c>
      <c r="U56" s="51">
        <v>4.2328999999999999E-2</v>
      </c>
      <c r="V56" s="51">
        <v>4.2748999999999995E-2</v>
      </c>
      <c r="W56" s="51">
        <v>4.3073E-2</v>
      </c>
      <c r="X56" s="51">
        <v>4.3311999999999996E-2</v>
      </c>
      <c r="Y56" s="51">
        <v>4.3478000000000003E-2</v>
      </c>
      <c r="Z56" s="51">
        <v>4.3582999999999997E-2</v>
      </c>
      <c r="AA56" s="51">
        <v>4.3639999999999998E-2</v>
      </c>
      <c r="AB56" s="51">
        <v>4.3663999999999994E-2</v>
      </c>
      <c r="AC56" s="51">
        <v>4.3668999999999999E-2</v>
      </c>
      <c r="AD56" s="51">
        <v>4.3673000000000003E-2</v>
      </c>
      <c r="AE56" s="51">
        <v>4.3692000000000002E-2</v>
      </c>
      <c r="AF56" s="51">
        <v>4.3746E-2</v>
      </c>
    </row>
    <row r="57" spans="1:32">
      <c r="A57" s="1">
        <v>40994</v>
      </c>
      <c r="B57" s="51">
        <v>1.9834000000000001E-2</v>
      </c>
      <c r="C57" s="51">
        <v>2.8435999999999999E-2</v>
      </c>
      <c r="D57" s="51">
        <v>2.9695999999999997E-2</v>
      </c>
      <c r="E57" s="51">
        <v>2.9950999999999998E-2</v>
      </c>
      <c r="F57" s="51">
        <v>3.1365999999999998E-2</v>
      </c>
      <c r="G57" s="51">
        <v>3.2037000000000003E-2</v>
      </c>
      <c r="H57" s="51">
        <v>3.4264999999999997E-2</v>
      </c>
      <c r="I57" s="51">
        <v>3.4865E-2</v>
      </c>
      <c r="J57" s="51">
        <v>3.5906E-2</v>
      </c>
      <c r="K57" s="51">
        <v>3.5901000000000002E-2</v>
      </c>
      <c r="L57" s="51">
        <v>3.5894000000000002E-2</v>
      </c>
      <c r="M57" s="51">
        <v>3.6181999999999999E-2</v>
      </c>
      <c r="N57" s="51">
        <v>3.6749000000000004E-2</v>
      </c>
      <c r="O57" s="51">
        <v>3.7478999999999998E-2</v>
      </c>
      <c r="P57" s="51">
        <v>3.8252000000000001E-2</v>
      </c>
      <c r="Q57" s="51">
        <v>3.8938E-2</v>
      </c>
      <c r="R57" s="51">
        <v>3.9641999999999997E-2</v>
      </c>
      <c r="S57" s="51">
        <v>4.0492999999999994E-2</v>
      </c>
      <c r="T57" s="51">
        <v>4.1378999999999999E-2</v>
      </c>
      <c r="U57" s="51">
        <v>4.2172000000000001E-2</v>
      </c>
      <c r="V57" s="51">
        <v>4.2733999999999994E-2</v>
      </c>
      <c r="W57" s="51">
        <v>4.3080999999999994E-2</v>
      </c>
      <c r="X57" s="51">
        <v>4.3338999999999996E-2</v>
      </c>
      <c r="Y57" s="51">
        <v>4.3518999999999995E-2</v>
      </c>
      <c r="Z57" s="51">
        <v>4.3631999999999997E-2</v>
      </c>
      <c r="AA57" s="51">
        <v>4.3693000000000003E-2</v>
      </c>
      <c r="AB57" s="51">
        <v>4.3715000000000004E-2</v>
      </c>
      <c r="AC57" s="51">
        <v>4.3712999999999995E-2</v>
      </c>
      <c r="AD57" s="51">
        <v>4.3705000000000001E-2</v>
      </c>
      <c r="AE57" s="51">
        <v>4.3707000000000003E-2</v>
      </c>
      <c r="AF57" s="51">
        <v>4.3739E-2</v>
      </c>
    </row>
    <row r="58" spans="1:32">
      <c r="A58" s="1">
        <v>40995</v>
      </c>
      <c r="B58" s="51">
        <v>1.8474999999999998E-2</v>
      </c>
      <c r="C58" s="51">
        <v>2.8435999999999999E-2</v>
      </c>
      <c r="D58" s="51">
        <v>2.9618999999999999E-2</v>
      </c>
      <c r="E58" s="51">
        <v>2.9977E-2</v>
      </c>
      <c r="F58" s="51">
        <v>3.1505999999999999E-2</v>
      </c>
      <c r="G58" s="51">
        <v>3.2046999999999999E-2</v>
      </c>
      <c r="H58" s="51">
        <v>3.4394000000000001E-2</v>
      </c>
      <c r="I58" s="51">
        <v>3.4943000000000002E-2</v>
      </c>
      <c r="J58" s="51">
        <v>3.6014999999999998E-2</v>
      </c>
      <c r="K58" s="51">
        <v>3.6082999999999997E-2</v>
      </c>
      <c r="L58" s="51">
        <v>3.6066000000000001E-2</v>
      </c>
      <c r="M58" s="51">
        <v>3.6284000000000004E-2</v>
      </c>
      <c r="N58" s="51">
        <v>3.6817999999999997E-2</v>
      </c>
      <c r="O58" s="51">
        <v>3.7543E-2</v>
      </c>
      <c r="P58" s="51">
        <v>3.8327E-2</v>
      </c>
      <c r="Q58" s="51">
        <v>3.9024999999999997E-2</v>
      </c>
      <c r="R58" s="51">
        <v>3.9772000000000002E-2</v>
      </c>
      <c r="S58" s="51">
        <v>4.0689999999999997E-2</v>
      </c>
      <c r="T58" s="51">
        <v>4.1596000000000001E-2</v>
      </c>
      <c r="U58" s="51">
        <v>4.2285000000000003E-2</v>
      </c>
      <c r="V58" s="51">
        <v>4.2713000000000001E-2</v>
      </c>
      <c r="W58" s="51">
        <v>4.3042999999999998E-2</v>
      </c>
      <c r="X58" s="51">
        <v>4.3287000000000006E-2</v>
      </c>
      <c r="Y58" s="51">
        <v>4.3456000000000002E-2</v>
      </c>
      <c r="Z58" s="51">
        <v>4.3562999999999998E-2</v>
      </c>
      <c r="AA58" s="51">
        <v>4.3621999999999994E-2</v>
      </c>
      <c r="AB58" s="51">
        <v>4.3647999999999999E-2</v>
      </c>
      <c r="AC58" s="51">
        <v>4.3656E-2</v>
      </c>
      <c r="AD58" s="51">
        <v>4.3663999999999994E-2</v>
      </c>
      <c r="AE58" s="51">
        <v>4.3688999999999999E-2</v>
      </c>
      <c r="AF58" s="51">
        <v>4.3752000000000006E-2</v>
      </c>
    </row>
    <row r="59" spans="1:32">
      <c r="A59" s="1">
        <v>40996</v>
      </c>
      <c r="B59" s="51">
        <v>1.9341999999999998E-2</v>
      </c>
      <c r="C59" s="51">
        <v>2.8485E-2</v>
      </c>
      <c r="D59" s="51">
        <v>2.9357999999999999E-2</v>
      </c>
      <c r="E59" s="51">
        <v>2.9876999999999997E-2</v>
      </c>
      <c r="F59" s="51">
        <v>3.1525999999999998E-2</v>
      </c>
      <c r="G59" s="51">
        <v>3.1869999999999996E-2</v>
      </c>
      <c r="H59" s="51">
        <v>3.4131000000000002E-2</v>
      </c>
      <c r="I59" s="51">
        <v>3.4853000000000002E-2</v>
      </c>
      <c r="J59" s="51">
        <v>3.5886000000000001E-2</v>
      </c>
      <c r="K59" s="51">
        <v>3.5880000000000002E-2</v>
      </c>
      <c r="L59" s="51">
        <v>3.5874000000000003E-2</v>
      </c>
      <c r="M59" s="51">
        <v>3.6172000000000003E-2</v>
      </c>
      <c r="N59" s="51">
        <v>3.6753000000000001E-2</v>
      </c>
      <c r="O59" s="51">
        <v>3.7499999999999999E-2</v>
      </c>
      <c r="P59" s="51">
        <v>3.8292E-2</v>
      </c>
      <c r="Q59" s="51">
        <v>3.8993E-2</v>
      </c>
      <c r="R59" s="51">
        <v>3.9697000000000003E-2</v>
      </c>
      <c r="S59" s="51">
        <v>4.0528000000000002E-2</v>
      </c>
      <c r="T59" s="51">
        <v>4.1382000000000002E-2</v>
      </c>
      <c r="U59" s="51">
        <v>4.2145999999999996E-2</v>
      </c>
      <c r="V59" s="51">
        <v>4.2694999999999997E-2</v>
      </c>
      <c r="W59" s="51">
        <v>4.3042999999999998E-2</v>
      </c>
      <c r="X59" s="51">
        <v>4.3301999999999993E-2</v>
      </c>
      <c r="Y59" s="51">
        <v>4.3482E-2</v>
      </c>
      <c r="Z59" s="51">
        <v>4.3594999999999995E-2</v>
      </c>
      <c r="AA59" s="51">
        <v>4.3656E-2</v>
      </c>
      <c r="AB59" s="51">
        <v>4.3678000000000002E-2</v>
      </c>
      <c r="AC59" s="51">
        <v>4.3677000000000001E-2</v>
      </c>
      <c r="AD59" s="51">
        <v>4.367E-2</v>
      </c>
      <c r="AE59" s="51">
        <v>4.3673999999999998E-2</v>
      </c>
      <c r="AF59" s="51">
        <v>4.3707999999999997E-2</v>
      </c>
    </row>
    <row r="60" spans="1:32">
      <c r="A60" s="1">
        <v>40997</v>
      </c>
      <c r="B60" s="51">
        <v>1.9E-2</v>
      </c>
      <c r="C60" s="51">
        <v>2.8336E-2</v>
      </c>
      <c r="D60" s="51">
        <v>2.8816000000000001E-2</v>
      </c>
      <c r="E60" s="51">
        <v>2.9521000000000002E-2</v>
      </c>
      <c r="F60" s="51">
        <v>3.1055000000000003E-2</v>
      </c>
      <c r="G60" s="51">
        <v>3.1788999999999998E-2</v>
      </c>
      <c r="H60" s="51">
        <v>3.4103000000000001E-2</v>
      </c>
      <c r="I60" s="51">
        <v>3.4714999999999996E-2</v>
      </c>
      <c r="J60" s="51">
        <v>3.5680999999999997E-2</v>
      </c>
      <c r="K60" s="51">
        <v>3.5811999999999997E-2</v>
      </c>
      <c r="L60" s="51">
        <v>3.5810000000000002E-2</v>
      </c>
      <c r="M60" s="51">
        <v>3.6061000000000003E-2</v>
      </c>
      <c r="N60" s="51">
        <v>3.6638000000000004E-2</v>
      </c>
      <c r="O60" s="51">
        <v>3.7413000000000002E-2</v>
      </c>
      <c r="P60" s="51">
        <v>3.8248000000000004E-2</v>
      </c>
      <c r="Q60" s="51">
        <v>3.8996000000000003E-2</v>
      </c>
      <c r="R60" s="51">
        <v>3.9726999999999998E-2</v>
      </c>
      <c r="S60" s="51">
        <v>4.0559000000000005E-2</v>
      </c>
      <c r="T60" s="51">
        <v>4.1401E-2</v>
      </c>
      <c r="U60" s="51">
        <v>4.2148000000000005E-2</v>
      </c>
      <c r="V60" s="51">
        <v>4.2687999999999997E-2</v>
      </c>
      <c r="W60" s="51">
        <v>4.3036000000000005E-2</v>
      </c>
      <c r="X60" s="51">
        <v>4.3292999999999998E-2</v>
      </c>
      <c r="Y60" s="51">
        <v>4.3471999999999997E-2</v>
      </c>
      <c r="Z60" s="51">
        <v>4.3585000000000006E-2</v>
      </c>
      <c r="AA60" s="51">
        <v>4.3644999999999996E-2</v>
      </c>
      <c r="AB60" s="51">
        <v>4.3666000000000003E-2</v>
      </c>
      <c r="AC60" s="51">
        <v>4.3665000000000002E-2</v>
      </c>
      <c r="AD60" s="51">
        <v>4.3657000000000001E-2</v>
      </c>
      <c r="AE60" s="51">
        <v>4.3659999999999997E-2</v>
      </c>
      <c r="AF60" s="51">
        <v>4.3693999999999997E-2</v>
      </c>
    </row>
    <row r="61" spans="1:32">
      <c r="A61" s="1">
        <v>40998</v>
      </c>
      <c r="B61" s="51">
        <v>1.9758999999999999E-2</v>
      </c>
      <c r="C61" s="51">
        <v>2.8355000000000002E-2</v>
      </c>
      <c r="D61" s="51">
        <v>2.8799000000000002E-2</v>
      </c>
      <c r="E61" s="51">
        <v>2.9575000000000001E-2</v>
      </c>
      <c r="F61" s="51">
        <v>3.1152000000000003E-2</v>
      </c>
      <c r="G61" s="51">
        <v>3.1585999999999996E-2</v>
      </c>
      <c r="H61" s="51">
        <v>3.4037000000000005E-2</v>
      </c>
      <c r="I61" s="51">
        <v>3.4651999999999995E-2</v>
      </c>
      <c r="J61" s="51">
        <v>3.5632999999999998E-2</v>
      </c>
      <c r="K61" s="51">
        <v>3.5704E-2</v>
      </c>
      <c r="L61" s="51">
        <v>3.5714000000000003E-2</v>
      </c>
      <c r="M61" s="51">
        <v>3.6032000000000002E-2</v>
      </c>
      <c r="N61" s="51">
        <v>3.6636000000000002E-2</v>
      </c>
      <c r="O61" s="51">
        <v>3.7408999999999998E-2</v>
      </c>
      <c r="P61" s="51">
        <v>3.8227000000000004E-2</v>
      </c>
      <c r="Q61" s="51">
        <v>3.8954000000000003E-2</v>
      </c>
      <c r="R61" s="51">
        <v>3.9674000000000001E-2</v>
      </c>
      <c r="S61" s="51">
        <v>4.0505000000000006E-2</v>
      </c>
      <c r="T61" s="51">
        <v>4.1351000000000006E-2</v>
      </c>
      <c r="U61" s="51">
        <v>4.2104000000000003E-2</v>
      </c>
      <c r="V61" s="51">
        <v>4.2647000000000004E-2</v>
      </c>
      <c r="W61" s="51">
        <v>4.2994000000000004E-2</v>
      </c>
      <c r="X61" s="51">
        <v>4.3251999999999999E-2</v>
      </c>
      <c r="Y61" s="51">
        <v>4.3430999999999997E-2</v>
      </c>
      <c r="Z61" s="51">
        <v>4.3543000000000005E-2</v>
      </c>
      <c r="AA61" s="51">
        <v>4.3602999999999996E-2</v>
      </c>
      <c r="AB61" s="51">
        <v>4.3624000000000003E-2</v>
      </c>
      <c r="AC61" s="51">
        <v>4.3623000000000002E-2</v>
      </c>
      <c r="AD61" s="51">
        <v>4.3615000000000001E-2</v>
      </c>
      <c r="AE61" s="51">
        <v>4.3617999999999997E-2</v>
      </c>
      <c r="AF61" s="51">
        <v>4.3651999999999996E-2</v>
      </c>
    </row>
    <row r="62" spans="1:32">
      <c r="A62" s="1">
        <v>40999</v>
      </c>
      <c r="B62" s="51">
        <v>1.9724999999999999E-2</v>
      </c>
      <c r="C62" s="51">
        <v>2.8355000000000002E-2</v>
      </c>
      <c r="D62" s="51">
        <v>2.8753000000000001E-2</v>
      </c>
      <c r="E62" s="51">
        <v>2.9467E-2</v>
      </c>
      <c r="F62" s="51">
        <v>3.1153E-2</v>
      </c>
      <c r="G62" s="51">
        <v>3.1587999999999998E-2</v>
      </c>
      <c r="H62" s="51">
        <v>3.3972000000000002E-2</v>
      </c>
      <c r="I62" s="51">
        <v>3.4630000000000001E-2</v>
      </c>
      <c r="J62" s="51">
        <v>3.5571999999999999E-2</v>
      </c>
      <c r="K62" s="51">
        <v>3.5668999999999999E-2</v>
      </c>
      <c r="L62" s="51">
        <v>3.5659999999999997E-2</v>
      </c>
      <c r="M62" s="51">
        <v>3.5913E-2</v>
      </c>
      <c r="N62" s="51">
        <v>3.6507999999999999E-2</v>
      </c>
      <c r="O62" s="51">
        <v>3.7309999999999996E-2</v>
      </c>
      <c r="P62" s="51">
        <v>3.8174E-2</v>
      </c>
      <c r="Q62" s="51">
        <v>3.8946999999999996E-2</v>
      </c>
      <c r="R62" s="51">
        <v>3.9689999999999996E-2</v>
      </c>
      <c r="S62" s="51">
        <v>4.0523999999999998E-2</v>
      </c>
      <c r="T62" s="51">
        <v>4.1359000000000007E-2</v>
      </c>
      <c r="U62" s="51">
        <v>4.2098000000000003E-2</v>
      </c>
      <c r="V62" s="51">
        <v>4.2633999999999998E-2</v>
      </c>
      <c r="W62" s="51">
        <v>4.2979999999999997E-2</v>
      </c>
      <c r="X62" s="51">
        <v>4.3238000000000006E-2</v>
      </c>
      <c r="Y62" s="51">
        <v>4.3415999999999996E-2</v>
      </c>
      <c r="Z62" s="51">
        <v>4.3528999999999998E-2</v>
      </c>
      <c r="AA62" s="51">
        <v>4.3587999999999995E-2</v>
      </c>
      <c r="AB62" s="51">
        <v>4.3609000000000002E-2</v>
      </c>
      <c r="AC62" s="51">
        <v>4.3606999999999993E-2</v>
      </c>
      <c r="AD62" s="51">
        <v>4.3598999999999999E-2</v>
      </c>
      <c r="AE62" s="51">
        <v>4.3602999999999996E-2</v>
      </c>
      <c r="AF62" s="51">
        <v>4.3636000000000001E-2</v>
      </c>
    </row>
    <row r="63" spans="1:32">
      <c r="A63" s="1">
        <v>41000</v>
      </c>
      <c r="B63" s="51">
        <v>1.9383999999999998E-2</v>
      </c>
      <c r="C63" s="51">
        <v>2.8551000000000003E-2</v>
      </c>
      <c r="D63" s="51">
        <v>2.8969999999999999E-2</v>
      </c>
      <c r="E63" s="51">
        <v>2.9489000000000001E-2</v>
      </c>
      <c r="F63" s="51">
        <v>3.1359999999999999E-2</v>
      </c>
      <c r="G63" s="51">
        <v>3.1796000000000005E-2</v>
      </c>
      <c r="H63" s="51">
        <v>3.4171E-2</v>
      </c>
      <c r="I63" s="51">
        <v>3.4868000000000003E-2</v>
      </c>
      <c r="J63" s="51">
        <v>3.5714000000000003E-2</v>
      </c>
      <c r="K63" s="51">
        <v>3.5880000000000002E-2</v>
      </c>
      <c r="L63" s="51">
        <v>3.5868000000000004E-2</v>
      </c>
      <c r="M63" s="51">
        <v>3.6109000000000002E-2</v>
      </c>
      <c r="N63" s="51">
        <v>3.6680999999999998E-2</v>
      </c>
      <c r="O63" s="51">
        <v>3.7453E-2</v>
      </c>
      <c r="P63" s="51">
        <v>3.8285E-2</v>
      </c>
      <c r="Q63" s="51">
        <v>3.9028E-2</v>
      </c>
      <c r="R63" s="51">
        <v>3.9754999999999999E-2</v>
      </c>
      <c r="S63" s="51">
        <v>4.0586999999999998E-2</v>
      </c>
      <c r="T63" s="51">
        <v>4.1430999999999996E-2</v>
      </c>
      <c r="U63" s="51">
        <v>4.2182000000000004E-2</v>
      </c>
      <c r="V63" s="51">
        <v>4.2723000000000004E-2</v>
      </c>
      <c r="W63" s="51">
        <v>4.3070999999999998E-2</v>
      </c>
      <c r="X63" s="51">
        <v>4.3329000000000006E-2</v>
      </c>
      <c r="Y63" s="51">
        <v>4.3508999999999999E-2</v>
      </c>
      <c r="Z63" s="51">
        <v>4.3621E-2</v>
      </c>
      <c r="AA63" s="51">
        <v>4.3680999999999998E-2</v>
      </c>
      <c r="AB63" s="51">
        <v>4.3703000000000006E-2</v>
      </c>
      <c r="AC63" s="51">
        <v>4.3700999999999997E-2</v>
      </c>
      <c r="AD63" s="51">
        <v>4.3693999999999997E-2</v>
      </c>
      <c r="AE63" s="51">
        <v>4.3697E-2</v>
      </c>
      <c r="AF63" s="51">
        <v>4.3730999999999999E-2</v>
      </c>
    </row>
    <row r="64" spans="1:32">
      <c r="A64" s="1">
        <v>41004</v>
      </c>
      <c r="B64" s="51">
        <v>2.3025000000000004E-2</v>
      </c>
      <c r="C64" s="51">
        <v>2.8595000000000002E-2</v>
      </c>
      <c r="D64" s="51">
        <v>2.8946999999999997E-2</v>
      </c>
      <c r="E64" s="51">
        <v>2.9395999999999999E-2</v>
      </c>
      <c r="F64" s="51">
        <v>3.1488999999999996E-2</v>
      </c>
      <c r="G64" s="51">
        <v>3.1713999999999999E-2</v>
      </c>
      <c r="H64" s="51">
        <v>3.4201000000000002E-2</v>
      </c>
      <c r="I64" s="51">
        <v>3.4844E-2</v>
      </c>
      <c r="J64" s="51">
        <v>3.5861000000000004E-2</v>
      </c>
      <c r="K64" s="51">
        <v>3.5893000000000001E-2</v>
      </c>
      <c r="L64" s="51">
        <v>3.585E-2</v>
      </c>
      <c r="M64" s="51">
        <v>3.6083999999999998E-2</v>
      </c>
      <c r="N64" s="51">
        <v>3.6659000000000004E-2</v>
      </c>
      <c r="O64" s="51">
        <v>3.7437999999999999E-2</v>
      </c>
      <c r="P64" s="51">
        <v>3.8280000000000002E-2</v>
      </c>
      <c r="Q64" s="51">
        <v>3.9028E-2</v>
      </c>
      <c r="R64" s="51">
        <v>3.9756E-2</v>
      </c>
      <c r="S64" s="51">
        <v>4.0589000000000007E-2</v>
      </c>
      <c r="T64" s="51">
        <v>4.1432000000000004E-2</v>
      </c>
      <c r="U64" s="51">
        <v>4.2182000000000004E-2</v>
      </c>
      <c r="V64" s="51">
        <v>4.2723000000000004E-2</v>
      </c>
      <c r="W64" s="51">
        <v>4.3070999999999998E-2</v>
      </c>
      <c r="X64" s="51">
        <v>4.3329000000000006E-2</v>
      </c>
      <c r="Y64" s="51">
        <v>4.3507999999999998E-2</v>
      </c>
      <c r="Z64" s="51">
        <v>4.3621E-2</v>
      </c>
      <c r="AA64" s="51">
        <v>4.3680999999999998E-2</v>
      </c>
      <c r="AB64" s="51">
        <v>4.3703000000000006E-2</v>
      </c>
      <c r="AC64" s="51">
        <v>4.3700999999999997E-2</v>
      </c>
      <c r="AD64" s="51">
        <v>4.3693999999999997E-2</v>
      </c>
      <c r="AE64" s="51">
        <v>4.3697E-2</v>
      </c>
      <c r="AF64" s="51">
        <v>4.3730999999999999E-2</v>
      </c>
    </row>
    <row r="65" spans="1:32">
      <c r="A65" s="1">
        <v>41005</v>
      </c>
      <c r="B65" s="51">
        <v>2.528E-2</v>
      </c>
      <c r="C65" s="51">
        <v>2.8731E-2</v>
      </c>
      <c r="D65" s="51">
        <v>2.9031999999999999E-2</v>
      </c>
      <c r="E65" s="51">
        <v>2.9381000000000001E-2</v>
      </c>
      <c r="F65" s="51">
        <v>3.1543999999999996E-2</v>
      </c>
      <c r="G65" s="51">
        <v>3.1764000000000001E-2</v>
      </c>
      <c r="H65" s="51">
        <v>3.4172000000000001E-2</v>
      </c>
      <c r="I65" s="51">
        <v>3.4904000000000004E-2</v>
      </c>
      <c r="J65" s="51">
        <v>3.5864E-2</v>
      </c>
      <c r="K65" s="51">
        <v>3.5894000000000002E-2</v>
      </c>
      <c r="L65" s="51">
        <v>3.5859000000000002E-2</v>
      </c>
      <c r="M65" s="51">
        <v>3.6094000000000001E-2</v>
      </c>
      <c r="N65" s="51">
        <v>3.6669E-2</v>
      </c>
      <c r="O65" s="51">
        <v>3.7448000000000002E-2</v>
      </c>
      <c r="P65" s="51">
        <v>3.8288999999999997E-2</v>
      </c>
      <c r="Q65" s="51">
        <v>3.9036000000000001E-2</v>
      </c>
      <c r="R65" s="51">
        <v>3.9764000000000001E-2</v>
      </c>
      <c r="S65" s="51">
        <v>4.0595999999999993E-2</v>
      </c>
      <c r="T65" s="51">
        <v>4.1440000000000005E-2</v>
      </c>
      <c r="U65" s="51">
        <v>4.2190000000000005E-2</v>
      </c>
      <c r="V65" s="51">
        <v>4.2731999999999999E-2</v>
      </c>
      <c r="W65" s="51">
        <v>4.308E-2</v>
      </c>
      <c r="X65" s="51">
        <v>4.3338000000000002E-2</v>
      </c>
      <c r="Y65" s="51">
        <v>4.3517E-2</v>
      </c>
      <c r="Z65" s="51">
        <v>4.3630000000000002E-2</v>
      </c>
      <c r="AA65" s="51">
        <v>4.369E-2</v>
      </c>
      <c r="AB65" s="51">
        <v>4.3712000000000001E-2</v>
      </c>
      <c r="AC65" s="51">
        <v>4.3711E-2</v>
      </c>
      <c r="AD65" s="51">
        <v>4.3703000000000006E-2</v>
      </c>
      <c r="AE65" s="51">
        <v>4.3707000000000003E-2</v>
      </c>
      <c r="AF65" s="51">
        <v>4.3741000000000002E-2</v>
      </c>
    </row>
    <row r="66" spans="1:32">
      <c r="A66" s="1">
        <v>41008</v>
      </c>
      <c r="B66" s="51">
        <v>2.2117000000000001E-2</v>
      </c>
      <c r="C66" s="51">
        <v>2.8698000000000001E-2</v>
      </c>
      <c r="D66" s="51">
        <v>2.9005999999999997E-2</v>
      </c>
      <c r="E66" s="51">
        <v>2.9538999999999999E-2</v>
      </c>
      <c r="F66" s="51">
        <v>3.1466000000000001E-2</v>
      </c>
      <c r="G66" s="51">
        <v>3.1771000000000001E-2</v>
      </c>
      <c r="H66" s="51">
        <v>3.4331E-2</v>
      </c>
      <c r="I66" s="51">
        <v>3.4952000000000004E-2</v>
      </c>
      <c r="J66" s="51">
        <v>3.5964000000000003E-2</v>
      </c>
      <c r="K66" s="51">
        <v>3.6031000000000001E-2</v>
      </c>
      <c r="L66" s="51">
        <v>3.6027000000000003E-2</v>
      </c>
      <c r="M66" s="51">
        <v>3.6334999999999999E-2</v>
      </c>
      <c r="N66" s="51">
        <v>3.6924999999999999E-2</v>
      </c>
      <c r="O66" s="51">
        <v>3.7680999999999999E-2</v>
      </c>
      <c r="P66" s="51">
        <v>3.848E-2</v>
      </c>
      <c r="Q66" s="51">
        <v>3.9188000000000001E-2</v>
      </c>
      <c r="R66" s="51">
        <v>3.9890000000000002E-2</v>
      </c>
      <c r="S66" s="51">
        <v>4.0709000000000002E-2</v>
      </c>
      <c r="T66" s="51">
        <v>4.1551999999999999E-2</v>
      </c>
      <c r="U66" s="51">
        <v>4.2317999999999995E-2</v>
      </c>
      <c r="V66" s="51">
        <v>4.2895000000000003E-2</v>
      </c>
      <c r="W66" s="51">
        <v>4.3277000000000003E-2</v>
      </c>
      <c r="X66" s="51">
        <v>4.3552E-2</v>
      </c>
      <c r="Y66" s="51">
        <v>4.3734000000000002E-2</v>
      </c>
      <c r="Z66" s="51">
        <v>4.3840000000000004E-2</v>
      </c>
      <c r="AA66" s="51">
        <v>4.3888999999999997E-2</v>
      </c>
      <c r="AB66" s="51">
        <v>4.3902000000000004E-2</v>
      </c>
      <c r="AC66" s="51">
        <v>4.3899000000000001E-2</v>
      </c>
      <c r="AD66" s="51">
        <v>4.3902999999999998E-2</v>
      </c>
      <c r="AE66" s="51">
        <v>4.3939000000000006E-2</v>
      </c>
      <c r="AF66" s="51">
        <v>4.4010999999999995E-2</v>
      </c>
    </row>
    <row r="67" spans="1:32">
      <c r="A67" s="1">
        <v>41009</v>
      </c>
      <c r="B67" s="51">
        <v>2.2938E-2</v>
      </c>
      <c r="C67" s="51">
        <v>2.8712000000000001E-2</v>
      </c>
      <c r="D67" s="51">
        <v>2.9087999999999999E-2</v>
      </c>
      <c r="E67" s="51">
        <v>2.9346999999999998E-2</v>
      </c>
      <c r="F67" s="51">
        <v>3.1116999999999999E-2</v>
      </c>
      <c r="G67" s="51">
        <v>3.1661999999999996E-2</v>
      </c>
      <c r="H67" s="51">
        <v>3.4331E-2</v>
      </c>
      <c r="I67" s="51">
        <v>3.4847999999999997E-2</v>
      </c>
      <c r="J67" s="51">
        <v>3.5966999999999999E-2</v>
      </c>
      <c r="K67" s="51">
        <v>3.6059000000000001E-2</v>
      </c>
      <c r="L67" s="51">
        <v>3.6055999999999998E-2</v>
      </c>
      <c r="M67" s="51">
        <v>3.6362999999999999E-2</v>
      </c>
      <c r="N67" s="51">
        <v>3.6950999999999998E-2</v>
      </c>
      <c r="O67" s="51">
        <v>3.7703E-2</v>
      </c>
      <c r="P67" s="51">
        <v>3.8498000000000004E-2</v>
      </c>
      <c r="Q67" s="51">
        <v>3.9203000000000002E-2</v>
      </c>
      <c r="R67" s="51">
        <v>3.9906000000000004E-2</v>
      </c>
      <c r="S67" s="51">
        <v>4.0728999999999994E-2</v>
      </c>
      <c r="T67" s="51">
        <v>4.1577000000000003E-2</v>
      </c>
      <c r="U67" s="51">
        <v>4.2342000000000005E-2</v>
      </c>
      <c r="V67" s="51">
        <v>4.2908000000000002E-2</v>
      </c>
      <c r="W67" s="51">
        <v>4.3281E-2</v>
      </c>
      <c r="X67" s="51">
        <v>4.3556999999999998E-2</v>
      </c>
      <c r="Y67" s="51">
        <v>4.3749999999999997E-2</v>
      </c>
      <c r="Z67" s="51">
        <v>4.3871E-2</v>
      </c>
      <c r="AA67" s="51">
        <v>4.3936999999999997E-2</v>
      </c>
      <c r="AB67" s="51">
        <v>4.3962000000000001E-2</v>
      </c>
      <c r="AC67" s="51">
        <v>4.3963999999999996E-2</v>
      </c>
      <c r="AD67" s="51">
        <v>4.3959999999999999E-2</v>
      </c>
      <c r="AE67" s="51">
        <v>4.3970000000000002E-2</v>
      </c>
      <c r="AF67" s="51">
        <v>4.4013999999999998E-2</v>
      </c>
    </row>
    <row r="68" spans="1:32">
      <c r="A68" s="1">
        <v>41010</v>
      </c>
      <c r="B68" s="51">
        <v>2.2967000000000001E-2</v>
      </c>
      <c r="C68" s="51">
        <v>2.8714E-2</v>
      </c>
      <c r="D68" s="51">
        <v>2.9090999999999999E-2</v>
      </c>
      <c r="E68" s="51">
        <v>2.9363999999999998E-2</v>
      </c>
      <c r="F68" s="51">
        <v>3.1147999999999999E-2</v>
      </c>
      <c r="G68" s="51">
        <v>3.1587999999999998E-2</v>
      </c>
      <c r="H68" s="51">
        <v>3.4159999999999996E-2</v>
      </c>
      <c r="I68" s="51">
        <v>3.4986999999999997E-2</v>
      </c>
      <c r="J68" s="51">
        <v>3.5851000000000001E-2</v>
      </c>
      <c r="K68" s="51">
        <v>3.5987999999999999E-2</v>
      </c>
      <c r="L68" s="51">
        <v>3.5992000000000003E-2</v>
      </c>
      <c r="M68" s="51">
        <v>3.6261000000000002E-2</v>
      </c>
      <c r="N68" s="51">
        <v>3.6847999999999999E-2</v>
      </c>
      <c r="O68" s="51">
        <v>3.7626E-2</v>
      </c>
      <c r="P68" s="51">
        <v>3.8462999999999997E-2</v>
      </c>
      <c r="Q68" s="51">
        <v>3.9212999999999998E-2</v>
      </c>
      <c r="R68" s="51">
        <v>3.9942999999999999E-2</v>
      </c>
      <c r="S68" s="51">
        <v>4.0770000000000001E-2</v>
      </c>
      <c r="T68" s="51">
        <v>4.1604999999999996E-2</v>
      </c>
      <c r="U68" s="51">
        <v>4.2354000000000003E-2</v>
      </c>
      <c r="V68" s="51">
        <v>4.2911999999999999E-2</v>
      </c>
      <c r="W68" s="51">
        <v>4.3284000000000003E-2</v>
      </c>
      <c r="X68" s="51">
        <v>4.3560000000000001E-2</v>
      </c>
      <c r="Y68" s="51">
        <v>4.3752000000000006E-2</v>
      </c>
      <c r="Z68" s="51">
        <v>4.3874000000000003E-2</v>
      </c>
      <c r="AA68" s="51">
        <v>4.3939000000000006E-2</v>
      </c>
      <c r="AB68" s="51">
        <v>4.3963999999999996E-2</v>
      </c>
      <c r="AC68" s="51">
        <v>4.3964999999999997E-2</v>
      </c>
      <c r="AD68" s="51">
        <v>4.3961E-2</v>
      </c>
      <c r="AE68" s="51">
        <v>4.3971000000000003E-2</v>
      </c>
      <c r="AF68" s="51">
        <v>4.4015000000000006E-2</v>
      </c>
    </row>
    <row r="69" spans="1:32">
      <c r="A69" s="1">
        <v>41011</v>
      </c>
      <c r="B69" s="51">
        <v>2.3466999999999998E-2</v>
      </c>
      <c r="C69" s="51">
        <v>2.8993999999999999E-2</v>
      </c>
      <c r="D69" s="51">
        <v>2.9271999999999999E-2</v>
      </c>
      <c r="E69" s="51">
        <v>2.9447999999999998E-2</v>
      </c>
      <c r="F69" s="51">
        <v>3.125E-2</v>
      </c>
      <c r="G69" s="51">
        <v>3.1796000000000005E-2</v>
      </c>
      <c r="H69" s="51">
        <v>3.4451000000000002E-2</v>
      </c>
      <c r="I69" s="51">
        <v>3.4893E-2</v>
      </c>
      <c r="J69" s="51">
        <v>3.5952000000000005E-2</v>
      </c>
      <c r="K69" s="51">
        <v>3.6091000000000005E-2</v>
      </c>
      <c r="L69" s="51">
        <v>3.6091999999999999E-2</v>
      </c>
      <c r="M69" s="51">
        <v>3.6348999999999999E-2</v>
      </c>
      <c r="N69" s="51">
        <v>3.6915000000000003E-2</v>
      </c>
      <c r="O69" s="51">
        <v>3.7668E-2</v>
      </c>
      <c r="P69" s="51">
        <v>3.8477000000000004E-2</v>
      </c>
      <c r="Q69" s="51">
        <v>3.9202000000000001E-2</v>
      </c>
      <c r="R69" s="51">
        <v>3.9902E-2</v>
      </c>
      <c r="S69" s="51">
        <v>4.0694999999999995E-2</v>
      </c>
      <c r="T69" s="51">
        <v>4.1513000000000001E-2</v>
      </c>
      <c r="U69" s="51">
        <v>4.2281000000000006E-2</v>
      </c>
      <c r="V69" s="51">
        <v>4.2915000000000002E-2</v>
      </c>
      <c r="W69" s="51">
        <v>4.3380999999999996E-2</v>
      </c>
      <c r="X69" s="51">
        <v>4.3715999999999998E-2</v>
      </c>
      <c r="Y69" s="51">
        <v>4.3939000000000006E-2</v>
      </c>
      <c r="Z69" s="51">
        <v>4.4070999999999999E-2</v>
      </c>
      <c r="AA69" s="51">
        <v>4.4137000000000003E-2</v>
      </c>
      <c r="AB69" s="51">
        <v>4.4162E-2</v>
      </c>
      <c r="AC69" s="51">
        <v>4.4173999999999998E-2</v>
      </c>
      <c r="AD69" s="51">
        <v>4.4202000000000005E-2</v>
      </c>
      <c r="AE69" s="51">
        <v>4.4276999999999997E-2</v>
      </c>
      <c r="AF69" s="51">
        <v>4.4394999999999997E-2</v>
      </c>
    </row>
    <row r="70" spans="1:32">
      <c r="A70" s="1">
        <v>41012</v>
      </c>
      <c r="B70" s="51">
        <v>2.5708000000000002E-2</v>
      </c>
      <c r="C70" s="51">
        <v>2.8799000000000002E-2</v>
      </c>
      <c r="D70" s="51">
        <v>2.9159999999999998E-2</v>
      </c>
      <c r="E70" s="51">
        <v>2.9504000000000002E-2</v>
      </c>
      <c r="F70" s="51">
        <v>3.1377999999999996E-2</v>
      </c>
      <c r="G70" s="51">
        <v>3.1872999999999999E-2</v>
      </c>
      <c r="H70" s="51">
        <v>3.4487999999999998E-2</v>
      </c>
      <c r="I70" s="51">
        <v>3.4826000000000003E-2</v>
      </c>
      <c r="J70" s="51">
        <v>3.5722000000000004E-2</v>
      </c>
      <c r="K70" s="51">
        <v>3.5916999999999998E-2</v>
      </c>
      <c r="L70" s="51">
        <v>3.5944999999999998E-2</v>
      </c>
      <c r="M70" s="51">
        <v>3.6234999999999996E-2</v>
      </c>
      <c r="N70" s="51">
        <v>3.6819999999999999E-2</v>
      </c>
      <c r="O70" s="51">
        <v>3.7581999999999997E-2</v>
      </c>
      <c r="P70" s="51">
        <v>3.8399000000000003E-2</v>
      </c>
      <c r="Q70" s="51">
        <v>3.9136000000000004E-2</v>
      </c>
      <c r="R70" s="51">
        <v>3.9867E-2</v>
      </c>
      <c r="S70" s="51">
        <v>4.0709999999999996E-2</v>
      </c>
      <c r="T70" s="51">
        <v>4.1588E-2</v>
      </c>
      <c r="U70" s="51">
        <v>4.2416999999999996E-2</v>
      </c>
      <c r="V70" s="51">
        <v>4.3102000000000001E-2</v>
      </c>
      <c r="W70" s="51">
        <v>4.3604000000000004E-2</v>
      </c>
      <c r="X70" s="51">
        <v>4.3964999999999997E-2</v>
      </c>
      <c r="Y70" s="51">
        <v>4.4206000000000002E-2</v>
      </c>
      <c r="Z70" s="51">
        <v>4.4349E-2</v>
      </c>
      <c r="AA70" s="51">
        <v>4.4421999999999996E-2</v>
      </c>
      <c r="AB70" s="51">
        <v>4.4450000000000003E-2</v>
      </c>
      <c r="AC70" s="51">
        <v>4.4463999999999997E-2</v>
      </c>
      <c r="AD70" s="51">
        <v>4.4496000000000001E-2</v>
      </c>
      <c r="AE70" s="51">
        <v>4.4578E-2</v>
      </c>
      <c r="AF70" s="51">
        <v>4.4706999999999997E-2</v>
      </c>
    </row>
    <row r="71" spans="1:32">
      <c r="A71" s="1">
        <v>41015</v>
      </c>
      <c r="B71" s="51">
        <v>2.4680000000000001E-2</v>
      </c>
      <c r="C71" s="51">
        <v>2.8835000000000003E-2</v>
      </c>
      <c r="D71" s="51">
        <v>2.9167000000000002E-2</v>
      </c>
      <c r="E71" s="51">
        <v>2.9479999999999999E-2</v>
      </c>
      <c r="F71" s="51">
        <v>3.1307000000000001E-2</v>
      </c>
      <c r="G71" s="51">
        <v>3.1895E-2</v>
      </c>
      <c r="H71" s="51">
        <v>3.4472000000000003E-2</v>
      </c>
      <c r="I71" s="51">
        <v>3.4946000000000005E-2</v>
      </c>
      <c r="J71" s="51">
        <v>3.5720999999999996E-2</v>
      </c>
      <c r="K71" s="51">
        <v>3.5942000000000002E-2</v>
      </c>
      <c r="L71" s="51">
        <v>3.5992000000000003E-2</v>
      </c>
      <c r="M71" s="51">
        <v>3.6303999999999996E-2</v>
      </c>
      <c r="N71" s="51">
        <v>3.6886999999999996E-2</v>
      </c>
      <c r="O71" s="51">
        <v>3.7633E-2</v>
      </c>
      <c r="P71" s="51">
        <v>3.8429000000000005E-2</v>
      </c>
      <c r="Q71" s="51">
        <v>3.9153E-2</v>
      </c>
      <c r="R71" s="51">
        <v>3.9883000000000002E-2</v>
      </c>
      <c r="S71" s="51">
        <v>4.0730000000000002E-2</v>
      </c>
      <c r="T71" s="51">
        <v>4.1614000000000005E-2</v>
      </c>
      <c r="U71" s="51">
        <v>4.2443999999999996E-2</v>
      </c>
      <c r="V71" s="51">
        <v>4.3118999999999998E-2</v>
      </c>
      <c r="W71" s="51">
        <v>4.3612000000000005E-2</v>
      </c>
      <c r="X71" s="51">
        <v>4.3978999999999997E-2</v>
      </c>
      <c r="Y71" s="51">
        <v>4.4236999999999999E-2</v>
      </c>
      <c r="Z71" s="51">
        <v>4.4401999999999997E-2</v>
      </c>
      <c r="AA71" s="51">
        <v>4.4496000000000001E-2</v>
      </c>
      <c r="AB71" s="51">
        <v>4.4539999999999996E-2</v>
      </c>
      <c r="AC71" s="51">
        <v>4.4556999999999999E-2</v>
      </c>
      <c r="AD71" s="51">
        <v>4.4573000000000002E-2</v>
      </c>
      <c r="AE71" s="51">
        <v>4.4615000000000002E-2</v>
      </c>
      <c r="AF71" s="51">
        <v>4.4711000000000001E-2</v>
      </c>
    </row>
    <row r="72" spans="1:32">
      <c r="A72" s="1">
        <v>41016</v>
      </c>
      <c r="B72" s="51">
        <v>2.1783E-2</v>
      </c>
      <c r="C72" s="51">
        <v>2.8719999999999999E-2</v>
      </c>
      <c r="D72" s="51">
        <v>2.9041999999999998E-2</v>
      </c>
      <c r="E72" s="51">
        <v>2.9468000000000001E-2</v>
      </c>
      <c r="F72" s="51">
        <v>3.1275999999999998E-2</v>
      </c>
      <c r="G72" s="51">
        <v>3.1899999999999998E-2</v>
      </c>
      <c r="H72" s="51">
        <v>3.4306999999999997E-2</v>
      </c>
      <c r="I72" s="51">
        <v>3.4819000000000003E-2</v>
      </c>
      <c r="J72" s="51">
        <v>3.5708000000000004E-2</v>
      </c>
      <c r="K72" s="51">
        <v>3.5928000000000002E-2</v>
      </c>
      <c r="L72" s="51">
        <v>3.5969000000000001E-2</v>
      </c>
      <c r="M72" s="51">
        <v>3.6273E-2</v>
      </c>
      <c r="N72" s="51">
        <v>3.6857000000000001E-2</v>
      </c>
      <c r="O72" s="51">
        <v>3.7612E-2</v>
      </c>
      <c r="P72" s="51">
        <v>3.8418000000000001E-2</v>
      </c>
      <c r="Q72" s="51">
        <v>3.9148999999999996E-2</v>
      </c>
      <c r="R72" s="51">
        <v>3.9879999999999999E-2</v>
      </c>
      <c r="S72" s="51">
        <v>4.0726999999999999E-2</v>
      </c>
      <c r="T72" s="51">
        <v>4.1609999999999994E-2</v>
      </c>
      <c r="U72" s="51">
        <v>4.2438000000000003E-2</v>
      </c>
      <c r="V72" s="51">
        <v>4.3112000000000004E-2</v>
      </c>
      <c r="W72" s="51">
        <v>4.3604999999999998E-2</v>
      </c>
      <c r="X72" s="51">
        <v>4.3971999999999997E-2</v>
      </c>
      <c r="Y72" s="51">
        <v>4.4229999999999998E-2</v>
      </c>
      <c r="Z72" s="51">
        <v>4.4394999999999997E-2</v>
      </c>
      <c r="AA72" s="51">
        <v>4.4489000000000001E-2</v>
      </c>
      <c r="AB72" s="51">
        <v>4.4531999999999995E-2</v>
      </c>
      <c r="AC72" s="51">
        <v>4.4549000000000005E-2</v>
      </c>
      <c r="AD72" s="51">
        <v>4.4565E-2</v>
      </c>
      <c r="AE72" s="51">
        <v>4.4607000000000001E-2</v>
      </c>
      <c r="AF72" s="51">
        <v>4.4701999999999999E-2</v>
      </c>
    </row>
    <row r="73" spans="1:32">
      <c r="A73" s="1">
        <v>41017</v>
      </c>
      <c r="B73" s="51">
        <v>2.1762E-2</v>
      </c>
      <c r="C73" s="51">
        <v>2.8544999999999997E-2</v>
      </c>
      <c r="D73" s="51">
        <v>2.9007000000000002E-2</v>
      </c>
      <c r="E73" s="51">
        <v>2.9461000000000001E-2</v>
      </c>
      <c r="F73" s="51">
        <v>3.1472E-2</v>
      </c>
      <c r="G73" s="51">
        <v>3.1977000000000005E-2</v>
      </c>
      <c r="H73" s="51">
        <v>3.4540000000000001E-2</v>
      </c>
      <c r="I73" s="51">
        <v>3.4856999999999999E-2</v>
      </c>
      <c r="J73" s="51">
        <v>3.5790000000000002E-2</v>
      </c>
      <c r="K73" s="51">
        <v>3.6006999999999997E-2</v>
      </c>
      <c r="L73" s="51">
        <v>3.6045000000000001E-2</v>
      </c>
      <c r="M73" s="51">
        <v>3.6344000000000001E-2</v>
      </c>
      <c r="N73" s="51">
        <v>3.6927000000000001E-2</v>
      </c>
      <c r="O73" s="51">
        <v>3.7679999999999998E-2</v>
      </c>
      <c r="P73" s="51">
        <v>3.8484999999999998E-2</v>
      </c>
      <c r="Q73" s="51">
        <v>3.9213999999999999E-2</v>
      </c>
      <c r="R73" s="51">
        <v>3.9927999999999998E-2</v>
      </c>
      <c r="S73" s="51">
        <v>4.0742E-2</v>
      </c>
      <c r="T73" s="51">
        <v>4.1599999999999998E-2</v>
      </c>
      <c r="U73" s="51">
        <v>4.2438999999999998E-2</v>
      </c>
      <c r="V73" s="51">
        <v>4.3189000000000005E-2</v>
      </c>
      <c r="W73" s="51">
        <v>4.3705999999999995E-2</v>
      </c>
      <c r="X73" s="51">
        <v>4.3952999999999999E-2</v>
      </c>
      <c r="Y73" s="51">
        <v>4.4032999999999996E-2</v>
      </c>
      <c r="Z73" s="51">
        <v>4.4054999999999997E-2</v>
      </c>
      <c r="AA73" s="51">
        <v>4.4138000000000004E-2</v>
      </c>
      <c r="AB73" s="51">
        <v>4.4297000000000003E-2</v>
      </c>
      <c r="AC73" s="51">
        <v>4.4435000000000002E-2</v>
      </c>
      <c r="AD73" s="51">
        <v>4.4554000000000003E-2</v>
      </c>
      <c r="AE73" s="51">
        <v>4.4654999999999993E-2</v>
      </c>
      <c r="AF73" s="51">
        <v>4.4741999999999997E-2</v>
      </c>
    </row>
    <row r="74" spans="1:32">
      <c r="A74" s="1">
        <v>41018</v>
      </c>
      <c r="B74" s="51">
        <v>2.3772000000000001E-2</v>
      </c>
      <c r="C74" s="51">
        <v>2.8459999999999999E-2</v>
      </c>
      <c r="D74" s="51">
        <v>2.8887999999999997E-2</v>
      </c>
      <c r="E74" s="51">
        <v>2.9614999999999999E-2</v>
      </c>
      <c r="F74" s="51">
        <v>3.1537000000000003E-2</v>
      </c>
      <c r="G74" s="51">
        <v>3.2113999999999997E-2</v>
      </c>
      <c r="H74" s="51">
        <v>3.4583000000000003E-2</v>
      </c>
      <c r="I74" s="51">
        <v>3.4938999999999998E-2</v>
      </c>
      <c r="J74" s="51">
        <v>3.5926E-2</v>
      </c>
      <c r="K74" s="51">
        <v>3.6166000000000004E-2</v>
      </c>
      <c r="L74" s="51">
        <v>3.6212000000000001E-2</v>
      </c>
      <c r="M74" s="51">
        <v>3.6511000000000002E-2</v>
      </c>
      <c r="N74" s="51">
        <v>3.7075999999999998E-2</v>
      </c>
      <c r="O74" s="51">
        <v>3.7801000000000001E-2</v>
      </c>
      <c r="P74" s="51">
        <v>3.8575999999999999E-2</v>
      </c>
      <c r="Q74" s="51">
        <v>3.9280000000000002E-2</v>
      </c>
      <c r="R74" s="51">
        <v>4.0003000000000004E-2</v>
      </c>
      <c r="S74" s="51">
        <v>4.0861000000000001E-2</v>
      </c>
      <c r="T74" s="51">
        <v>4.1761E-2</v>
      </c>
      <c r="U74" s="51">
        <v>4.2595999999999995E-2</v>
      </c>
      <c r="V74" s="51">
        <v>4.3249000000000003E-2</v>
      </c>
      <c r="W74" s="51">
        <v>4.3700000000000003E-2</v>
      </c>
      <c r="X74" s="51">
        <v>4.4024000000000001E-2</v>
      </c>
      <c r="Y74" s="51">
        <v>4.4239000000000001E-2</v>
      </c>
      <c r="Z74" s="51">
        <v>4.4366000000000003E-2</v>
      </c>
      <c r="AA74" s="51">
        <v>4.4428000000000002E-2</v>
      </c>
      <c r="AB74" s="51">
        <v>4.4448000000000001E-2</v>
      </c>
      <c r="AC74" s="51">
        <v>4.4452999999999993E-2</v>
      </c>
      <c r="AD74" s="51">
        <v>4.4470000000000003E-2</v>
      </c>
      <c r="AE74" s="51">
        <v>4.4527999999999998E-2</v>
      </c>
      <c r="AF74" s="51">
        <v>4.4625999999999999E-2</v>
      </c>
    </row>
    <row r="75" spans="1:32">
      <c r="A75" s="1">
        <v>41019</v>
      </c>
      <c r="B75" s="51">
        <v>2.5779999999999997E-2</v>
      </c>
      <c r="C75" s="51">
        <v>2.8370000000000003E-2</v>
      </c>
      <c r="D75" s="51">
        <v>2.8841000000000002E-2</v>
      </c>
      <c r="E75" s="51">
        <v>2.9547E-2</v>
      </c>
      <c r="F75" s="51">
        <v>3.1454000000000003E-2</v>
      </c>
      <c r="G75" s="51">
        <v>3.1977999999999999E-2</v>
      </c>
      <c r="H75" s="51">
        <v>3.4447999999999999E-2</v>
      </c>
      <c r="I75" s="51">
        <v>3.4901000000000001E-2</v>
      </c>
      <c r="J75" s="51">
        <v>3.5879000000000001E-2</v>
      </c>
      <c r="K75" s="51">
        <v>3.6074999999999996E-2</v>
      </c>
      <c r="L75" s="51">
        <v>3.61E-2</v>
      </c>
      <c r="M75" s="51">
        <v>3.6381000000000004E-2</v>
      </c>
      <c r="N75" s="51">
        <v>3.6943999999999998E-2</v>
      </c>
      <c r="O75" s="51">
        <v>3.7677000000000002E-2</v>
      </c>
      <c r="P75" s="51">
        <v>3.8462000000000003E-2</v>
      </c>
      <c r="Q75" s="51">
        <v>3.9169000000000002E-2</v>
      </c>
      <c r="R75" s="51">
        <v>3.9843000000000003E-2</v>
      </c>
      <c r="S75" s="51">
        <v>4.0591000000000002E-2</v>
      </c>
      <c r="T75" s="51">
        <v>4.1371999999999999E-2</v>
      </c>
      <c r="U75" s="51">
        <v>4.2140000000000004E-2</v>
      </c>
      <c r="V75" s="51">
        <v>4.2846000000000002E-2</v>
      </c>
      <c r="W75" s="51">
        <v>4.3414000000000001E-2</v>
      </c>
      <c r="X75" s="51">
        <v>4.3821000000000006E-2</v>
      </c>
      <c r="Y75" s="51">
        <v>4.4090999999999998E-2</v>
      </c>
      <c r="Z75" s="51">
        <v>4.4253999999999995E-2</v>
      </c>
      <c r="AA75" s="51">
        <v>4.4339000000000003E-2</v>
      </c>
      <c r="AB75" s="51">
        <v>4.4381000000000004E-2</v>
      </c>
      <c r="AC75" s="51">
        <v>4.4416000000000004E-2</v>
      </c>
      <c r="AD75" s="51">
        <v>4.4482000000000001E-2</v>
      </c>
      <c r="AE75" s="51">
        <v>4.462E-2</v>
      </c>
      <c r="AF75" s="51">
        <v>4.4812000000000005E-2</v>
      </c>
    </row>
    <row r="76" spans="1:32">
      <c r="A76" s="1">
        <v>41022</v>
      </c>
      <c r="B76" s="51">
        <v>2.5047E-2</v>
      </c>
      <c r="C76" s="51">
        <v>2.8473000000000002E-2</v>
      </c>
      <c r="D76" s="51">
        <v>2.8982999999999998E-2</v>
      </c>
      <c r="E76" s="51">
        <v>2.9454999999999999E-2</v>
      </c>
      <c r="F76" s="51">
        <v>3.1244999999999998E-2</v>
      </c>
      <c r="G76" s="51">
        <v>3.2024999999999998E-2</v>
      </c>
      <c r="H76" s="51">
        <v>3.4348000000000004E-2</v>
      </c>
      <c r="I76" s="51">
        <v>3.483E-2</v>
      </c>
      <c r="J76" s="51">
        <v>3.5969000000000001E-2</v>
      </c>
      <c r="K76" s="51">
        <v>3.6109000000000002E-2</v>
      </c>
      <c r="L76" s="51">
        <v>3.6095000000000002E-2</v>
      </c>
      <c r="M76" s="51">
        <v>3.6341999999999999E-2</v>
      </c>
      <c r="N76" s="51">
        <v>3.6901999999999997E-2</v>
      </c>
      <c r="O76" s="51">
        <v>3.7650000000000003E-2</v>
      </c>
      <c r="P76" s="51">
        <v>3.8452E-2</v>
      </c>
      <c r="Q76" s="51">
        <v>3.9168000000000001E-2</v>
      </c>
      <c r="R76" s="51">
        <v>3.9838999999999999E-2</v>
      </c>
      <c r="S76" s="51">
        <v>4.0586999999999998E-2</v>
      </c>
      <c r="T76" s="51">
        <v>4.1368000000000002E-2</v>
      </c>
      <c r="U76" s="51">
        <v>4.2138000000000002E-2</v>
      </c>
      <c r="V76" s="51">
        <v>4.2844E-2</v>
      </c>
      <c r="W76" s="51">
        <v>4.3410999999999998E-2</v>
      </c>
      <c r="X76" s="51">
        <v>4.3818000000000003E-2</v>
      </c>
      <c r="Y76" s="51">
        <v>4.4088000000000002E-2</v>
      </c>
      <c r="Z76" s="51">
        <v>4.4249999999999998E-2</v>
      </c>
      <c r="AA76" s="51">
        <v>4.4335000000000006E-2</v>
      </c>
      <c r="AB76" s="51">
        <v>4.4377000000000007E-2</v>
      </c>
      <c r="AC76" s="51">
        <v>4.4410999999999999E-2</v>
      </c>
      <c r="AD76" s="51">
        <v>4.4477000000000003E-2</v>
      </c>
      <c r="AE76" s="51">
        <v>4.4615999999999996E-2</v>
      </c>
      <c r="AF76" s="51">
        <v>4.4808000000000001E-2</v>
      </c>
    </row>
    <row r="77" spans="1:32">
      <c r="A77" s="1">
        <v>41023</v>
      </c>
      <c r="B77" s="51">
        <v>2.3942000000000001E-2</v>
      </c>
      <c r="C77" s="51">
        <v>2.8439000000000002E-2</v>
      </c>
      <c r="D77" s="51">
        <v>2.9003000000000001E-2</v>
      </c>
      <c r="E77" s="51">
        <v>2.9538999999999999E-2</v>
      </c>
      <c r="F77" s="51">
        <v>3.1158000000000002E-2</v>
      </c>
      <c r="G77" s="51">
        <v>3.1981999999999997E-2</v>
      </c>
      <c r="H77" s="51">
        <v>3.4388999999999996E-2</v>
      </c>
      <c r="I77" s="51">
        <v>3.4768E-2</v>
      </c>
      <c r="J77" s="51">
        <v>3.5771999999999998E-2</v>
      </c>
      <c r="K77" s="51">
        <v>3.5958000000000004E-2</v>
      </c>
      <c r="L77" s="51">
        <v>3.5979999999999998E-2</v>
      </c>
      <c r="M77" s="51">
        <v>3.6255000000000003E-2</v>
      </c>
      <c r="N77" s="51">
        <v>3.6808E-2</v>
      </c>
      <c r="O77" s="51">
        <v>3.7527999999999999E-2</v>
      </c>
      <c r="P77" s="51">
        <v>3.8296999999999998E-2</v>
      </c>
      <c r="Q77" s="51">
        <v>3.8989999999999997E-2</v>
      </c>
      <c r="R77" s="51">
        <v>3.9650999999999999E-2</v>
      </c>
      <c r="S77" s="51">
        <v>4.0389000000000001E-2</v>
      </c>
      <c r="T77" s="51">
        <v>4.1166000000000001E-2</v>
      </c>
      <c r="U77" s="51">
        <v>4.1940999999999999E-2</v>
      </c>
      <c r="V77" s="51">
        <v>4.2667999999999998E-2</v>
      </c>
      <c r="W77" s="51">
        <v>4.3270000000000003E-2</v>
      </c>
      <c r="X77" s="51">
        <v>4.3715999999999998E-2</v>
      </c>
      <c r="Y77" s="51">
        <v>4.4027999999999998E-2</v>
      </c>
      <c r="Z77" s="51">
        <v>4.4229000000000004E-2</v>
      </c>
      <c r="AA77" s="51">
        <v>4.4347999999999999E-2</v>
      </c>
      <c r="AB77" s="51">
        <v>4.4412E-2</v>
      </c>
      <c r="AC77" s="51">
        <v>4.4454E-2</v>
      </c>
      <c r="AD77" s="51">
        <v>4.4505999999999997E-2</v>
      </c>
      <c r="AE77" s="51">
        <v>4.4606000000000007E-2</v>
      </c>
      <c r="AF77" s="51">
        <v>4.4790999999999997E-2</v>
      </c>
    </row>
    <row r="78" spans="1:32">
      <c r="A78" s="1">
        <v>41024</v>
      </c>
      <c r="B78" s="51">
        <v>2.6436999999999999E-2</v>
      </c>
      <c r="C78" s="51">
        <v>2.8454999999999998E-2</v>
      </c>
      <c r="D78" s="51">
        <v>2.9127E-2</v>
      </c>
      <c r="E78" s="51">
        <v>2.9693999999999998E-2</v>
      </c>
      <c r="F78" s="51">
        <v>3.1412000000000002E-2</v>
      </c>
      <c r="G78" s="51">
        <v>3.1941999999999998E-2</v>
      </c>
      <c r="H78" s="51">
        <v>3.4463000000000001E-2</v>
      </c>
      <c r="I78" s="51">
        <v>3.4897999999999998E-2</v>
      </c>
      <c r="J78" s="51">
        <v>3.5785999999999998E-2</v>
      </c>
      <c r="K78" s="51">
        <v>3.6004000000000001E-2</v>
      </c>
      <c r="L78" s="51">
        <v>3.6046999999999996E-2</v>
      </c>
      <c r="M78" s="51">
        <v>3.6339000000000003E-2</v>
      </c>
      <c r="N78" s="51">
        <v>3.6886999999999996E-2</v>
      </c>
      <c r="O78" s="51">
        <v>3.7587999999999996E-2</v>
      </c>
      <c r="P78" s="51">
        <v>3.8336000000000002E-2</v>
      </c>
      <c r="Q78" s="51">
        <v>3.9015000000000001E-2</v>
      </c>
      <c r="R78" s="51">
        <v>3.9670999999999998E-2</v>
      </c>
      <c r="S78" s="51">
        <v>4.0409E-2</v>
      </c>
      <c r="T78" s="51">
        <v>4.1189000000000003E-2</v>
      </c>
      <c r="U78" s="51">
        <v>4.1966999999999997E-2</v>
      </c>
      <c r="V78" s="51">
        <v>4.2695999999999998E-2</v>
      </c>
      <c r="W78" s="51">
        <v>4.3297999999999996E-2</v>
      </c>
      <c r="X78" s="51">
        <v>4.3745000000000006E-2</v>
      </c>
      <c r="Y78" s="51">
        <v>4.4057000000000006E-2</v>
      </c>
      <c r="Z78" s="51">
        <v>4.4259000000000007E-2</v>
      </c>
      <c r="AA78" s="51">
        <v>4.4377000000000007E-2</v>
      </c>
      <c r="AB78" s="51">
        <v>4.4442000000000002E-2</v>
      </c>
      <c r="AC78" s="51">
        <v>4.4484000000000003E-2</v>
      </c>
      <c r="AD78" s="51">
        <v>4.4537000000000007E-2</v>
      </c>
      <c r="AE78" s="51">
        <v>4.4637000000000003E-2</v>
      </c>
      <c r="AF78" s="51">
        <v>4.4822000000000001E-2</v>
      </c>
    </row>
    <row r="79" spans="1:32">
      <c r="A79" s="1">
        <v>41025</v>
      </c>
      <c r="B79" s="51">
        <v>2.5838E-2</v>
      </c>
      <c r="C79" s="51">
        <v>2.8489E-2</v>
      </c>
      <c r="D79" s="51">
        <v>2.9192999999999997E-2</v>
      </c>
      <c r="E79" s="51">
        <v>2.9815999999999999E-2</v>
      </c>
      <c r="F79" s="51">
        <v>3.1522000000000001E-2</v>
      </c>
      <c r="G79" s="51">
        <v>3.1899999999999998E-2</v>
      </c>
      <c r="H79" s="51">
        <v>3.4203000000000004E-2</v>
      </c>
      <c r="I79" s="51">
        <v>3.4883000000000004E-2</v>
      </c>
      <c r="J79" s="51">
        <v>3.5684E-2</v>
      </c>
      <c r="K79" s="51">
        <v>3.6041999999999998E-2</v>
      </c>
      <c r="L79" s="51">
        <v>3.6037E-2</v>
      </c>
      <c r="M79" s="51">
        <v>3.6278000000000005E-2</v>
      </c>
      <c r="N79" s="51">
        <v>3.6823000000000002E-2</v>
      </c>
      <c r="O79" s="51">
        <v>3.755E-2</v>
      </c>
      <c r="P79" s="51">
        <v>3.8330999999999997E-2</v>
      </c>
      <c r="Q79" s="51">
        <v>3.9024999999999997E-2</v>
      </c>
      <c r="R79" s="51">
        <v>3.9681000000000001E-2</v>
      </c>
      <c r="S79" s="51">
        <v>4.0418000000000003E-2</v>
      </c>
      <c r="T79" s="51">
        <v>4.1197999999999999E-2</v>
      </c>
      <c r="U79" s="51">
        <v>4.1976000000000006E-2</v>
      </c>
      <c r="V79" s="51">
        <v>4.2705E-2</v>
      </c>
      <c r="W79" s="51">
        <v>4.3307000000000005E-2</v>
      </c>
      <c r="X79" s="51">
        <v>4.3753E-2</v>
      </c>
      <c r="Y79" s="51">
        <v>4.4065E-2</v>
      </c>
      <c r="Z79" s="51">
        <v>4.4267000000000001E-2</v>
      </c>
      <c r="AA79" s="51">
        <v>4.4385000000000001E-2</v>
      </c>
      <c r="AB79" s="51">
        <v>4.4448999999999995E-2</v>
      </c>
      <c r="AC79" s="51">
        <v>4.4490999999999996E-2</v>
      </c>
      <c r="AD79" s="51">
        <v>4.4544E-2</v>
      </c>
      <c r="AE79" s="51">
        <v>4.4642999999999995E-2</v>
      </c>
      <c r="AF79" s="51">
        <v>4.4829000000000001E-2</v>
      </c>
    </row>
    <row r="80" spans="1:32">
      <c r="A80" s="1">
        <v>41026</v>
      </c>
      <c r="B80" s="51">
        <v>2.4329999999999997E-2</v>
      </c>
      <c r="C80" s="51">
        <v>2.8540999999999997E-2</v>
      </c>
      <c r="D80" s="51">
        <v>2.9272999999999997E-2</v>
      </c>
      <c r="E80" s="51">
        <v>2.9772E-2</v>
      </c>
      <c r="F80" s="51">
        <v>3.1486E-2</v>
      </c>
      <c r="G80" s="51">
        <v>3.1892999999999998E-2</v>
      </c>
      <c r="H80" s="51">
        <v>3.4034000000000002E-2</v>
      </c>
      <c r="I80" s="51">
        <v>3.4765999999999998E-2</v>
      </c>
      <c r="J80" s="51">
        <v>3.5632999999999998E-2</v>
      </c>
      <c r="K80" s="51">
        <v>3.5964000000000003E-2</v>
      </c>
      <c r="L80" s="51">
        <v>3.6087000000000001E-2</v>
      </c>
      <c r="M80" s="51">
        <v>3.6457000000000003E-2</v>
      </c>
      <c r="N80" s="51">
        <v>3.7007999999999999E-2</v>
      </c>
      <c r="O80" s="51">
        <v>3.7668E-2</v>
      </c>
      <c r="P80" s="51">
        <v>3.8363999999999995E-2</v>
      </c>
      <c r="Q80" s="51">
        <v>3.9016000000000002E-2</v>
      </c>
      <c r="R80" s="51">
        <v>3.9671999999999999E-2</v>
      </c>
      <c r="S80" s="51">
        <v>4.0409E-2</v>
      </c>
      <c r="T80" s="51">
        <v>4.1189000000000003E-2</v>
      </c>
      <c r="U80" s="51">
        <v>4.1967999999999998E-2</v>
      </c>
      <c r="V80" s="51">
        <v>4.2697000000000006E-2</v>
      </c>
      <c r="W80" s="51">
        <v>4.3299000000000004E-2</v>
      </c>
      <c r="X80" s="51">
        <v>4.3745000000000006E-2</v>
      </c>
      <c r="Y80" s="51">
        <v>4.4058E-2</v>
      </c>
      <c r="Z80" s="51">
        <v>4.4260000000000001E-2</v>
      </c>
      <c r="AA80" s="51">
        <v>4.4378000000000001E-2</v>
      </c>
      <c r="AB80" s="51">
        <v>4.4443000000000003E-2</v>
      </c>
      <c r="AC80" s="51">
        <v>4.4485000000000004E-2</v>
      </c>
      <c r="AD80" s="51">
        <v>4.4537000000000007E-2</v>
      </c>
      <c r="AE80" s="51">
        <v>4.4637000000000003E-2</v>
      </c>
      <c r="AF80" s="51">
        <v>4.4823000000000002E-2</v>
      </c>
    </row>
    <row r="81" spans="1:32">
      <c r="A81" s="1">
        <v>41027</v>
      </c>
      <c r="B81" s="51">
        <v>1.9447000000000002E-2</v>
      </c>
      <c r="C81" s="51">
        <v>2.8561999999999997E-2</v>
      </c>
      <c r="D81" s="51">
        <v>2.9304E-2</v>
      </c>
      <c r="E81" s="51">
        <v>2.9826000000000002E-2</v>
      </c>
      <c r="F81" s="51">
        <v>3.1579000000000003E-2</v>
      </c>
      <c r="G81" s="51">
        <v>3.1857000000000003E-2</v>
      </c>
      <c r="H81" s="51">
        <v>3.4098000000000003E-2</v>
      </c>
      <c r="I81" s="51">
        <v>3.4721000000000002E-2</v>
      </c>
      <c r="J81" s="51">
        <v>3.5615000000000001E-2</v>
      </c>
      <c r="K81" s="51">
        <v>3.5958000000000004E-2</v>
      </c>
      <c r="L81" s="51">
        <v>3.6088000000000002E-2</v>
      </c>
      <c r="M81" s="51">
        <v>3.6464999999999997E-2</v>
      </c>
      <c r="N81" s="51">
        <v>3.7014999999999999E-2</v>
      </c>
      <c r="O81" s="51">
        <v>3.7671999999999997E-2</v>
      </c>
      <c r="P81" s="51">
        <v>3.8363999999999995E-2</v>
      </c>
      <c r="Q81" s="51">
        <v>3.9014E-2</v>
      </c>
      <c r="R81" s="51">
        <v>3.9670000000000004E-2</v>
      </c>
      <c r="S81" s="51">
        <v>4.0406999999999998E-2</v>
      </c>
      <c r="T81" s="51">
        <v>4.1186999999999994E-2</v>
      </c>
      <c r="U81" s="51">
        <v>4.1966000000000003E-2</v>
      </c>
      <c r="V81" s="51">
        <v>4.2694999999999997E-2</v>
      </c>
      <c r="W81" s="51">
        <v>4.3297000000000002E-2</v>
      </c>
      <c r="X81" s="51">
        <v>4.3743999999999998E-2</v>
      </c>
      <c r="Y81" s="51">
        <v>4.4055999999999998E-2</v>
      </c>
      <c r="Z81" s="51">
        <v>4.4257999999999999E-2</v>
      </c>
      <c r="AA81" s="51">
        <v>4.4377000000000007E-2</v>
      </c>
      <c r="AB81" s="51">
        <v>4.4440999999999994E-2</v>
      </c>
      <c r="AC81" s="51">
        <v>4.4482999999999995E-2</v>
      </c>
      <c r="AD81" s="51">
        <v>4.4535999999999999E-2</v>
      </c>
      <c r="AE81" s="51">
        <v>4.4635999999999995E-2</v>
      </c>
      <c r="AF81" s="51">
        <v>4.4822000000000001E-2</v>
      </c>
    </row>
    <row r="82" spans="1:32">
      <c r="A82" s="1">
        <v>41031</v>
      </c>
      <c r="B82" s="51">
        <v>1.9847E-2</v>
      </c>
      <c r="C82" s="51">
        <v>2.8450000000000003E-2</v>
      </c>
      <c r="D82" s="51">
        <v>2.9275000000000002E-2</v>
      </c>
      <c r="E82" s="51">
        <v>2.9922000000000001E-2</v>
      </c>
      <c r="F82" s="51">
        <v>3.1521E-2</v>
      </c>
      <c r="G82" s="51">
        <v>3.1946000000000002E-2</v>
      </c>
      <c r="H82" s="51">
        <v>3.4014000000000003E-2</v>
      </c>
      <c r="I82" s="51">
        <v>3.4849999999999999E-2</v>
      </c>
      <c r="J82" s="51">
        <v>3.5657999999999995E-2</v>
      </c>
      <c r="K82" s="51">
        <v>3.6000000000000004E-2</v>
      </c>
      <c r="L82" s="51">
        <v>3.6152000000000004E-2</v>
      </c>
      <c r="M82" s="51">
        <v>3.6545999999999995E-2</v>
      </c>
      <c r="N82" s="51">
        <v>3.7094999999999996E-2</v>
      </c>
      <c r="O82" s="51">
        <v>3.7738999999999995E-2</v>
      </c>
      <c r="P82" s="51">
        <v>3.8415999999999999E-2</v>
      </c>
      <c r="Q82" s="51">
        <v>3.9057000000000001E-2</v>
      </c>
      <c r="R82" s="51">
        <v>3.9711999999999997E-2</v>
      </c>
      <c r="S82" s="51">
        <v>4.0453999999999997E-2</v>
      </c>
      <c r="T82" s="51">
        <v>4.1238000000000004E-2</v>
      </c>
      <c r="U82" s="51">
        <v>4.2018000000000007E-2</v>
      </c>
      <c r="V82" s="51">
        <v>4.2738999999999999E-2</v>
      </c>
      <c r="W82" s="51">
        <v>4.3329000000000006E-2</v>
      </c>
      <c r="X82" s="51">
        <v>4.3765999999999999E-2</v>
      </c>
      <c r="Y82" s="51">
        <v>4.4071999999999993E-2</v>
      </c>
      <c r="Z82" s="51">
        <v>4.4269999999999997E-2</v>
      </c>
      <c r="AA82" s="51">
        <v>4.4386000000000002E-2</v>
      </c>
      <c r="AB82" s="51">
        <v>4.4448999999999995E-2</v>
      </c>
      <c r="AC82" s="51">
        <v>4.4489000000000001E-2</v>
      </c>
      <c r="AD82" s="51">
        <v>4.4539999999999996E-2</v>
      </c>
      <c r="AE82" s="51">
        <v>4.4635999999999995E-2</v>
      </c>
      <c r="AF82" s="51">
        <v>4.4814999999999994E-2</v>
      </c>
    </row>
    <row r="83" spans="1:32">
      <c r="A83" s="1">
        <v>41032</v>
      </c>
      <c r="B83" s="51">
        <v>2.1030000000000004E-2</v>
      </c>
      <c r="C83" s="51">
        <v>2.8496E-2</v>
      </c>
      <c r="D83" s="51">
        <v>2.9347999999999999E-2</v>
      </c>
      <c r="E83" s="51">
        <v>3.0148000000000001E-2</v>
      </c>
      <c r="F83" s="51">
        <v>3.1482000000000003E-2</v>
      </c>
      <c r="G83" s="51">
        <v>3.1962000000000004E-2</v>
      </c>
      <c r="H83" s="51">
        <v>3.4237000000000004E-2</v>
      </c>
      <c r="I83" s="51">
        <v>3.4741000000000001E-2</v>
      </c>
      <c r="J83" s="51">
        <v>3.5595000000000002E-2</v>
      </c>
      <c r="K83" s="51">
        <v>3.5969000000000001E-2</v>
      </c>
      <c r="L83" s="51">
        <v>3.6156000000000001E-2</v>
      </c>
      <c r="M83" s="51">
        <v>3.6568999999999997E-2</v>
      </c>
      <c r="N83" s="51">
        <v>3.7118000000000005E-2</v>
      </c>
      <c r="O83" s="51">
        <v>3.7753000000000002E-2</v>
      </c>
      <c r="P83" s="51">
        <v>3.8418000000000001E-2</v>
      </c>
      <c r="Q83" s="51">
        <v>3.9052999999999997E-2</v>
      </c>
      <c r="R83" s="51">
        <v>3.9705999999999998E-2</v>
      </c>
      <c r="S83" s="51">
        <v>4.0441999999999999E-2</v>
      </c>
      <c r="T83" s="51">
        <v>4.122E-2</v>
      </c>
      <c r="U83" s="51">
        <v>4.1996000000000006E-2</v>
      </c>
      <c r="V83" s="51">
        <v>4.2718999999999993E-2</v>
      </c>
      <c r="W83" s="51">
        <v>4.3314000000000005E-2</v>
      </c>
      <c r="X83" s="51">
        <v>4.3754999999999995E-2</v>
      </c>
      <c r="Y83" s="51">
        <v>4.4063999999999999E-2</v>
      </c>
      <c r="Z83" s="51">
        <v>4.4263999999999998E-2</v>
      </c>
      <c r="AA83" s="51">
        <v>4.4381000000000004E-2</v>
      </c>
      <c r="AB83" s="51">
        <v>4.4443999999999997E-2</v>
      </c>
      <c r="AC83" s="51">
        <v>4.4485000000000004E-2</v>
      </c>
      <c r="AD83" s="51">
        <v>4.4535999999999999E-2</v>
      </c>
      <c r="AE83" s="51">
        <v>4.4634E-2</v>
      </c>
      <c r="AF83" s="51">
        <v>4.4814999999999994E-2</v>
      </c>
    </row>
    <row r="84" spans="1:32">
      <c r="A84" s="1">
        <v>41033</v>
      </c>
      <c r="B84" s="51">
        <v>2.1054E-2</v>
      </c>
      <c r="C84" s="51">
        <v>2.8618000000000001E-2</v>
      </c>
      <c r="D84" s="51">
        <v>2.9388000000000001E-2</v>
      </c>
      <c r="E84" s="51">
        <v>3.0308000000000002E-2</v>
      </c>
      <c r="F84" s="51">
        <v>3.1519999999999999E-2</v>
      </c>
      <c r="G84" s="51">
        <v>3.2002999999999997E-2</v>
      </c>
      <c r="H84" s="51">
        <v>3.4082000000000001E-2</v>
      </c>
      <c r="I84" s="51">
        <v>3.4891999999999999E-2</v>
      </c>
      <c r="J84" s="51">
        <v>3.5564999999999999E-2</v>
      </c>
      <c r="K84" s="51">
        <v>3.5948000000000001E-2</v>
      </c>
      <c r="L84" s="51">
        <v>3.6222999999999998E-2</v>
      </c>
      <c r="M84" s="51">
        <v>3.6651999999999997E-2</v>
      </c>
      <c r="N84" s="51">
        <v>3.7184000000000002E-2</v>
      </c>
      <c r="O84" s="51">
        <v>3.7782000000000003E-2</v>
      </c>
      <c r="P84" s="51">
        <v>3.8404000000000001E-2</v>
      </c>
      <c r="Q84" s="51">
        <v>3.9008000000000001E-2</v>
      </c>
      <c r="R84" s="51">
        <v>3.9647999999999996E-2</v>
      </c>
      <c r="S84" s="51">
        <v>4.0382999999999995E-2</v>
      </c>
      <c r="T84" s="51">
        <v>4.1167999999999996E-2</v>
      </c>
      <c r="U84" s="51">
        <v>4.1951000000000002E-2</v>
      </c>
      <c r="V84" s="51">
        <v>4.2676999999999993E-2</v>
      </c>
      <c r="W84" s="51">
        <v>4.3272999999999999E-2</v>
      </c>
      <c r="X84" s="51">
        <v>4.3714000000000003E-2</v>
      </c>
      <c r="Y84" s="51">
        <v>4.4023000000000007E-2</v>
      </c>
      <c r="Z84" s="51">
        <v>4.4223999999999999E-2</v>
      </c>
      <c r="AA84" s="51">
        <v>4.4340999999999998E-2</v>
      </c>
      <c r="AB84" s="51">
        <v>4.4405E-2</v>
      </c>
      <c r="AC84" s="51">
        <v>4.4446000000000006E-2</v>
      </c>
      <c r="AD84" s="51">
        <v>4.4497999999999996E-2</v>
      </c>
      <c r="AE84" s="51">
        <v>4.4595999999999997E-2</v>
      </c>
      <c r="AF84" s="51">
        <v>4.4776999999999997E-2</v>
      </c>
    </row>
    <row r="85" spans="1:32">
      <c r="A85" s="1">
        <v>41036</v>
      </c>
      <c r="B85" s="51">
        <v>2.1104999999999999E-2</v>
      </c>
      <c r="C85" s="51">
        <v>2.8612000000000002E-2</v>
      </c>
      <c r="D85" s="51">
        <v>2.9331999999999997E-2</v>
      </c>
      <c r="E85" s="51">
        <v>3.0232999999999999E-2</v>
      </c>
      <c r="F85" s="51">
        <v>3.1490999999999998E-2</v>
      </c>
      <c r="G85" s="51">
        <v>3.1987999999999996E-2</v>
      </c>
      <c r="H85" s="51">
        <v>3.3959000000000003E-2</v>
      </c>
      <c r="I85" s="51">
        <v>3.4826999999999997E-2</v>
      </c>
      <c r="J85" s="51">
        <v>3.5539999999999995E-2</v>
      </c>
      <c r="K85" s="51">
        <v>3.5947E-2</v>
      </c>
      <c r="L85" s="51">
        <v>3.6237999999999999E-2</v>
      </c>
      <c r="M85" s="51">
        <v>3.6678000000000002E-2</v>
      </c>
      <c r="N85" s="51">
        <v>3.721E-2</v>
      </c>
      <c r="O85" s="51">
        <v>3.78E-2</v>
      </c>
      <c r="P85" s="51">
        <v>3.8414000000000004E-2</v>
      </c>
      <c r="Q85" s="51">
        <v>3.9012999999999999E-2</v>
      </c>
      <c r="R85" s="51">
        <v>3.9653999999999995E-2</v>
      </c>
      <c r="S85" s="51">
        <v>4.0389000000000001E-2</v>
      </c>
      <c r="T85" s="51">
        <v>4.1173000000000001E-2</v>
      </c>
      <c r="U85" s="51">
        <v>4.1956E-2</v>
      </c>
      <c r="V85" s="51">
        <v>4.2682999999999999E-2</v>
      </c>
      <c r="W85" s="51">
        <v>4.3277999999999997E-2</v>
      </c>
      <c r="X85" s="51">
        <v>4.3720000000000002E-2</v>
      </c>
      <c r="Y85" s="51">
        <v>4.4027999999999998E-2</v>
      </c>
      <c r="Z85" s="51">
        <v>4.4227999999999996E-2</v>
      </c>
      <c r="AA85" s="51">
        <v>4.4345999999999997E-2</v>
      </c>
      <c r="AB85" s="51">
        <v>4.4409999999999998E-2</v>
      </c>
      <c r="AC85" s="51">
        <v>4.4450999999999997E-2</v>
      </c>
      <c r="AD85" s="51">
        <v>4.4503000000000001E-2</v>
      </c>
      <c r="AE85" s="51">
        <v>4.4600000000000001E-2</v>
      </c>
      <c r="AF85" s="51">
        <v>4.4782000000000002E-2</v>
      </c>
    </row>
    <row r="86" spans="1:32">
      <c r="A86" s="1">
        <v>41037</v>
      </c>
      <c r="B86" s="51">
        <v>1.6163E-2</v>
      </c>
      <c r="C86" s="51">
        <v>2.8572E-2</v>
      </c>
      <c r="D86" s="51">
        <v>2.9336999999999998E-2</v>
      </c>
      <c r="E86" s="51">
        <v>3.0243000000000003E-2</v>
      </c>
      <c r="F86" s="51">
        <v>3.1383000000000001E-2</v>
      </c>
      <c r="G86" s="51">
        <v>3.1946000000000002E-2</v>
      </c>
      <c r="H86" s="51">
        <v>3.4102E-2</v>
      </c>
      <c r="I86" s="51">
        <v>3.4811000000000002E-2</v>
      </c>
      <c r="J86" s="51">
        <v>3.5521999999999998E-2</v>
      </c>
      <c r="K86" s="51">
        <v>3.5934000000000001E-2</v>
      </c>
      <c r="L86" s="51">
        <v>3.6242000000000003E-2</v>
      </c>
      <c r="M86" s="51">
        <v>3.6688999999999999E-2</v>
      </c>
      <c r="N86" s="51">
        <v>3.7221000000000004E-2</v>
      </c>
      <c r="O86" s="51">
        <v>3.7808000000000001E-2</v>
      </c>
      <c r="P86" s="51">
        <v>3.8417E-2</v>
      </c>
      <c r="Q86" s="51">
        <v>3.9014E-2</v>
      </c>
      <c r="R86" s="51">
        <v>3.9653999999999995E-2</v>
      </c>
      <c r="S86" s="51">
        <v>4.0389000000000001E-2</v>
      </c>
      <c r="T86" s="51">
        <v>4.1173000000000001E-2</v>
      </c>
      <c r="U86" s="51">
        <v>4.1956E-2</v>
      </c>
      <c r="V86" s="51">
        <v>4.2682999999999999E-2</v>
      </c>
      <c r="W86" s="51">
        <v>4.3278999999999998E-2</v>
      </c>
      <c r="X86" s="51">
        <v>4.3720000000000002E-2</v>
      </c>
      <c r="Y86" s="51">
        <v>4.4028999999999999E-2</v>
      </c>
      <c r="Z86" s="51">
        <v>4.4229000000000004E-2</v>
      </c>
      <c r="AA86" s="51">
        <v>4.4347000000000004E-2</v>
      </c>
      <c r="AB86" s="51">
        <v>4.4409999999999998E-2</v>
      </c>
      <c r="AC86" s="51">
        <v>4.4451999999999998E-2</v>
      </c>
      <c r="AD86" s="51">
        <v>4.4503000000000001E-2</v>
      </c>
      <c r="AE86" s="51">
        <v>4.4600999999999995E-2</v>
      </c>
      <c r="AF86" s="51">
        <v>4.4782000000000002E-2</v>
      </c>
    </row>
    <row r="87" spans="1:32">
      <c r="A87" s="1">
        <v>41038</v>
      </c>
      <c r="B87" s="51">
        <v>1.5429999999999999E-2</v>
      </c>
      <c r="C87" s="51">
        <v>2.8399000000000001E-2</v>
      </c>
      <c r="D87" s="51">
        <v>2.9258000000000003E-2</v>
      </c>
      <c r="E87" s="51">
        <v>3.0034000000000002E-2</v>
      </c>
      <c r="F87" s="51">
        <v>3.1153E-2</v>
      </c>
      <c r="G87" s="51">
        <v>3.1953999999999996E-2</v>
      </c>
      <c r="H87" s="51">
        <v>3.4251000000000004E-2</v>
      </c>
      <c r="I87" s="51">
        <v>3.4699000000000001E-2</v>
      </c>
      <c r="J87" s="51">
        <v>3.5504000000000001E-2</v>
      </c>
      <c r="K87" s="51">
        <v>3.5889000000000004E-2</v>
      </c>
      <c r="L87" s="51">
        <v>3.6122999999999995E-2</v>
      </c>
      <c r="M87" s="51">
        <v>3.6547999999999997E-2</v>
      </c>
      <c r="N87" s="51">
        <v>3.7092E-2</v>
      </c>
      <c r="O87" s="51">
        <v>3.7708999999999999E-2</v>
      </c>
      <c r="P87" s="51">
        <v>3.8352999999999998E-2</v>
      </c>
      <c r="Q87" s="51">
        <v>3.8973000000000001E-2</v>
      </c>
      <c r="R87" s="51">
        <v>3.9613000000000002E-2</v>
      </c>
      <c r="S87" s="51">
        <v>4.0330000000000005E-2</v>
      </c>
      <c r="T87" s="51">
        <v>4.1097000000000002E-2</v>
      </c>
      <c r="U87" s="51">
        <v>4.1880000000000001E-2</v>
      </c>
      <c r="V87" s="51">
        <v>4.2643000000000007E-2</v>
      </c>
      <c r="W87" s="51">
        <v>4.3274999999999994E-2</v>
      </c>
      <c r="X87" s="51">
        <v>4.3714000000000003E-2</v>
      </c>
      <c r="Y87" s="51">
        <v>4.3993000000000004E-2</v>
      </c>
      <c r="Z87" s="51">
        <v>4.4151999999999997E-2</v>
      </c>
      <c r="AA87" s="51">
        <v>4.4233000000000001E-2</v>
      </c>
      <c r="AB87" s="51">
        <v>4.4282000000000002E-2</v>
      </c>
      <c r="AC87" s="51">
        <v>4.4347999999999999E-2</v>
      </c>
      <c r="AD87" s="51">
        <v>4.4485000000000004E-2</v>
      </c>
      <c r="AE87" s="51">
        <v>4.4728000000000004E-2</v>
      </c>
      <c r="AF87" s="51">
        <v>4.4947000000000001E-2</v>
      </c>
    </row>
    <row r="88" spans="1:32">
      <c r="A88" s="1">
        <v>41039</v>
      </c>
      <c r="B88" s="51">
        <v>1.5146E-2</v>
      </c>
      <c r="C88" s="51">
        <v>2.7977999999999999E-2</v>
      </c>
      <c r="D88" s="51">
        <v>2.8782000000000002E-2</v>
      </c>
      <c r="E88" s="51">
        <v>2.9907E-2</v>
      </c>
      <c r="F88" s="51">
        <v>3.0718000000000002E-2</v>
      </c>
      <c r="G88" s="51">
        <v>3.1602999999999999E-2</v>
      </c>
      <c r="H88" s="51">
        <v>3.4190999999999999E-2</v>
      </c>
      <c r="I88" s="51">
        <v>3.4603999999999996E-2</v>
      </c>
      <c r="J88" s="51">
        <v>3.5421999999999995E-2</v>
      </c>
      <c r="K88" s="51">
        <v>3.5796000000000001E-2</v>
      </c>
      <c r="L88" s="51">
        <v>3.6001999999999999E-2</v>
      </c>
      <c r="M88" s="51">
        <v>3.6423000000000004E-2</v>
      </c>
      <c r="N88" s="51">
        <v>3.6977000000000003E-2</v>
      </c>
      <c r="O88" s="51">
        <v>3.7614000000000002E-2</v>
      </c>
      <c r="P88" s="51">
        <v>3.8280000000000002E-2</v>
      </c>
      <c r="Q88" s="51">
        <v>3.8917E-2</v>
      </c>
      <c r="R88" s="51">
        <v>3.9574999999999999E-2</v>
      </c>
      <c r="S88" s="51">
        <v>4.0320000000000002E-2</v>
      </c>
      <c r="T88" s="51">
        <v>4.1116E-2</v>
      </c>
      <c r="U88" s="51">
        <v>4.1921999999999994E-2</v>
      </c>
      <c r="V88" s="51">
        <v>4.2693000000000002E-2</v>
      </c>
      <c r="W88" s="51">
        <v>4.3324000000000001E-2</v>
      </c>
      <c r="X88" s="51">
        <v>4.3762999999999996E-2</v>
      </c>
      <c r="Y88" s="51">
        <v>4.4042000000000005E-2</v>
      </c>
      <c r="Z88" s="51">
        <v>4.4199999999999996E-2</v>
      </c>
      <c r="AA88" s="51">
        <v>4.428E-2</v>
      </c>
      <c r="AB88" s="51">
        <v>4.4325999999999997E-2</v>
      </c>
      <c r="AC88" s="51">
        <v>4.4387999999999997E-2</v>
      </c>
      <c r="AD88" s="51">
        <v>4.4517000000000001E-2</v>
      </c>
      <c r="AE88" s="51">
        <v>4.4748999999999997E-2</v>
      </c>
      <c r="AF88" s="51">
        <v>4.4958999999999999E-2</v>
      </c>
    </row>
    <row r="89" spans="1:32">
      <c r="A89" s="1">
        <v>41040</v>
      </c>
      <c r="B89" s="51">
        <v>1.5128999999999998E-2</v>
      </c>
      <c r="C89" s="51">
        <v>2.7531E-2</v>
      </c>
      <c r="D89" s="51">
        <v>2.8312E-2</v>
      </c>
      <c r="E89" s="51">
        <v>2.9508999999999997E-2</v>
      </c>
      <c r="F89" s="51">
        <v>2.9950999999999998E-2</v>
      </c>
      <c r="G89" s="51">
        <v>3.1268999999999998E-2</v>
      </c>
      <c r="H89" s="51">
        <v>3.3562000000000002E-2</v>
      </c>
      <c r="I89" s="51">
        <v>3.4311000000000001E-2</v>
      </c>
      <c r="J89" s="51">
        <v>3.5110999999999996E-2</v>
      </c>
      <c r="K89" s="51">
        <v>3.5458999999999997E-2</v>
      </c>
      <c r="L89" s="51">
        <v>3.5617000000000003E-2</v>
      </c>
      <c r="M89" s="51">
        <v>3.6033000000000003E-2</v>
      </c>
      <c r="N89" s="51">
        <v>3.6618999999999999E-2</v>
      </c>
      <c r="O89" s="51">
        <v>3.7307E-2</v>
      </c>
      <c r="P89" s="51">
        <v>3.8029E-2</v>
      </c>
      <c r="Q89" s="51">
        <v>3.8711999999999996E-2</v>
      </c>
      <c r="R89" s="51">
        <v>3.9399999999999998E-2</v>
      </c>
      <c r="S89" s="51">
        <v>4.0166000000000007E-2</v>
      </c>
      <c r="T89" s="51">
        <v>4.0971E-2</v>
      </c>
      <c r="U89" s="51">
        <v>4.1775E-2</v>
      </c>
      <c r="V89" s="51">
        <v>4.2529999999999998E-2</v>
      </c>
      <c r="W89" s="51">
        <v>4.3156E-2</v>
      </c>
      <c r="X89" s="51">
        <v>4.3621E-2</v>
      </c>
      <c r="Y89" s="51">
        <v>4.3944999999999998E-2</v>
      </c>
      <c r="Z89" s="51">
        <v>4.4156000000000001E-2</v>
      </c>
      <c r="AA89" s="51">
        <v>4.4278999999999999E-2</v>
      </c>
      <c r="AB89" s="51">
        <v>4.4345999999999997E-2</v>
      </c>
      <c r="AC89" s="51">
        <v>4.4389999999999999E-2</v>
      </c>
      <c r="AD89" s="51">
        <v>4.4444999999999998E-2</v>
      </c>
      <c r="AE89" s="51">
        <v>4.4549000000000005E-2</v>
      </c>
      <c r="AF89" s="51">
        <v>4.4741999999999997E-2</v>
      </c>
    </row>
    <row r="90" spans="1:32">
      <c r="A90" s="1">
        <v>41043</v>
      </c>
      <c r="B90" s="51">
        <v>1.1600999999999998E-2</v>
      </c>
      <c r="C90" s="51">
        <v>2.5488E-2</v>
      </c>
      <c r="D90" s="51">
        <v>2.7068999999999999E-2</v>
      </c>
      <c r="E90" s="51">
        <v>2.8292999999999999E-2</v>
      </c>
      <c r="F90" s="51">
        <v>2.8591999999999999E-2</v>
      </c>
      <c r="G90" s="51">
        <v>3.0640999999999998E-2</v>
      </c>
      <c r="H90" s="51">
        <v>3.2896999999999996E-2</v>
      </c>
      <c r="I90" s="51">
        <v>3.4218999999999999E-2</v>
      </c>
      <c r="J90" s="51">
        <v>3.4661999999999998E-2</v>
      </c>
      <c r="K90" s="51">
        <v>3.4979000000000003E-2</v>
      </c>
      <c r="L90" s="51">
        <v>3.5194000000000003E-2</v>
      </c>
      <c r="M90" s="51">
        <v>3.5632999999999998E-2</v>
      </c>
      <c r="N90" s="51">
        <v>3.6261999999999996E-2</v>
      </c>
      <c r="O90" s="51">
        <v>3.7007999999999999E-2</v>
      </c>
      <c r="P90" s="51">
        <v>3.7791999999999999E-2</v>
      </c>
      <c r="Q90" s="51">
        <v>3.8530000000000002E-2</v>
      </c>
      <c r="R90" s="51">
        <v>3.9247000000000004E-2</v>
      </c>
      <c r="S90" s="51">
        <v>4.0014000000000001E-2</v>
      </c>
      <c r="T90" s="51">
        <v>4.0801999999999998E-2</v>
      </c>
      <c r="U90" s="51">
        <v>4.1582999999999995E-2</v>
      </c>
      <c r="V90" s="51">
        <v>4.2325000000000002E-2</v>
      </c>
      <c r="W90" s="51">
        <v>4.2949000000000001E-2</v>
      </c>
      <c r="X90" s="51">
        <v>4.3410000000000004E-2</v>
      </c>
      <c r="Y90" s="51">
        <v>4.3733000000000001E-2</v>
      </c>
      <c r="Z90" s="51">
        <v>4.3941000000000001E-2</v>
      </c>
      <c r="AA90" s="51">
        <v>4.4062000000000004E-2</v>
      </c>
      <c r="AB90" s="51">
        <v>4.4127E-2</v>
      </c>
      <c r="AC90" s="51">
        <v>4.4169E-2</v>
      </c>
      <c r="AD90" s="51">
        <v>4.4222999999999998E-2</v>
      </c>
      <c r="AE90" s="51">
        <v>4.4325000000000003E-2</v>
      </c>
      <c r="AF90" s="51">
        <v>4.4517000000000001E-2</v>
      </c>
    </row>
    <row r="91" spans="1:32">
      <c r="A91" s="1">
        <v>41044</v>
      </c>
      <c r="B91" s="51">
        <v>1.1105E-2</v>
      </c>
      <c r="C91" s="51">
        <v>2.4766E-2</v>
      </c>
      <c r="D91" s="51">
        <v>2.5873E-2</v>
      </c>
      <c r="E91" s="51">
        <v>2.6651999999999999E-2</v>
      </c>
      <c r="F91" s="51">
        <v>2.7694E-2</v>
      </c>
      <c r="G91" s="51">
        <v>2.8690000000000004E-2</v>
      </c>
      <c r="H91" s="51">
        <v>3.2277E-2</v>
      </c>
      <c r="I91" s="51">
        <v>3.3279999999999997E-2</v>
      </c>
      <c r="J91" s="51">
        <v>3.4373999999999995E-2</v>
      </c>
      <c r="K91" s="51">
        <v>3.4730999999999998E-2</v>
      </c>
      <c r="L91" s="51">
        <v>3.4844E-2</v>
      </c>
      <c r="M91" s="51">
        <v>3.5257999999999998E-2</v>
      </c>
      <c r="N91" s="51">
        <v>3.5916000000000003E-2</v>
      </c>
      <c r="O91" s="51">
        <v>3.6724E-2</v>
      </c>
      <c r="P91" s="51">
        <v>3.7579000000000001E-2</v>
      </c>
      <c r="Q91" s="51">
        <v>3.8370000000000001E-2</v>
      </c>
      <c r="R91" s="51">
        <v>3.9118E-2</v>
      </c>
      <c r="S91" s="51">
        <v>3.9902E-2</v>
      </c>
      <c r="T91" s="51">
        <v>4.0689999999999997E-2</v>
      </c>
      <c r="U91" s="51">
        <v>4.1447000000000005E-2</v>
      </c>
      <c r="V91" s="51">
        <v>4.2135999999999993E-2</v>
      </c>
      <c r="W91" s="51">
        <v>4.2698E-2</v>
      </c>
      <c r="X91" s="51">
        <v>4.3114E-2</v>
      </c>
      <c r="Y91" s="51">
        <v>4.3403999999999998E-2</v>
      </c>
      <c r="Z91" s="51">
        <v>4.3589999999999997E-2</v>
      </c>
      <c r="AA91" s="51">
        <v>4.3695999999999999E-2</v>
      </c>
      <c r="AB91" s="51">
        <v>4.3749000000000003E-2</v>
      </c>
      <c r="AC91" s="51">
        <v>4.3777999999999997E-2</v>
      </c>
      <c r="AD91" s="51">
        <v>4.3813000000000005E-2</v>
      </c>
      <c r="AE91" s="51">
        <v>4.3886000000000001E-2</v>
      </c>
      <c r="AF91" s="51">
        <v>4.4032999999999996E-2</v>
      </c>
    </row>
    <row r="92" spans="1:32">
      <c r="A92" s="1">
        <v>41045</v>
      </c>
      <c r="B92" s="51">
        <v>1.0653999999999999E-2</v>
      </c>
      <c r="C92" s="51">
        <v>2.4041999999999997E-2</v>
      </c>
      <c r="D92" s="51">
        <v>2.5253000000000001E-2</v>
      </c>
      <c r="E92" s="51">
        <v>2.6046E-2</v>
      </c>
      <c r="F92" s="51">
        <v>2.7161000000000001E-2</v>
      </c>
      <c r="G92" s="51">
        <v>2.8393999999999999E-2</v>
      </c>
      <c r="H92" s="51">
        <v>3.1803999999999999E-2</v>
      </c>
      <c r="I92" s="51">
        <v>3.2736000000000001E-2</v>
      </c>
      <c r="J92" s="51">
        <v>3.4249000000000002E-2</v>
      </c>
      <c r="K92" s="51">
        <v>3.4394000000000001E-2</v>
      </c>
      <c r="L92" s="51">
        <v>3.4391999999999999E-2</v>
      </c>
      <c r="M92" s="51">
        <v>3.4730999999999998E-2</v>
      </c>
      <c r="N92" s="51">
        <v>3.5438999999999998E-2</v>
      </c>
      <c r="O92" s="51">
        <v>3.6367999999999998E-2</v>
      </c>
      <c r="P92" s="51">
        <v>3.7360999999999998E-2</v>
      </c>
      <c r="Q92" s="51">
        <v>3.8249999999999999E-2</v>
      </c>
      <c r="R92" s="51">
        <v>3.9031999999999997E-2</v>
      </c>
      <c r="S92" s="51">
        <v>3.9817999999999999E-2</v>
      </c>
      <c r="T92" s="51">
        <v>4.0587999999999999E-2</v>
      </c>
      <c r="U92" s="51">
        <v>4.1321000000000004E-2</v>
      </c>
      <c r="V92" s="51">
        <v>4.1997E-2</v>
      </c>
      <c r="W92" s="51">
        <v>4.2556000000000004E-2</v>
      </c>
      <c r="X92" s="51">
        <v>4.2969999999999994E-2</v>
      </c>
      <c r="Y92" s="51">
        <v>4.3257999999999998E-2</v>
      </c>
      <c r="Z92" s="51">
        <v>4.3442000000000001E-2</v>
      </c>
      <c r="AA92" s="51">
        <v>4.3545999999999994E-2</v>
      </c>
      <c r="AB92" s="51">
        <v>4.3597999999999998E-2</v>
      </c>
      <c r="AC92" s="51">
        <v>4.3624999999999997E-2</v>
      </c>
      <c r="AD92" s="51">
        <v>4.3658999999999996E-2</v>
      </c>
      <c r="AE92" s="51">
        <v>4.3730999999999999E-2</v>
      </c>
      <c r="AF92" s="51">
        <v>4.3876999999999999E-2</v>
      </c>
    </row>
    <row r="93" spans="1:32">
      <c r="A93" s="1">
        <v>41046</v>
      </c>
      <c r="B93" s="51">
        <v>1.0494000000000002E-2</v>
      </c>
      <c r="C93" s="51">
        <v>2.4266999999999997E-2</v>
      </c>
      <c r="D93" s="51">
        <v>2.5708999999999999E-2</v>
      </c>
      <c r="E93" s="51">
        <v>2.7080000000000003E-2</v>
      </c>
      <c r="F93" s="51">
        <v>2.7696000000000002E-2</v>
      </c>
      <c r="G93" s="51">
        <v>2.9266E-2</v>
      </c>
      <c r="H93" s="51">
        <v>3.2709000000000002E-2</v>
      </c>
      <c r="I93" s="51">
        <v>3.3016999999999998E-2</v>
      </c>
      <c r="J93" s="51">
        <v>3.4548999999999996E-2</v>
      </c>
      <c r="K93" s="51">
        <v>3.4862000000000004E-2</v>
      </c>
      <c r="L93" s="51">
        <v>3.4897999999999998E-2</v>
      </c>
      <c r="M93" s="51">
        <v>3.524E-2</v>
      </c>
      <c r="N93" s="51">
        <v>3.5892E-2</v>
      </c>
      <c r="O93" s="51">
        <v>3.6731E-2</v>
      </c>
      <c r="P93" s="51">
        <v>3.7626E-2</v>
      </c>
      <c r="Q93" s="51">
        <v>3.8433000000000002E-2</v>
      </c>
      <c r="R93" s="51">
        <v>3.9176999999999997E-2</v>
      </c>
      <c r="S93" s="51">
        <v>3.9960000000000002E-2</v>
      </c>
      <c r="T93" s="51">
        <v>4.0751000000000002E-2</v>
      </c>
      <c r="U93" s="51">
        <v>4.1512E-2</v>
      </c>
      <c r="V93" s="51">
        <v>4.2202000000000003E-2</v>
      </c>
      <c r="W93" s="51">
        <v>4.2765000000000004E-2</v>
      </c>
      <c r="X93" s="51">
        <v>4.3181000000000004E-2</v>
      </c>
      <c r="Y93" s="51">
        <v>4.3471000000000003E-2</v>
      </c>
      <c r="Z93" s="51">
        <v>4.3657000000000001E-2</v>
      </c>
      <c r="AA93" s="51">
        <v>4.3762999999999996E-2</v>
      </c>
      <c r="AB93" s="51">
        <v>4.3817000000000002E-2</v>
      </c>
      <c r="AC93" s="51">
        <v>4.3845000000000002E-2</v>
      </c>
      <c r="AD93" s="51">
        <v>4.3880000000000002E-2</v>
      </c>
      <c r="AE93" s="51">
        <v>4.3954000000000007E-2</v>
      </c>
      <c r="AF93" s="51">
        <v>4.4101000000000001E-2</v>
      </c>
    </row>
    <row r="94" spans="1:32">
      <c r="A94" s="1">
        <v>41047</v>
      </c>
      <c r="B94" s="51">
        <v>1.0653999999999999E-2</v>
      </c>
      <c r="C94" s="51">
        <v>2.4195999999999999E-2</v>
      </c>
      <c r="D94" s="51">
        <v>2.5476000000000002E-2</v>
      </c>
      <c r="E94" s="51">
        <v>2.6587999999999997E-2</v>
      </c>
      <c r="F94" s="51">
        <v>2.7315999999999997E-2</v>
      </c>
      <c r="G94" s="51">
        <v>2.8513E-2</v>
      </c>
      <c r="H94" s="51">
        <v>3.2365999999999999E-2</v>
      </c>
      <c r="I94" s="51">
        <v>3.2722000000000001E-2</v>
      </c>
      <c r="J94" s="51">
        <v>3.4373000000000001E-2</v>
      </c>
      <c r="K94" s="51">
        <v>3.4383999999999998E-2</v>
      </c>
      <c r="L94" s="51">
        <v>3.4358E-2</v>
      </c>
      <c r="M94" s="51">
        <v>3.4689999999999999E-2</v>
      </c>
      <c r="N94" s="51">
        <v>3.5410999999999998E-2</v>
      </c>
      <c r="O94" s="51">
        <v>3.6365000000000001E-2</v>
      </c>
      <c r="P94" s="51">
        <v>3.7386000000000003E-2</v>
      </c>
      <c r="Q94" s="51">
        <v>3.8294999999999996E-2</v>
      </c>
      <c r="R94" s="51">
        <v>3.9078000000000002E-2</v>
      </c>
      <c r="S94" s="51">
        <v>3.9847E-2</v>
      </c>
      <c r="T94" s="51">
        <v>4.0599999999999997E-2</v>
      </c>
      <c r="U94" s="51">
        <v>4.1334000000000003E-2</v>
      </c>
      <c r="V94" s="51">
        <v>4.2047999999999995E-2</v>
      </c>
      <c r="W94" s="51">
        <v>4.2655000000000005E-2</v>
      </c>
      <c r="X94" s="51">
        <v>4.3085999999999999E-2</v>
      </c>
      <c r="Y94" s="51">
        <v>4.3369999999999999E-2</v>
      </c>
      <c r="Z94" s="51">
        <v>4.3536999999999999E-2</v>
      </c>
      <c r="AA94" s="51">
        <v>4.3623000000000002E-2</v>
      </c>
      <c r="AB94" s="51">
        <v>4.3665000000000002E-2</v>
      </c>
      <c r="AC94" s="51">
        <v>4.3704E-2</v>
      </c>
      <c r="AD94" s="51">
        <v>4.3781999999999995E-2</v>
      </c>
      <c r="AE94" s="51">
        <v>4.3944999999999998E-2</v>
      </c>
      <c r="AF94" s="51">
        <v>4.4160999999999999E-2</v>
      </c>
    </row>
    <row r="95" spans="1:32">
      <c r="A95" s="1">
        <v>41050</v>
      </c>
      <c r="B95" s="51">
        <v>1.0522E-2</v>
      </c>
      <c r="C95" s="51">
        <v>2.4317000000000002E-2</v>
      </c>
      <c r="D95" s="51">
        <v>2.5716000000000003E-2</v>
      </c>
      <c r="E95" s="51">
        <v>2.6897000000000001E-2</v>
      </c>
      <c r="F95" s="51">
        <v>2.7469999999999998E-2</v>
      </c>
      <c r="G95" s="51">
        <v>2.8691000000000001E-2</v>
      </c>
      <c r="H95" s="51">
        <v>3.2566999999999999E-2</v>
      </c>
      <c r="I95" s="51">
        <v>3.2715000000000001E-2</v>
      </c>
      <c r="J95" s="51">
        <v>3.4549999999999997E-2</v>
      </c>
      <c r="K95" s="51">
        <v>3.4647000000000004E-2</v>
      </c>
      <c r="L95" s="51">
        <v>3.4632999999999997E-2</v>
      </c>
      <c r="M95" s="51">
        <v>3.4958000000000003E-2</v>
      </c>
      <c r="N95" s="51">
        <v>3.5647000000000005E-2</v>
      </c>
      <c r="O95" s="51">
        <v>3.6554000000000003E-2</v>
      </c>
      <c r="P95" s="51">
        <v>3.7523000000000001E-2</v>
      </c>
      <c r="Q95" s="51">
        <v>3.8387999999999999E-2</v>
      </c>
      <c r="R95" s="51">
        <v>3.9148999999999996E-2</v>
      </c>
      <c r="S95" s="51">
        <v>3.9919999999999997E-2</v>
      </c>
      <c r="T95" s="51">
        <v>4.0687000000000001E-2</v>
      </c>
      <c r="U95" s="51">
        <v>4.1436000000000001E-2</v>
      </c>
      <c r="V95" s="51">
        <v>4.215E-2</v>
      </c>
      <c r="W95" s="51">
        <v>4.2755999999999995E-2</v>
      </c>
      <c r="X95" s="51">
        <v>4.3203999999999999E-2</v>
      </c>
      <c r="Y95" s="51">
        <v>4.3516000000000006E-2</v>
      </c>
      <c r="Z95" s="51">
        <v>4.3715999999999998E-2</v>
      </c>
      <c r="AA95" s="51">
        <v>4.3830999999999995E-2</v>
      </c>
      <c r="AB95" s="51">
        <v>4.3890999999999999E-2</v>
      </c>
      <c r="AC95" s="51">
        <v>4.3926999999999994E-2</v>
      </c>
      <c r="AD95" s="51">
        <v>4.3973999999999999E-2</v>
      </c>
      <c r="AE95" s="51">
        <v>4.4066999999999995E-2</v>
      </c>
      <c r="AF95" s="51">
        <v>4.4246000000000001E-2</v>
      </c>
    </row>
    <row r="96" spans="1:32">
      <c r="A96" s="1">
        <v>41051</v>
      </c>
      <c r="B96" s="51">
        <v>1.0588E-2</v>
      </c>
      <c r="C96" s="51">
        <v>2.3816999999999998E-2</v>
      </c>
      <c r="D96" s="51">
        <v>2.5798999999999999E-2</v>
      </c>
      <c r="E96" s="51">
        <v>2.6596999999999999E-2</v>
      </c>
      <c r="F96" s="51">
        <v>2.7614999999999997E-2</v>
      </c>
      <c r="G96" s="51">
        <v>2.8774999999999998E-2</v>
      </c>
      <c r="H96" s="51">
        <v>3.2675999999999997E-2</v>
      </c>
      <c r="I96" s="51">
        <v>3.2904000000000003E-2</v>
      </c>
      <c r="J96" s="51">
        <v>3.4481999999999999E-2</v>
      </c>
      <c r="K96" s="51">
        <v>3.4712E-2</v>
      </c>
      <c r="L96" s="51">
        <v>3.4724999999999999E-2</v>
      </c>
      <c r="M96" s="51">
        <v>3.5064000000000005E-2</v>
      </c>
      <c r="N96" s="51">
        <v>3.5741000000000002E-2</v>
      </c>
      <c r="O96" s="51">
        <v>3.6622000000000002E-2</v>
      </c>
      <c r="P96" s="51">
        <v>3.7560999999999997E-2</v>
      </c>
      <c r="Q96" s="51">
        <v>3.8404000000000001E-2</v>
      </c>
      <c r="R96" s="51">
        <v>3.9155999999999996E-2</v>
      </c>
      <c r="S96" s="51">
        <v>3.9925999999999996E-2</v>
      </c>
      <c r="T96" s="51">
        <v>4.0697999999999998E-2</v>
      </c>
      <c r="U96" s="51">
        <v>4.1452000000000003E-2</v>
      </c>
      <c r="V96" s="51">
        <v>4.2168999999999998E-2</v>
      </c>
      <c r="W96" s="51">
        <v>4.2775000000000001E-2</v>
      </c>
      <c r="X96" s="51">
        <v>4.3223999999999999E-2</v>
      </c>
      <c r="Y96" s="51">
        <v>4.3535999999999998E-2</v>
      </c>
      <c r="Z96" s="51">
        <v>4.3735999999999997E-2</v>
      </c>
      <c r="AA96" s="51">
        <v>4.3851000000000001E-2</v>
      </c>
      <c r="AB96" s="51">
        <v>4.3910999999999999E-2</v>
      </c>
      <c r="AC96" s="51">
        <v>4.3948000000000001E-2</v>
      </c>
      <c r="AD96" s="51">
        <v>4.3994999999999999E-2</v>
      </c>
      <c r="AE96" s="51">
        <v>4.4089000000000003E-2</v>
      </c>
      <c r="AF96" s="51">
        <v>4.4268000000000002E-2</v>
      </c>
    </row>
    <row r="97" spans="1:32">
      <c r="A97" s="1">
        <v>41052</v>
      </c>
      <c r="B97" s="51">
        <v>1.0829999999999999E-2</v>
      </c>
      <c r="C97" s="51">
        <v>2.3517E-2</v>
      </c>
      <c r="D97" s="51">
        <v>2.5800999999999998E-2</v>
      </c>
      <c r="E97" s="51">
        <v>2.6631999999999999E-2</v>
      </c>
      <c r="F97" s="51">
        <v>2.7726000000000001E-2</v>
      </c>
      <c r="G97" s="51">
        <v>2.8732999999999998E-2</v>
      </c>
      <c r="H97" s="51">
        <v>3.2648999999999997E-2</v>
      </c>
      <c r="I97" s="51">
        <v>3.2799000000000002E-2</v>
      </c>
      <c r="J97" s="51">
        <v>3.4366000000000001E-2</v>
      </c>
      <c r="K97" s="51">
        <v>3.4569000000000003E-2</v>
      </c>
      <c r="L97" s="51">
        <v>3.4588000000000001E-2</v>
      </c>
      <c r="M97" s="51">
        <v>3.4937999999999997E-2</v>
      </c>
      <c r="N97" s="51">
        <v>3.5630999999999996E-2</v>
      </c>
      <c r="O97" s="51">
        <v>3.6527999999999998E-2</v>
      </c>
      <c r="P97" s="51">
        <v>3.7484999999999997E-2</v>
      </c>
      <c r="Q97" s="51">
        <v>3.8344999999999997E-2</v>
      </c>
      <c r="R97" s="51">
        <v>3.9108000000000004E-2</v>
      </c>
      <c r="S97" s="51">
        <v>3.9877999999999997E-2</v>
      </c>
      <c r="T97" s="51">
        <v>4.0645000000000001E-2</v>
      </c>
      <c r="U97" s="51">
        <v>4.1391999999999998E-2</v>
      </c>
      <c r="V97" s="51">
        <v>4.2106000000000005E-2</v>
      </c>
      <c r="W97" s="51">
        <v>4.2712E-2</v>
      </c>
      <c r="X97" s="51">
        <v>4.3159999999999997E-2</v>
      </c>
      <c r="Y97" s="51">
        <v>4.3471000000000003E-2</v>
      </c>
      <c r="Z97" s="51">
        <v>4.3670999999999995E-2</v>
      </c>
      <c r="AA97" s="51">
        <v>4.3787E-2</v>
      </c>
      <c r="AB97" s="51">
        <v>4.3846999999999997E-2</v>
      </c>
      <c r="AC97" s="51">
        <v>4.3882999999999998E-2</v>
      </c>
      <c r="AD97" s="51">
        <v>4.3929999999999997E-2</v>
      </c>
      <c r="AE97" s="51">
        <v>4.4024000000000001E-2</v>
      </c>
      <c r="AF97" s="51">
        <v>4.4202000000000005E-2</v>
      </c>
    </row>
    <row r="98" spans="1:32">
      <c r="A98" s="1">
        <v>41053</v>
      </c>
      <c r="B98" s="51">
        <v>1.1212999999999999E-2</v>
      </c>
      <c r="C98" s="51">
        <v>2.2610000000000002E-2</v>
      </c>
      <c r="D98" s="51">
        <v>2.4931000000000002E-2</v>
      </c>
      <c r="E98" s="51">
        <v>2.511E-2</v>
      </c>
      <c r="F98" s="51">
        <v>2.6997E-2</v>
      </c>
      <c r="G98" s="51">
        <v>2.7651999999999999E-2</v>
      </c>
      <c r="H98" s="51">
        <v>3.2046999999999999E-2</v>
      </c>
      <c r="I98" s="51">
        <v>3.2403000000000001E-2</v>
      </c>
      <c r="J98" s="51">
        <v>3.4328999999999998E-2</v>
      </c>
      <c r="K98" s="51">
        <v>3.4445999999999997E-2</v>
      </c>
      <c r="L98" s="51">
        <v>3.4432999999999998E-2</v>
      </c>
      <c r="M98" s="51">
        <v>3.4771999999999997E-2</v>
      </c>
      <c r="N98" s="51">
        <v>3.5484000000000002E-2</v>
      </c>
      <c r="O98" s="51">
        <v>3.6420000000000001E-2</v>
      </c>
      <c r="P98" s="51">
        <v>3.7421000000000003E-2</v>
      </c>
      <c r="Q98" s="51">
        <v>3.8314000000000001E-2</v>
      </c>
      <c r="R98" s="51">
        <v>3.909E-2</v>
      </c>
      <c r="S98" s="51">
        <v>3.986E-2</v>
      </c>
      <c r="T98" s="51">
        <v>4.0617E-2</v>
      </c>
      <c r="U98" s="51">
        <v>4.1353000000000001E-2</v>
      </c>
      <c r="V98" s="51">
        <v>4.2060000000000007E-2</v>
      </c>
      <c r="W98" s="51">
        <v>4.2663E-2</v>
      </c>
      <c r="X98" s="51">
        <v>4.3109000000000001E-2</v>
      </c>
      <c r="Y98" s="51">
        <v>4.3418999999999999E-2</v>
      </c>
      <c r="Z98" s="51">
        <v>4.3616999999999996E-2</v>
      </c>
      <c r="AA98" s="51">
        <v>4.3730000000000005E-2</v>
      </c>
      <c r="AB98" s="51">
        <v>4.3788000000000001E-2</v>
      </c>
      <c r="AC98" s="51">
        <v>4.3823000000000001E-2</v>
      </c>
      <c r="AD98" s="51">
        <v>4.3868999999999998E-2</v>
      </c>
      <c r="AE98" s="51">
        <v>4.3959999999999999E-2</v>
      </c>
      <c r="AF98" s="51">
        <v>4.4138000000000004E-2</v>
      </c>
    </row>
    <row r="99" spans="1:32">
      <c r="A99" s="1">
        <v>41054</v>
      </c>
      <c r="B99" s="51">
        <v>1.1396E-2</v>
      </c>
      <c r="C99" s="51">
        <v>2.2347000000000002E-2</v>
      </c>
      <c r="D99" s="51">
        <v>2.4357000000000004E-2</v>
      </c>
      <c r="E99" s="51">
        <v>2.4722000000000001E-2</v>
      </c>
      <c r="F99" s="51">
        <v>2.6164E-2</v>
      </c>
      <c r="G99" s="51">
        <v>2.6726E-2</v>
      </c>
      <c r="H99" s="51">
        <v>3.1005999999999999E-2</v>
      </c>
      <c r="I99" s="51">
        <v>3.1879999999999999E-2</v>
      </c>
      <c r="J99" s="51">
        <v>3.3799000000000003E-2</v>
      </c>
      <c r="K99" s="51">
        <v>3.3841999999999997E-2</v>
      </c>
      <c r="L99" s="51">
        <v>3.3819000000000002E-2</v>
      </c>
      <c r="M99" s="51">
        <v>3.4188000000000003E-2</v>
      </c>
      <c r="N99" s="51">
        <v>3.4971999999999996E-2</v>
      </c>
      <c r="O99" s="51">
        <v>3.6004999999999995E-2</v>
      </c>
      <c r="P99" s="51">
        <v>3.7109999999999997E-2</v>
      </c>
      <c r="Q99" s="51">
        <v>3.8095999999999998E-2</v>
      </c>
      <c r="R99" s="51">
        <v>3.8921999999999998E-2</v>
      </c>
      <c r="S99" s="51">
        <v>3.9694E-2</v>
      </c>
      <c r="T99" s="51">
        <v>4.0425000000000003E-2</v>
      </c>
      <c r="U99" s="51">
        <v>4.1127999999999998E-2</v>
      </c>
      <c r="V99" s="51">
        <v>4.1814999999999998E-2</v>
      </c>
      <c r="W99" s="51">
        <v>4.2416000000000002E-2</v>
      </c>
      <c r="X99" s="51">
        <v>4.2858E-2</v>
      </c>
      <c r="Y99" s="51">
        <v>4.3164999999999995E-2</v>
      </c>
      <c r="Z99" s="51">
        <v>4.3361000000000004E-2</v>
      </c>
      <c r="AA99" s="51">
        <v>4.3472999999999998E-2</v>
      </c>
      <c r="AB99" s="51">
        <v>4.3528999999999998E-2</v>
      </c>
      <c r="AC99" s="51">
        <v>4.3562000000000003E-2</v>
      </c>
      <c r="AD99" s="51">
        <v>4.3605999999999999E-2</v>
      </c>
      <c r="AE99" s="51">
        <v>4.3695999999999999E-2</v>
      </c>
      <c r="AF99" s="51">
        <v>4.3872000000000001E-2</v>
      </c>
    </row>
    <row r="100" spans="1:32">
      <c r="A100" s="1">
        <v>41057</v>
      </c>
      <c r="B100" s="51">
        <v>1.1497E-2</v>
      </c>
      <c r="C100" s="51">
        <v>2.2499999999999999E-2</v>
      </c>
      <c r="D100" s="51">
        <v>2.4304000000000003E-2</v>
      </c>
      <c r="E100" s="51">
        <v>2.4676999999999998E-2</v>
      </c>
      <c r="F100" s="51">
        <v>2.6661000000000001E-2</v>
      </c>
      <c r="G100" s="51">
        <v>2.717E-2</v>
      </c>
      <c r="H100" s="51">
        <v>3.1333E-2</v>
      </c>
      <c r="I100" s="51">
        <v>3.2412999999999997E-2</v>
      </c>
      <c r="J100" s="51">
        <v>3.4224999999999998E-2</v>
      </c>
      <c r="K100" s="51">
        <v>3.4266999999999999E-2</v>
      </c>
      <c r="L100" s="51">
        <v>3.424E-2</v>
      </c>
      <c r="M100" s="51">
        <v>3.4587E-2</v>
      </c>
      <c r="N100" s="51">
        <v>3.5324000000000001E-2</v>
      </c>
      <c r="O100" s="51">
        <v>3.6294E-2</v>
      </c>
      <c r="P100" s="51">
        <v>3.7330999999999996E-2</v>
      </c>
      <c r="Q100" s="51">
        <v>3.8254999999999997E-2</v>
      </c>
      <c r="R100" s="51">
        <v>3.9046999999999998E-2</v>
      </c>
      <c r="S100" s="51">
        <v>3.9817999999999999E-2</v>
      </c>
      <c r="T100" s="51">
        <v>4.0566000000000005E-2</v>
      </c>
      <c r="U100" s="51">
        <v>4.1291000000000001E-2</v>
      </c>
      <c r="V100" s="51">
        <v>4.1990999999999994E-2</v>
      </c>
      <c r="W100" s="51">
        <v>4.2592999999999999E-2</v>
      </c>
      <c r="X100" s="51">
        <v>4.3038E-2</v>
      </c>
      <c r="Y100" s="51">
        <v>4.3346000000000003E-2</v>
      </c>
      <c r="Z100" s="51">
        <v>4.3543000000000005E-2</v>
      </c>
      <c r="AA100" s="51">
        <v>4.3656E-2</v>
      </c>
      <c r="AB100" s="51">
        <v>4.3712999999999995E-2</v>
      </c>
      <c r="AC100" s="51">
        <v>4.3747000000000001E-2</v>
      </c>
      <c r="AD100" s="51">
        <v>4.3791999999999998E-2</v>
      </c>
      <c r="AE100" s="51">
        <v>4.3882999999999998E-2</v>
      </c>
      <c r="AF100" s="51">
        <v>4.4059999999999995E-2</v>
      </c>
    </row>
    <row r="101" spans="1:32">
      <c r="A101" s="1">
        <v>41058</v>
      </c>
      <c r="B101" s="51">
        <v>1.1422000000000002E-2</v>
      </c>
      <c r="C101" s="51">
        <v>2.2499999999999999E-2</v>
      </c>
      <c r="D101" s="51">
        <v>2.4426E-2</v>
      </c>
      <c r="E101" s="51">
        <v>2.4670999999999998E-2</v>
      </c>
      <c r="F101" s="51">
        <v>2.7049E-2</v>
      </c>
      <c r="G101" s="51">
        <v>2.7651999999999999E-2</v>
      </c>
      <c r="H101" s="51">
        <v>3.1615000000000004E-2</v>
      </c>
      <c r="I101" s="51">
        <v>3.2548000000000001E-2</v>
      </c>
      <c r="J101" s="51">
        <v>3.4520000000000002E-2</v>
      </c>
      <c r="K101" s="51">
        <v>3.4583000000000003E-2</v>
      </c>
      <c r="L101" s="51">
        <v>3.4558999999999999E-2</v>
      </c>
      <c r="M101" s="51">
        <v>3.4889000000000003E-2</v>
      </c>
      <c r="N101" s="51">
        <v>3.5590999999999998E-2</v>
      </c>
      <c r="O101" s="51">
        <v>3.6514000000000005E-2</v>
      </c>
      <c r="P101" s="51">
        <v>3.7501E-2</v>
      </c>
      <c r="Q101" s="51">
        <v>3.8380999999999998E-2</v>
      </c>
      <c r="R101" s="51">
        <v>3.9148000000000002E-2</v>
      </c>
      <c r="S101" s="51">
        <v>3.9917000000000001E-2</v>
      </c>
      <c r="T101" s="51">
        <v>4.0677999999999999E-2</v>
      </c>
      <c r="U101" s="51">
        <v>4.1418999999999997E-2</v>
      </c>
      <c r="V101" s="51">
        <v>4.2129E-2</v>
      </c>
      <c r="W101" s="51">
        <v>4.2731999999999999E-2</v>
      </c>
      <c r="X101" s="51">
        <v>4.3178000000000001E-2</v>
      </c>
      <c r="Y101" s="51">
        <v>4.3487999999999999E-2</v>
      </c>
      <c r="Z101" s="51">
        <v>4.3685999999999996E-2</v>
      </c>
      <c r="AA101" s="51">
        <v>4.3799000000000005E-2</v>
      </c>
      <c r="AB101" s="51">
        <v>4.3857E-2</v>
      </c>
      <c r="AC101" s="51">
        <v>4.3892E-2</v>
      </c>
      <c r="AD101" s="51">
        <v>4.3936999999999997E-2</v>
      </c>
      <c r="AE101" s="51">
        <v>4.4027999999999998E-2</v>
      </c>
      <c r="AF101" s="51">
        <v>4.4206000000000002E-2</v>
      </c>
    </row>
    <row r="102" spans="1:32">
      <c r="A102" s="1">
        <v>41059</v>
      </c>
      <c r="B102" s="51">
        <v>1.1437999999999999E-2</v>
      </c>
      <c r="C102" s="51">
        <v>2.2534000000000002E-2</v>
      </c>
      <c r="D102" s="51">
        <v>2.4521000000000001E-2</v>
      </c>
      <c r="E102" s="51">
        <v>2.5285000000000002E-2</v>
      </c>
      <c r="F102" s="51">
        <v>2.7434E-2</v>
      </c>
      <c r="G102" s="51">
        <v>2.8130000000000002E-2</v>
      </c>
      <c r="H102" s="51">
        <v>3.1829999999999997E-2</v>
      </c>
      <c r="I102" s="51">
        <v>3.2714E-2</v>
      </c>
      <c r="J102" s="51">
        <v>3.4608E-2</v>
      </c>
      <c r="K102" s="51">
        <v>3.4613999999999999E-2</v>
      </c>
      <c r="L102" s="51">
        <v>3.4581000000000001E-2</v>
      </c>
      <c r="M102" s="51">
        <v>3.4908999999999996E-2</v>
      </c>
      <c r="N102" s="51">
        <v>3.5612999999999999E-2</v>
      </c>
      <c r="O102" s="51">
        <v>3.6539999999999996E-2</v>
      </c>
      <c r="P102" s="51">
        <v>3.7531000000000002E-2</v>
      </c>
      <c r="Q102" s="51">
        <v>3.8413000000000003E-2</v>
      </c>
      <c r="R102" s="51">
        <v>3.9191999999999998E-2</v>
      </c>
      <c r="S102" s="51">
        <v>3.9985E-2</v>
      </c>
      <c r="T102" s="51">
        <v>4.0763999999999995E-2</v>
      </c>
      <c r="U102" s="51">
        <v>4.1500000000000002E-2</v>
      </c>
      <c r="V102" s="51">
        <v>4.2160000000000003E-2</v>
      </c>
      <c r="W102" s="51">
        <v>4.2694000000000003E-2</v>
      </c>
      <c r="X102" s="51">
        <v>4.3089000000000002E-2</v>
      </c>
      <c r="Y102" s="51">
        <v>4.3364E-2</v>
      </c>
      <c r="Z102" s="51">
        <v>4.3539000000000001E-2</v>
      </c>
      <c r="AA102" s="51">
        <v>4.3638000000000003E-2</v>
      </c>
      <c r="AB102" s="51">
        <v>4.3684000000000001E-2</v>
      </c>
      <c r="AC102" s="51">
        <v>4.3707000000000003E-2</v>
      </c>
      <c r="AD102" s="51">
        <v>4.3733000000000001E-2</v>
      </c>
      <c r="AE102" s="51">
        <v>4.3794000000000007E-2</v>
      </c>
      <c r="AF102" s="51">
        <v>4.3921999999999996E-2</v>
      </c>
    </row>
    <row r="103" spans="1:32">
      <c r="A103" s="1">
        <v>41060</v>
      </c>
      <c r="B103" s="51">
        <v>1.1168000000000001E-2</v>
      </c>
      <c r="C103" s="51">
        <v>2.2307E-2</v>
      </c>
      <c r="D103" s="51">
        <v>2.4304000000000003E-2</v>
      </c>
      <c r="E103" s="51">
        <v>2.4629999999999999E-2</v>
      </c>
      <c r="F103" s="51">
        <v>2.7265999999999999E-2</v>
      </c>
      <c r="G103" s="51">
        <v>2.8325999999999997E-2</v>
      </c>
      <c r="H103" s="51">
        <v>3.1690000000000003E-2</v>
      </c>
      <c r="I103" s="51">
        <v>3.2183999999999997E-2</v>
      </c>
      <c r="J103" s="51">
        <v>3.4270000000000002E-2</v>
      </c>
      <c r="K103" s="51">
        <v>3.4264999999999997E-2</v>
      </c>
      <c r="L103" s="51">
        <v>3.4236000000000003E-2</v>
      </c>
      <c r="M103" s="51">
        <v>3.4588000000000001E-2</v>
      </c>
      <c r="N103" s="51">
        <v>3.5335999999999999E-2</v>
      </c>
      <c r="O103" s="51">
        <v>3.6319999999999998E-2</v>
      </c>
      <c r="P103" s="51">
        <v>3.7372000000000002E-2</v>
      </c>
      <c r="Q103" s="51">
        <v>3.8308000000000002E-2</v>
      </c>
      <c r="R103" s="51">
        <v>3.9106999999999996E-2</v>
      </c>
      <c r="S103" s="51">
        <v>3.9882000000000001E-2</v>
      </c>
      <c r="T103" s="51">
        <v>4.0631E-2</v>
      </c>
      <c r="U103" s="51">
        <v>4.1352E-2</v>
      </c>
      <c r="V103" s="51">
        <v>4.2046E-2</v>
      </c>
      <c r="W103" s="51">
        <v>4.2632000000000003E-2</v>
      </c>
      <c r="X103" s="51">
        <v>4.3047000000000002E-2</v>
      </c>
      <c r="Y103" s="51">
        <v>4.3319000000000003E-2</v>
      </c>
      <c r="Z103" s="51">
        <v>4.3476999999999995E-2</v>
      </c>
      <c r="AA103" s="51">
        <v>4.3556999999999998E-2</v>
      </c>
      <c r="AB103" s="51">
        <v>4.3594000000000001E-2</v>
      </c>
      <c r="AC103" s="51">
        <v>4.3625999999999998E-2</v>
      </c>
      <c r="AD103" s="51">
        <v>4.3697E-2</v>
      </c>
      <c r="AE103" s="51">
        <v>4.3848999999999999E-2</v>
      </c>
      <c r="AF103" s="51">
        <v>4.4047000000000003E-2</v>
      </c>
    </row>
    <row r="104" spans="1:32">
      <c r="A104" s="1">
        <v>41061</v>
      </c>
      <c r="B104" s="51">
        <v>1.133E-2</v>
      </c>
      <c r="C104" s="51">
        <v>2.2042000000000003E-2</v>
      </c>
      <c r="D104" s="51">
        <v>2.3872000000000001E-2</v>
      </c>
      <c r="E104" s="51">
        <v>2.4351999999999999E-2</v>
      </c>
      <c r="F104" s="51">
        <v>2.6665000000000001E-2</v>
      </c>
      <c r="G104" s="51">
        <v>2.8610000000000003E-2</v>
      </c>
      <c r="H104" s="51">
        <v>3.1587000000000004E-2</v>
      </c>
      <c r="I104" s="51">
        <v>3.2170000000000004E-2</v>
      </c>
      <c r="J104" s="51">
        <v>3.4186000000000001E-2</v>
      </c>
      <c r="K104" s="51">
        <v>3.4245999999999999E-2</v>
      </c>
      <c r="L104" s="51">
        <v>3.4222000000000002E-2</v>
      </c>
      <c r="M104" s="51">
        <v>3.4578999999999999E-2</v>
      </c>
      <c r="N104" s="51">
        <v>3.533E-2</v>
      </c>
      <c r="O104" s="51">
        <v>3.6317000000000002E-2</v>
      </c>
      <c r="P104" s="51">
        <v>3.7371000000000001E-2</v>
      </c>
      <c r="Q104" s="51">
        <v>3.8309999999999997E-2</v>
      </c>
      <c r="R104" s="51">
        <v>3.9115999999999998E-2</v>
      </c>
      <c r="S104" s="51">
        <v>3.9900000000000005E-2</v>
      </c>
      <c r="T104" s="51">
        <v>4.0655000000000004E-2</v>
      </c>
      <c r="U104" s="51">
        <v>4.1371999999999999E-2</v>
      </c>
      <c r="V104" s="51">
        <v>4.2042999999999997E-2</v>
      </c>
      <c r="W104" s="51">
        <v>4.2606999999999999E-2</v>
      </c>
      <c r="X104" s="51">
        <v>4.3025000000000001E-2</v>
      </c>
      <c r="Y104" s="51">
        <v>4.3314000000000005E-2</v>
      </c>
      <c r="Z104" s="51">
        <v>4.3498000000000002E-2</v>
      </c>
      <c r="AA104" s="51">
        <v>4.3602999999999996E-2</v>
      </c>
      <c r="AB104" s="51">
        <v>4.3653999999999998E-2</v>
      </c>
      <c r="AC104" s="51">
        <v>4.3680999999999998E-2</v>
      </c>
      <c r="AD104" s="51">
        <v>4.3714000000000003E-2</v>
      </c>
      <c r="AE104" s="51">
        <v>4.3788000000000001E-2</v>
      </c>
      <c r="AF104" s="51">
        <v>4.3936999999999997E-2</v>
      </c>
    </row>
    <row r="105" spans="1:32">
      <c r="A105" s="1">
        <v>41064</v>
      </c>
      <c r="B105" s="51">
        <v>1.1563E-2</v>
      </c>
      <c r="C105" s="51">
        <v>2.2000000000000002E-2</v>
      </c>
      <c r="D105" s="51">
        <v>2.3733000000000001E-2</v>
      </c>
      <c r="E105" s="51">
        <v>2.4399999999999998E-2</v>
      </c>
      <c r="F105" s="51">
        <v>2.6434000000000003E-2</v>
      </c>
      <c r="G105" s="51">
        <v>2.8694999999999998E-2</v>
      </c>
      <c r="H105" s="51">
        <v>3.1451E-2</v>
      </c>
      <c r="I105" s="51">
        <v>3.2246000000000004E-2</v>
      </c>
      <c r="J105" s="51">
        <v>3.4317E-2</v>
      </c>
      <c r="K105" s="51">
        <v>3.4315999999999999E-2</v>
      </c>
      <c r="L105" s="51">
        <v>3.4285000000000003E-2</v>
      </c>
      <c r="M105" s="51">
        <v>3.4638000000000002E-2</v>
      </c>
      <c r="N105" s="51">
        <v>3.5382999999999998E-2</v>
      </c>
      <c r="O105" s="51">
        <v>3.6361999999999998E-2</v>
      </c>
      <c r="P105" s="51">
        <v>3.7406999999999996E-2</v>
      </c>
      <c r="Q105" s="51">
        <v>3.8336999999999996E-2</v>
      </c>
      <c r="R105" s="51">
        <v>3.9142999999999997E-2</v>
      </c>
      <c r="S105" s="51">
        <v>3.9935999999999999E-2</v>
      </c>
      <c r="T105" s="51">
        <v>4.0701000000000001E-2</v>
      </c>
      <c r="U105" s="51">
        <v>4.1418999999999997E-2</v>
      </c>
      <c r="V105" s="51">
        <v>4.2069999999999996E-2</v>
      </c>
      <c r="W105" s="51">
        <v>4.2603999999999996E-2</v>
      </c>
      <c r="X105" s="51">
        <v>4.2999000000000002E-2</v>
      </c>
      <c r="Y105" s="51">
        <v>4.3272999999999999E-2</v>
      </c>
      <c r="Z105" s="51">
        <v>4.3446999999999993E-2</v>
      </c>
      <c r="AA105" s="51">
        <v>4.3545E-2</v>
      </c>
      <c r="AB105" s="51">
        <v>4.3590999999999998E-2</v>
      </c>
      <c r="AC105" s="51">
        <v>4.3612000000000005E-2</v>
      </c>
      <c r="AD105" s="51">
        <v>4.3638000000000003E-2</v>
      </c>
      <c r="AE105" s="51">
        <v>4.3699000000000002E-2</v>
      </c>
      <c r="AF105" s="51">
        <v>4.3827999999999999E-2</v>
      </c>
    </row>
    <row r="106" spans="1:32">
      <c r="A106" s="1">
        <v>41065</v>
      </c>
      <c r="B106" s="51">
        <v>1.2362999999999999E-2</v>
      </c>
      <c r="C106" s="51">
        <v>2.2103999999999999E-2</v>
      </c>
      <c r="D106" s="51">
        <v>2.3788E-2</v>
      </c>
      <c r="E106" s="51">
        <v>2.4708999999999998E-2</v>
      </c>
      <c r="F106" s="51">
        <v>2.6619E-2</v>
      </c>
      <c r="G106" s="51">
        <v>2.9071E-2</v>
      </c>
      <c r="H106" s="51">
        <v>3.1657999999999999E-2</v>
      </c>
      <c r="I106" s="51">
        <v>3.2475999999999998E-2</v>
      </c>
      <c r="J106" s="51">
        <v>3.4467999999999999E-2</v>
      </c>
      <c r="K106" s="51">
        <v>3.4407E-2</v>
      </c>
      <c r="L106" s="51">
        <v>3.4370999999999999E-2</v>
      </c>
      <c r="M106" s="51">
        <v>3.4720000000000001E-2</v>
      </c>
      <c r="N106" s="51">
        <v>3.5453999999999999E-2</v>
      </c>
      <c r="O106" s="51">
        <v>3.6419E-2</v>
      </c>
      <c r="P106" s="51">
        <v>3.7448999999999996E-2</v>
      </c>
      <c r="Q106" s="51">
        <v>3.8365999999999997E-2</v>
      </c>
      <c r="R106" s="51">
        <v>3.9167E-2</v>
      </c>
      <c r="S106" s="51">
        <v>3.9967000000000003E-2</v>
      </c>
      <c r="T106" s="51">
        <v>4.0740999999999999E-2</v>
      </c>
      <c r="U106" s="51">
        <v>4.1463E-2</v>
      </c>
      <c r="V106" s="51">
        <v>4.2102000000000001E-2</v>
      </c>
      <c r="W106" s="51">
        <v>4.2618000000000003E-2</v>
      </c>
      <c r="X106" s="51">
        <v>4.2999000000000002E-2</v>
      </c>
      <c r="Y106" s="51">
        <v>4.3262999999999996E-2</v>
      </c>
      <c r="Z106" s="51">
        <v>4.3430999999999997E-2</v>
      </c>
      <c r="AA106" s="51">
        <v>4.3525000000000001E-2</v>
      </c>
      <c r="AB106" s="51">
        <v>4.3567999999999996E-2</v>
      </c>
      <c r="AC106" s="51">
        <v>4.3587000000000001E-2</v>
      </c>
      <c r="AD106" s="51">
        <v>4.3608000000000001E-2</v>
      </c>
      <c r="AE106" s="51">
        <v>4.3661000000000005E-2</v>
      </c>
      <c r="AF106" s="51">
        <v>4.3777999999999997E-2</v>
      </c>
    </row>
    <row r="107" spans="1:32">
      <c r="A107" s="1">
        <v>41066</v>
      </c>
      <c r="B107" s="51">
        <v>1.4397E-2</v>
      </c>
      <c r="C107" s="51">
        <v>2.2214999999999999E-2</v>
      </c>
      <c r="D107" s="51">
        <v>2.3944999999999998E-2</v>
      </c>
      <c r="E107" s="51">
        <v>2.4750000000000001E-2</v>
      </c>
      <c r="F107" s="51">
        <v>2.6751999999999998E-2</v>
      </c>
      <c r="G107" s="51">
        <v>2.9478000000000001E-2</v>
      </c>
      <c r="H107" s="51">
        <v>3.1968000000000003E-2</v>
      </c>
      <c r="I107" s="51">
        <v>3.2534E-2</v>
      </c>
      <c r="J107" s="51">
        <v>3.4377999999999999E-2</v>
      </c>
      <c r="K107" s="51">
        <v>3.4429000000000001E-2</v>
      </c>
      <c r="L107" s="51">
        <v>3.4390000000000004E-2</v>
      </c>
      <c r="M107" s="51">
        <v>3.4651000000000001E-2</v>
      </c>
      <c r="N107" s="51">
        <v>3.5363000000000006E-2</v>
      </c>
      <c r="O107" s="51">
        <v>3.6347999999999998E-2</v>
      </c>
      <c r="P107" s="51">
        <v>3.7421999999999997E-2</v>
      </c>
      <c r="Q107" s="51">
        <v>3.8380999999999998E-2</v>
      </c>
      <c r="R107" s="51">
        <v>3.9205999999999998E-2</v>
      </c>
      <c r="S107" s="51">
        <v>4.0010999999999998E-2</v>
      </c>
      <c r="T107" s="51">
        <v>4.0778000000000002E-2</v>
      </c>
      <c r="U107" s="51">
        <v>4.1486999999999996E-2</v>
      </c>
      <c r="V107" s="51">
        <v>4.2115E-2</v>
      </c>
      <c r="W107" s="51">
        <v>4.2622999999999994E-2</v>
      </c>
      <c r="X107" s="51">
        <v>4.2999000000000002E-2</v>
      </c>
      <c r="Y107" s="51">
        <v>4.3259999999999993E-2</v>
      </c>
      <c r="Z107" s="51">
        <v>4.3425999999999999E-2</v>
      </c>
      <c r="AA107" s="51">
        <v>4.3518000000000001E-2</v>
      </c>
      <c r="AB107" s="51">
        <v>4.3560999999999996E-2</v>
      </c>
      <c r="AC107" s="51">
        <v>4.3577999999999999E-2</v>
      </c>
      <c r="AD107" s="51">
        <v>4.3597999999999998E-2</v>
      </c>
      <c r="AE107" s="51">
        <v>4.3647999999999999E-2</v>
      </c>
      <c r="AF107" s="51">
        <v>4.376E-2</v>
      </c>
    </row>
    <row r="108" spans="1:32">
      <c r="A108" s="1">
        <v>41067</v>
      </c>
      <c r="B108" s="51">
        <v>1.6388E-2</v>
      </c>
      <c r="C108" s="51">
        <v>2.2513999999999999E-2</v>
      </c>
      <c r="D108" s="51">
        <v>2.4253E-2</v>
      </c>
      <c r="E108" s="51">
        <v>2.4826000000000001E-2</v>
      </c>
      <c r="F108" s="51">
        <v>2.6776000000000001E-2</v>
      </c>
      <c r="G108" s="51">
        <v>2.9440000000000001E-2</v>
      </c>
      <c r="H108" s="51">
        <v>3.1788999999999998E-2</v>
      </c>
      <c r="I108" s="51">
        <v>3.2620000000000003E-2</v>
      </c>
      <c r="J108" s="51">
        <v>3.449E-2</v>
      </c>
      <c r="K108" s="51">
        <v>3.4591999999999998E-2</v>
      </c>
      <c r="L108" s="51">
        <v>3.4561000000000001E-2</v>
      </c>
      <c r="M108" s="51">
        <v>3.4820000000000004E-2</v>
      </c>
      <c r="N108" s="51">
        <v>3.5512999999999996E-2</v>
      </c>
      <c r="O108" s="51">
        <v>3.6469999999999995E-2</v>
      </c>
      <c r="P108" s="51">
        <v>3.7512999999999998E-2</v>
      </c>
      <c r="Q108" s="51">
        <v>3.8445E-2</v>
      </c>
      <c r="R108" s="51">
        <v>3.9255999999999999E-2</v>
      </c>
      <c r="S108" s="51">
        <v>4.0060000000000005E-2</v>
      </c>
      <c r="T108" s="51">
        <v>4.0834000000000002E-2</v>
      </c>
      <c r="U108" s="51">
        <v>4.1550999999999998E-2</v>
      </c>
      <c r="V108" s="51">
        <v>4.2185E-2</v>
      </c>
      <c r="W108" s="51">
        <v>4.2693000000000002E-2</v>
      </c>
      <c r="X108" s="51">
        <v>4.3070000000000004E-2</v>
      </c>
      <c r="Y108" s="51">
        <v>4.3331000000000001E-2</v>
      </c>
      <c r="Z108" s="51">
        <v>4.3497000000000001E-2</v>
      </c>
      <c r="AA108" s="51">
        <v>4.3589999999999997E-2</v>
      </c>
      <c r="AB108" s="51">
        <v>4.3631999999999997E-2</v>
      </c>
      <c r="AC108" s="51">
        <v>4.3650000000000001E-2</v>
      </c>
      <c r="AD108" s="51">
        <v>4.367E-2</v>
      </c>
      <c r="AE108" s="51">
        <v>4.3720000000000002E-2</v>
      </c>
      <c r="AF108" s="51">
        <v>4.3832000000000003E-2</v>
      </c>
    </row>
    <row r="109" spans="1:32">
      <c r="A109" s="1">
        <v>41068</v>
      </c>
      <c r="B109" s="51">
        <v>1.6413000000000001E-2</v>
      </c>
      <c r="C109" s="51">
        <v>2.1587000000000002E-2</v>
      </c>
      <c r="D109" s="51">
        <v>2.3353000000000002E-2</v>
      </c>
      <c r="E109" s="51">
        <v>2.4107E-2</v>
      </c>
      <c r="F109" s="51">
        <v>2.6296E-2</v>
      </c>
      <c r="G109" s="51">
        <v>2.8827999999999999E-2</v>
      </c>
      <c r="H109" s="51">
        <v>3.1183000000000002E-2</v>
      </c>
      <c r="I109" s="51">
        <v>3.2155999999999997E-2</v>
      </c>
      <c r="J109" s="51">
        <v>3.3873E-2</v>
      </c>
      <c r="K109" s="51">
        <v>3.3921E-2</v>
      </c>
      <c r="L109" s="51">
        <v>3.3881999999999995E-2</v>
      </c>
      <c r="M109" s="51">
        <v>3.4151000000000001E-2</v>
      </c>
      <c r="N109" s="51">
        <v>3.4876999999999998E-2</v>
      </c>
      <c r="O109" s="51">
        <v>3.5880999999999996E-2</v>
      </c>
      <c r="P109" s="51">
        <v>3.6974E-2</v>
      </c>
      <c r="Q109" s="51">
        <v>3.7949999999999998E-2</v>
      </c>
      <c r="R109" s="51">
        <v>3.8771E-2</v>
      </c>
      <c r="S109" s="51">
        <v>3.9549000000000001E-2</v>
      </c>
      <c r="T109" s="51">
        <v>4.0288999999999998E-2</v>
      </c>
      <c r="U109" s="51">
        <v>4.0994999999999997E-2</v>
      </c>
      <c r="V109" s="51">
        <v>4.1673000000000002E-2</v>
      </c>
      <c r="W109" s="51">
        <v>4.2256999999999996E-2</v>
      </c>
      <c r="X109" s="51">
        <v>4.2687999999999997E-2</v>
      </c>
      <c r="Y109" s="51">
        <v>4.2987999999999998E-2</v>
      </c>
      <c r="Z109" s="51">
        <v>4.3178999999999995E-2</v>
      </c>
      <c r="AA109" s="51">
        <v>4.3288E-2</v>
      </c>
      <c r="AB109" s="51">
        <v>4.3343E-2</v>
      </c>
      <c r="AC109" s="51">
        <v>4.3373999999999996E-2</v>
      </c>
      <c r="AD109" s="51">
        <v>4.3414000000000001E-2</v>
      </c>
      <c r="AE109" s="51">
        <v>4.3498000000000002E-2</v>
      </c>
      <c r="AF109" s="51">
        <v>4.3661000000000005E-2</v>
      </c>
    </row>
    <row r="110" spans="1:32">
      <c r="A110" s="1">
        <v>41071</v>
      </c>
      <c r="B110" s="51">
        <v>1.5576000000000001E-2</v>
      </c>
      <c r="C110" s="51">
        <v>2.1779000000000003E-2</v>
      </c>
      <c r="D110" s="51">
        <v>2.3618E-2</v>
      </c>
      <c r="E110" s="51">
        <v>2.4418000000000002E-2</v>
      </c>
      <c r="F110" s="51">
        <v>2.6581999999999998E-2</v>
      </c>
      <c r="G110" s="51">
        <v>2.9687000000000002E-2</v>
      </c>
      <c r="H110" s="51">
        <v>3.1836999999999997E-2</v>
      </c>
      <c r="I110" s="51">
        <v>3.2386999999999999E-2</v>
      </c>
      <c r="J110" s="51">
        <v>3.4162999999999999E-2</v>
      </c>
      <c r="K110" s="51">
        <v>3.4303E-2</v>
      </c>
      <c r="L110" s="51">
        <v>3.4283000000000001E-2</v>
      </c>
      <c r="M110" s="51">
        <v>3.4548999999999996E-2</v>
      </c>
      <c r="N110" s="51">
        <v>3.5234000000000001E-2</v>
      </c>
      <c r="O110" s="51">
        <v>3.6173999999999998E-2</v>
      </c>
      <c r="P110" s="51">
        <v>3.7194999999999999E-2</v>
      </c>
      <c r="Q110" s="51">
        <v>3.8109000000000004E-2</v>
      </c>
      <c r="R110" s="51">
        <v>3.8898000000000002E-2</v>
      </c>
      <c r="S110" s="51">
        <v>3.9674000000000001E-2</v>
      </c>
      <c r="T110" s="51">
        <v>4.0431000000000002E-2</v>
      </c>
      <c r="U110" s="51">
        <v>4.1159000000000001E-2</v>
      </c>
      <c r="V110" s="51">
        <v>4.1849999999999998E-2</v>
      </c>
      <c r="W110" s="51">
        <v>4.2435E-2</v>
      </c>
      <c r="X110" s="51">
        <v>4.2869000000000004E-2</v>
      </c>
      <c r="Y110" s="51">
        <v>4.317E-2</v>
      </c>
      <c r="Z110" s="51">
        <v>4.3362999999999999E-2</v>
      </c>
      <c r="AA110" s="51">
        <v>4.3472999999999998E-2</v>
      </c>
      <c r="AB110" s="51">
        <v>4.3528999999999998E-2</v>
      </c>
      <c r="AC110" s="51">
        <v>4.3560999999999996E-2</v>
      </c>
      <c r="AD110" s="51">
        <v>4.3602000000000002E-2</v>
      </c>
      <c r="AE110" s="51">
        <v>4.3685999999999996E-2</v>
      </c>
      <c r="AF110" s="51">
        <v>4.3851000000000001E-2</v>
      </c>
    </row>
    <row r="111" spans="1:32">
      <c r="A111" s="1">
        <v>41072</v>
      </c>
      <c r="B111" s="51">
        <v>1.6247000000000001E-2</v>
      </c>
      <c r="C111" s="51">
        <v>2.1888999999999999E-2</v>
      </c>
      <c r="D111" s="51">
        <v>2.3802E-2</v>
      </c>
      <c r="E111" s="51">
        <v>2.5024000000000001E-2</v>
      </c>
      <c r="F111" s="51">
        <v>2.6755000000000001E-2</v>
      </c>
      <c r="G111" s="51">
        <v>2.9708000000000002E-2</v>
      </c>
      <c r="H111" s="51">
        <v>3.1953999999999996E-2</v>
      </c>
      <c r="I111" s="51">
        <v>3.2680000000000001E-2</v>
      </c>
      <c r="J111" s="51">
        <v>3.4136E-2</v>
      </c>
      <c r="K111" s="51">
        <v>3.4474999999999999E-2</v>
      </c>
      <c r="L111" s="51">
        <v>3.4564999999999999E-2</v>
      </c>
      <c r="M111" s="51">
        <v>3.4963000000000001E-2</v>
      </c>
      <c r="N111" s="51">
        <v>3.5626000000000005E-2</v>
      </c>
      <c r="O111" s="51">
        <v>3.6448000000000001E-2</v>
      </c>
      <c r="P111" s="51">
        <v>3.7317000000000003E-2</v>
      </c>
      <c r="Q111" s="51">
        <v>3.8112E-2</v>
      </c>
      <c r="R111" s="51">
        <v>3.8852000000000005E-2</v>
      </c>
      <c r="S111" s="51">
        <v>3.9622999999999998E-2</v>
      </c>
      <c r="T111" s="51">
        <v>4.0403000000000001E-2</v>
      </c>
      <c r="U111" s="51">
        <v>4.1161000000000003E-2</v>
      </c>
      <c r="V111" s="51">
        <v>4.1867999999999995E-2</v>
      </c>
      <c r="W111" s="51">
        <v>4.2455E-2</v>
      </c>
      <c r="X111" s="51">
        <v>4.2889999999999998E-2</v>
      </c>
      <c r="Y111" s="51">
        <v>4.3192000000000001E-2</v>
      </c>
      <c r="Z111" s="51">
        <v>4.3385999999999994E-2</v>
      </c>
      <c r="AA111" s="51">
        <v>4.3498000000000002E-2</v>
      </c>
      <c r="AB111" s="51">
        <v>4.3555000000000003E-2</v>
      </c>
      <c r="AC111" s="51">
        <v>4.3587999999999995E-2</v>
      </c>
      <c r="AD111" s="51">
        <v>4.3630000000000002E-2</v>
      </c>
      <c r="AE111" s="51">
        <v>4.3715000000000004E-2</v>
      </c>
      <c r="AF111" s="51">
        <v>4.3880999999999996E-2</v>
      </c>
    </row>
    <row r="112" spans="1:32">
      <c r="A112" s="1">
        <v>41073</v>
      </c>
      <c r="B112" s="51">
        <v>1.7318E-2</v>
      </c>
      <c r="C112" s="51">
        <v>2.2090000000000002E-2</v>
      </c>
      <c r="D112" s="51">
        <v>2.4037000000000003E-2</v>
      </c>
      <c r="E112" s="51">
        <v>2.5562999999999999E-2</v>
      </c>
      <c r="F112" s="51">
        <v>2.7113999999999999E-2</v>
      </c>
      <c r="G112" s="51">
        <v>3.0244E-2</v>
      </c>
      <c r="H112" s="51">
        <v>3.202E-2</v>
      </c>
      <c r="I112" s="51">
        <v>3.2797E-2</v>
      </c>
      <c r="J112" s="51">
        <v>3.4249999999999996E-2</v>
      </c>
      <c r="K112" s="51">
        <v>3.4653000000000003E-2</v>
      </c>
      <c r="L112" s="51">
        <v>3.4721000000000002E-2</v>
      </c>
      <c r="M112" s="51">
        <v>3.5049999999999998E-2</v>
      </c>
      <c r="N112" s="51">
        <v>3.5675999999999999E-2</v>
      </c>
      <c r="O112" s="51">
        <v>3.6483000000000002E-2</v>
      </c>
      <c r="P112" s="51">
        <v>3.7350000000000001E-2</v>
      </c>
      <c r="Q112" s="51">
        <v>3.8144999999999998E-2</v>
      </c>
      <c r="R112" s="51">
        <v>3.8883000000000001E-2</v>
      </c>
      <c r="S112" s="51">
        <v>3.9655999999999997E-2</v>
      </c>
      <c r="T112" s="51">
        <v>4.0437000000000001E-2</v>
      </c>
      <c r="U112" s="51">
        <v>4.1197999999999999E-2</v>
      </c>
      <c r="V112" s="51">
        <v>4.1907E-2</v>
      </c>
      <c r="W112" s="51">
        <v>4.2495000000000005E-2</v>
      </c>
      <c r="X112" s="51">
        <v>4.2930000000000003E-2</v>
      </c>
      <c r="Y112" s="51">
        <v>4.3232999999999994E-2</v>
      </c>
      <c r="Z112" s="51">
        <v>4.3428000000000001E-2</v>
      </c>
      <c r="AA112" s="51">
        <v>4.3540000000000002E-2</v>
      </c>
      <c r="AB112" s="51">
        <v>4.3597999999999998E-2</v>
      </c>
      <c r="AC112" s="51">
        <v>4.3631999999999997E-2</v>
      </c>
      <c r="AD112" s="51">
        <v>4.3674999999999999E-2</v>
      </c>
      <c r="AE112" s="51">
        <v>4.376E-2</v>
      </c>
      <c r="AF112" s="51">
        <v>4.3926999999999994E-2</v>
      </c>
    </row>
    <row r="113" spans="1:32">
      <c r="A113" s="1">
        <v>41074</v>
      </c>
      <c r="B113" s="51">
        <v>1.7863E-2</v>
      </c>
      <c r="C113" s="51">
        <v>2.2508E-2</v>
      </c>
      <c r="D113" s="51">
        <v>2.4180999999999998E-2</v>
      </c>
      <c r="E113" s="51">
        <v>2.5950000000000001E-2</v>
      </c>
      <c r="F113" s="51">
        <v>2.7208E-2</v>
      </c>
      <c r="G113" s="51">
        <v>3.0417E-2</v>
      </c>
      <c r="H113" s="51">
        <v>3.2002999999999997E-2</v>
      </c>
      <c r="I113" s="51">
        <v>3.2857999999999998E-2</v>
      </c>
      <c r="J113" s="51">
        <v>3.4331E-2</v>
      </c>
      <c r="K113" s="51">
        <v>3.4748000000000001E-2</v>
      </c>
      <c r="L113" s="51">
        <v>3.4821999999999999E-2</v>
      </c>
      <c r="M113" s="51">
        <v>3.5152999999999997E-2</v>
      </c>
      <c r="N113" s="51">
        <v>3.5769000000000002E-2</v>
      </c>
      <c r="O113" s="51">
        <v>3.6558E-2</v>
      </c>
      <c r="P113" s="51">
        <v>3.7404E-2</v>
      </c>
      <c r="Q113" s="51">
        <v>3.8182000000000001E-2</v>
      </c>
      <c r="R113" s="51">
        <v>3.8912000000000002E-2</v>
      </c>
      <c r="S113" s="51">
        <v>3.9683999999999997E-2</v>
      </c>
      <c r="T113" s="51">
        <v>4.0469999999999999E-2</v>
      </c>
      <c r="U113" s="51">
        <v>4.1235999999999995E-2</v>
      </c>
      <c r="V113" s="51">
        <v>4.1947999999999999E-2</v>
      </c>
      <c r="W113" s="51">
        <v>4.2537000000000005E-2</v>
      </c>
      <c r="X113" s="51">
        <v>4.2972999999999997E-2</v>
      </c>
      <c r="Y113" s="51">
        <v>4.3277000000000003E-2</v>
      </c>
      <c r="Z113" s="51">
        <v>4.3471999999999997E-2</v>
      </c>
      <c r="AA113" s="51">
        <v>4.3583999999999998E-2</v>
      </c>
      <c r="AB113" s="51">
        <v>4.3642E-2</v>
      </c>
      <c r="AC113" s="51">
        <v>4.3677000000000001E-2</v>
      </c>
      <c r="AD113" s="51">
        <v>4.3720000000000002E-2</v>
      </c>
      <c r="AE113" s="51">
        <v>4.3806000000000005E-2</v>
      </c>
      <c r="AF113" s="51">
        <v>4.3971999999999997E-2</v>
      </c>
    </row>
    <row r="114" spans="1:32">
      <c r="A114" s="1">
        <v>41075</v>
      </c>
      <c r="B114" s="51">
        <v>1.7971999999999998E-2</v>
      </c>
      <c r="C114" s="51">
        <v>2.2460000000000001E-2</v>
      </c>
      <c r="D114" s="51">
        <v>2.4030999999999997E-2</v>
      </c>
      <c r="E114" s="51">
        <v>2.5838E-2</v>
      </c>
      <c r="F114" s="51">
        <v>2.7014E-2</v>
      </c>
      <c r="G114" s="51">
        <v>3.0355E-2</v>
      </c>
      <c r="H114" s="51">
        <v>3.1871000000000003E-2</v>
      </c>
      <c r="I114" s="51">
        <v>3.2714E-2</v>
      </c>
      <c r="J114" s="51">
        <v>3.4342000000000004E-2</v>
      </c>
      <c r="K114" s="51">
        <v>3.4701000000000003E-2</v>
      </c>
      <c r="L114" s="51">
        <v>3.4744999999999998E-2</v>
      </c>
      <c r="M114" s="51">
        <v>3.5041999999999997E-2</v>
      </c>
      <c r="N114" s="51">
        <v>3.5653000000000004E-2</v>
      </c>
      <c r="O114" s="51">
        <v>3.6457000000000003E-2</v>
      </c>
      <c r="P114" s="51">
        <v>3.7322000000000001E-2</v>
      </c>
      <c r="Q114" s="51">
        <v>3.8109999999999998E-2</v>
      </c>
      <c r="R114" s="51">
        <v>3.8838999999999999E-2</v>
      </c>
      <c r="S114" s="51">
        <v>3.9609999999999999E-2</v>
      </c>
      <c r="T114" s="51">
        <v>4.0395E-2</v>
      </c>
      <c r="U114" s="51">
        <v>4.1161000000000003E-2</v>
      </c>
      <c r="V114" s="51">
        <v>4.1872999999999994E-2</v>
      </c>
      <c r="W114" s="51">
        <v>4.2460999999999999E-2</v>
      </c>
      <c r="X114" s="51">
        <v>4.2896000000000004E-2</v>
      </c>
      <c r="Y114" s="51">
        <v>4.3200000000000002E-2</v>
      </c>
      <c r="Z114" s="51">
        <v>4.3395000000000003E-2</v>
      </c>
      <c r="AA114" s="51">
        <v>4.3506999999999997E-2</v>
      </c>
      <c r="AB114" s="51">
        <v>4.3564999999999993E-2</v>
      </c>
      <c r="AC114" s="51">
        <v>4.3598999999999999E-2</v>
      </c>
      <c r="AD114" s="51">
        <v>4.3642E-2</v>
      </c>
      <c r="AE114" s="51">
        <v>4.3727999999999996E-2</v>
      </c>
      <c r="AF114" s="51">
        <v>4.3894000000000002E-2</v>
      </c>
    </row>
    <row r="115" spans="1:32">
      <c r="A115" s="1">
        <v>41078</v>
      </c>
      <c r="B115" s="51">
        <v>1.7767999999999999E-2</v>
      </c>
      <c r="C115" s="51">
        <v>2.2609000000000001E-2</v>
      </c>
      <c r="D115" s="51">
        <v>2.4462999999999999E-2</v>
      </c>
      <c r="E115" s="51">
        <v>2.6234E-2</v>
      </c>
      <c r="F115" s="51">
        <v>2.7831999999999999E-2</v>
      </c>
      <c r="G115" s="51">
        <v>3.1175999999999999E-2</v>
      </c>
      <c r="H115" s="51">
        <v>3.211E-2</v>
      </c>
      <c r="I115" s="51">
        <v>3.3161000000000003E-2</v>
      </c>
      <c r="J115" s="51">
        <v>3.4581000000000001E-2</v>
      </c>
      <c r="K115" s="51">
        <v>3.4853999999999996E-2</v>
      </c>
      <c r="L115" s="51">
        <v>3.4887000000000001E-2</v>
      </c>
      <c r="M115" s="51">
        <v>3.517E-2</v>
      </c>
      <c r="N115" s="51">
        <v>3.5762999999999996E-2</v>
      </c>
      <c r="O115" s="51">
        <v>3.6545000000000001E-2</v>
      </c>
      <c r="P115" s="51">
        <v>3.7387000000000004E-2</v>
      </c>
      <c r="Q115" s="51">
        <v>3.8151000000000004E-2</v>
      </c>
      <c r="R115" s="51">
        <v>3.8865999999999998E-2</v>
      </c>
      <c r="S115" s="51">
        <v>3.9638E-2</v>
      </c>
      <c r="T115" s="51">
        <v>4.0431000000000002E-2</v>
      </c>
      <c r="U115" s="51">
        <v>4.1208000000000002E-2</v>
      </c>
      <c r="V115" s="51">
        <v>4.1925999999999998E-2</v>
      </c>
      <c r="W115" s="51">
        <v>4.2514999999999997E-2</v>
      </c>
      <c r="X115" s="51">
        <v>4.2952000000000004E-2</v>
      </c>
      <c r="Y115" s="51">
        <v>4.3257000000000004E-2</v>
      </c>
      <c r="Z115" s="51">
        <v>4.3452999999999999E-2</v>
      </c>
      <c r="AA115" s="51">
        <v>4.3567000000000002E-2</v>
      </c>
      <c r="AB115" s="51">
        <v>4.3625999999999998E-2</v>
      </c>
      <c r="AC115" s="51">
        <v>4.3661000000000005E-2</v>
      </c>
      <c r="AD115" s="51">
        <v>4.3705000000000001E-2</v>
      </c>
      <c r="AE115" s="51">
        <v>4.3791999999999998E-2</v>
      </c>
      <c r="AF115" s="51">
        <v>4.3958999999999998E-2</v>
      </c>
    </row>
    <row r="116" spans="1:32">
      <c r="A116" s="1">
        <v>41079</v>
      </c>
      <c r="B116" s="51">
        <v>1.9288E-2</v>
      </c>
      <c r="C116" s="51">
        <v>2.3307999999999999E-2</v>
      </c>
      <c r="D116" s="51">
        <v>2.4643000000000002E-2</v>
      </c>
      <c r="E116" s="51">
        <v>2.6610000000000002E-2</v>
      </c>
      <c r="F116" s="51">
        <v>2.8055E-2</v>
      </c>
      <c r="G116" s="51">
        <v>3.1106999999999999E-2</v>
      </c>
      <c r="H116" s="51">
        <v>3.2038000000000004E-2</v>
      </c>
      <c r="I116" s="51">
        <v>3.2861000000000001E-2</v>
      </c>
      <c r="J116" s="51">
        <v>3.4678E-2</v>
      </c>
      <c r="K116" s="51">
        <v>3.4867000000000002E-2</v>
      </c>
      <c r="L116" s="51">
        <v>3.4863999999999999E-2</v>
      </c>
      <c r="M116" s="51">
        <v>3.5109000000000001E-2</v>
      </c>
      <c r="N116" s="51">
        <v>3.5699000000000002E-2</v>
      </c>
      <c r="O116" s="51">
        <v>3.6497000000000002E-2</v>
      </c>
      <c r="P116" s="51">
        <v>3.7360000000000004E-2</v>
      </c>
      <c r="Q116" s="51">
        <v>3.8134000000000001E-2</v>
      </c>
      <c r="R116" s="51">
        <v>3.8849000000000002E-2</v>
      </c>
      <c r="S116" s="51">
        <v>3.9620000000000002E-2</v>
      </c>
      <c r="T116" s="51">
        <v>4.0414000000000005E-2</v>
      </c>
      <c r="U116" s="51">
        <v>4.1191000000000005E-2</v>
      </c>
      <c r="V116" s="51">
        <v>4.1909000000000002E-2</v>
      </c>
      <c r="W116" s="51">
        <v>4.2499000000000002E-2</v>
      </c>
      <c r="X116" s="51">
        <v>4.2935999999999995E-2</v>
      </c>
      <c r="Y116" s="51">
        <v>4.3240000000000001E-2</v>
      </c>
      <c r="Z116" s="51">
        <v>4.3437000000000003E-2</v>
      </c>
      <c r="AA116" s="51">
        <v>4.3550000000000005E-2</v>
      </c>
      <c r="AB116" s="51">
        <v>4.3609999999999996E-2</v>
      </c>
      <c r="AC116" s="51">
        <v>4.3644999999999996E-2</v>
      </c>
      <c r="AD116" s="51">
        <v>4.3688999999999999E-2</v>
      </c>
      <c r="AE116" s="51">
        <v>4.3776000000000002E-2</v>
      </c>
      <c r="AF116" s="51">
        <v>4.3943000000000003E-2</v>
      </c>
    </row>
    <row r="117" spans="1:32">
      <c r="A117" s="1">
        <v>41080</v>
      </c>
      <c r="B117" s="51">
        <v>2.2221999999999999E-2</v>
      </c>
      <c r="C117" s="51">
        <v>2.3708E-2</v>
      </c>
      <c r="D117" s="51">
        <v>2.4808E-2</v>
      </c>
      <c r="E117" s="51">
        <v>2.6876999999999998E-2</v>
      </c>
      <c r="F117" s="51">
        <v>2.8232E-2</v>
      </c>
      <c r="G117" s="51">
        <v>3.1084999999999998E-2</v>
      </c>
      <c r="H117" s="51">
        <v>3.2129999999999999E-2</v>
      </c>
      <c r="I117" s="51">
        <v>3.2834000000000002E-2</v>
      </c>
      <c r="J117" s="51">
        <v>3.4849999999999999E-2</v>
      </c>
      <c r="K117" s="51">
        <v>3.4894000000000001E-2</v>
      </c>
      <c r="L117" s="51">
        <v>3.4859000000000001E-2</v>
      </c>
      <c r="M117" s="51">
        <v>3.5083999999999997E-2</v>
      </c>
      <c r="N117" s="51">
        <v>3.5672999999999996E-2</v>
      </c>
      <c r="O117" s="51">
        <v>3.6481E-2</v>
      </c>
      <c r="P117" s="51">
        <v>3.7357000000000001E-2</v>
      </c>
      <c r="Q117" s="51">
        <v>3.8137999999999998E-2</v>
      </c>
      <c r="R117" s="51">
        <v>3.8852999999999999E-2</v>
      </c>
      <c r="S117" s="51">
        <v>3.9623999999999999E-2</v>
      </c>
      <c r="T117" s="51">
        <v>4.0419000000000004E-2</v>
      </c>
      <c r="U117" s="51">
        <v>4.1196000000000003E-2</v>
      </c>
      <c r="V117" s="51">
        <v>4.1914E-2</v>
      </c>
      <c r="W117" s="51">
        <v>4.2504E-2</v>
      </c>
      <c r="X117" s="51">
        <v>4.2941E-2</v>
      </c>
      <c r="Y117" s="51">
        <v>4.3246E-2</v>
      </c>
      <c r="Z117" s="51">
        <v>4.3442999999999996E-2</v>
      </c>
      <c r="AA117" s="51">
        <v>4.3556999999999998E-2</v>
      </c>
      <c r="AB117" s="51">
        <v>4.3616000000000002E-2</v>
      </c>
      <c r="AC117" s="51">
        <v>4.3651999999999996E-2</v>
      </c>
      <c r="AD117" s="51">
        <v>4.3695999999999999E-2</v>
      </c>
      <c r="AE117" s="51">
        <v>4.3783000000000002E-2</v>
      </c>
      <c r="AF117" s="51">
        <v>4.3949999999999996E-2</v>
      </c>
    </row>
    <row r="118" spans="1:32">
      <c r="A118" s="1">
        <v>41081</v>
      </c>
      <c r="B118" s="51">
        <v>2.5346999999999998E-2</v>
      </c>
      <c r="C118" s="51">
        <v>2.3654999999999999E-2</v>
      </c>
      <c r="D118" s="51">
        <v>2.4504999999999999E-2</v>
      </c>
      <c r="E118" s="51">
        <v>2.6482000000000002E-2</v>
      </c>
      <c r="F118" s="51">
        <v>2.7974000000000002E-2</v>
      </c>
      <c r="G118" s="51">
        <v>3.0807999999999999E-2</v>
      </c>
      <c r="H118" s="51">
        <v>3.1990999999999999E-2</v>
      </c>
      <c r="I118" s="51">
        <v>3.2624E-2</v>
      </c>
      <c r="J118" s="51">
        <v>3.4766999999999999E-2</v>
      </c>
      <c r="K118" s="51">
        <v>3.4807999999999999E-2</v>
      </c>
      <c r="L118" s="51">
        <v>3.4771000000000003E-2</v>
      </c>
      <c r="M118" s="51">
        <v>3.5000000000000003E-2</v>
      </c>
      <c r="N118" s="51">
        <v>3.56E-2</v>
      </c>
      <c r="O118" s="51">
        <v>3.6423000000000004E-2</v>
      </c>
      <c r="P118" s="51">
        <v>3.7315000000000001E-2</v>
      </c>
      <c r="Q118" s="51">
        <v>3.8109999999999998E-2</v>
      </c>
      <c r="R118" s="51">
        <v>3.8831999999999998E-2</v>
      </c>
      <c r="S118" s="51">
        <v>3.9604E-2</v>
      </c>
      <c r="T118" s="51">
        <v>4.0393999999999999E-2</v>
      </c>
      <c r="U118" s="51">
        <v>4.1165E-2</v>
      </c>
      <c r="V118" s="51">
        <v>4.1880000000000001E-2</v>
      </c>
      <c r="W118" s="51">
        <v>4.2469E-2</v>
      </c>
      <c r="X118" s="51">
        <v>4.2906000000000007E-2</v>
      </c>
      <c r="Y118" s="51">
        <v>4.3209999999999998E-2</v>
      </c>
      <c r="Z118" s="51">
        <v>4.3406E-2</v>
      </c>
      <c r="AA118" s="51">
        <v>4.3518999999999995E-2</v>
      </c>
      <c r="AB118" s="51">
        <v>4.3577999999999999E-2</v>
      </c>
      <c r="AC118" s="51">
        <v>4.3612999999999999E-2</v>
      </c>
      <c r="AD118" s="51">
        <v>4.3657000000000001E-2</v>
      </c>
      <c r="AE118" s="51">
        <v>4.3742999999999997E-2</v>
      </c>
      <c r="AF118" s="51">
        <v>4.3909999999999998E-2</v>
      </c>
    </row>
    <row r="119" spans="1:32">
      <c r="A119" s="1">
        <v>41085</v>
      </c>
      <c r="B119" s="51">
        <v>2.5954000000000001E-2</v>
      </c>
      <c r="C119" s="51">
        <v>2.3666E-2</v>
      </c>
      <c r="D119" s="51">
        <v>2.4373999999999996E-2</v>
      </c>
      <c r="E119" s="51">
        <v>2.6631999999999999E-2</v>
      </c>
      <c r="F119" s="51">
        <v>2.7864E-2</v>
      </c>
      <c r="G119" s="51">
        <v>3.0438E-2</v>
      </c>
      <c r="H119" s="51">
        <v>3.1941000000000004E-2</v>
      </c>
      <c r="I119" s="51">
        <v>3.2507000000000001E-2</v>
      </c>
      <c r="J119" s="51">
        <v>3.4431999999999997E-2</v>
      </c>
      <c r="K119" s="51">
        <v>3.4449E-2</v>
      </c>
      <c r="L119" s="51">
        <v>3.4411999999999998E-2</v>
      </c>
      <c r="M119" s="51">
        <v>3.4668000000000004E-2</v>
      </c>
      <c r="N119" s="51">
        <v>3.5320999999999998E-2</v>
      </c>
      <c r="O119" s="51">
        <v>3.6213999999999996E-2</v>
      </c>
      <c r="P119" s="51">
        <v>3.7180999999999999E-2</v>
      </c>
      <c r="Q119" s="51">
        <v>3.8043E-2</v>
      </c>
      <c r="R119" s="51">
        <v>3.8803000000000004E-2</v>
      </c>
      <c r="S119" s="51">
        <v>3.9578000000000002E-2</v>
      </c>
      <c r="T119" s="51">
        <v>4.0350000000000004E-2</v>
      </c>
      <c r="U119" s="51">
        <v>4.1098999999999997E-2</v>
      </c>
      <c r="V119" s="51">
        <v>4.1801000000000005E-2</v>
      </c>
      <c r="W119" s="51">
        <v>4.2389000000000003E-2</v>
      </c>
      <c r="X119" s="51">
        <v>4.2824000000000001E-2</v>
      </c>
      <c r="Y119" s="51">
        <v>4.3127000000000006E-2</v>
      </c>
      <c r="Z119" s="51">
        <v>4.3321999999999999E-2</v>
      </c>
      <c r="AA119" s="51">
        <v>4.3434E-2</v>
      </c>
      <c r="AB119" s="51">
        <v>4.3493000000000004E-2</v>
      </c>
      <c r="AC119" s="51">
        <v>4.3526999999999996E-2</v>
      </c>
      <c r="AD119" s="51">
        <v>4.3570000000000005E-2</v>
      </c>
      <c r="AE119" s="51">
        <v>4.3654999999999999E-2</v>
      </c>
      <c r="AF119" s="51">
        <v>4.3822E-2</v>
      </c>
    </row>
    <row r="120" spans="1:32">
      <c r="A120" s="1">
        <v>41086</v>
      </c>
      <c r="B120" s="51">
        <v>2.8221E-2</v>
      </c>
      <c r="C120" s="51">
        <v>2.3616000000000002E-2</v>
      </c>
      <c r="D120" s="51">
        <v>2.4237999999999999E-2</v>
      </c>
      <c r="E120" s="51">
        <v>2.6255999999999998E-2</v>
      </c>
      <c r="F120" s="51">
        <v>2.7504000000000001E-2</v>
      </c>
      <c r="G120" s="51">
        <v>3.0096999999999999E-2</v>
      </c>
      <c r="H120" s="51">
        <v>3.1753999999999998E-2</v>
      </c>
      <c r="I120" s="51">
        <v>3.2195999999999995E-2</v>
      </c>
      <c r="J120" s="51">
        <v>3.4352999999999995E-2</v>
      </c>
      <c r="K120" s="51">
        <v>3.4444000000000002E-2</v>
      </c>
      <c r="L120" s="51">
        <v>3.4417000000000003E-2</v>
      </c>
      <c r="M120" s="51">
        <v>3.4675999999999998E-2</v>
      </c>
      <c r="N120" s="51">
        <v>3.5327999999999998E-2</v>
      </c>
      <c r="O120" s="51">
        <v>3.6218E-2</v>
      </c>
      <c r="P120" s="51">
        <v>3.7179999999999998E-2</v>
      </c>
      <c r="Q120" s="51">
        <v>3.8039000000000003E-2</v>
      </c>
      <c r="R120" s="51">
        <v>3.8789999999999998E-2</v>
      </c>
      <c r="S120" s="51">
        <v>3.9548E-2</v>
      </c>
      <c r="T120" s="51">
        <v>4.0308000000000004E-2</v>
      </c>
      <c r="U120" s="51">
        <v>4.1060999999999993E-2</v>
      </c>
      <c r="V120" s="51">
        <v>4.1797000000000001E-2</v>
      </c>
      <c r="W120" s="51">
        <v>4.2431000000000003E-2</v>
      </c>
      <c r="X120" s="51">
        <v>4.2900999999999995E-2</v>
      </c>
      <c r="Y120" s="51">
        <v>4.3227000000000002E-2</v>
      </c>
      <c r="Z120" s="51">
        <v>4.3437000000000003E-2</v>
      </c>
      <c r="AA120" s="51">
        <v>4.3559E-2</v>
      </c>
      <c r="AB120" s="51">
        <v>4.3624999999999997E-2</v>
      </c>
      <c r="AC120" s="51">
        <v>4.3667999999999998E-2</v>
      </c>
      <c r="AD120" s="51">
        <v>4.3723999999999999E-2</v>
      </c>
      <c r="AE120" s="51">
        <v>4.3833000000000004E-2</v>
      </c>
      <c r="AF120" s="51">
        <v>4.4035000000000005E-2</v>
      </c>
    </row>
    <row r="121" spans="1:32">
      <c r="A121" s="1">
        <v>41087</v>
      </c>
      <c r="B121" s="51">
        <v>2.4413000000000001E-2</v>
      </c>
      <c r="C121" s="51">
        <v>2.3716000000000001E-2</v>
      </c>
      <c r="D121" s="51">
        <v>2.3978000000000003E-2</v>
      </c>
      <c r="E121" s="51">
        <v>2.5739999999999999E-2</v>
      </c>
      <c r="F121" s="51">
        <v>2.7378E-2</v>
      </c>
      <c r="G121" s="51">
        <v>2.9643000000000003E-2</v>
      </c>
      <c r="H121" s="51">
        <v>3.1516000000000002E-2</v>
      </c>
      <c r="I121" s="51">
        <v>3.1794999999999997E-2</v>
      </c>
      <c r="J121" s="51">
        <v>3.4041999999999996E-2</v>
      </c>
      <c r="K121" s="51">
        <v>3.4030999999999999E-2</v>
      </c>
      <c r="L121" s="51">
        <v>3.3988999999999998E-2</v>
      </c>
      <c r="M121" s="51">
        <v>3.4264999999999997E-2</v>
      </c>
      <c r="N121" s="51">
        <v>3.4962E-2</v>
      </c>
      <c r="O121" s="51">
        <v>3.5916000000000003E-2</v>
      </c>
      <c r="P121" s="51">
        <v>3.6949000000000003E-2</v>
      </c>
      <c r="Q121" s="51">
        <v>3.7870000000000001E-2</v>
      </c>
      <c r="R121" s="51">
        <v>3.8653E-2</v>
      </c>
      <c r="S121" s="51">
        <v>3.9413999999999998E-2</v>
      </c>
      <c r="T121" s="51">
        <v>4.0156999999999998E-2</v>
      </c>
      <c r="U121" s="51">
        <v>4.0888000000000001E-2</v>
      </c>
      <c r="V121" s="51">
        <v>4.1611000000000002E-2</v>
      </c>
      <c r="W121" s="51">
        <v>4.2244000000000004E-2</v>
      </c>
      <c r="X121" s="51">
        <v>4.2712E-2</v>
      </c>
      <c r="Y121" s="51">
        <v>4.3036999999999999E-2</v>
      </c>
      <c r="Z121" s="51">
        <v>4.3244999999999999E-2</v>
      </c>
      <c r="AA121" s="51">
        <v>4.3365999999999995E-2</v>
      </c>
      <c r="AB121" s="51">
        <v>4.3430999999999997E-2</v>
      </c>
      <c r="AC121" s="51">
        <v>4.3474000000000006E-2</v>
      </c>
      <c r="AD121" s="51">
        <v>4.3528999999999998E-2</v>
      </c>
      <c r="AE121" s="51">
        <v>4.3636999999999995E-2</v>
      </c>
      <c r="AF121" s="51">
        <v>4.3838000000000002E-2</v>
      </c>
    </row>
    <row r="122" spans="1:32">
      <c r="A122" s="1">
        <v>41088</v>
      </c>
      <c r="B122" s="51">
        <v>2.4929E-2</v>
      </c>
      <c r="C122" s="51">
        <v>2.3565999999999997E-2</v>
      </c>
      <c r="D122" s="51">
        <v>2.3727000000000002E-2</v>
      </c>
      <c r="E122" s="51">
        <v>2.5488E-2</v>
      </c>
      <c r="F122" s="51">
        <v>2.7071999999999999E-2</v>
      </c>
      <c r="G122" s="51">
        <v>2.9420000000000002E-2</v>
      </c>
      <c r="H122" s="51">
        <v>3.1476999999999998E-2</v>
      </c>
      <c r="I122" s="51">
        <v>3.1812E-2</v>
      </c>
      <c r="J122" s="51">
        <v>3.4002999999999999E-2</v>
      </c>
      <c r="K122" s="51">
        <v>3.4041999999999996E-2</v>
      </c>
      <c r="L122" s="51">
        <v>3.4006000000000002E-2</v>
      </c>
      <c r="M122" s="51">
        <v>3.4284000000000002E-2</v>
      </c>
      <c r="N122" s="51">
        <v>3.4980999999999998E-2</v>
      </c>
      <c r="O122" s="51">
        <v>3.5933E-2</v>
      </c>
      <c r="P122" s="51">
        <v>3.6962999999999996E-2</v>
      </c>
      <c r="Q122" s="51">
        <v>3.7881999999999999E-2</v>
      </c>
      <c r="R122" s="51">
        <v>3.8662000000000002E-2</v>
      </c>
      <c r="S122" s="51">
        <v>3.9418000000000002E-2</v>
      </c>
      <c r="T122" s="51">
        <v>4.0156999999999998E-2</v>
      </c>
      <c r="U122" s="51">
        <v>4.0891000000000004E-2</v>
      </c>
      <c r="V122" s="51">
        <v>4.1624999999999995E-2</v>
      </c>
      <c r="W122" s="51">
        <v>4.2244999999999998E-2</v>
      </c>
      <c r="X122" s="51">
        <v>4.2701000000000003E-2</v>
      </c>
      <c r="Y122" s="51">
        <v>4.3018000000000001E-2</v>
      </c>
      <c r="Z122" s="51">
        <v>4.3220999999999996E-2</v>
      </c>
      <c r="AA122" s="51">
        <v>4.3338999999999996E-2</v>
      </c>
      <c r="AB122" s="51">
        <v>4.3404999999999999E-2</v>
      </c>
      <c r="AC122" s="51">
        <v>4.3451000000000004E-2</v>
      </c>
      <c r="AD122" s="51">
        <v>4.3514999999999998E-2</v>
      </c>
      <c r="AE122" s="51">
        <v>4.3635E-2</v>
      </c>
      <c r="AF122" s="51">
        <v>4.3853000000000003E-2</v>
      </c>
    </row>
    <row r="123" spans="1:32">
      <c r="A123" s="1">
        <v>41089</v>
      </c>
      <c r="B123" s="51">
        <v>2.5453999999999997E-2</v>
      </c>
      <c r="C123" s="51">
        <v>2.342E-2</v>
      </c>
      <c r="D123" s="51">
        <v>2.3653E-2</v>
      </c>
      <c r="E123" s="51">
        <v>2.5446E-2</v>
      </c>
      <c r="F123" s="51">
        <v>2.6983999999999998E-2</v>
      </c>
      <c r="G123" s="51">
        <v>2.9601000000000002E-2</v>
      </c>
      <c r="H123" s="51">
        <v>3.1379999999999998E-2</v>
      </c>
      <c r="I123" s="51">
        <v>3.1608999999999998E-2</v>
      </c>
      <c r="J123" s="51">
        <v>3.4014000000000003E-2</v>
      </c>
      <c r="K123" s="51">
        <v>3.4049999999999997E-2</v>
      </c>
      <c r="L123" s="51">
        <v>3.4013000000000002E-2</v>
      </c>
      <c r="M123" s="51">
        <v>3.4291000000000002E-2</v>
      </c>
      <c r="N123" s="51">
        <v>3.4987999999999998E-2</v>
      </c>
      <c r="O123" s="51">
        <v>3.5938999999999999E-2</v>
      </c>
      <c r="P123" s="51">
        <v>3.6969000000000002E-2</v>
      </c>
      <c r="Q123" s="51">
        <v>3.7886999999999997E-2</v>
      </c>
      <c r="R123" s="51">
        <v>3.8664999999999998E-2</v>
      </c>
      <c r="S123" s="51">
        <v>3.9419000000000003E-2</v>
      </c>
      <c r="T123" s="51">
        <v>4.0155999999999997E-2</v>
      </c>
      <c r="U123" s="51">
        <v>4.0888999999999995E-2</v>
      </c>
      <c r="V123" s="51">
        <v>4.163E-2</v>
      </c>
      <c r="W123" s="51">
        <v>4.2274000000000006E-2</v>
      </c>
      <c r="X123" s="51">
        <v>4.2728999999999996E-2</v>
      </c>
      <c r="Y123" s="51">
        <v>4.3025000000000001E-2</v>
      </c>
      <c r="Z123" s="51">
        <v>4.3198E-2</v>
      </c>
      <c r="AA123" s="51">
        <v>4.3288E-2</v>
      </c>
      <c r="AB123" s="51">
        <v>4.3336E-2</v>
      </c>
      <c r="AC123" s="51">
        <v>4.3387000000000002E-2</v>
      </c>
      <c r="AD123" s="51">
        <v>4.3490000000000001E-2</v>
      </c>
      <c r="AE123" s="51">
        <v>4.3697E-2</v>
      </c>
      <c r="AF123" s="51">
        <v>4.394E-2</v>
      </c>
    </row>
    <row r="124" spans="1:32">
      <c r="A124" s="1">
        <v>41092</v>
      </c>
      <c r="B124" s="51">
        <v>2.5537999999999998E-2</v>
      </c>
      <c r="C124" s="51">
        <v>2.3470000000000001E-2</v>
      </c>
      <c r="D124" s="51">
        <v>2.3637999999999999E-2</v>
      </c>
      <c r="E124" s="51">
        <v>2.5695000000000003E-2</v>
      </c>
      <c r="F124" s="51">
        <v>2.7139000000000003E-2</v>
      </c>
      <c r="G124" s="51">
        <v>2.9864000000000002E-2</v>
      </c>
      <c r="H124" s="51">
        <v>3.1477999999999999E-2</v>
      </c>
      <c r="I124" s="51">
        <v>3.1718000000000003E-2</v>
      </c>
      <c r="J124" s="51">
        <v>3.4097000000000002E-2</v>
      </c>
      <c r="K124" s="51">
        <v>3.4146999999999997E-2</v>
      </c>
      <c r="L124" s="51">
        <v>3.4113000000000004E-2</v>
      </c>
      <c r="M124" s="51">
        <v>3.4388999999999996E-2</v>
      </c>
      <c r="N124" s="51">
        <v>3.5076000000000003E-2</v>
      </c>
      <c r="O124" s="51">
        <v>3.6011000000000001E-2</v>
      </c>
      <c r="P124" s="51">
        <v>3.7021999999999999E-2</v>
      </c>
      <c r="Q124" s="51">
        <v>3.7922999999999998E-2</v>
      </c>
      <c r="R124" s="51">
        <v>3.8695E-2</v>
      </c>
      <c r="S124" s="51">
        <v>3.9453000000000002E-2</v>
      </c>
      <c r="T124" s="51">
        <v>4.0198999999999999E-2</v>
      </c>
      <c r="U124" s="51">
        <v>4.0936E-2</v>
      </c>
      <c r="V124" s="51">
        <v>4.1669999999999999E-2</v>
      </c>
      <c r="W124" s="51">
        <v>4.2300000000000004E-2</v>
      </c>
      <c r="X124" s="51">
        <v>4.2744999999999998E-2</v>
      </c>
      <c r="Y124" s="51">
        <v>4.3034999999999997E-2</v>
      </c>
      <c r="Z124" s="51">
        <v>4.3205E-2</v>
      </c>
      <c r="AA124" s="51">
        <v>4.3292000000000004E-2</v>
      </c>
      <c r="AB124" s="51">
        <v>4.3338000000000002E-2</v>
      </c>
      <c r="AC124" s="51">
        <v>4.3385E-2</v>
      </c>
      <c r="AD124" s="51">
        <v>4.3482E-2</v>
      </c>
      <c r="AE124" s="51">
        <v>4.3678000000000002E-2</v>
      </c>
      <c r="AF124" s="51">
        <v>4.3909000000000004E-2</v>
      </c>
    </row>
    <row r="125" spans="1:32">
      <c r="A125" s="1">
        <v>41093</v>
      </c>
      <c r="B125" s="51">
        <v>2.1922000000000001E-2</v>
      </c>
      <c r="C125" s="51">
        <v>2.3452000000000001E-2</v>
      </c>
      <c r="D125" s="51">
        <v>2.3607999999999997E-2</v>
      </c>
      <c r="E125" s="51">
        <v>2.5963E-2</v>
      </c>
      <c r="F125" s="51">
        <v>2.7084999999999998E-2</v>
      </c>
      <c r="G125" s="51">
        <v>2.9622000000000002E-2</v>
      </c>
      <c r="H125" s="51">
        <v>3.1434000000000004E-2</v>
      </c>
      <c r="I125" s="51">
        <v>3.1681000000000001E-2</v>
      </c>
      <c r="J125" s="51">
        <v>3.3850999999999999E-2</v>
      </c>
      <c r="K125" s="51">
        <v>3.3971000000000001E-2</v>
      </c>
      <c r="L125" s="51">
        <v>3.3950999999999995E-2</v>
      </c>
      <c r="M125" s="51">
        <v>3.4244999999999998E-2</v>
      </c>
      <c r="N125" s="51">
        <v>3.4956000000000001E-2</v>
      </c>
      <c r="O125" s="51">
        <v>3.5919E-2</v>
      </c>
      <c r="P125" s="51">
        <v>3.6958999999999999E-2</v>
      </c>
      <c r="Q125" s="51">
        <v>3.7888999999999999E-2</v>
      </c>
      <c r="R125" s="51">
        <v>3.8683000000000002E-2</v>
      </c>
      <c r="S125" s="51">
        <v>3.9453999999999996E-2</v>
      </c>
      <c r="T125" s="51">
        <v>4.0205999999999999E-2</v>
      </c>
      <c r="U125" s="51">
        <v>4.0941999999999999E-2</v>
      </c>
      <c r="V125" s="51">
        <v>4.1666000000000002E-2</v>
      </c>
      <c r="W125" s="51">
        <v>4.2295999999999993E-2</v>
      </c>
      <c r="X125" s="51">
        <v>4.2760999999999993E-2</v>
      </c>
      <c r="Y125" s="51">
        <v>4.3085000000000005E-2</v>
      </c>
      <c r="Z125" s="51">
        <v>4.3292999999999998E-2</v>
      </c>
      <c r="AA125" s="51">
        <v>4.3413000000000007E-2</v>
      </c>
      <c r="AB125" s="51">
        <v>4.3476999999999995E-2</v>
      </c>
      <c r="AC125" s="51">
        <v>4.3518000000000001E-2</v>
      </c>
      <c r="AD125" s="51">
        <v>4.3570999999999999E-2</v>
      </c>
      <c r="AE125" s="51">
        <v>4.3674999999999999E-2</v>
      </c>
      <c r="AF125" s="51">
        <v>4.3871E-2</v>
      </c>
    </row>
    <row r="126" spans="1:32">
      <c r="A126" s="1">
        <v>41094</v>
      </c>
      <c r="B126" s="51">
        <v>1.5653999999999998E-2</v>
      </c>
      <c r="C126" s="51">
        <v>2.3252000000000002E-2</v>
      </c>
      <c r="D126" s="51">
        <v>2.3567999999999999E-2</v>
      </c>
      <c r="E126" s="51">
        <v>2.5716000000000003E-2</v>
      </c>
      <c r="F126" s="51">
        <v>2.7092000000000001E-2</v>
      </c>
      <c r="G126" s="51">
        <v>2.9661E-2</v>
      </c>
      <c r="H126" s="51">
        <v>3.1434999999999998E-2</v>
      </c>
      <c r="I126" s="51">
        <v>3.1563000000000001E-2</v>
      </c>
      <c r="J126" s="51">
        <v>3.3762E-2</v>
      </c>
      <c r="K126" s="51">
        <v>3.3949E-2</v>
      </c>
      <c r="L126" s="51">
        <v>3.3946000000000004E-2</v>
      </c>
      <c r="M126" s="51">
        <v>3.4249999999999996E-2</v>
      </c>
      <c r="N126" s="51">
        <v>3.4955E-2</v>
      </c>
      <c r="O126" s="51">
        <v>3.5903999999999998E-2</v>
      </c>
      <c r="P126" s="51">
        <v>3.6928000000000002E-2</v>
      </c>
      <c r="Q126" s="51">
        <v>3.7844999999999997E-2</v>
      </c>
      <c r="R126" s="51">
        <v>3.8629999999999998E-2</v>
      </c>
      <c r="S126" s="51">
        <v>3.9393999999999998E-2</v>
      </c>
      <c r="T126" s="51">
        <v>4.0138999999999994E-2</v>
      </c>
      <c r="U126" s="51">
        <v>4.0873999999999994E-2</v>
      </c>
      <c r="V126" s="51">
        <v>4.1603000000000001E-2</v>
      </c>
      <c r="W126" s="51">
        <v>4.2241999999999995E-2</v>
      </c>
      <c r="X126" s="51">
        <v>4.2714000000000002E-2</v>
      </c>
      <c r="Y126" s="51">
        <v>4.3041999999999997E-2</v>
      </c>
      <c r="Z126" s="51">
        <v>4.3253000000000007E-2</v>
      </c>
      <c r="AA126" s="51">
        <v>4.3375000000000004E-2</v>
      </c>
      <c r="AB126" s="51">
        <v>4.3440000000000006E-2</v>
      </c>
      <c r="AC126" s="51">
        <v>4.3483000000000001E-2</v>
      </c>
      <c r="AD126" s="51">
        <v>4.3540000000000002E-2</v>
      </c>
      <c r="AE126" s="51">
        <v>4.3650000000000001E-2</v>
      </c>
      <c r="AF126" s="51">
        <v>4.3855000000000005E-2</v>
      </c>
    </row>
    <row r="127" spans="1:32">
      <c r="A127" s="1">
        <v>41095</v>
      </c>
      <c r="B127" s="51">
        <v>1.5472E-2</v>
      </c>
      <c r="C127" s="51">
        <v>2.3129E-2</v>
      </c>
      <c r="D127" s="51">
        <v>2.3497000000000001E-2</v>
      </c>
      <c r="E127" s="51">
        <v>2.5522999999999997E-2</v>
      </c>
      <c r="F127" s="51">
        <v>2.6972999999999997E-2</v>
      </c>
      <c r="G127" s="51">
        <v>2.9485000000000001E-2</v>
      </c>
      <c r="H127" s="51">
        <v>3.1394999999999999E-2</v>
      </c>
      <c r="I127" s="51">
        <v>3.1528E-2</v>
      </c>
      <c r="J127" s="51">
        <v>3.3702999999999997E-2</v>
      </c>
      <c r="K127" s="51">
        <v>3.3953000000000004E-2</v>
      </c>
      <c r="L127" s="51">
        <v>3.3958000000000002E-2</v>
      </c>
      <c r="M127" s="51">
        <v>3.4224999999999998E-2</v>
      </c>
      <c r="N127" s="51">
        <v>3.4921000000000001E-2</v>
      </c>
      <c r="O127" s="51">
        <v>3.5878E-2</v>
      </c>
      <c r="P127" s="51">
        <v>3.6921000000000002E-2</v>
      </c>
      <c r="Q127" s="51">
        <v>3.7858999999999997E-2</v>
      </c>
      <c r="R127" s="51">
        <v>3.8656000000000003E-2</v>
      </c>
      <c r="S127" s="51">
        <v>3.9421999999999999E-2</v>
      </c>
      <c r="T127" s="51">
        <v>4.0163999999999998E-2</v>
      </c>
      <c r="U127" s="51">
        <v>4.0891000000000004E-2</v>
      </c>
      <c r="V127" s="51">
        <v>4.1612999999999997E-2</v>
      </c>
      <c r="W127" s="51">
        <v>4.2247000000000007E-2</v>
      </c>
      <c r="X127" s="51">
        <v>4.2714000000000002E-2</v>
      </c>
      <c r="Y127" s="51">
        <v>4.3038999999999994E-2</v>
      </c>
      <c r="Z127" s="51">
        <v>4.3247000000000001E-2</v>
      </c>
      <c r="AA127" s="51">
        <v>4.3367000000000003E-2</v>
      </c>
      <c r="AB127" s="51">
        <v>4.3430999999999997E-2</v>
      </c>
      <c r="AC127" s="51">
        <v>4.3471999999999997E-2</v>
      </c>
      <c r="AD127" s="51">
        <v>4.3528000000000004E-2</v>
      </c>
      <c r="AE127" s="51">
        <v>4.3635E-2</v>
      </c>
      <c r="AF127" s="51">
        <v>4.3838000000000002E-2</v>
      </c>
    </row>
    <row r="128" spans="1:32">
      <c r="A128" s="1">
        <v>41096</v>
      </c>
      <c r="B128" s="51">
        <v>1.2947E-2</v>
      </c>
      <c r="C128" s="51">
        <v>2.2525E-2</v>
      </c>
      <c r="D128" s="51">
        <v>2.2816999999999997E-2</v>
      </c>
      <c r="E128" s="51">
        <v>2.5097000000000001E-2</v>
      </c>
      <c r="F128" s="51">
        <v>2.6509000000000001E-2</v>
      </c>
      <c r="G128" s="51">
        <v>2.8934999999999999E-2</v>
      </c>
      <c r="H128" s="51">
        <v>3.0945E-2</v>
      </c>
      <c r="I128" s="51">
        <v>3.1238999999999999E-2</v>
      </c>
      <c r="J128" s="51">
        <v>3.3431999999999996E-2</v>
      </c>
      <c r="K128" s="51">
        <v>3.3724999999999998E-2</v>
      </c>
      <c r="L128" s="51">
        <v>3.3742000000000001E-2</v>
      </c>
      <c r="M128" s="51">
        <v>3.4070999999999997E-2</v>
      </c>
      <c r="N128" s="51">
        <v>3.4798000000000003E-2</v>
      </c>
      <c r="O128" s="51">
        <v>3.5765999999999999E-2</v>
      </c>
      <c r="P128" s="51">
        <v>3.6809000000000001E-2</v>
      </c>
      <c r="Q128" s="51">
        <v>3.7747000000000003E-2</v>
      </c>
      <c r="R128" s="51">
        <v>3.8553999999999998E-2</v>
      </c>
      <c r="S128" s="51">
        <v>3.9336999999999997E-2</v>
      </c>
      <c r="T128" s="51">
        <v>4.0101000000000005E-2</v>
      </c>
      <c r="U128" s="51">
        <v>4.0853E-2</v>
      </c>
      <c r="V128" s="51">
        <v>4.1599999999999998E-2</v>
      </c>
      <c r="W128" s="51">
        <v>4.2253999999999993E-2</v>
      </c>
      <c r="X128" s="51">
        <v>4.2736999999999997E-2</v>
      </c>
      <c r="Y128" s="51">
        <v>4.3071999999999999E-2</v>
      </c>
      <c r="Z128" s="51">
        <v>4.3287000000000006E-2</v>
      </c>
      <c r="AA128" s="51">
        <v>4.3410999999999998E-2</v>
      </c>
      <c r="AB128" s="51">
        <v>4.3476999999999995E-2</v>
      </c>
      <c r="AC128" s="51">
        <v>4.3521000000000004E-2</v>
      </c>
      <c r="AD128" s="51">
        <v>4.3579E-2</v>
      </c>
      <c r="AE128" s="51">
        <v>4.3692000000000002E-2</v>
      </c>
      <c r="AF128" s="51">
        <v>4.3902999999999998E-2</v>
      </c>
    </row>
    <row r="129" spans="1:32">
      <c r="A129" s="1">
        <v>41099</v>
      </c>
      <c r="B129" s="51">
        <v>1.2883E-2</v>
      </c>
      <c r="C129" s="51">
        <v>2.1979000000000002E-2</v>
      </c>
      <c r="D129" s="51">
        <v>2.2689000000000001E-2</v>
      </c>
      <c r="E129" s="51">
        <v>2.4967000000000003E-2</v>
      </c>
      <c r="F129" s="51">
        <v>2.6162000000000001E-2</v>
      </c>
      <c r="G129" s="51">
        <v>2.8686E-2</v>
      </c>
      <c r="H129" s="51">
        <v>3.0634000000000002E-2</v>
      </c>
      <c r="I129" s="51">
        <v>3.0922999999999999E-2</v>
      </c>
      <c r="J129" s="51">
        <v>3.3232999999999999E-2</v>
      </c>
      <c r="K129" s="51">
        <v>3.3478000000000001E-2</v>
      </c>
      <c r="L129" s="51">
        <v>3.3481999999999998E-2</v>
      </c>
      <c r="M129" s="51">
        <v>3.3815999999999999E-2</v>
      </c>
      <c r="N129" s="51">
        <v>3.4570999999999998E-2</v>
      </c>
      <c r="O129" s="51">
        <v>3.5581000000000002E-2</v>
      </c>
      <c r="P129" s="51">
        <v>3.6670000000000001E-2</v>
      </c>
      <c r="Q129" s="51">
        <v>3.7648000000000001E-2</v>
      </c>
      <c r="R129" s="51">
        <v>3.8468000000000002E-2</v>
      </c>
      <c r="S129" s="51">
        <v>3.9238000000000002E-2</v>
      </c>
      <c r="T129" s="51">
        <v>3.9981000000000003E-2</v>
      </c>
      <c r="U129" s="51">
        <v>4.0724000000000003E-2</v>
      </c>
      <c r="V129" s="51">
        <v>4.1493000000000002E-2</v>
      </c>
      <c r="W129" s="51">
        <v>4.2187999999999996E-2</v>
      </c>
      <c r="X129" s="51">
        <v>4.2699000000000001E-2</v>
      </c>
      <c r="Y129" s="51">
        <v>4.3053999999999995E-2</v>
      </c>
      <c r="Z129" s="51">
        <v>4.3281E-2</v>
      </c>
      <c r="AA129" s="51">
        <v>4.3413000000000007E-2</v>
      </c>
      <c r="AB129" s="51">
        <v>4.3484999999999996E-2</v>
      </c>
      <c r="AC129" s="51">
        <v>4.3536999999999999E-2</v>
      </c>
      <c r="AD129" s="51">
        <v>4.3608000000000001E-2</v>
      </c>
      <c r="AE129" s="51">
        <v>4.3743999999999998E-2</v>
      </c>
      <c r="AF129" s="51">
        <v>4.3990999999999995E-2</v>
      </c>
    </row>
    <row r="130" spans="1:32">
      <c r="A130" s="1">
        <v>41100</v>
      </c>
      <c r="B130" s="51">
        <v>1.2723E-2</v>
      </c>
      <c r="C130" s="51">
        <v>2.2161E-2</v>
      </c>
      <c r="D130" s="51">
        <v>2.2652000000000002E-2</v>
      </c>
      <c r="E130" s="51">
        <v>2.4718E-2</v>
      </c>
      <c r="F130" s="51">
        <v>2.6157E-2</v>
      </c>
      <c r="G130" s="51">
        <v>2.8471000000000003E-2</v>
      </c>
      <c r="H130" s="51">
        <v>3.0426000000000002E-2</v>
      </c>
      <c r="I130" s="51">
        <v>3.0800999999999999E-2</v>
      </c>
      <c r="J130" s="51">
        <v>3.3038999999999999E-2</v>
      </c>
      <c r="K130" s="51">
        <v>3.3302999999999999E-2</v>
      </c>
      <c r="L130" s="51">
        <v>3.3315000000000004E-2</v>
      </c>
      <c r="M130" s="51">
        <v>3.3656999999999999E-2</v>
      </c>
      <c r="N130" s="51">
        <v>3.4411999999999998E-2</v>
      </c>
      <c r="O130" s="51">
        <v>3.5417999999999998E-2</v>
      </c>
      <c r="P130" s="51">
        <v>3.6502E-2</v>
      </c>
      <c r="Q130" s="51">
        <v>3.7475000000000001E-2</v>
      </c>
      <c r="R130" s="51">
        <v>3.8290000000000005E-2</v>
      </c>
      <c r="S130" s="51">
        <v>3.9051000000000002E-2</v>
      </c>
      <c r="T130" s="51">
        <v>3.9786000000000002E-2</v>
      </c>
      <c r="U130" s="51">
        <v>4.0529999999999997E-2</v>
      </c>
      <c r="V130" s="51">
        <v>4.1319000000000002E-2</v>
      </c>
      <c r="W130" s="51">
        <v>4.2039999999999994E-2</v>
      </c>
      <c r="X130" s="51">
        <v>4.2571000000000005E-2</v>
      </c>
      <c r="Y130" s="51">
        <v>4.2939999999999999E-2</v>
      </c>
      <c r="Z130" s="51">
        <v>4.3175999999999999E-2</v>
      </c>
      <c r="AA130" s="51">
        <v>4.3314999999999999E-2</v>
      </c>
      <c r="AB130" s="51">
        <v>4.3392999999999994E-2</v>
      </c>
      <c r="AC130" s="51">
        <v>4.3451000000000004E-2</v>
      </c>
      <c r="AD130" s="51">
        <v>4.3532000000000001E-2</v>
      </c>
      <c r="AE130" s="51">
        <v>4.3680000000000004E-2</v>
      </c>
      <c r="AF130" s="51">
        <v>4.3948000000000001E-2</v>
      </c>
    </row>
    <row r="131" spans="1:32">
      <c r="A131" s="1">
        <v>41101</v>
      </c>
      <c r="B131" s="51">
        <v>1.2914000000000002E-2</v>
      </c>
      <c r="C131" s="51">
        <v>2.2235999999999999E-2</v>
      </c>
      <c r="D131" s="51">
        <v>2.2589999999999999E-2</v>
      </c>
      <c r="E131" s="51">
        <v>2.4468E-2</v>
      </c>
      <c r="F131" s="51">
        <v>2.6124999999999999E-2</v>
      </c>
      <c r="G131" s="51">
        <v>2.8247000000000001E-2</v>
      </c>
      <c r="H131" s="51">
        <v>3.0381000000000002E-2</v>
      </c>
      <c r="I131" s="51">
        <v>3.0623000000000001E-2</v>
      </c>
      <c r="J131" s="51">
        <v>3.2924000000000002E-2</v>
      </c>
      <c r="K131" s="51">
        <v>3.3152000000000001E-2</v>
      </c>
      <c r="L131" s="51">
        <v>3.3153999999999996E-2</v>
      </c>
      <c r="M131" s="51">
        <v>3.3488999999999998E-2</v>
      </c>
      <c r="N131" s="51">
        <v>3.4243999999999997E-2</v>
      </c>
      <c r="O131" s="51">
        <v>3.5253E-2</v>
      </c>
      <c r="P131" s="51">
        <v>3.6339999999999997E-2</v>
      </c>
      <c r="Q131" s="51">
        <v>3.7315000000000001E-2</v>
      </c>
      <c r="R131" s="51">
        <v>3.8163999999999997E-2</v>
      </c>
      <c r="S131" s="51">
        <v>3.9011999999999998E-2</v>
      </c>
      <c r="T131" s="51">
        <v>3.9857000000000004E-2</v>
      </c>
      <c r="U131" s="51">
        <v>4.0697999999999998E-2</v>
      </c>
      <c r="V131" s="51">
        <v>4.1533E-2</v>
      </c>
      <c r="W131" s="51">
        <v>4.2263000000000002E-2</v>
      </c>
      <c r="X131" s="51">
        <v>4.2803000000000008E-2</v>
      </c>
      <c r="Y131" s="51">
        <v>4.3178000000000001E-2</v>
      </c>
      <c r="Z131" s="51">
        <v>4.3418999999999999E-2</v>
      </c>
      <c r="AA131" s="51">
        <v>4.3560000000000001E-2</v>
      </c>
      <c r="AB131" s="51">
        <v>4.3636000000000001E-2</v>
      </c>
      <c r="AC131" s="51">
        <v>4.3688999999999999E-2</v>
      </c>
      <c r="AD131" s="51">
        <v>4.3758999999999999E-2</v>
      </c>
      <c r="AE131" s="51">
        <v>4.3892E-2</v>
      </c>
      <c r="AF131" s="51">
        <v>4.4138000000000004E-2</v>
      </c>
    </row>
    <row r="132" spans="1:32">
      <c r="A132" s="1">
        <v>41102</v>
      </c>
      <c r="B132" s="51">
        <v>1.3335999999999999E-2</v>
      </c>
      <c r="C132" s="51">
        <v>2.2286999999999998E-2</v>
      </c>
      <c r="D132" s="51">
        <v>2.2480000000000003E-2</v>
      </c>
      <c r="E132" s="51">
        <v>2.4403000000000001E-2</v>
      </c>
      <c r="F132" s="51">
        <v>2.5992999999999999E-2</v>
      </c>
      <c r="G132" s="51">
        <v>2.8052999999999998E-2</v>
      </c>
      <c r="H132" s="51">
        <v>3.0377999999999999E-2</v>
      </c>
      <c r="I132" s="51">
        <v>3.0724000000000001E-2</v>
      </c>
      <c r="J132" s="51">
        <v>3.2958000000000001E-2</v>
      </c>
      <c r="K132" s="51">
        <v>3.3258999999999997E-2</v>
      </c>
      <c r="L132" s="51">
        <v>3.3279999999999997E-2</v>
      </c>
      <c r="M132" s="51">
        <v>3.3631000000000001E-2</v>
      </c>
      <c r="N132" s="51">
        <v>3.4387000000000001E-2</v>
      </c>
      <c r="O132" s="51">
        <v>3.5387000000000002E-2</v>
      </c>
      <c r="P132" s="51">
        <v>3.6463000000000002E-2</v>
      </c>
      <c r="Q132" s="51">
        <v>3.7433000000000001E-2</v>
      </c>
      <c r="R132" s="51">
        <v>3.8275000000000003E-2</v>
      </c>
      <c r="S132" s="51">
        <v>3.9105000000000001E-2</v>
      </c>
      <c r="T132" s="51">
        <v>3.9927999999999998E-2</v>
      </c>
      <c r="U132" s="51">
        <v>4.0750000000000001E-2</v>
      </c>
      <c r="V132" s="51">
        <v>4.1577000000000003E-2</v>
      </c>
      <c r="W132" s="51">
        <v>4.2306999999999997E-2</v>
      </c>
      <c r="X132" s="51">
        <v>4.2846000000000002E-2</v>
      </c>
      <c r="Y132" s="51">
        <v>4.3223000000000004E-2</v>
      </c>
      <c r="Z132" s="51">
        <v>4.3464999999999997E-2</v>
      </c>
      <c r="AA132" s="51">
        <v>4.3606999999999993E-2</v>
      </c>
      <c r="AB132" s="51">
        <v>4.3685000000000002E-2</v>
      </c>
      <c r="AC132" s="51">
        <v>4.3737999999999999E-2</v>
      </c>
      <c r="AD132" s="51">
        <v>4.3808999999999994E-2</v>
      </c>
      <c r="AE132" s="51">
        <v>4.3941000000000001E-2</v>
      </c>
      <c r="AF132" s="51">
        <v>4.4185000000000002E-2</v>
      </c>
    </row>
    <row r="133" spans="1:32">
      <c r="A133" s="1">
        <v>41103</v>
      </c>
      <c r="B133" s="51">
        <v>1.4239E-2</v>
      </c>
      <c r="C133" s="51">
        <v>2.2171E-2</v>
      </c>
      <c r="D133" s="51">
        <v>2.2602999999999998E-2</v>
      </c>
      <c r="E133" s="51">
        <v>2.4601999999999999E-2</v>
      </c>
      <c r="F133" s="51">
        <v>2.6135000000000002E-2</v>
      </c>
      <c r="G133" s="51">
        <v>2.8098999999999999E-2</v>
      </c>
      <c r="H133" s="51">
        <v>3.0453999999999998E-2</v>
      </c>
      <c r="I133" s="51">
        <v>3.0895000000000002E-2</v>
      </c>
      <c r="J133" s="51">
        <v>3.3041000000000001E-2</v>
      </c>
      <c r="K133" s="51">
        <v>3.3347000000000002E-2</v>
      </c>
      <c r="L133" s="51">
        <v>3.3370999999999998E-2</v>
      </c>
      <c r="M133" s="51">
        <v>3.3725999999999999E-2</v>
      </c>
      <c r="N133" s="51">
        <v>3.4481999999999999E-2</v>
      </c>
      <c r="O133" s="51">
        <v>3.5480999999999999E-2</v>
      </c>
      <c r="P133" s="51">
        <v>3.6556000000000005E-2</v>
      </c>
      <c r="Q133" s="51">
        <v>3.7524000000000002E-2</v>
      </c>
      <c r="R133" s="51">
        <v>3.8363999999999995E-2</v>
      </c>
      <c r="S133" s="51">
        <v>3.9185999999999999E-2</v>
      </c>
      <c r="T133" s="51">
        <v>3.9997999999999999E-2</v>
      </c>
      <c r="U133" s="51">
        <v>4.0808999999999998E-2</v>
      </c>
      <c r="V133" s="51">
        <v>4.1627999999999998E-2</v>
      </c>
      <c r="W133" s="51">
        <v>4.2351E-2</v>
      </c>
      <c r="X133" s="51">
        <v>4.2886000000000001E-2</v>
      </c>
      <c r="Y133" s="51">
        <v>4.3257999999999998E-2</v>
      </c>
      <c r="Z133" s="51">
        <v>4.3498000000000002E-2</v>
      </c>
      <c r="AA133" s="51">
        <v>4.3638000000000003E-2</v>
      </c>
      <c r="AB133" s="51">
        <v>4.3715000000000004E-2</v>
      </c>
      <c r="AC133" s="51">
        <v>4.3768000000000001E-2</v>
      </c>
      <c r="AD133" s="51">
        <v>4.3838000000000002E-2</v>
      </c>
      <c r="AE133" s="51">
        <v>4.3971000000000003E-2</v>
      </c>
      <c r="AF133" s="51">
        <v>4.4214000000000003E-2</v>
      </c>
    </row>
    <row r="134" spans="1:32">
      <c r="A134" s="1">
        <v>41106</v>
      </c>
      <c r="B134" s="51">
        <v>1.4019999999999999E-2</v>
      </c>
      <c r="C134" s="51">
        <v>2.2353000000000001E-2</v>
      </c>
      <c r="D134" s="51">
        <v>2.2591999999999998E-2</v>
      </c>
      <c r="E134" s="51">
        <v>2.4660000000000001E-2</v>
      </c>
      <c r="F134" s="51">
        <v>2.6126999999999997E-2</v>
      </c>
      <c r="G134" s="51">
        <v>2.8287E-2</v>
      </c>
      <c r="H134" s="51">
        <v>3.0470000000000001E-2</v>
      </c>
      <c r="I134" s="51">
        <v>3.1042999999999998E-2</v>
      </c>
      <c r="J134" s="51">
        <v>3.3231000000000004E-2</v>
      </c>
      <c r="K134" s="51">
        <v>3.3527999999999995E-2</v>
      </c>
      <c r="L134" s="51">
        <v>3.3545999999999999E-2</v>
      </c>
      <c r="M134" s="51">
        <v>3.3896999999999997E-2</v>
      </c>
      <c r="N134" s="51">
        <v>3.4651000000000001E-2</v>
      </c>
      <c r="O134" s="51">
        <v>3.5649E-2</v>
      </c>
      <c r="P134" s="51">
        <v>3.6722000000000005E-2</v>
      </c>
      <c r="Q134" s="51">
        <v>3.7686999999999998E-2</v>
      </c>
      <c r="R134" s="51">
        <v>3.8517000000000003E-2</v>
      </c>
      <c r="S134" s="51">
        <v>3.9323000000000004E-2</v>
      </c>
      <c r="T134" s="51">
        <v>4.0122999999999999E-2</v>
      </c>
      <c r="U134" s="51">
        <v>4.0934999999999999E-2</v>
      </c>
      <c r="V134" s="51">
        <v>4.1771000000000003E-2</v>
      </c>
      <c r="W134" s="51">
        <v>4.2483000000000007E-2</v>
      </c>
      <c r="X134" s="51">
        <v>4.3015999999999999E-2</v>
      </c>
      <c r="Y134" s="51">
        <v>4.3394000000000002E-2</v>
      </c>
      <c r="Z134" s="51">
        <v>4.3643999999999995E-2</v>
      </c>
      <c r="AA134" s="51">
        <v>4.3796000000000002E-2</v>
      </c>
      <c r="AB134" s="51">
        <v>4.3883999999999999E-2</v>
      </c>
      <c r="AC134" s="51">
        <v>4.3944999999999998E-2</v>
      </c>
      <c r="AD134" s="51">
        <v>4.4016E-2</v>
      </c>
      <c r="AE134" s="51">
        <v>4.4138999999999998E-2</v>
      </c>
      <c r="AF134" s="51">
        <v>4.4359000000000003E-2</v>
      </c>
    </row>
    <row r="135" spans="1:32">
      <c r="A135" s="1">
        <v>41107</v>
      </c>
      <c r="B135" s="51">
        <v>1.5771E-2</v>
      </c>
      <c r="C135" s="51">
        <v>2.2452999999999997E-2</v>
      </c>
      <c r="D135" s="51">
        <v>2.2616999999999998E-2</v>
      </c>
      <c r="E135" s="51">
        <v>2.4135E-2</v>
      </c>
      <c r="F135" s="51">
        <v>2.6312000000000002E-2</v>
      </c>
      <c r="G135" s="51">
        <v>2.8517999999999998E-2</v>
      </c>
      <c r="H135" s="51">
        <v>3.0533000000000001E-2</v>
      </c>
      <c r="I135" s="51">
        <v>3.1223000000000001E-2</v>
      </c>
      <c r="J135" s="51">
        <v>3.3425999999999997E-2</v>
      </c>
      <c r="K135" s="51">
        <v>3.3647000000000003E-2</v>
      </c>
      <c r="L135" s="51">
        <v>3.3647000000000003E-2</v>
      </c>
      <c r="M135" s="51">
        <v>3.3980000000000003E-2</v>
      </c>
      <c r="N135" s="51">
        <v>3.4722000000000003E-2</v>
      </c>
      <c r="O135" s="51">
        <v>3.5711E-2</v>
      </c>
      <c r="P135" s="51">
        <v>3.6775000000000002E-2</v>
      </c>
      <c r="Q135" s="51">
        <v>3.7728999999999999E-2</v>
      </c>
      <c r="R135" s="51">
        <v>3.8532000000000004E-2</v>
      </c>
      <c r="S135" s="51">
        <v>3.9289999999999999E-2</v>
      </c>
      <c r="T135" s="51">
        <v>4.0031999999999998E-2</v>
      </c>
      <c r="U135" s="51">
        <v>4.0787000000000004E-2</v>
      </c>
      <c r="V135" s="51">
        <v>4.1588E-2</v>
      </c>
      <c r="W135" s="51">
        <v>4.2325000000000002E-2</v>
      </c>
      <c r="X135" s="51">
        <v>4.2878999999999994E-2</v>
      </c>
      <c r="Y135" s="51">
        <v>4.3274E-2</v>
      </c>
      <c r="Z135" s="51">
        <v>4.3535999999999998E-2</v>
      </c>
      <c r="AA135" s="51">
        <v>4.3697999999999994E-2</v>
      </c>
      <c r="AB135" s="51">
        <v>4.3792999999999999E-2</v>
      </c>
      <c r="AC135" s="51">
        <v>4.3857E-2</v>
      </c>
      <c r="AD135" s="51">
        <v>4.3929999999999997E-2</v>
      </c>
      <c r="AE135" s="51">
        <v>4.4054000000000003E-2</v>
      </c>
      <c r="AF135" s="51">
        <v>4.4275000000000002E-2</v>
      </c>
    </row>
    <row r="136" spans="1:32">
      <c r="A136" s="1">
        <v>41108</v>
      </c>
      <c r="B136" s="51">
        <v>1.8787999999999999E-2</v>
      </c>
      <c r="C136" s="51">
        <v>2.2513000000000002E-2</v>
      </c>
      <c r="D136" s="51">
        <v>2.2799999999999997E-2</v>
      </c>
      <c r="E136" s="51">
        <v>2.4161999999999999E-2</v>
      </c>
      <c r="F136" s="51">
        <v>2.6444000000000002E-2</v>
      </c>
      <c r="G136" s="51">
        <v>2.8595000000000002E-2</v>
      </c>
      <c r="H136" s="51">
        <v>3.0586000000000002E-2</v>
      </c>
      <c r="I136" s="51">
        <v>3.134E-2</v>
      </c>
      <c r="J136" s="51">
        <v>3.3530000000000004E-2</v>
      </c>
      <c r="K136" s="51">
        <v>3.3662999999999998E-2</v>
      </c>
      <c r="L136" s="51">
        <v>3.3642999999999999E-2</v>
      </c>
      <c r="M136" s="51">
        <v>3.3965000000000002E-2</v>
      </c>
      <c r="N136" s="51">
        <v>3.4707000000000002E-2</v>
      </c>
      <c r="O136" s="51">
        <v>3.5701999999999998E-2</v>
      </c>
      <c r="P136" s="51">
        <v>3.6775000000000002E-2</v>
      </c>
      <c r="Q136" s="51">
        <v>3.7734000000000004E-2</v>
      </c>
      <c r="R136" s="51">
        <v>3.8536000000000001E-2</v>
      </c>
      <c r="S136" s="51">
        <v>3.9294999999999997E-2</v>
      </c>
      <c r="T136" s="51">
        <v>4.0037000000000003E-2</v>
      </c>
      <c r="U136" s="51">
        <v>4.0792000000000002E-2</v>
      </c>
      <c r="V136" s="51">
        <v>4.1592999999999998E-2</v>
      </c>
      <c r="W136" s="51">
        <v>4.2331000000000001E-2</v>
      </c>
      <c r="X136" s="51">
        <v>4.2885E-2</v>
      </c>
      <c r="Y136" s="51">
        <v>4.3280000000000006E-2</v>
      </c>
      <c r="Z136" s="51">
        <v>4.3543000000000005E-2</v>
      </c>
      <c r="AA136" s="51">
        <v>4.3705000000000001E-2</v>
      </c>
      <c r="AB136" s="51">
        <v>4.3799000000000005E-2</v>
      </c>
      <c r="AC136" s="51">
        <v>4.3864E-2</v>
      </c>
      <c r="AD136" s="51">
        <v>4.3936999999999997E-2</v>
      </c>
      <c r="AE136" s="51">
        <v>4.4061000000000003E-2</v>
      </c>
      <c r="AF136" s="51">
        <v>4.4282000000000002E-2</v>
      </c>
    </row>
    <row r="137" spans="1:32">
      <c r="A137" s="1">
        <v>41109</v>
      </c>
      <c r="B137" s="51">
        <v>1.9303999999999998E-2</v>
      </c>
      <c r="C137" s="51">
        <v>2.2591E-2</v>
      </c>
      <c r="D137" s="51">
        <v>2.3113000000000002E-2</v>
      </c>
      <c r="E137" s="51">
        <v>2.4319999999999998E-2</v>
      </c>
      <c r="F137" s="51">
        <v>2.6564000000000001E-2</v>
      </c>
      <c r="G137" s="51">
        <v>2.8551000000000003E-2</v>
      </c>
      <c r="H137" s="51">
        <v>3.0689000000000001E-2</v>
      </c>
      <c r="I137" s="51">
        <v>3.1257E-2</v>
      </c>
      <c r="J137" s="51">
        <v>3.3439999999999998E-2</v>
      </c>
      <c r="K137" s="51">
        <v>3.3647000000000003E-2</v>
      </c>
      <c r="L137" s="51">
        <v>3.3642999999999999E-2</v>
      </c>
      <c r="M137" s="51">
        <v>3.3975999999999999E-2</v>
      </c>
      <c r="N137" s="51">
        <v>3.4720000000000001E-2</v>
      </c>
      <c r="O137" s="51">
        <v>3.5711E-2</v>
      </c>
      <c r="P137" s="51">
        <v>3.6777999999999998E-2</v>
      </c>
      <c r="Q137" s="51">
        <v>3.7734000000000004E-2</v>
      </c>
      <c r="R137" s="51">
        <v>3.8537000000000002E-2</v>
      </c>
      <c r="S137" s="51">
        <v>3.9294999999999997E-2</v>
      </c>
      <c r="T137" s="51">
        <v>4.0037999999999997E-2</v>
      </c>
      <c r="U137" s="51">
        <v>4.0792999999999996E-2</v>
      </c>
      <c r="V137" s="51">
        <v>4.1593999999999999E-2</v>
      </c>
      <c r="W137" s="51">
        <v>4.2332000000000002E-2</v>
      </c>
      <c r="X137" s="51">
        <v>4.2887000000000002E-2</v>
      </c>
      <c r="Y137" s="51">
        <v>4.3281E-2</v>
      </c>
      <c r="Z137" s="51">
        <v>4.3543999999999999E-2</v>
      </c>
      <c r="AA137" s="51">
        <v>4.3705999999999995E-2</v>
      </c>
      <c r="AB137" s="51">
        <v>4.3801E-2</v>
      </c>
      <c r="AC137" s="51">
        <v>4.3865000000000001E-2</v>
      </c>
      <c r="AD137" s="51">
        <v>4.3937999999999998E-2</v>
      </c>
      <c r="AE137" s="51">
        <v>4.4062000000000004E-2</v>
      </c>
      <c r="AF137" s="51">
        <v>4.4283000000000003E-2</v>
      </c>
    </row>
    <row r="138" spans="1:32">
      <c r="A138" s="1">
        <v>41110</v>
      </c>
      <c r="B138" s="51">
        <v>2.0716999999999999E-2</v>
      </c>
      <c r="C138" s="51">
        <v>2.2698999999999997E-2</v>
      </c>
      <c r="D138" s="51">
        <v>2.3073E-2</v>
      </c>
      <c r="E138" s="51">
        <v>2.402E-2</v>
      </c>
      <c r="F138" s="51">
        <v>2.6456E-2</v>
      </c>
      <c r="G138" s="51">
        <v>2.8458999999999998E-2</v>
      </c>
      <c r="H138" s="51">
        <v>3.0594E-2</v>
      </c>
      <c r="I138" s="51">
        <v>3.1173000000000003E-2</v>
      </c>
      <c r="J138" s="51">
        <v>3.3452999999999997E-2</v>
      </c>
      <c r="K138" s="51">
        <v>3.3609E-2</v>
      </c>
      <c r="L138" s="51">
        <v>3.3593999999999999E-2</v>
      </c>
      <c r="M138" s="51">
        <v>3.3919999999999999E-2</v>
      </c>
      <c r="N138" s="51">
        <v>3.4662999999999999E-2</v>
      </c>
      <c r="O138" s="51">
        <v>3.5657000000000001E-2</v>
      </c>
      <c r="P138" s="51">
        <v>3.6728000000000004E-2</v>
      </c>
      <c r="Q138" s="51">
        <v>3.7686000000000004E-2</v>
      </c>
      <c r="R138" s="51">
        <v>3.8484999999999998E-2</v>
      </c>
      <c r="S138" s="51">
        <v>3.9234999999999999E-2</v>
      </c>
      <c r="T138" s="51">
        <v>3.9966000000000002E-2</v>
      </c>
      <c r="U138" s="51">
        <v>4.0708000000000001E-2</v>
      </c>
      <c r="V138" s="51">
        <v>4.1498E-2</v>
      </c>
      <c r="W138" s="51">
        <v>4.2226E-2</v>
      </c>
      <c r="X138" s="51">
        <v>4.2771999999999998E-2</v>
      </c>
      <c r="Y138" s="51">
        <v>4.3159999999999997E-2</v>
      </c>
      <c r="Z138" s="51">
        <v>4.3418999999999999E-2</v>
      </c>
      <c r="AA138" s="51">
        <v>4.3579E-2</v>
      </c>
      <c r="AB138" s="51">
        <v>4.3674999999999999E-2</v>
      </c>
      <c r="AC138" s="51">
        <v>4.3742999999999997E-2</v>
      </c>
      <c r="AD138" s="51">
        <v>4.3823999999999995E-2</v>
      </c>
      <c r="AE138" s="51">
        <v>4.3958999999999998E-2</v>
      </c>
      <c r="AF138" s="51">
        <v>4.4195000000000005E-2</v>
      </c>
    </row>
    <row r="139" spans="1:32">
      <c r="A139" s="1">
        <v>41113</v>
      </c>
      <c r="B139" s="51">
        <v>2.2722000000000003E-2</v>
      </c>
      <c r="C139" s="51">
        <v>2.2848999999999998E-2</v>
      </c>
      <c r="D139" s="51">
        <v>2.3136999999999998E-2</v>
      </c>
      <c r="E139" s="51">
        <v>2.4262000000000002E-2</v>
      </c>
      <c r="F139" s="51">
        <v>2.6457000000000001E-2</v>
      </c>
      <c r="G139" s="51">
        <v>2.8538999999999998E-2</v>
      </c>
      <c r="H139" s="51">
        <v>3.0436000000000001E-2</v>
      </c>
      <c r="I139" s="51">
        <v>3.1093000000000003E-2</v>
      </c>
      <c r="J139" s="51">
        <v>3.3392999999999999E-2</v>
      </c>
      <c r="K139" s="51">
        <v>3.3551999999999998E-2</v>
      </c>
      <c r="L139" s="51">
        <v>3.3537999999999998E-2</v>
      </c>
      <c r="M139" s="51">
        <v>3.3868000000000002E-2</v>
      </c>
      <c r="N139" s="51">
        <v>3.4611000000000003E-2</v>
      </c>
      <c r="O139" s="51">
        <v>3.5603999999999997E-2</v>
      </c>
      <c r="P139" s="51">
        <v>3.6672999999999997E-2</v>
      </c>
      <c r="Q139" s="51">
        <v>3.7629000000000003E-2</v>
      </c>
      <c r="R139" s="51">
        <v>3.8426999999999996E-2</v>
      </c>
      <c r="S139" s="51">
        <v>3.9176999999999997E-2</v>
      </c>
      <c r="T139" s="51">
        <v>3.9907999999999999E-2</v>
      </c>
      <c r="U139" s="51">
        <v>4.0650000000000006E-2</v>
      </c>
      <c r="V139" s="51">
        <v>4.1440000000000005E-2</v>
      </c>
      <c r="W139" s="51">
        <v>4.2172000000000001E-2</v>
      </c>
      <c r="X139" s="51">
        <v>4.2728999999999996E-2</v>
      </c>
      <c r="Y139" s="51">
        <v>4.3135000000000007E-2</v>
      </c>
      <c r="Z139" s="51">
        <v>4.3414000000000001E-2</v>
      </c>
      <c r="AA139" s="51">
        <v>4.3597000000000004E-2</v>
      </c>
      <c r="AB139" s="51">
        <v>4.3714000000000003E-2</v>
      </c>
      <c r="AC139" s="51">
        <v>4.3802000000000001E-2</v>
      </c>
      <c r="AD139" s="51">
        <v>4.3895999999999998E-2</v>
      </c>
      <c r="AE139" s="51">
        <v>4.4037E-2</v>
      </c>
      <c r="AF139" s="51">
        <v>4.4268000000000002E-2</v>
      </c>
    </row>
    <row r="140" spans="1:32">
      <c r="A140" s="1">
        <v>41114</v>
      </c>
      <c r="B140" s="51">
        <v>1.8964000000000002E-2</v>
      </c>
      <c r="C140" s="51">
        <v>2.2890999999999998E-2</v>
      </c>
      <c r="D140" s="51">
        <v>2.3134000000000002E-2</v>
      </c>
      <c r="E140" s="51">
        <v>2.4184000000000001E-2</v>
      </c>
      <c r="F140" s="51">
        <v>2.6455000000000003E-2</v>
      </c>
      <c r="G140" s="51">
        <v>2.8521000000000001E-2</v>
      </c>
      <c r="H140" s="51">
        <v>3.0331E-2</v>
      </c>
      <c r="I140" s="51">
        <v>3.1258000000000001E-2</v>
      </c>
      <c r="J140" s="51">
        <v>3.3436E-2</v>
      </c>
      <c r="K140" s="51">
        <v>3.3555000000000001E-2</v>
      </c>
      <c r="L140" s="51">
        <v>3.3535000000000002E-2</v>
      </c>
      <c r="M140" s="51">
        <v>3.3862000000000003E-2</v>
      </c>
      <c r="N140" s="51">
        <v>3.4605000000000004E-2</v>
      </c>
      <c r="O140" s="51">
        <v>3.56E-2</v>
      </c>
      <c r="P140" s="51">
        <v>3.6671000000000002E-2</v>
      </c>
      <c r="Q140" s="51">
        <v>3.7627000000000001E-2</v>
      </c>
      <c r="R140" s="51">
        <v>3.8425000000000001E-2</v>
      </c>
      <c r="S140" s="51">
        <v>3.9175000000000001E-2</v>
      </c>
      <c r="T140" s="51">
        <v>3.9906000000000004E-2</v>
      </c>
      <c r="U140" s="51">
        <v>4.0648999999999998E-2</v>
      </c>
      <c r="V140" s="51">
        <v>4.1439000000000004E-2</v>
      </c>
      <c r="W140" s="51">
        <v>4.2172999999999995E-2</v>
      </c>
      <c r="X140" s="51">
        <v>4.2737999999999998E-2</v>
      </c>
      <c r="Y140" s="51">
        <v>4.3154999999999999E-2</v>
      </c>
      <c r="Z140" s="51">
        <v>4.3448000000000001E-2</v>
      </c>
      <c r="AA140" s="51">
        <v>4.3644999999999996E-2</v>
      </c>
      <c r="AB140" s="51">
        <v>4.3776999999999996E-2</v>
      </c>
      <c r="AC140" s="51">
        <v>4.3875999999999998E-2</v>
      </c>
      <c r="AD140" s="51">
        <v>4.3978999999999997E-2</v>
      </c>
      <c r="AE140" s="51">
        <v>4.4123000000000002E-2</v>
      </c>
      <c r="AF140" s="51">
        <v>4.4349999999999994E-2</v>
      </c>
    </row>
    <row r="141" spans="1:32">
      <c r="A141" s="1">
        <v>41115</v>
      </c>
      <c r="B141" s="51">
        <v>1.6258999999999999E-2</v>
      </c>
      <c r="C141" s="51">
        <v>2.2818999999999999E-2</v>
      </c>
      <c r="D141" s="51">
        <v>2.3593000000000003E-2</v>
      </c>
      <c r="E141" s="51">
        <v>2.5107000000000001E-2</v>
      </c>
      <c r="F141" s="51">
        <v>2.6617000000000002E-2</v>
      </c>
      <c r="G141" s="51">
        <v>2.8527999999999998E-2</v>
      </c>
      <c r="H141" s="51">
        <v>3.0421999999999998E-2</v>
      </c>
      <c r="I141" s="51">
        <v>3.1301999999999996E-2</v>
      </c>
      <c r="J141" s="51">
        <v>3.3410999999999996E-2</v>
      </c>
      <c r="K141" s="51">
        <v>3.3531999999999999E-2</v>
      </c>
      <c r="L141" s="51">
        <v>3.3515000000000003E-2</v>
      </c>
      <c r="M141" s="51">
        <v>3.3843999999999999E-2</v>
      </c>
      <c r="N141" s="51">
        <v>3.4589000000000002E-2</v>
      </c>
      <c r="O141" s="51">
        <v>3.5583999999999998E-2</v>
      </c>
      <c r="P141" s="51">
        <v>3.6655E-2</v>
      </c>
      <c r="Q141" s="51">
        <v>3.7610999999999999E-2</v>
      </c>
      <c r="R141" s="51">
        <v>3.8408999999999999E-2</v>
      </c>
      <c r="S141" s="51">
        <v>3.9158999999999999E-2</v>
      </c>
      <c r="T141" s="51">
        <v>3.9891000000000003E-2</v>
      </c>
      <c r="U141" s="51">
        <v>4.0633999999999997E-2</v>
      </c>
      <c r="V141" s="51">
        <v>4.1425000000000003E-2</v>
      </c>
      <c r="W141" s="51">
        <v>4.2159000000000002E-2</v>
      </c>
      <c r="X141" s="51">
        <v>4.2724999999999999E-2</v>
      </c>
      <c r="Y141" s="51">
        <v>4.3141999999999993E-2</v>
      </c>
      <c r="Z141" s="51">
        <v>4.3436000000000002E-2</v>
      </c>
      <c r="AA141" s="51">
        <v>4.3632999999999998E-2</v>
      </c>
      <c r="AB141" s="51">
        <v>4.3765999999999999E-2</v>
      </c>
      <c r="AC141" s="51">
        <v>4.3865999999999995E-2</v>
      </c>
      <c r="AD141" s="51">
        <v>4.3968999999999994E-2</v>
      </c>
      <c r="AE141" s="51">
        <v>4.4114000000000007E-2</v>
      </c>
      <c r="AF141" s="51">
        <v>4.4340999999999998E-2</v>
      </c>
    </row>
    <row r="142" spans="1:32">
      <c r="A142" s="1">
        <v>41116</v>
      </c>
      <c r="B142" s="51">
        <v>1.6046999999999999E-2</v>
      </c>
      <c r="C142" s="51">
        <v>2.2780000000000002E-2</v>
      </c>
      <c r="D142" s="51">
        <v>2.3626000000000001E-2</v>
      </c>
      <c r="E142" s="51">
        <v>2.6019999999999998E-2</v>
      </c>
      <c r="F142" s="51">
        <v>2.6549E-2</v>
      </c>
      <c r="G142" s="51">
        <v>2.8502999999999997E-2</v>
      </c>
      <c r="H142" s="51">
        <v>3.0415999999999999E-2</v>
      </c>
      <c r="I142" s="51">
        <v>3.1300000000000001E-2</v>
      </c>
      <c r="J142" s="51">
        <v>3.3312000000000001E-2</v>
      </c>
      <c r="K142" s="51">
        <v>3.3512E-2</v>
      </c>
      <c r="L142" s="51">
        <v>3.3513000000000001E-2</v>
      </c>
      <c r="M142" s="51">
        <v>3.3854999999999996E-2</v>
      </c>
      <c r="N142" s="51">
        <v>3.4601E-2</v>
      </c>
      <c r="O142" s="51">
        <v>3.5590000000000004E-2</v>
      </c>
      <c r="P142" s="51">
        <v>3.6652999999999998E-2</v>
      </c>
      <c r="Q142" s="51">
        <v>3.7605E-2</v>
      </c>
      <c r="R142" s="51">
        <v>3.8403E-2</v>
      </c>
      <c r="S142" s="51">
        <v>3.9154000000000001E-2</v>
      </c>
      <c r="T142" s="51">
        <v>3.9885000000000004E-2</v>
      </c>
      <c r="U142" s="51">
        <v>4.0628999999999998E-2</v>
      </c>
      <c r="V142" s="51">
        <v>4.1420000000000005E-2</v>
      </c>
      <c r="W142" s="51">
        <v>4.2161999999999998E-2</v>
      </c>
      <c r="X142" s="51">
        <v>4.2748000000000001E-2</v>
      </c>
      <c r="Y142" s="51">
        <v>4.3196000000000005E-2</v>
      </c>
      <c r="Z142" s="51">
        <v>4.3525999999999995E-2</v>
      </c>
      <c r="AA142" s="51">
        <v>4.3761999999999995E-2</v>
      </c>
      <c r="AB142" s="51">
        <v>4.3929000000000003E-2</v>
      </c>
      <c r="AC142" s="51">
        <v>4.4055999999999998E-2</v>
      </c>
      <c r="AD142" s="51">
        <v>4.4172999999999997E-2</v>
      </c>
      <c r="AE142" s="51">
        <v>4.4313000000000005E-2</v>
      </c>
      <c r="AF142" s="51">
        <v>4.4512000000000003E-2</v>
      </c>
    </row>
    <row r="143" spans="1:32">
      <c r="A143" s="1">
        <v>41117</v>
      </c>
      <c r="B143" s="51">
        <v>1.5446E-2</v>
      </c>
      <c r="C143" s="51">
        <v>2.2976999999999997E-2</v>
      </c>
      <c r="D143" s="51">
        <v>2.3698999999999998E-2</v>
      </c>
      <c r="E143" s="51">
        <v>2.6291999999999999E-2</v>
      </c>
      <c r="F143" s="51">
        <v>2.6683999999999999E-2</v>
      </c>
      <c r="G143" s="51">
        <v>2.8714E-2</v>
      </c>
      <c r="H143" s="51">
        <v>3.0457999999999999E-2</v>
      </c>
      <c r="I143" s="51">
        <v>3.1331999999999999E-2</v>
      </c>
      <c r="J143" s="51">
        <v>3.3300000000000003E-2</v>
      </c>
      <c r="K143" s="51">
        <v>3.3498E-2</v>
      </c>
      <c r="L143" s="51">
        <v>3.3500000000000002E-2</v>
      </c>
      <c r="M143" s="51">
        <v>3.3845E-2</v>
      </c>
      <c r="N143" s="51">
        <v>3.4591999999999998E-2</v>
      </c>
      <c r="O143" s="51">
        <v>3.5581000000000002E-2</v>
      </c>
      <c r="P143" s="51">
        <v>3.6644000000000003E-2</v>
      </c>
      <c r="Q143" s="51">
        <v>3.7595000000000003E-2</v>
      </c>
      <c r="R143" s="51">
        <v>3.8393000000000004E-2</v>
      </c>
      <c r="S143" s="51">
        <v>3.9143999999999998E-2</v>
      </c>
      <c r="T143" s="51">
        <v>3.9876000000000002E-2</v>
      </c>
      <c r="U143" s="51">
        <v>4.0620999999999997E-2</v>
      </c>
      <c r="V143" s="51">
        <v>4.1410999999999996E-2</v>
      </c>
      <c r="W143" s="51">
        <v>4.2153999999999997E-2</v>
      </c>
      <c r="X143" s="51">
        <v>4.274E-2</v>
      </c>
      <c r="Y143" s="51">
        <v>4.3188000000000004E-2</v>
      </c>
      <c r="Z143" s="51">
        <v>4.3518999999999995E-2</v>
      </c>
      <c r="AA143" s="51">
        <v>4.3754999999999995E-2</v>
      </c>
      <c r="AB143" s="51">
        <v>4.3921999999999996E-2</v>
      </c>
      <c r="AC143" s="51">
        <v>4.4048999999999998E-2</v>
      </c>
      <c r="AD143" s="51">
        <v>4.4166999999999998E-2</v>
      </c>
      <c r="AE143" s="51">
        <v>4.4306999999999999E-2</v>
      </c>
      <c r="AF143" s="51">
        <v>4.4505999999999997E-2</v>
      </c>
    </row>
    <row r="144" spans="1:32">
      <c r="A144" s="1">
        <v>41120</v>
      </c>
      <c r="B144" s="51">
        <v>1.4729000000000001E-2</v>
      </c>
      <c r="C144" s="51">
        <v>2.2952E-2</v>
      </c>
      <c r="D144" s="51">
        <v>2.3689000000000002E-2</v>
      </c>
      <c r="E144" s="51">
        <v>2.6269999999999998E-2</v>
      </c>
      <c r="F144" s="51">
        <v>2.6627000000000001E-2</v>
      </c>
      <c r="G144" s="51">
        <v>2.8820000000000002E-2</v>
      </c>
      <c r="H144" s="51">
        <v>3.0630999999999999E-2</v>
      </c>
      <c r="I144" s="51">
        <v>3.1347E-2</v>
      </c>
      <c r="J144" s="51">
        <v>3.3271000000000002E-2</v>
      </c>
      <c r="K144" s="51">
        <v>3.3479000000000002E-2</v>
      </c>
      <c r="L144" s="51">
        <v>3.3485999999999995E-2</v>
      </c>
      <c r="M144" s="51">
        <v>3.3836999999999999E-2</v>
      </c>
      <c r="N144" s="51">
        <v>3.4584999999999998E-2</v>
      </c>
      <c r="O144" s="51">
        <v>3.5571999999999999E-2</v>
      </c>
      <c r="P144" s="51">
        <v>3.6630999999999997E-2</v>
      </c>
      <c r="Q144" s="51">
        <v>3.7580000000000002E-2</v>
      </c>
      <c r="R144" s="51">
        <v>3.8377000000000001E-2</v>
      </c>
      <c r="S144" s="51">
        <v>3.9127999999999996E-2</v>
      </c>
      <c r="T144" s="51">
        <v>3.9861000000000001E-2</v>
      </c>
      <c r="U144" s="51">
        <v>4.0606000000000003E-2</v>
      </c>
      <c r="V144" s="51">
        <v>4.1395999999999995E-2</v>
      </c>
      <c r="W144" s="51">
        <v>4.2138999999999996E-2</v>
      </c>
      <c r="X144" s="51">
        <v>4.2726E-2</v>
      </c>
      <c r="Y144" s="51">
        <v>4.3174000000000004E-2</v>
      </c>
      <c r="Z144" s="51">
        <v>4.3503999999999994E-2</v>
      </c>
      <c r="AA144" s="51">
        <v>4.3739999999999994E-2</v>
      </c>
      <c r="AB144" s="51">
        <v>4.3907999999999996E-2</v>
      </c>
      <c r="AC144" s="51">
        <v>4.4035000000000005E-2</v>
      </c>
      <c r="AD144" s="51">
        <v>4.4151999999999997E-2</v>
      </c>
      <c r="AE144" s="51">
        <v>4.4292999999999999E-2</v>
      </c>
      <c r="AF144" s="51">
        <v>4.4490999999999996E-2</v>
      </c>
    </row>
    <row r="145" spans="1:32">
      <c r="A145" s="1">
        <v>41121</v>
      </c>
      <c r="B145" s="51">
        <v>1.5429999999999999E-2</v>
      </c>
      <c r="C145" s="51">
        <v>2.3077E-2</v>
      </c>
      <c r="D145" s="51">
        <v>2.3861E-2</v>
      </c>
      <c r="E145" s="51">
        <v>2.6507999999999997E-2</v>
      </c>
      <c r="F145" s="51">
        <v>2.6744E-2</v>
      </c>
      <c r="G145" s="51">
        <v>2.9009999999999998E-2</v>
      </c>
      <c r="H145" s="51">
        <v>3.0788000000000003E-2</v>
      </c>
      <c r="I145" s="51">
        <v>3.1579000000000003E-2</v>
      </c>
      <c r="J145" s="51">
        <v>3.3249000000000001E-2</v>
      </c>
      <c r="K145" s="51">
        <v>3.3599000000000004E-2</v>
      </c>
      <c r="L145" s="51">
        <v>3.3655999999999998E-2</v>
      </c>
      <c r="M145" s="51">
        <v>3.4041000000000002E-2</v>
      </c>
      <c r="N145" s="51">
        <v>3.4772999999999998E-2</v>
      </c>
      <c r="O145" s="51">
        <v>3.5715999999999998E-2</v>
      </c>
      <c r="P145" s="51">
        <v>3.6722999999999999E-2</v>
      </c>
      <c r="Q145" s="51">
        <v>3.7635999999999996E-2</v>
      </c>
      <c r="R145" s="51">
        <v>3.8420999999999997E-2</v>
      </c>
      <c r="S145" s="51">
        <v>3.9171999999999998E-2</v>
      </c>
      <c r="T145" s="51">
        <v>3.9911000000000002E-2</v>
      </c>
      <c r="U145" s="51">
        <v>4.0663999999999999E-2</v>
      </c>
      <c r="V145" s="51">
        <v>4.1459000000000003E-2</v>
      </c>
      <c r="W145" s="51">
        <v>4.2205000000000006E-2</v>
      </c>
      <c r="X145" s="51">
        <v>4.2796000000000001E-2</v>
      </c>
      <c r="Y145" s="51">
        <v>4.3250999999999998E-2</v>
      </c>
      <c r="Z145" s="51">
        <v>4.3587999999999995E-2</v>
      </c>
      <c r="AA145" s="51">
        <v>4.3830000000000001E-2</v>
      </c>
      <c r="AB145" s="51">
        <v>4.4001999999999999E-2</v>
      </c>
      <c r="AC145" s="51">
        <v>4.4130000000000003E-2</v>
      </c>
      <c r="AD145" s="51">
        <v>4.4244000000000006E-2</v>
      </c>
      <c r="AE145" s="51">
        <v>4.4374000000000004E-2</v>
      </c>
      <c r="AF145" s="51">
        <v>4.4554000000000003E-2</v>
      </c>
    </row>
    <row r="146" spans="1:32">
      <c r="A146" s="1">
        <v>41122</v>
      </c>
      <c r="B146" s="51">
        <v>1.5639E-2</v>
      </c>
      <c r="C146" s="51">
        <v>2.3277000000000003E-2</v>
      </c>
      <c r="D146" s="51">
        <v>2.3762999999999999E-2</v>
      </c>
      <c r="E146" s="51">
        <v>2.6404E-2</v>
      </c>
      <c r="F146" s="51">
        <v>2.6758999999999998E-2</v>
      </c>
      <c r="G146" s="51">
        <v>2.9047999999999997E-2</v>
      </c>
      <c r="H146" s="51">
        <v>3.0934E-2</v>
      </c>
      <c r="I146" s="51">
        <v>3.1653000000000001E-2</v>
      </c>
      <c r="J146" s="51">
        <v>3.3197999999999998E-2</v>
      </c>
      <c r="K146" s="51">
        <v>3.3579999999999999E-2</v>
      </c>
      <c r="L146" s="51">
        <v>3.3660999999999996E-2</v>
      </c>
      <c r="M146" s="51">
        <v>3.4068999999999995E-2</v>
      </c>
      <c r="N146" s="51">
        <v>3.4803000000000001E-2</v>
      </c>
      <c r="O146" s="51">
        <v>3.5734000000000002E-2</v>
      </c>
      <c r="P146" s="51">
        <v>3.6725000000000001E-2</v>
      </c>
      <c r="Q146" s="51">
        <v>3.7630999999999998E-2</v>
      </c>
      <c r="R146" s="51">
        <v>3.8415999999999999E-2</v>
      </c>
      <c r="S146" s="51">
        <v>3.9165999999999999E-2</v>
      </c>
      <c r="T146" s="51">
        <v>3.9906000000000004E-2</v>
      </c>
      <c r="U146" s="51">
        <v>4.0659000000000001E-2</v>
      </c>
      <c r="V146" s="51">
        <v>4.1454999999999999E-2</v>
      </c>
      <c r="W146" s="51">
        <v>4.2199999999999994E-2</v>
      </c>
      <c r="X146" s="51">
        <v>4.2792000000000004E-2</v>
      </c>
      <c r="Y146" s="51">
        <v>4.3246E-2</v>
      </c>
      <c r="Z146" s="51">
        <v>4.3583999999999998E-2</v>
      </c>
      <c r="AA146" s="51">
        <v>4.3826000000000004E-2</v>
      </c>
      <c r="AB146" s="51">
        <v>4.3998000000000002E-2</v>
      </c>
      <c r="AC146" s="51">
        <v>4.4126000000000005E-2</v>
      </c>
      <c r="AD146" s="51">
        <v>4.4240000000000002E-2</v>
      </c>
      <c r="AE146" s="51">
        <v>4.437E-2</v>
      </c>
      <c r="AF146" s="51">
        <v>4.4551E-2</v>
      </c>
    </row>
    <row r="147" spans="1:32">
      <c r="A147" s="1">
        <v>41123</v>
      </c>
      <c r="B147" s="51">
        <v>1.4820999999999999E-2</v>
      </c>
      <c r="C147" s="51">
        <v>2.3306E-2</v>
      </c>
      <c r="D147" s="51">
        <v>2.3733000000000001E-2</v>
      </c>
      <c r="E147" s="51">
        <v>2.6461000000000002E-2</v>
      </c>
      <c r="F147" s="51">
        <v>2.6779999999999998E-2</v>
      </c>
      <c r="G147" s="51">
        <v>2.8938999999999999E-2</v>
      </c>
      <c r="H147" s="51">
        <v>3.0861E-2</v>
      </c>
      <c r="I147" s="51">
        <v>3.1629999999999998E-2</v>
      </c>
      <c r="J147" s="51">
        <v>3.3216000000000002E-2</v>
      </c>
      <c r="K147" s="51">
        <v>3.3538999999999999E-2</v>
      </c>
      <c r="L147" s="51">
        <v>3.3591999999999997E-2</v>
      </c>
      <c r="M147" s="51">
        <v>3.3980999999999997E-2</v>
      </c>
      <c r="N147" s="51">
        <v>3.4722000000000003E-2</v>
      </c>
      <c r="O147" s="51">
        <v>3.5675999999999999E-2</v>
      </c>
      <c r="P147" s="51">
        <v>3.6695000000000005E-2</v>
      </c>
      <c r="Q147" s="51">
        <v>3.7617999999999999E-2</v>
      </c>
      <c r="R147" s="51">
        <v>3.8408999999999999E-2</v>
      </c>
      <c r="S147" s="51">
        <v>3.9158999999999999E-2</v>
      </c>
      <c r="T147" s="51">
        <v>3.9896000000000001E-2</v>
      </c>
      <c r="U147" s="51">
        <v>4.0646000000000002E-2</v>
      </c>
      <c r="V147" s="51">
        <v>4.1440000000000005E-2</v>
      </c>
      <c r="W147" s="51">
        <v>4.2185E-2</v>
      </c>
      <c r="X147" s="51">
        <v>4.2775000000000001E-2</v>
      </c>
      <c r="Y147" s="51">
        <v>4.3228000000000003E-2</v>
      </c>
      <c r="Z147" s="51">
        <v>4.3562999999999998E-2</v>
      </c>
      <c r="AA147" s="51">
        <v>4.3803999999999996E-2</v>
      </c>
      <c r="AB147" s="51">
        <v>4.3975E-2</v>
      </c>
      <c r="AC147" s="51">
        <v>4.4103000000000003E-2</v>
      </c>
      <c r="AD147" s="51">
        <v>4.4217000000000006E-2</v>
      </c>
      <c r="AE147" s="51">
        <v>4.4349999999999994E-2</v>
      </c>
      <c r="AF147" s="51">
        <v>4.4534999999999998E-2</v>
      </c>
    </row>
    <row r="148" spans="1:32">
      <c r="A148" s="1">
        <v>41124</v>
      </c>
      <c r="B148" s="51">
        <v>1.448E-2</v>
      </c>
      <c r="C148" s="51">
        <v>2.3553000000000001E-2</v>
      </c>
      <c r="D148" s="51">
        <v>2.3856000000000002E-2</v>
      </c>
      <c r="E148" s="51">
        <v>2.6568000000000001E-2</v>
      </c>
      <c r="F148" s="51">
        <v>2.6782E-2</v>
      </c>
      <c r="G148" s="51">
        <v>2.9019E-2</v>
      </c>
      <c r="H148" s="51">
        <v>3.0935999999999998E-2</v>
      </c>
      <c r="I148" s="51">
        <v>3.1690000000000003E-2</v>
      </c>
      <c r="J148" s="51">
        <v>3.3250000000000002E-2</v>
      </c>
      <c r="K148" s="51">
        <v>3.3575000000000001E-2</v>
      </c>
      <c r="L148" s="51">
        <v>3.3631000000000001E-2</v>
      </c>
      <c r="M148" s="51">
        <v>3.4020000000000002E-2</v>
      </c>
      <c r="N148" s="51">
        <v>3.4756999999999996E-2</v>
      </c>
      <c r="O148" s="51">
        <v>3.5704E-2</v>
      </c>
      <c r="P148" s="51">
        <v>3.6714999999999998E-2</v>
      </c>
      <c r="Q148" s="51">
        <v>3.7630999999999998E-2</v>
      </c>
      <c r="R148" s="51">
        <v>3.8418000000000001E-2</v>
      </c>
      <c r="S148" s="51">
        <v>3.9169000000000002E-2</v>
      </c>
      <c r="T148" s="51">
        <v>3.9906999999999998E-2</v>
      </c>
      <c r="U148" s="51">
        <v>4.0660000000000002E-2</v>
      </c>
      <c r="V148" s="51">
        <v>4.1454999999999999E-2</v>
      </c>
      <c r="W148" s="51">
        <v>4.2199999999999994E-2</v>
      </c>
      <c r="X148" s="51">
        <v>4.2792000000000004E-2</v>
      </c>
      <c r="Y148" s="51">
        <v>4.3247000000000001E-2</v>
      </c>
      <c r="Z148" s="51">
        <v>4.3583999999999998E-2</v>
      </c>
      <c r="AA148" s="51">
        <v>4.3826999999999998E-2</v>
      </c>
      <c r="AB148" s="51">
        <v>4.3998999999999996E-2</v>
      </c>
      <c r="AC148" s="51">
        <v>4.4127E-2</v>
      </c>
      <c r="AD148" s="51">
        <v>4.4241000000000003E-2</v>
      </c>
      <c r="AE148" s="51">
        <v>4.4371000000000001E-2</v>
      </c>
      <c r="AF148" s="51">
        <v>4.4551E-2</v>
      </c>
    </row>
    <row r="149" spans="1:32">
      <c r="A149" s="1">
        <v>41127</v>
      </c>
      <c r="B149" s="51">
        <v>1.423E-2</v>
      </c>
      <c r="C149" s="51">
        <v>2.3727999999999999E-2</v>
      </c>
      <c r="D149" s="51">
        <v>2.4296999999999999E-2</v>
      </c>
      <c r="E149" s="51">
        <v>2.6852000000000001E-2</v>
      </c>
      <c r="F149" s="51">
        <v>2.7078999999999999E-2</v>
      </c>
      <c r="G149" s="51">
        <v>2.9314E-2</v>
      </c>
      <c r="H149" s="51">
        <v>3.1174E-2</v>
      </c>
      <c r="I149" s="51">
        <v>3.1878999999999998E-2</v>
      </c>
      <c r="J149" s="51">
        <v>3.3242000000000001E-2</v>
      </c>
      <c r="K149" s="51">
        <v>3.3694000000000002E-2</v>
      </c>
      <c r="L149" s="51">
        <v>3.3835999999999998E-2</v>
      </c>
      <c r="M149" s="51">
        <v>3.4294999999999999E-2</v>
      </c>
      <c r="N149" s="51">
        <v>3.5014999999999998E-2</v>
      </c>
      <c r="O149" s="51">
        <v>3.5893000000000001E-2</v>
      </c>
      <c r="P149" s="51">
        <v>3.6823000000000002E-2</v>
      </c>
      <c r="Q149" s="51">
        <v>3.7687999999999999E-2</v>
      </c>
      <c r="R149" s="51">
        <v>3.8460000000000001E-2</v>
      </c>
      <c r="S149" s="51">
        <v>3.9209999999999995E-2</v>
      </c>
      <c r="T149" s="51">
        <v>3.9956999999999999E-2</v>
      </c>
      <c r="U149" s="51">
        <v>4.0719999999999999E-2</v>
      </c>
      <c r="V149" s="51">
        <v>4.1521000000000002E-2</v>
      </c>
      <c r="W149" s="51">
        <v>4.2268999999999994E-2</v>
      </c>
      <c r="X149" s="51">
        <v>4.2866999999999995E-2</v>
      </c>
      <c r="Y149" s="51">
        <v>4.333E-2</v>
      </c>
      <c r="Z149" s="51">
        <v>4.3676000000000006E-2</v>
      </c>
      <c r="AA149" s="51">
        <v>4.3926E-2</v>
      </c>
      <c r="AB149" s="51">
        <v>4.4103000000000003E-2</v>
      </c>
      <c r="AC149" s="51">
        <v>4.4231999999999994E-2</v>
      </c>
      <c r="AD149" s="51">
        <v>4.4340999999999998E-2</v>
      </c>
      <c r="AE149" s="51">
        <v>4.446E-2</v>
      </c>
      <c r="AF149" s="51">
        <v>4.4618000000000005E-2</v>
      </c>
    </row>
    <row r="150" spans="1:32">
      <c r="A150" s="1">
        <v>41128</v>
      </c>
      <c r="B150" s="51">
        <v>1.4791E-2</v>
      </c>
      <c r="C150" s="51">
        <v>2.4077999999999999E-2</v>
      </c>
      <c r="D150" s="51">
        <v>2.5832999999999998E-2</v>
      </c>
      <c r="E150" s="51">
        <v>2.7134000000000002E-2</v>
      </c>
      <c r="F150" s="51">
        <v>2.7288999999999997E-2</v>
      </c>
      <c r="G150" s="51">
        <v>2.9557000000000003E-2</v>
      </c>
      <c r="H150" s="51">
        <v>3.1244999999999998E-2</v>
      </c>
      <c r="I150" s="51">
        <v>3.2163999999999998E-2</v>
      </c>
      <c r="J150" s="51">
        <v>3.3319999999999995E-2</v>
      </c>
      <c r="K150" s="51">
        <v>3.3861000000000002E-2</v>
      </c>
      <c r="L150" s="51">
        <v>3.4034000000000002E-2</v>
      </c>
      <c r="M150" s="51">
        <v>3.4522999999999998E-2</v>
      </c>
      <c r="N150" s="51">
        <v>3.5220000000000001E-2</v>
      </c>
      <c r="O150" s="51">
        <v>3.6046999999999996E-2</v>
      </c>
      <c r="P150" s="51">
        <v>3.6922999999999997E-2</v>
      </c>
      <c r="Q150" s="51">
        <v>3.7758E-2</v>
      </c>
      <c r="R150" s="51">
        <v>3.8528E-2</v>
      </c>
      <c r="S150" s="51">
        <v>3.9279000000000001E-2</v>
      </c>
      <c r="T150" s="51">
        <v>4.0029000000000002E-2</v>
      </c>
      <c r="U150" s="51">
        <v>4.0795999999999999E-2</v>
      </c>
      <c r="V150" s="51">
        <v>4.1599999999999998E-2</v>
      </c>
      <c r="W150" s="51">
        <v>4.2352000000000001E-2</v>
      </c>
      <c r="X150" s="51">
        <v>4.2956000000000001E-2</v>
      </c>
      <c r="Y150" s="51">
        <v>4.3428000000000001E-2</v>
      </c>
      <c r="Z150" s="51">
        <v>4.3784000000000003E-2</v>
      </c>
      <c r="AA150" s="51">
        <v>4.4042999999999999E-2</v>
      </c>
      <c r="AB150" s="51">
        <v>4.4226000000000001E-2</v>
      </c>
      <c r="AC150" s="51">
        <v>4.4357000000000001E-2</v>
      </c>
      <c r="AD150" s="51">
        <v>4.446E-2</v>
      </c>
      <c r="AE150" s="51">
        <v>4.4564000000000006E-2</v>
      </c>
      <c r="AF150" s="51">
        <v>4.4698000000000002E-2</v>
      </c>
    </row>
    <row r="151" spans="1:32">
      <c r="A151" s="1">
        <v>41129</v>
      </c>
      <c r="B151" s="51">
        <v>1.4929E-2</v>
      </c>
      <c r="C151" s="51">
        <v>2.4378E-2</v>
      </c>
      <c r="D151" s="51">
        <v>2.6148999999999999E-2</v>
      </c>
      <c r="E151" s="51">
        <v>2.7389E-2</v>
      </c>
      <c r="F151" s="51">
        <v>2.7595000000000001E-2</v>
      </c>
      <c r="G151" s="51">
        <v>2.9996999999999999E-2</v>
      </c>
      <c r="H151" s="51">
        <v>3.1718000000000003E-2</v>
      </c>
      <c r="I151" s="51">
        <v>3.2400000000000005E-2</v>
      </c>
      <c r="J151" s="51">
        <v>3.3464999999999995E-2</v>
      </c>
      <c r="K151" s="51">
        <v>3.4028999999999997E-2</v>
      </c>
      <c r="L151" s="51">
        <v>3.4283000000000001E-2</v>
      </c>
      <c r="M151" s="51">
        <v>3.4803000000000001E-2</v>
      </c>
      <c r="N151" s="51">
        <v>3.5478000000000003E-2</v>
      </c>
      <c r="O151" s="51">
        <v>3.6251000000000005E-2</v>
      </c>
      <c r="P151" s="51">
        <v>3.7062999999999999E-2</v>
      </c>
      <c r="Q151" s="51">
        <v>3.7850000000000002E-2</v>
      </c>
      <c r="R151" s="51">
        <v>3.8599000000000001E-2</v>
      </c>
      <c r="S151" s="51">
        <v>3.9348999999999995E-2</v>
      </c>
      <c r="T151" s="51">
        <v>4.011E-2</v>
      </c>
      <c r="U151" s="51">
        <v>4.0891000000000004E-2</v>
      </c>
      <c r="V151" s="51">
        <v>4.1702000000000003E-2</v>
      </c>
      <c r="W151" s="51">
        <v>4.2458000000000003E-2</v>
      </c>
      <c r="X151" s="51">
        <v>4.3071999999999999E-2</v>
      </c>
      <c r="Y151" s="51">
        <v>4.3555000000000003E-2</v>
      </c>
      <c r="Z151" s="51">
        <v>4.3922999999999997E-2</v>
      </c>
      <c r="AA151" s="51">
        <v>4.4192000000000002E-2</v>
      </c>
      <c r="AB151" s="51">
        <v>4.4382000000000005E-2</v>
      </c>
      <c r="AC151" s="51">
        <v>4.4513999999999998E-2</v>
      </c>
      <c r="AD151" s="51">
        <v>4.4610999999999998E-2</v>
      </c>
      <c r="AE151" s="51">
        <v>4.4698000000000002E-2</v>
      </c>
      <c r="AF151" s="51">
        <v>4.4800000000000006E-2</v>
      </c>
    </row>
    <row r="152" spans="1:32">
      <c r="A152" s="1">
        <v>41130</v>
      </c>
      <c r="B152" s="51">
        <v>1.5438E-2</v>
      </c>
      <c r="C152" s="51">
        <v>2.4381E-2</v>
      </c>
      <c r="D152" s="51">
        <v>2.6053000000000003E-2</v>
      </c>
      <c r="E152" s="51">
        <v>2.6998000000000001E-2</v>
      </c>
      <c r="F152" s="51">
        <v>2.7564999999999999E-2</v>
      </c>
      <c r="G152" s="51">
        <v>2.9910000000000003E-2</v>
      </c>
      <c r="H152" s="51">
        <v>3.1567999999999999E-2</v>
      </c>
      <c r="I152" s="51">
        <v>3.2294000000000003E-2</v>
      </c>
      <c r="J152" s="51">
        <v>3.3430000000000001E-2</v>
      </c>
      <c r="K152" s="51">
        <v>3.3645999999999995E-2</v>
      </c>
      <c r="L152" s="51">
        <v>3.3681000000000003E-2</v>
      </c>
      <c r="M152" s="51">
        <v>3.4055000000000002E-2</v>
      </c>
      <c r="N152" s="51">
        <v>3.4787999999999999E-2</v>
      </c>
      <c r="O152" s="51">
        <v>3.5736999999999998E-2</v>
      </c>
      <c r="P152" s="51">
        <v>3.6749999999999998E-2</v>
      </c>
      <c r="Q152" s="51">
        <v>3.7662000000000001E-2</v>
      </c>
      <c r="R152" s="51">
        <v>3.8443999999999999E-2</v>
      </c>
      <c r="S152" s="51">
        <v>3.9197000000000003E-2</v>
      </c>
      <c r="T152" s="51">
        <v>3.9940000000000003E-2</v>
      </c>
      <c r="U152" s="51">
        <v>4.0698999999999999E-2</v>
      </c>
      <c r="V152" s="51">
        <v>4.1498E-2</v>
      </c>
      <c r="W152" s="51">
        <v>4.2247000000000007E-2</v>
      </c>
      <c r="X152" s="51">
        <v>4.2846000000000002E-2</v>
      </c>
      <c r="Y152" s="51">
        <v>4.3309E-2</v>
      </c>
      <c r="Z152" s="51">
        <v>4.3656E-2</v>
      </c>
      <c r="AA152" s="51">
        <v>4.3907000000000002E-2</v>
      </c>
      <c r="AB152" s="51">
        <v>4.4084999999999999E-2</v>
      </c>
      <c r="AC152" s="51">
        <v>4.4214999999999997E-2</v>
      </c>
      <c r="AD152" s="51">
        <v>4.4325000000000003E-2</v>
      </c>
      <c r="AE152" s="51">
        <v>4.4443000000000003E-2</v>
      </c>
      <c r="AF152" s="51">
        <v>4.4602000000000003E-2</v>
      </c>
    </row>
    <row r="153" spans="1:32">
      <c r="A153" s="1">
        <v>41131</v>
      </c>
      <c r="B153" s="51">
        <v>1.6039000000000001E-2</v>
      </c>
      <c r="C153" s="51">
        <v>2.3959000000000001E-2</v>
      </c>
      <c r="D153" s="51">
        <v>2.5932E-2</v>
      </c>
      <c r="E153" s="51">
        <v>2.6785999999999997E-2</v>
      </c>
      <c r="F153" s="51">
        <v>2.7494000000000001E-2</v>
      </c>
      <c r="G153" s="51">
        <v>2.9892999999999999E-2</v>
      </c>
      <c r="H153" s="51">
        <v>3.1224999999999999E-2</v>
      </c>
      <c r="I153" s="51">
        <v>3.2273999999999997E-2</v>
      </c>
      <c r="J153" s="51">
        <v>3.3361999999999996E-2</v>
      </c>
      <c r="K153" s="51">
        <v>3.3467999999999998E-2</v>
      </c>
      <c r="L153" s="51">
        <v>3.3466999999999997E-2</v>
      </c>
      <c r="M153" s="51">
        <v>3.3820999999999997E-2</v>
      </c>
      <c r="N153" s="51">
        <v>3.4568000000000002E-2</v>
      </c>
      <c r="O153" s="51">
        <v>3.5552E-2</v>
      </c>
      <c r="P153" s="51">
        <v>3.6603999999999998E-2</v>
      </c>
      <c r="Q153" s="51">
        <v>3.7545000000000002E-2</v>
      </c>
      <c r="R153" s="51">
        <v>3.8336000000000002E-2</v>
      </c>
      <c r="S153" s="51">
        <v>3.9088999999999999E-2</v>
      </c>
      <c r="T153" s="51">
        <v>3.9827000000000001E-2</v>
      </c>
      <c r="U153" s="51">
        <v>4.0579000000000004E-2</v>
      </c>
      <c r="V153" s="51">
        <v>4.1373E-2</v>
      </c>
      <c r="W153" s="51">
        <v>4.2138000000000002E-2</v>
      </c>
      <c r="X153" s="51">
        <v>4.2779999999999999E-2</v>
      </c>
      <c r="Y153" s="51">
        <v>4.3310000000000001E-2</v>
      </c>
      <c r="Z153" s="51">
        <v>4.3737999999999999E-2</v>
      </c>
      <c r="AA153" s="51">
        <v>4.4077000000000005E-2</v>
      </c>
      <c r="AB153" s="51">
        <v>4.4340000000000004E-2</v>
      </c>
      <c r="AC153" s="51">
        <v>4.4542999999999999E-2</v>
      </c>
      <c r="AD153" s="51">
        <v>4.4703E-2</v>
      </c>
      <c r="AE153" s="51">
        <v>4.4839000000000004E-2</v>
      </c>
      <c r="AF153" s="51">
        <v>4.4972000000000005E-2</v>
      </c>
    </row>
    <row r="154" spans="1:32">
      <c r="A154" s="1">
        <v>41134</v>
      </c>
      <c r="B154" s="51">
        <v>1.3788E-2</v>
      </c>
      <c r="C154" s="51">
        <v>2.4134000000000003E-2</v>
      </c>
      <c r="D154" s="51">
        <v>2.6113000000000001E-2</v>
      </c>
      <c r="E154" s="51">
        <v>2.7067000000000001E-2</v>
      </c>
      <c r="F154" s="51">
        <v>2.7467000000000002E-2</v>
      </c>
      <c r="G154" s="51">
        <v>3.0194000000000002E-2</v>
      </c>
      <c r="H154" s="51">
        <v>3.1630999999999999E-2</v>
      </c>
      <c r="I154" s="51">
        <v>3.2507000000000001E-2</v>
      </c>
      <c r="J154" s="51">
        <v>3.3399999999999999E-2</v>
      </c>
      <c r="K154" s="51">
        <v>3.3628999999999999E-2</v>
      </c>
      <c r="L154" s="51">
        <v>3.3680000000000002E-2</v>
      </c>
      <c r="M154" s="51">
        <v>3.4068999999999995E-2</v>
      </c>
      <c r="N154" s="51">
        <v>3.4795E-2</v>
      </c>
      <c r="O154" s="51">
        <v>3.5723999999999999E-2</v>
      </c>
      <c r="P154" s="51">
        <v>3.6713000000000003E-2</v>
      </c>
      <c r="Q154" s="51">
        <v>3.7608000000000003E-2</v>
      </c>
      <c r="R154" s="51">
        <v>3.8383E-2</v>
      </c>
      <c r="S154" s="51">
        <v>3.9135000000000003E-2</v>
      </c>
      <c r="T154" s="51">
        <v>3.9882000000000001E-2</v>
      </c>
      <c r="U154" s="51">
        <v>4.0645000000000001E-2</v>
      </c>
      <c r="V154" s="51">
        <v>4.1445999999999997E-2</v>
      </c>
      <c r="W154" s="51">
        <v>4.2203999999999998E-2</v>
      </c>
      <c r="X154" s="51">
        <v>4.2827000000000004E-2</v>
      </c>
      <c r="Y154" s="51">
        <v>4.3327999999999998E-2</v>
      </c>
      <c r="Z154" s="51">
        <v>4.3719000000000001E-2</v>
      </c>
      <c r="AA154" s="51">
        <v>4.4017999999999995E-2</v>
      </c>
      <c r="AB154" s="51">
        <v>4.4241999999999997E-2</v>
      </c>
      <c r="AC154" s="51">
        <v>4.4409999999999998E-2</v>
      </c>
      <c r="AD154" s="51">
        <v>4.4544E-2</v>
      </c>
      <c r="AE154" s="51">
        <v>4.4667999999999999E-2</v>
      </c>
      <c r="AF154" s="51">
        <v>4.4805999999999999E-2</v>
      </c>
    </row>
    <row r="155" spans="1:32">
      <c r="A155" s="1">
        <v>41135</v>
      </c>
      <c r="B155" s="51">
        <v>1.6197E-2</v>
      </c>
      <c r="C155" s="51">
        <v>2.4183E-2</v>
      </c>
      <c r="D155" s="51">
        <v>2.6364000000000002E-2</v>
      </c>
      <c r="E155" s="51">
        <v>2.7439000000000002E-2</v>
      </c>
      <c r="F155" s="51">
        <v>2.7778000000000001E-2</v>
      </c>
      <c r="G155" s="51">
        <v>3.0447999999999999E-2</v>
      </c>
      <c r="H155" s="51">
        <v>3.1877000000000003E-2</v>
      </c>
      <c r="I155" s="51">
        <v>3.2665E-2</v>
      </c>
      <c r="J155" s="51">
        <v>3.3369000000000003E-2</v>
      </c>
      <c r="K155" s="51">
        <v>3.3641000000000004E-2</v>
      </c>
      <c r="L155" s="51">
        <v>3.3744999999999997E-2</v>
      </c>
      <c r="M155" s="51">
        <v>3.4182999999999998E-2</v>
      </c>
      <c r="N155" s="51">
        <v>3.4915000000000002E-2</v>
      </c>
      <c r="O155" s="51">
        <v>3.5823999999999995E-2</v>
      </c>
      <c r="P155" s="51">
        <v>3.6788000000000001E-2</v>
      </c>
      <c r="Q155" s="51">
        <v>3.7672999999999998E-2</v>
      </c>
      <c r="R155" s="51">
        <v>3.8448000000000003E-2</v>
      </c>
      <c r="S155" s="51">
        <v>3.9190000000000003E-2</v>
      </c>
      <c r="T155" s="51">
        <v>3.9923E-2</v>
      </c>
      <c r="U155" s="51">
        <v>4.0669000000000004E-2</v>
      </c>
      <c r="V155" s="51">
        <v>4.1456999999999994E-2</v>
      </c>
      <c r="W155" s="51">
        <v>4.2202999999999997E-2</v>
      </c>
      <c r="X155" s="51">
        <v>4.2817000000000001E-2</v>
      </c>
      <c r="Y155" s="51">
        <v>4.3309E-2</v>
      </c>
      <c r="Z155" s="51">
        <v>4.3693000000000003E-2</v>
      </c>
      <c r="AA155" s="51">
        <v>4.3985000000000003E-2</v>
      </c>
      <c r="AB155" s="51">
        <v>4.4204E-2</v>
      </c>
      <c r="AC155" s="51">
        <v>4.4368999999999999E-2</v>
      </c>
      <c r="AD155" s="51">
        <v>4.4500999999999999E-2</v>
      </c>
      <c r="AE155" s="51">
        <v>4.4623999999999997E-2</v>
      </c>
      <c r="AF155" s="51">
        <v>4.4763000000000004E-2</v>
      </c>
    </row>
    <row r="156" spans="1:32">
      <c r="A156" s="1">
        <v>41136</v>
      </c>
      <c r="B156" s="51">
        <v>2.0562999999999998E-2</v>
      </c>
      <c r="C156" s="51">
        <v>2.4571999999999997E-2</v>
      </c>
      <c r="D156" s="51">
        <v>2.7014E-2</v>
      </c>
      <c r="E156" s="51">
        <v>2.7892E-2</v>
      </c>
      <c r="F156" s="51">
        <v>2.8285999999999999E-2</v>
      </c>
      <c r="G156" s="51">
        <v>3.0889000000000003E-2</v>
      </c>
      <c r="H156" s="51">
        <v>3.2170000000000004E-2</v>
      </c>
      <c r="I156" s="51">
        <v>3.279E-2</v>
      </c>
      <c r="J156" s="51">
        <v>3.3530999999999998E-2</v>
      </c>
      <c r="K156" s="51">
        <v>3.3877000000000004E-2</v>
      </c>
      <c r="L156" s="51">
        <v>3.4047999999999995E-2</v>
      </c>
      <c r="M156" s="51">
        <v>3.4525E-2</v>
      </c>
      <c r="N156" s="51">
        <v>3.5228000000000002E-2</v>
      </c>
      <c r="O156" s="51">
        <v>3.6067999999999996E-2</v>
      </c>
      <c r="P156" s="51">
        <v>3.6953E-2</v>
      </c>
      <c r="Q156" s="51">
        <v>3.7780000000000001E-2</v>
      </c>
      <c r="R156" s="51">
        <v>3.8525999999999998E-2</v>
      </c>
      <c r="S156" s="51">
        <v>3.9248999999999999E-2</v>
      </c>
      <c r="T156" s="51">
        <v>3.9966000000000002E-2</v>
      </c>
      <c r="U156" s="51">
        <v>4.0697999999999998E-2</v>
      </c>
      <c r="V156" s="51">
        <v>4.1466000000000003E-2</v>
      </c>
      <c r="W156" s="51">
        <v>4.2194000000000002E-2</v>
      </c>
      <c r="X156" s="51">
        <v>4.2795E-2</v>
      </c>
      <c r="Y156" s="51">
        <v>4.3280000000000006E-2</v>
      </c>
      <c r="Z156" s="51">
        <v>4.3661000000000005E-2</v>
      </c>
      <c r="AA156" s="51">
        <v>4.3954000000000007E-2</v>
      </c>
      <c r="AB156" s="51">
        <v>4.4173999999999998E-2</v>
      </c>
      <c r="AC156" s="51">
        <v>4.4340999999999998E-2</v>
      </c>
      <c r="AD156" s="51">
        <v>4.4474E-2</v>
      </c>
      <c r="AE156" s="51">
        <v>4.4595000000000003E-2</v>
      </c>
      <c r="AF156" s="51">
        <v>4.4726999999999996E-2</v>
      </c>
    </row>
    <row r="157" spans="1:32">
      <c r="A157" s="1">
        <v>41137</v>
      </c>
      <c r="B157" s="51">
        <v>2.0389000000000001E-2</v>
      </c>
      <c r="C157" s="51">
        <v>2.4622000000000002E-2</v>
      </c>
      <c r="D157" s="51">
        <v>2.7136999999999998E-2</v>
      </c>
      <c r="E157" s="51">
        <v>2.8087000000000001E-2</v>
      </c>
      <c r="F157" s="51">
        <v>2.8386000000000002E-2</v>
      </c>
      <c r="G157" s="51">
        <v>3.0997E-2</v>
      </c>
      <c r="H157" s="51">
        <v>3.2214E-2</v>
      </c>
      <c r="I157" s="51">
        <v>3.2939999999999997E-2</v>
      </c>
      <c r="J157" s="51">
        <v>3.3547E-2</v>
      </c>
      <c r="K157" s="51">
        <v>3.3889000000000002E-2</v>
      </c>
      <c r="L157" s="51">
        <v>3.4114999999999999E-2</v>
      </c>
      <c r="M157" s="51">
        <v>3.4603000000000002E-2</v>
      </c>
      <c r="N157" s="51">
        <v>3.5298999999999997E-2</v>
      </c>
      <c r="O157" s="51">
        <v>3.6122999999999995E-2</v>
      </c>
      <c r="P157" s="51">
        <v>3.6988E-2</v>
      </c>
      <c r="Q157" s="51">
        <v>3.7803000000000003E-2</v>
      </c>
      <c r="R157" s="51">
        <v>3.8542E-2</v>
      </c>
      <c r="S157" s="51">
        <v>3.9260000000000003E-2</v>
      </c>
      <c r="T157" s="51">
        <v>3.9973999999999996E-2</v>
      </c>
      <c r="U157" s="51">
        <v>4.0702999999999996E-2</v>
      </c>
      <c r="V157" s="51">
        <v>4.1467999999999998E-2</v>
      </c>
      <c r="W157" s="51">
        <v>4.2192E-2</v>
      </c>
      <c r="X157" s="51">
        <v>4.2790000000000002E-2</v>
      </c>
      <c r="Y157" s="51">
        <v>4.3272999999999999E-2</v>
      </c>
      <c r="Z157" s="51">
        <v>4.3653000000000004E-2</v>
      </c>
      <c r="AA157" s="51">
        <v>4.3945999999999999E-2</v>
      </c>
      <c r="AB157" s="51">
        <v>4.4168000000000006E-2</v>
      </c>
      <c r="AC157" s="51">
        <v>4.4335000000000006E-2</v>
      </c>
      <c r="AD157" s="51">
        <v>4.4467999999999994E-2</v>
      </c>
      <c r="AE157" s="51">
        <v>4.4588999999999997E-2</v>
      </c>
      <c r="AF157" s="51">
        <v>4.4718999999999995E-2</v>
      </c>
    </row>
    <row r="158" spans="1:32">
      <c r="A158" s="52">
        <v>41138</v>
      </c>
      <c r="B158" s="51">
        <v>2.1196000000000003E-2</v>
      </c>
      <c r="C158" s="51">
        <v>2.4745E-2</v>
      </c>
      <c r="D158" s="51">
        <v>2.7250999999999997E-2</v>
      </c>
      <c r="E158" s="51">
        <v>2.8081999999999999E-2</v>
      </c>
      <c r="F158" s="51">
        <v>2.8553000000000002E-2</v>
      </c>
      <c r="G158" s="51">
        <v>3.1156000000000003E-2</v>
      </c>
      <c r="H158" s="51">
        <v>3.2167000000000001E-2</v>
      </c>
      <c r="I158" s="51">
        <v>3.2780000000000004E-2</v>
      </c>
      <c r="J158" s="51">
        <v>3.3597000000000002E-2</v>
      </c>
      <c r="K158" s="51">
        <v>3.3871000000000005E-2</v>
      </c>
      <c r="L158" s="51">
        <v>3.3963E-2</v>
      </c>
      <c r="M158" s="51">
        <v>3.4381000000000002E-2</v>
      </c>
      <c r="N158" s="51">
        <v>3.5089999999999996E-2</v>
      </c>
      <c r="O158" s="51">
        <v>3.5977000000000002E-2</v>
      </c>
      <c r="P158" s="51">
        <v>3.6916999999999998E-2</v>
      </c>
      <c r="Q158" s="51">
        <v>3.7776999999999998E-2</v>
      </c>
      <c r="R158" s="51">
        <v>3.8528E-2</v>
      </c>
      <c r="S158" s="51">
        <v>3.9251999999999995E-2</v>
      </c>
      <c r="T158" s="51">
        <v>3.9967999999999997E-2</v>
      </c>
      <c r="U158" s="51">
        <v>4.0697999999999998E-2</v>
      </c>
      <c r="V158" s="51">
        <v>4.1466000000000003E-2</v>
      </c>
      <c r="W158" s="51">
        <v>4.2194000000000002E-2</v>
      </c>
      <c r="X158" s="51">
        <v>4.2793999999999999E-2</v>
      </c>
      <c r="Y158" s="51">
        <v>4.3276000000000002E-2</v>
      </c>
      <c r="Z158" s="51">
        <v>4.3653999999999998E-2</v>
      </c>
      <c r="AA158" s="51">
        <v>4.3944000000000004E-2</v>
      </c>
      <c r="AB158" s="51">
        <v>4.4160999999999999E-2</v>
      </c>
      <c r="AC158" s="51">
        <v>4.4325999999999997E-2</v>
      </c>
      <c r="AD158" s="51">
        <v>4.4457000000000003E-2</v>
      </c>
      <c r="AE158" s="51">
        <v>4.4578E-2</v>
      </c>
      <c r="AF158" s="51">
        <v>4.4711999999999995E-2</v>
      </c>
    </row>
    <row r="159" spans="1:32">
      <c r="A159" s="52">
        <v>41141</v>
      </c>
      <c r="B159" s="51">
        <v>2.2970999999999998E-2</v>
      </c>
      <c r="C159" s="51">
        <v>2.5215999999999999E-2</v>
      </c>
      <c r="D159" s="51">
        <v>2.7595000000000001E-2</v>
      </c>
      <c r="E159" s="51">
        <v>2.8879999999999999E-2</v>
      </c>
      <c r="F159" s="51">
        <v>2.9443E-2</v>
      </c>
      <c r="G159" s="51">
        <v>3.1221000000000002E-2</v>
      </c>
      <c r="H159" s="51">
        <v>3.2252000000000003E-2</v>
      </c>
      <c r="I159" s="51">
        <v>3.3224999999999998E-2</v>
      </c>
      <c r="J159" s="51">
        <v>3.3675999999999998E-2</v>
      </c>
      <c r="K159" s="51">
        <v>3.3973000000000003E-2</v>
      </c>
      <c r="L159" s="51">
        <v>3.4176999999999999E-2</v>
      </c>
      <c r="M159" s="51">
        <v>3.4645000000000002E-2</v>
      </c>
      <c r="N159" s="51">
        <v>3.5333999999999997E-2</v>
      </c>
      <c r="O159" s="51">
        <v>3.6158000000000003E-2</v>
      </c>
      <c r="P159" s="51">
        <v>3.7024000000000001E-2</v>
      </c>
      <c r="Q159" s="51">
        <v>3.7834E-2</v>
      </c>
      <c r="R159" s="51">
        <v>3.8565000000000002E-2</v>
      </c>
      <c r="S159" s="51">
        <v>3.9275000000000004E-2</v>
      </c>
      <c r="T159" s="51">
        <v>3.9981000000000003E-2</v>
      </c>
      <c r="U159" s="51">
        <v>4.0701999999999995E-2</v>
      </c>
      <c r="V159" s="51">
        <v>4.1458000000000002E-2</v>
      </c>
      <c r="W159" s="51">
        <v>4.2175999999999998E-2</v>
      </c>
      <c r="X159" s="51">
        <v>4.2770999999999997E-2</v>
      </c>
      <c r="Y159" s="51">
        <v>4.3255999999999996E-2</v>
      </c>
      <c r="Z159" s="51">
        <v>4.3640999999999999E-2</v>
      </c>
      <c r="AA159" s="51">
        <v>4.394E-2</v>
      </c>
      <c r="AB159" s="51">
        <v>4.4168000000000006E-2</v>
      </c>
      <c r="AC159" s="51">
        <v>4.4340999999999998E-2</v>
      </c>
      <c r="AD159" s="51">
        <v>4.4477000000000003E-2</v>
      </c>
      <c r="AE159" s="51">
        <v>4.4596999999999998E-2</v>
      </c>
      <c r="AF159" s="51">
        <v>4.4721000000000004E-2</v>
      </c>
    </row>
    <row r="160" spans="1:32">
      <c r="A160" s="52">
        <v>41142</v>
      </c>
      <c r="B160" s="51">
        <v>2.4346E-2</v>
      </c>
      <c r="C160" s="51">
        <v>2.5565999999999998E-2</v>
      </c>
      <c r="D160" s="51">
        <v>2.8222000000000001E-2</v>
      </c>
      <c r="E160" s="51">
        <v>2.9169E-2</v>
      </c>
      <c r="F160" s="51">
        <v>2.9649000000000002E-2</v>
      </c>
      <c r="G160" s="51">
        <v>3.1373999999999999E-2</v>
      </c>
      <c r="H160" s="51">
        <v>3.2128999999999998E-2</v>
      </c>
      <c r="I160" s="51">
        <v>3.3363000000000004E-2</v>
      </c>
      <c r="J160" s="51">
        <v>3.3895000000000002E-2</v>
      </c>
      <c r="K160" s="51">
        <v>3.4119999999999998E-2</v>
      </c>
      <c r="L160" s="51">
        <v>3.4166000000000002E-2</v>
      </c>
      <c r="M160" s="51">
        <v>3.4533999999999995E-2</v>
      </c>
      <c r="N160" s="51">
        <v>3.5222999999999997E-2</v>
      </c>
      <c r="O160" s="51">
        <v>3.6104999999999998E-2</v>
      </c>
      <c r="P160" s="51">
        <v>3.7041999999999999E-2</v>
      </c>
      <c r="Q160" s="51">
        <v>3.7886999999999997E-2</v>
      </c>
      <c r="R160" s="51">
        <v>3.8623999999999999E-2</v>
      </c>
      <c r="S160" s="51">
        <v>3.9350999999999997E-2</v>
      </c>
      <c r="T160" s="51">
        <v>4.0080999999999999E-2</v>
      </c>
      <c r="U160" s="51">
        <v>4.0827999999999996E-2</v>
      </c>
      <c r="V160" s="51">
        <v>4.1607999999999999E-2</v>
      </c>
      <c r="W160" s="51">
        <v>4.2337999999999994E-2</v>
      </c>
      <c r="X160" s="51">
        <v>4.2934E-2</v>
      </c>
      <c r="Y160" s="51">
        <v>4.3407999999999995E-2</v>
      </c>
      <c r="Z160" s="51">
        <v>4.3772000000000005E-2</v>
      </c>
      <c r="AA160" s="51">
        <v>4.4044E-2</v>
      </c>
      <c r="AB160" s="51">
        <v>4.4240000000000002E-2</v>
      </c>
      <c r="AC160" s="51">
        <v>4.4382000000000005E-2</v>
      </c>
      <c r="AD160" s="51">
        <v>4.4489000000000001E-2</v>
      </c>
      <c r="AE160" s="51">
        <v>4.4585E-2</v>
      </c>
      <c r="AF160" s="51">
        <v>4.4696E-2</v>
      </c>
    </row>
    <row r="161" spans="1:32">
      <c r="A161" s="52">
        <v>41143</v>
      </c>
      <c r="B161" s="51">
        <v>2.0247000000000001E-2</v>
      </c>
      <c r="C161" s="51">
        <v>2.5814E-2</v>
      </c>
      <c r="D161" s="51">
        <v>2.844E-2</v>
      </c>
      <c r="E161" s="51">
        <v>2.963E-2</v>
      </c>
      <c r="F161" s="51">
        <v>3.0436000000000001E-2</v>
      </c>
      <c r="G161" s="51">
        <v>3.2170999999999998E-2</v>
      </c>
      <c r="H161" s="51">
        <v>3.2728E-2</v>
      </c>
      <c r="I161" s="51">
        <v>3.3732999999999999E-2</v>
      </c>
      <c r="J161" s="51">
        <v>3.4251999999999998E-2</v>
      </c>
      <c r="K161" s="51">
        <v>3.4450000000000001E-2</v>
      </c>
      <c r="L161" s="51">
        <v>3.4516999999999999E-2</v>
      </c>
      <c r="M161" s="51">
        <v>3.4887000000000001E-2</v>
      </c>
      <c r="N161" s="51">
        <v>3.5536999999999999E-2</v>
      </c>
      <c r="O161" s="51">
        <v>3.6354999999999998E-2</v>
      </c>
      <c r="P161" s="51">
        <v>3.7222999999999999E-2</v>
      </c>
      <c r="Q161" s="51">
        <v>3.8010999999999996E-2</v>
      </c>
      <c r="R161" s="51">
        <v>3.8711000000000002E-2</v>
      </c>
      <c r="S161" s="51">
        <v>3.9413999999999998E-2</v>
      </c>
      <c r="T161" s="51">
        <v>4.0126000000000002E-2</v>
      </c>
      <c r="U161" s="51">
        <v>4.0856000000000003E-2</v>
      </c>
      <c r="V161" s="51">
        <v>4.1614000000000005E-2</v>
      </c>
      <c r="W161" s="51">
        <v>4.2325999999999996E-2</v>
      </c>
      <c r="X161" s="51">
        <v>4.2915000000000002E-2</v>
      </c>
      <c r="Y161" s="51">
        <v>4.3392E-2</v>
      </c>
      <c r="Z161" s="51">
        <v>4.3768000000000001E-2</v>
      </c>
      <c r="AA161" s="51">
        <v>4.4054999999999997E-2</v>
      </c>
      <c r="AB161" s="51">
        <v>4.4268999999999996E-2</v>
      </c>
      <c r="AC161" s="51">
        <v>4.4424999999999999E-2</v>
      </c>
      <c r="AD161" s="51">
        <v>4.4539999999999996E-2</v>
      </c>
      <c r="AE161" s="51">
        <v>4.4634E-2</v>
      </c>
      <c r="AF161" s="51">
        <v>4.4726999999999996E-2</v>
      </c>
    </row>
    <row r="162" spans="1:32">
      <c r="A162" s="52">
        <v>41144</v>
      </c>
      <c r="B162" s="51">
        <v>1.9997000000000001E-2</v>
      </c>
      <c r="C162" s="51">
        <v>2.63E-2</v>
      </c>
      <c r="D162" s="51">
        <v>2.8347999999999998E-2</v>
      </c>
      <c r="E162" s="51">
        <v>2.9526E-2</v>
      </c>
      <c r="F162" s="51">
        <v>3.0537999999999999E-2</v>
      </c>
      <c r="G162" s="51">
        <v>3.1606999999999996E-2</v>
      </c>
      <c r="H162" s="51">
        <v>3.2298E-2</v>
      </c>
      <c r="I162" s="51">
        <v>3.3456E-2</v>
      </c>
      <c r="J162" s="51">
        <v>3.4247E-2</v>
      </c>
      <c r="K162" s="51">
        <v>3.4290000000000001E-2</v>
      </c>
      <c r="L162" s="51">
        <v>3.4264999999999997E-2</v>
      </c>
      <c r="M162" s="51">
        <v>3.4581000000000001E-2</v>
      </c>
      <c r="N162" s="51">
        <v>3.5243999999999998E-2</v>
      </c>
      <c r="O162" s="51">
        <v>3.6116000000000002E-2</v>
      </c>
      <c r="P162" s="51">
        <v>3.7045000000000002E-2</v>
      </c>
      <c r="Q162" s="51">
        <v>3.7871999999999996E-2</v>
      </c>
      <c r="R162" s="51">
        <v>3.8589000000000005E-2</v>
      </c>
      <c r="S162" s="51">
        <v>3.9310999999999999E-2</v>
      </c>
      <c r="T162" s="51">
        <v>4.0045999999999998E-2</v>
      </c>
      <c r="U162" s="51">
        <v>4.0800000000000003E-2</v>
      </c>
      <c r="V162" s="51">
        <v>4.1581E-2</v>
      </c>
      <c r="W162" s="51">
        <v>4.2312000000000002E-2</v>
      </c>
      <c r="X162" s="51">
        <v>4.2913E-2</v>
      </c>
      <c r="Y162" s="51">
        <v>4.3396999999999998E-2</v>
      </c>
      <c r="Z162" s="51">
        <v>4.3777999999999997E-2</v>
      </c>
      <c r="AA162" s="51">
        <v>4.4069000000000004E-2</v>
      </c>
      <c r="AB162" s="51">
        <v>4.4290000000000003E-2</v>
      </c>
      <c r="AC162" s="51">
        <v>4.4458000000000004E-2</v>
      </c>
      <c r="AD162" s="51">
        <v>4.4595000000000003E-2</v>
      </c>
      <c r="AE162" s="51">
        <v>4.4721999999999998E-2</v>
      </c>
      <c r="AF162" s="51">
        <v>4.4827000000000006E-2</v>
      </c>
    </row>
    <row r="163" spans="1:32">
      <c r="A163" s="52">
        <v>41145</v>
      </c>
      <c r="B163" s="51">
        <v>1.643E-2</v>
      </c>
      <c r="C163" s="51">
        <v>2.6275E-2</v>
      </c>
      <c r="D163" s="51">
        <v>2.8140000000000002E-2</v>
      </c>
      <c r="E163" s="51">
        <v>2.9422999999999998E-2</v>
      </c>
      <c r="F163" s="51">
        <v>3.0394999999999998E-2</v>
      </c>
      <c r="G163" s="51">
        <v>3.0955E-2</v>
      </c>
      <c r="H163" s="51">
        <v>3.1820000000000001E-2</v>
      </c>
      <c r="I163" s="51">
        <v>3.2793000000000003E-2</v>
      </c>
      <c r="J163" s="51">
        <v>3.3759000000000004E-2</v>
      </c>
      <c r="K163" s="51">
        <v>3.3933999999999999E-2</v>
      </c>
      <c r="L163" s="51">
        <v>3.3931000000000003E-2</v>
      </c>
      <c r="M163" s="51">
        <v>3.4268E-2</v>
      </c>
      <c r="N163" s="51">
        <v>3.4970000000000001E-2</v>
      </c>
      <c r="O163" s="51">
        <v>3.5889999999999998E-2</v>
      </c>
      <c r="P163" s="51">
        <v>3.6871000000000001E-2</v>
      </c>
      <c r="Q163" s="51">
        <v>3.7744E-2</v>
      </c>
      <c r="R163" s="51">
        <v>3.8496000000000002E-2</v>
      </c>
      <c r="S163" s="51">
        <v>3.9243E-2</v>
      </c>
      <c r="T163" s="51">
        <v>3.9994999999999996E-2</v>
      </c>
      <c r="U163" s="51">
        <v>4.0765999999999997E-2</v>
      </c>
      <c r="V163" s="51">
        <v>4.1567999999999994E-2</v>
      </c>
      <c r="W163" s="51">
        <v>4.2324000000000001E-2</v>
      </c>
      <c r="X163" s="51">
        <v>4.2950000000000002E-2</v>
      </c>
      <c r="Y163" s="51">
        <v>4.3454E-2</v>
      </c>
      <c r="Z163" s="51">
        <v>4.3851000000000001E-2</v>
      </c>
      <c r="AA163" s="51">
        <v>4.4153000000000005E-2</v>
      </c>
      <c r="AB163" s="51">
        <v>4.4375999999999999E-2</v>
      </c>
      <c r="AC163" s="51">
        <v>4.4539000000000002E-2</v>
      </c>
      <c r="AD163" s="51">
        <v>4.4659000000000004E-2</v>
      </c>
      <c r="AE163" s="51">
        <v>4.4756999999999998E-2</v>
      </c>
      <c r="AF163" s="51">
        <v>4.4856999999999994E-2</v>
      </c>
    </row>
    <row r="164" spans="1:32">
      <c r="A164" s="52">
        <v>41148</v>
      </c>
      <c r="B164" s="51">
        <v>1.6422000000000003E-2</v>
      </c>
      <c r="C164" s="51">
        <v>2.6412000000000001E-2</v>
      </c>
      <c r="D164" s="51">
        <v>2.8376999999999999E-2</v>
      </c>
      <c r="E164" s="51">
        <v>2.9601000000000002E-2</v>
      </c>
      <c r="F164" s="51">
        <v>3.0398999999999999E-2</v>
      </c>
      <c r="G164" s="51">
        <v>3.1057000000000001E-2</v>
      </c>
      <c r="H164" s="51">
        <v>3.1905000000000003E-2</v>
      </c>
      <c r="I164" s="51">
        <v>3.2688000000000002E-2</v>
      </c>
      <c r="J164" s="51">
        <v>3.3878999999999999E-2</v>
      </c>
      <c r="K164" s="51">
        <v>3.4050999999999998E-2</v>
      </c>
      <c r="L164" s="51">
        <v>3.4077999999999997E-2</v>
      </c>
      <c r="M164" s="51">
        <v>3.4430999999999996E-2</v>
      </c>
      <c r="N164" s="51">
        <v>3.5118999999999997E-2</v>
      </c>
      <c r="O164" s="51">
        <v>3.6006999999999997E-2</v>
      </c>
      <c r="P164" s="51">
        <v>3.6950999999999998E-2</v>
      </c>
      <c r="Q164" s="51">
        <v>3.7796999999999997E-2</v>
      </c>
      <c r="R164" s="51">
        <v>3.8535E-2</v>
      </c>
      <c r="S164" s="51">
        <v>3.9272000000000001E-2</v>
      </c>
      <c r="T164" s="51">
        <v>4.0018000000000005E-2</v>
      </c>
      <c r="U164" s="51">
        <v>4.0782999999999993E-2</v>
      </c>
      <c r="V164" s="51">
        <v>4.1577999999999997E-2</v>
      </c>
      <c r="W164" s="51">
        <v>4.2325999999999996E-2</v>
      </c>
      <c r="X164" s="51">
        <v>4.2945999999999998E-2</v>
      </c>
      <c r="Y164" s="51">
        <v>4.3446999999999993E-2</v>
      </c>
      <c r="Z164" s="51">
        <v>4.3841999999999999E-2</v>
      </c>
      <c r="AA164" s="51">
        <v>4.4143999999999996E-2</v>
      </c>
      <c r="AB164" s="51">
        <v>4.4367999999999998E-2</v>
      </c>
      <c r="AC164" s="51">
        <v>4.4531000000000001E-2</v>
      </c>
      <c r="AD164" s="51">
        <v>4.4652000000000004E-2</v>
      </c>
      <c r="AE164" s="51">
        <v>4.4748999999999997E-2</v>
      </c>
      <c r="AF164" s="51">
        <v>4.4844999999999996E-2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62"/>
  <sheetViews>
    <sheetView workbookViewId="0">
      <selection activeCell="B8" sqref="B8"/>
    </sheetView>
  </sheetViews>
  <sheetFormatPr defaultColWidth="25.125" defaultRowHeight="15"/>
  <cols>
    <col min="1" max="1" width="52.125" style="181" bestFit="1" customWidth="1"/>
    <col min="2" max="8" width="52.625" style="3" bestFit="1" customWidth="1"/>
    <col min="9" max="9" width="52.625" style="181" bestFit="1" customWidth="1"/>
    <col min="10" max="16384" width="25.125" style="3"/>
  </cols>
  <sheetData>
    <row r="1" spans="1:9">
      <c r="A1" s="177" t="s">
        <v>52</v>
      </c>
      <c r="B1" s="175" t="s">
        <v>1337</v>
      </c>
      <c r="I1" s="3"/>
    </row>
    <row r="2" spans="1:9">
      <c r="A2" s="178" t="s">
        <v>51</v>
      </c>
      <c r="B2" s="176" t="s">
        <v>1338</v>
      </c>
      <c r="I2" s="3"/>
    </row>
    <row r="3" spans="1:9">
      <c r="A3" s="4"/>
      <c r="I3" s="3"/>
    </row>
    <row r="4" spans="1:9">
      <c r="A4" s="4"/>
      <c r="I4" s="3"/>
    </row>
    <row r="5" spans="1:9">
      <c r="A5" s="4" t="s">
        <v>53</v>
      </c>
      <c r="I5" s="3"/>
    </row>
    <row r="6" spans="1:9">
      <c r="A6" s="179" t="s">
        <v>50</v>
      </c>
      <c r="B6" s="173" t="s">
        <v>54</v>
      </c>
      <c r="C6" s="173">
        <v>1</v>
      </c>
      <c r="D6" s="173">
        <v>2</v>
      </c>
      <c r="E6" s="173">
        <v>5</v>
      </c>
      <c r="F6" s="173">
        <v>10</v>
      </c>
      <c r="G6" s="173">
        <v>20</v>
      </c>
      <c r="H6" s="173">
        <v>30</v>
      </c>
      <c r="I6" s="174" t="s">
        <v>661</v>
      </c>
    </row>
    <row r="7" spans="1:9">
      <c r="A7" s="180">
        <v>41100</v>
      </c>
      <c r="B7" s="3" t="s">
        <v>662</v>
      </c>
      <c r="C7" s="3" t="s">
        <v>663</v>
      </c>
      <c r="D7" s="3" t="s">
        <v>664</v>
      </c>
      <c r="E7" s="3" t="s">
        <v>665</v>
      </c>
      <c r="F7" s="3" t="s">
        <v>666</v>
      </c>
      <c r="G7" s="3" t="s">
        <v>667</v>
      </c>
      <c r="H7" s="3" t="s">
        <v>668</v>
      </c>
      <c r="I7" s="175" t="s">
        <v>669</v>
      </c>
    </row>
    <row r="8" spans="1:9">
      <c r="A8" s="180">
        <v>41101</v>
      </c>
      <c r="B8" s="3" t="s">
        <v>670</v>
      </c>
      <c r="C8" s="3" t="s">
        <v>671</v>
      </c>
      <c r="D8" s="3" t="s">
        <v>672</v>
      </c>
      <c r="E8" s="3" t="s">
        <v>673</v>
      </c>
      <c r="F8" s="3" t="s">
        <v>674</v>
      </c>
      <c r="G8" s="3" t="s">
        <v>675</v>
      </c>
      <c r="H8" s="3" t="s">
        <v>676</v>
      </c>
      <c r="I8" s="181" t="s">
        <v>677</v>
      </c>
    </row>
    <row r="9" spans="1:9">
      <c r="A9" s="180">
        <v>41102</v>
      </c>
      <c r="B9" s="3" t="s">
        <v>678</v>
      </c>
      <c r="C9" s="3" t="s">
        <v>679</v>
      </c>
      <c r="D9" s="3" t="s">
        <v>680</v>
      </c>
      <c r="E9" s="3" t="s">
        <v>681</v>
      </c>
      <c r="F9" s="3" t="s">
        <v>682</v>
      </c>
      <c r="G9" s="3" t="s">
        <v>683</v>
      </c>
      <c r="H9" s="3" t="s">
        <v>684</v>
      </c>
      <c r="I9" s="181" t="s">
        <v>685</v>
      </c>
    </row>
    <row r="10" spans="1:9">
      <c r="A10" s="180">
        <v>41103</v>
      </c>
      <c r="B10" s="3" t="s">
        <v>686</v>
      </c>
      <c r="C10" s="3" t="s">
        <v>687</v>
      </c>
      <c r="D10" s="3" t="s">
        <v>688</v>
      </c>
      <c r="E10" s="3" t="s">
        <v>689</v>
      </c>
      <c r="F10" s="3" t="s">
        <v>690</v>
      </c>
      <c r="G10" s="3" t="s">
        <v>691</v>
      </c>
      <c r="H10" s="3" t="s">
        <v>692</v>
      </c>
      <c r="I10" s="181" t="s">
        <v>693</v>
      </c>
    </row>
    <row r="11" spans="1:9">
      <c r="A11" s="180">
        <v>41106</v>
      </c>
      <c r="B11" s="3" t="s">
        <v>694</v>
      </c>
      <c r="C11" s="3" t="s">
        <v>695</v>
      </c>
      <c r="D11" s="3" t="s">
        <v>696</v>
      </c>
      <c r="E11" s="3" t="s">
        <v>697</v>
      </c>
      <c r="F11" s="3" t="s">
        <v>698</v>
      </c>
      <c r="G11" s="3" t="s">
        <v>699</v>
      </c>
      <c r="H11" s="3" t="s">
        <v>700</v>
      </c>
      <c r="I11" s="181" t="s">
        <v>701</v>
      </c>
    </row>
    <row r="12" spans="1:9">
      <c r="A12" s="180">
        <v>41107</v>
      </c>
      <c r="B12" s="3" t="s">
        <v>702</v>
      </c>
      <c r="C12" s="3" t="s">
        <v>703</v>
      </c>
      <c r="D12" s="3" t="s">
        <v>704</v>
      </c>
      <c r="E12" s="3" t="s">
        <v>705</v>
      </c>
      <c r="F12" s="3" t="s">
        <v>706</v>
      </c>
      <c r="G12" s="3" t="s">
        <v>707</v>
      </c>
      <c r="H12" s="3" t="s">
        <v>708</v>
      </c>
      <c r="I12" s="181" t="s">
        <v>709</v>
      </c>
    </row>
    <row r="13" spans="1:9">
      <c r="A13" s="180">
        <v>41108</v>
      </c>
      <c r="B13" s="3" t="s">
        <v>710</v>
      </c>
      <c r="C13" s="3" t="s">
        <v>711</v>
      </c>
      <c r="D13" s="3" t="s">
        <v>712</v>
      </c>
      <c r="E13" s="3" t="s">
        <v>713</v>
      </c>
      <c r="F13" s="3" t="s">
        <v>714</v>
      </c>
      <c r="G13" s="3" t="s">
        <v>715</v>
      </c>
      <c r="H13" s="3" t="s">
        <v>716</v>
      </c>
      <c r="I13" s="181" t="s">
        <v>717</v>
      </c>
    </row>
    <row r="14" spans="1:9">
      <c r="A14" s="180">
        <v>41109</v>
      </c>
      <c r="B14" s="3" t="s">
        <v>718</v>
      </c>
      <c r="C14" s="3" t="s">
        <v>719</v>
      </c>
      <c r="D14" s="3" t="s">
        <v>720</v>
      </c>
      <c r="E14" s="3" t="s">
        <v>721</v>
      </c>
      <c r="F14" s="3" t="s">
        <v>722</v>
      </c>
      <c r="G14" s="3" t="s">
        <v>723</v>
      </c>
      <c r="H14" s="3" t="s">
        <v>724</v>
      </c>
      <c r="I14" s="181" t="s">
        <v>725</v>
      </c>
    </row>
    <row r="15" spans="1:9">
      <c r="A15" s="180">
        <v>41092</v>
      </c>
      <c r="B15" s="3" t="s">
        <v>726</v>
      </c>
      <c r="C15" s="3" t="s">
        <v>727</v>
      </c>
      <c r="D15" s="3" t="s">
        <v>728</v>
      </c>
      <c r="E15" s="3" t="s">
        <v>729</v>
      </c>
      <c r="F15" s="3" t="s">
        <v>730</v>
      </c>
      <c r="G15" s="3" t="s">
        <v>731</v>
      </c>
      <c r="H15" s="3" t="s">
        <v>732</v>
      </c>
      <c r="I15" s="181" t="s">
        <v>733</v>
      </c>
    </row>
    <row r="16" spans="1:9">
      <c r="A16" s="180">
        <v>41110</v>
      </c>
      <c r="B16" s="3" t="s">
        <v>734</v>
      </c>
      <c r="C16" s="3" t="s">
        <v>735</v>
      </c>
      <c r="D16" s="3" t="s">
        <v>736</v>
      </c>
      <c r="E16" s="3" t="s">
        <v>737</v>
      </c>
      <c r="F16" s="3" t="s">
        <v>738</v>
      </c>
      <c r="G16" s="3" t="s">
        <v>739</v>
      </c>
      <c r="H16" s="3" t="s">
        <v>740</v>
      </c>
      <c r="I16" s="181" t="s">
        <v>741</v>
      </c>
    </row>
    <row r="17" spans="1:9">
      <c r="A17" s="180">
        <v>41113</v>
      </c>
      <c r="B17" s="3" t="s">
        <v>742</v>
      </c>
      <c r="C17" s="3" t="s">
        <v>743</v>
      </c>
      <c r="D17" s="3" t="s">
        <v>744</v>
      </c>
      <c r="E17" s="3" t="s">
        <v>745</v>
      </c>
      <c r="F17" s="3" t="s">
        <v>746</v>
      </c>
      <c r="G17" s="3" t="s">
        <v>747</v>
      </c>
      <c r="H17" s="3" t="s">
        <v>748</v>
      </c>
      <c r="I17" s="181" t="s">
        <v>749</v>
      </c>
    </row>
    <row r="18" spans="1:9">
      <c r="A18" s="180">
        <v>41114</v>
      </c>
      <c r="B18" s="3" t="s">
        <v>750</v>
      </c>
      <c r="C18" s="3" t="s">
        <v>751</v>
      </c>
      <c r="D18" s="3" t="s">
        <v>752</v>
      </c>
      <c r="E18" s="3" t="s">
        <v>753</v>
      </c>
      <c r="F18" s="3" t="s">
        <v>754</v>
      </c>
      <c r="G18" s="3" t="s">
        <v>755</v>
      </c>
      <c r="H18" s="3" t="s">
        <v>756</v>
      </c>
      <c r="I18" s="181" t="s">
        <v>757</v>
      </c>
    </row>
    <row r="19" spans="1:9">
      <c r="A19" s="180">
        <v>41115</v>
      </c>
      <c r="B19" s="3" t="s">
        <v>758</v>
      </c>
      <c r="C19" s="3" t="s">
        <v>759</v>
      </c>
      <c r="D19" s="3" t="s">
        <v>760</v>
      </c>
      <c r="E19" s="3" t="s">
        <v>761</v>
      </c>
      <c r="F19" s="3" t="s">
        <v>762</v>
      </c>
      <c r="G19" s="3" t="s">
        <v>763</v>
      </c>
      <c r="H19" s="3" t="s">
        <v>764</v>
      </c>
      <c r="I19" s="181" t="s">
        <v>765</v>
      </c>
    </row>
    <row r="20" spans="1:9">
      <c r="A20" s="180">
        <v>41116</v>
      </c>
      <c r="B20" s="3" t="s">
        <v>766</v>
      </c>
      <c r="C20" s="3" t="s">
        <v>767</v>
      </c>
      <c r="D20" s="3" t="s">
        <v>768</v>
      </c>
      <c r="E20" s="3" t="s">
        <v>769</v>
      </c>
      <c r="F20" s="3" t="s">
        <v>770</v>
      </c>
      <c r="G20" s="3" t="s">
        <v>771</v>
      </c>
      <c r="H20" s="3" t="s">
        <v>772</v>
      </c>
      <c r="I20" s="181" t="s">
        <v>773</v>
      </c>
    </row>
    <row r="21" spans="1:9">
      <c r="A21" s="180">
        <v>41117</v>
      </c>
      <c r="B21" s="3" t="s">
        <v>774</v>
      </c>
      <c r="C21" s="3" t="s">
        <v>775</v>
      </c>
      <c r="D21" s="3" t="s">
        <v>776</v>
      </c>
      <c r="E21" s="3" t="s">
        <v>777</v>
      </c>
      <c r="F21" s="3" t="s">
        <v>778</v>
      </c>
      <c r="G21" s="3" t="s">
        <v>779</v>
      </c>
      <c r="H21" s="3" t="s">
        <v>780</v>
      </c>
      <c r="I21" s="181" t="s">
        <v>781</v>
      </c>
    </row>
    <row r="22" spans="1:9">
      <c r="A22" s="180">
        <v>41093</v>
      </c>
      <c r="B22" s="3" t="s">
        <v>782</v>
      </c>
      <c r="C22" s="3" t="s">
        <v>783</v>
      </c>
      <c r="D22" s="3" t="s">
        <v>784</v>
      </c>
      <c r="E22" s="3" t="s">
        <v>785</v>
      </c>
      <c r="F22" s="3" t="s">
        <v>786</v>
      </c>
      <c r="G22" s="3" t="s">
        <v>787</v>
      </c>
      <c r="H22" s="3" t="s">
        <v>788</v>
      </c>
      <c r="I22" s="181" t="s">
        <v>789</v>
      </c>
    </row>
    <row r="23" spans="1:9">
      <c r="A23" s="180">
        <v>41120</v>
      </c>
      <c r="B23" s="3" t="s">
        <v>790</v>
      </c>
      <c r="C23" s="3" t="s">
        <v>791</v>
      </c>
      <c r="D23" s="3" t="s">
        <v>792</v>
      </c>
      <c r="E23" s="3" t="s">
        <v>793</v>
      </c>
      <c r="F23" s="3" t="s">
        <v>794</v>
      </c>
      <c r="G23" s="3" t="s">
        <v>795</v>
      </c>
      <c r="H23" s="3" t="s">
        <v>796</v>
      </c>
      <c r="I23" s="181" t="s">
        <v>797</v>
      </c>
    </row>
    <row r="24" spans="1:9">
      <c r="A24" s="180">
        <v>41121</v>
      </c>
      <c r="B24" s="3" t="s">
        <v>798</v>
      </c>
      <c r="C24" s="3" t="s">
        <v>799</v>
      </c>
      <c r="D24" s="3" t="s">
        <v>800</v>
      </c>
      <c r="E24" s="3" t="s">
        <v>801</v>
      </c>
      <c r="F24" s="3" t="s">
        <v>802</v>
      </c>
      <c r="G24" s="3" t="s">
        <v>803</v>
      </c>
      <c r="H24" s="3" t="s">
        <v>804</v>
      </c>
      <c r="I24" s="181" t="s">
        <v>805</v>
      </c>
    </row>
    <row r="25" spans="1:9">
      <c r="A25" s="180">
        <v>41094</v>
      </c>
      <c r="B25" s="3" t="s">
        <v>806</v>
      </c>
      <c r="C25" s="3" t="s">
        <v>807</v>
      </c>
      <c r="D25" s="3" t="s">
        <v>808</v>
      </c>
      <c r="E25" s="3" t="s">
        <v>809</v>
      </c>
      <c r="F25" s="3" t="s">
        <v>810</v>
      </c>
      <c r="G25" s="3" t="s">
        <v>811</v>
      </c>
      <c r="H25" s="3" t="s">
        <v>812</v>
      </c>
      <c r="I25" s="181" t="s">
        <v>813</v>
      </c>
    </row>
    <row r="26" spans="1:9">
      <c r="A26" s="180">
        <v>41095</v>
      </c>
      <c r="B26" s="3" t="s">
        <v>814</v>
      </c>
      <c r="C26" s="3" t="s">
        <v>815</v>
      </c>
      <c r="D26" s="3" t="s">
        <v>816</v>
      </c>
      <c r="E26" s="3" t="s">
        <v>817</v>
      </c>
      <c r="F26" s="3" t="s">
        <v>818</v>
      </c>
      <c r="G26" s="3" t="s">
        <v>819</v>
      </c>
      <c r="H26" s="3" t="s">
        <v>820</v>
      </c>
      <c r="I26" s="181" t="s">
        <v>821</v>
      </c>
    </row>
    <row r="27" spans="1:9">
      <c r="A27" s="180">
        <v>41096</v>
      </c>
      <c r="B27" s="3" t="s">
        <v>822</v>
      </c>
      <c r="C27" s="3" t="s">
        <v>823</v>
      </c>
      <c r="D27" s="3" t="s">
        <v>824</v>
      </c>
      <c r="E27" s="3" t="s">
        <v>825</v>
      </c>
      <c r="F27" s="3" t="s">
        <v>826</v>
      </c>
      <c r="G27" s="3" t="s">
        <v>827</v>
      </c>
      <c r="H27" s="3" t="s">
        <v>828</v>
      </c>
      <c r="I27" s="181" t="s">
        <v>829</v>
      </c>
    </row>
    <row r="28" spans="1:9">
      <c r="A28" s="180">
        <v>41099</v>
      </c>
      <c r="B28" s="3" t="s">
        <v>830</v>
      </c>
      <c r="C28" s="3" t="s">
        <v>831</v>
      </c>
      <c r="D28" s="3" t="s">
        <v>832</v>
      </c>
      <c r="E28" s="3" t="s">
        <v>833</v>
      </c>
      <c r="F28" s="3" t="s">
        <v>834</v>
      </c>
      <c r="G28" s="3" t="s">
        <v>835</v>
      </c>
      <c r="H28" s="3" t="s">
        <v>836</v>
      </c>
      <c r="I28" s="181" t="s">
        <v>837</v>
      </c>
    </row>
    <row r="29" spans="1:9">
      <c r="A29" s="180">
        <v>41122</v>
      </c>
      <c r="B29" s="3" t="s">
        <v>838</v>
      </c>
      <c r="C29" s="3" t="s">
        <v>839</v>
      </c>
      <c r="D29" s="3" t="s">
        <v>840</v>
      </c>
      <c r="E29" s="3" t="s">
        <v>841</v>
      </c>
      <c r="F29" s="3" t="s">
        <v>842</v>
      </c>
      <c r="G29" s="3" t="s">
        <v>843</v>
      </c>
      <c r="H29" s="3" t="s">
        <v>844</v>
      </c>
      <c r="I29" s="181" t="s">
        <v>845</v>
      </c>
    </row>
    <row r="30" spans="1:9">
      <c r="A30" s="180">
        <v>41131</v>
      </c>
      <c r="B30" s="3" t="s">
        <v>846</v>
      </c>
      <c r="C30" s="3" t="s">
        <v>847</v>
      </c>
      <c r="D30" s="3" t="s">
        <v>848</v>
      </c>
      <c r="E30" s="3" t="s">
        <v>849</v>
      </c>
      <c r="F30" s="3" t="s">
        <v>850</v>
      </c>
      <c r="G30" s="3" t="s">
        <v>851</v>
      </c>
      <c r="H30" s="3" t="s">
        <v>852</v>
      </c>
      <c r="I30" s="181" t="s">
        <v>853</v>
      </c>
    </row>
    <row r="31" spans="1:9">
      <c r="A31" s="180">
        <v>41134</v>
      </c>
      <c r="B31" s="3" t="s">
        <v>854</v>
      </c>
      <c r="C31" s="3" t="s">
        <v>855</v>
      </c>
      <c r="D31" s="3" t="s">
        <v>856</v>
      </c>
      <c r="E31" s="3" t="s">
        <v>857</v>
      </c>
      <c r="F31" s="3" t="s">
        <v>858</v>
      </c>
      <c r="G31" s="3" t="s">
        <v>859</v>
      </c>
      <c r="H31" s="3" t="s">
        <v>860</v>
      </c>
      <c r="I31" s="181" t="s">
        <v>861</v>
      </c>
    </row>
    <row r="32" spans="1:9">
      <c r="A32" s="180">
        <v>41135</v>
      </c>
      <c r="B32" s="3" t="s">
        <v>862</v>
      </c>
      <c r="C32" s="3" t="s">
        <v>863</v>
      </c>
      <c r="D32" s="3" t="s">
        <v>864</v>
      </c>
      <c r="E32" s="3" t="s">
        <v>865</v>
      </c>
      <c r="F32" s="3" t="s">
        <v>866</v>
      </c>
      <c r="G32" s="3" t="s">
        <v>867</v>
      </c>
      <c r="H32" s="3" t="s">
        <v>868</v>
      </c>
      <c r="I32" s="181" t="s">
        <v>869</v>
      </c>
    </row>
    <row r="33" spans="1:9">
      <c r="A33" s="180">
        <v>41136</v>
      </c>
      <c r="B33" s="3" t="s">
        <v>870</v>
      </c>
      <c r="C33" s="3" t="s">
        <v>871</v>
      </c>
      <c r="D33" s="3" t="s">
        <v>872</v>
      </c>
      <c r="E33" s="3" t="s">
        <v>873</v>
      </c>
      <c r="F33" s="3" t="s">
        <v>874</v>
      </c>
      <c r="G33" s="3" t="s">
        <v>875</v>
      </c>
      <c r="H33" s="3" t="s">
        <v>876</v>
      </c>
      <c r="I33" s="181" t="s">
        <v>877</v>
      </c>
    </row>
    <row r="34" spans="1:9">
      <c r="A34" s="180">
        <v>41137</v>
      </c>
      <c r="B34" s="3" t="s">
        <v>878</v>
      </c>
      <c r="C34" s="3" t="s">
        <v>879</v>
      </c>
      <c r="D34" s="3" t="s">
        <v>880</v>
      </c>
      <c r="E34" s="3" t="s">
        <v>881</v>
      </c>
      <c r="F34" s="3" t="s">
        <v>882</v>
      </c>
      <c r="G34" s="3" t="s">
        <v>883</v>
      </c>
      <c r="H34" s="3" t="s">
        <v>884</v>
      </c>
      <c r="I34" s="181" t="s">
        <v>885</v>
      </c>
    </row>
    <row r="35" spans="1:9">
      <c r="A35" s="180">
        <v>41138</v>
      </c>
      <c r="B35" s="3" t="s">
        <v>886</v>
      </c>
      <c r="C35" s="3" t="s">
        <v>887</v>
      </c>
      <c r="D35" s="3" t="s">
        <v>888</v>
      </c>
      <c r="E35" s="3" t="s">
        <v>889</v>
      </c>
      <c r="F35" s="3" t="s">
        <v>890</v>
      </c>
      <c r="G35" s="3" t="s">
        <v>891</v>
      </c>
      <c r="H35" s="3" t="s">
        <v>892</v>
      </c>
      <c r="I35" s="181" t="s">
        <v>893</v>
      </c>
    </row>
    <row r="36" spans="1:9">
      <c r="A36" s="180">
        <v>41123</v>
      </c>
      <c r="B36" s="3" t="s">
        <v>894</v>
      </c>
      <c r="C36" s="3" t="s">
        <v>895</v>
      </c>
      <c r="D36" s="3" t="s">
        <v>896</v>
      </c>
      <c r="E36" s="3" t="s">
        <v>897</v>
      </c>
      <c r="F36" s="3" t="s">
        <v>898</v>
      </c>
      <c r="G36" s="3" t="s">
        <v>899</v>
      </c>
      <c r="H36" s="3" t="s">
        <v>900</v>
      </c>
      <c r="I36" s="181" t="s">
        <v>901</v>
      </c>
    </row>
    <row r="37" spans="1:9">
      <c r="A37" s="180">
        <v>41141</v>
      </c>
      <c r="B37" s="3" t="s">
        <v>902</v>
      </c>
      <c r="C37" s="3" t="s">
        <v>903</v>
      </c>
      <c r="D37" s="3" t="s">
        <v>904</v>
      </c>
      <c r="E37" s="3" t="s">
        <v>905</v>
      </c>
      <c r="F37" s="3" t="s">
        <v>906</v>
      </c>
      <c r="G37" s="3" t="s">
        <v>907</v>
      </c>
      <c r="H37" s="3" t="s">
        <v>908</v>
      </c>
      <c r="I37" s="181" t="s">
        <v>909</v>
      </c>
    </row>
    <row r="38" spans="1:9">
      <c r="A38" s="180">
        <v>41142</v>
      </c>
      <c r="B38" s="3" t="s">
        <v>910</v>
      </c>
      <c r="C38" s="3" t="s">
        <v>911</v>
      </c>
      <c r="D38" s="3" t="s">
        <v>912</v>
      </c>
      <c r="E38" s="3" t="s">
        <v>913</v>
      </c>
      <c r="F38" s="3" t="s">
        <v>914</v>
      </c>
      <c r="G38" s="3" t="s">
        <v>915</v>
      </c>
      <c r="H38" s="3" t="s">
        <v>916</v>
      </c>
      <c r="I38" s="181" t="s">
        <v>917</v>
      </c>
    </row>
    <row r="39" spans="1:9">
      <c r="A39" s="180">
        <v>41143</v>
      </c>
      <c r="B39" s="3" t="s">
        <v>918</v>
      </c>
      <c r="C39" s="3" t="s">
        <v>919</v>
      </c>
      <c r="D39" s="3" t="s">
        <v>920</v>
      </c>
      <c r="E39" s="3" t="s">
        <v>921</v>
      </c>
      <c r="F39" s="3" t="s">
        <v>922</v>
      </c>
      <c r="G39" s="3" t="s">
        <v>923</v>
      </c>
      <c r="H39" s="3" t="s">
        <v>924</v>
      </c>
      <c r="I39" s="181" t="s">
        <v>925</v>
      </c>
    </row>
    <row r="40" spans="1:9">
      <c r="A40" s="180">
        <v>41144</v>
      </c>
      <c r="B40" s="3" t="s">
        <v>926</v>
      </c>
      <c r="C40" s="3" t="s">
        <v>927</v>
      </c>
      <c r="D40" s="3" t="s">
        <v>928</v>
      </c>
      <c r="E40" s="3" t="s">
        <v>929</v>
      </c>
      <c r="F40" s="3" t="s">
        <v>930</v>
      </c>
      <c r="G40" s="3" t="s">
        <v>931</v>
      </c>
      <c r="H40" s="3" t="s">
        <v>932</v>
      </c>
      <c r="I40" s="181" t="s">
        <v>933</v>
      </c>
    </row>
    <row r="41" spans="1:9">
      <c r="A41" s="180">
        <v>41145</v>
      </c>
      <c r="B41" s="3" t="s">
        <v>934</v>
      </c>
      <c r="C41" s="3" t="s">
        <v>935</v>
      </c>
      <c r="D41" s="3" t="s">
        <v>936</v>
      </c>
      <c r="E41" s="3" t="s">
        <v>937</v>
      </c>
      <c r="F41" s="3" t="s">
        <v>938</v>
      </c>
      <c r="G41" s="3" t="s">
        <v>939</v>
      </c>
      <c r="H41" s="3" t="s">
        <v>940</v>
      </c>
      <c r="I41" s="181" t="s">
        <v>941</v>
      </c>
    </row>
    <row r="42" spans="1:9">
      <c r="A42" s="180">
        <v>41124</v>
      </c>
      <c r="B42" s="3" t="s">
        <v>942</v>
      </c>
      <c r="C42" s="3" t="s">
        <v>943</v>
      </c>
      <c r="D42" s="3" t="s">
        <v>944</v>
      </c>
      <c r="E42" s="3" t="s">
        <v>945</v>
      </c>
      <c r="F42" s="3" t="s">
        <v>946</v>
      </c>
      <c r="G42" s="3" t="s">
        <v>947</v>
      </c>
      <c r="H42" s="3" t="s">
        <v>948</v>
      </c>
      <c r="I42" s="181" t="s">
        <v>949</v>
      </c>
    </row>
    <row r="43" spans="1:9">
      <c r="A43" s="180">
        <v>41127</v>
      </c>
      <c r="B43" s="3" t="s">
        <v>950</v>
      </c>
      <c r="C43" s="3" t="s">
        <v>951</v>
      </c>
      <c r="D43" s="3" t="s">
        <v>952</v>
      </c>
      <c r="E43" s="3" t="s">
        <v>953</v>
      </c>
      <c r="F43" s="3" t="s">
        <v>954</v>
      </c>
      <c r="G43" s="3" t="s">
        <v>955</v>
      </c>
      <c r="H43" s="3" t="s">
        <v>956</v>
      </c>
      <c r="I43" s="181" t="s">
        <v>957</v>
      </c>
    </row>
    <row r="44" spans="1:9">
      <c r="A44" s="180">
        <v>41128</v>
      </c>
      <c r="B44" s="3" t="s">
        <v>958</v>
      </c>
      <c r="C44" s="3" t="s">
        <v>959</v>
      </c>
      <c r="D44" s="3" t="s">
        <v>960</v>
      </c>
      <c r="E44" s="3" t="s">
        <v>961</v>
      </c>
      <c r="F44" s="3" t="s">
        <v>962</v>
      </c>
      <c r="G44" s="3" t="s">
        <v>963</v>
      </c>
      <c r="H44" s="3" t="s">
        <v>964</v>
      </c>
      <c r="I44" s="181" t="s">
        <v>965</v>
      </c>
    </row>
    <row r="45" spans="1:9">
      <c r="A45" s="180">
        <v>41129</v>
      </c>
      <c r="B45" s="3" t="s">
        <v>966</v>
      </c>
      <c r="C45" s="3" t="s">
        <v>967</v>
      </c>
      <c r="D45" s="3" t="s">
        <v>968</v>
      </c>
      <c r="E45" s="3" t="s">
        <v>969</v>
      </c>
      <c r="F45" s="3" t="s">
        <v>970</v>
      </c>
      <c r="G45" s="3" t="s">
        <v>971</v>
      </c>
      <c r="H45" s="3" t="s">
        <v>972</v>
      </c>
      <c r="I45" s="181" t="s">
        <v>973</v>
      </c>
    </row>
    <row r="46" spans="1:9">
      <c r="A46" s="180">
        <v>41130</v>
      </c>
      <c r="B46" s="3" t="s">
        <v>974</v>
      </c>
      <c r="C46" s="3" t="s">
        <v>975</v>
      </c>
      <c r="D46" s="3" t="s">
        <v>976</v>
      </c>
      <c r="E46" s="3" t="s">
        <v>977</v>
      </c>
      <c r="F46" s="3" t="s">
        <v>978</v>
      </c>
      <c r="G46" s="3" t="s">
        <v>979</v>
      </c>
      <c r="H46" s="3" t="s">
        <v>980</v>
      </c>
      <c r="I46" s="181" t="s">
        <v>981</v>
      </c>
    </row>
    <row r="47" spans="1:9">
      <c r="A47" s="180">
        <v>41144</v>
      </c>
      <c r="B47" s="3" t="s">
        <v>982</v>
      </c>
      <c r="C47" s="3" t="s">
        <v>983</v>
      </c>
      <c r="D47" s="3" t="s">
        <v>984</v>
      </c>
      <c r="E47" s="3" t="s">
        <v>985</v>
      </c>
      <c r="F47" s="3" t="s">
        <v>986</v>
      </c>
      <c r="G47" s="3" t="s">
        <v>987</v>
      </c>
      <c r="H47" s="3" t="s">
        <v>988</v>
      </c>
      <c r="I47" s="181" t="s">
        <v>989</v>
      </c>
    </row>
    <row r="48" spans="1:9">
      <c r="A48" s="180">
        <v>41145</v>
      </c>
      <c r="B48" s="3" t="s">
        <v>990</v>
      </c>
      <c r="C48" s="3" t="s">
        <v>991</v>
      </c>
      <c r="D48" s="3" t="s">
        <v>992</v>
      </c>
      <c r="E48" s="3" t="s">
        <v>993</v>
      </c>
      <c r="F48" s="3" t="s">
        <v>994</v>
      </c>
      <c r="G48" s="3" t="s">
        <v>995</v>
      </c>
      <c r="H48" s="3" t="s">
        <v>996</v>
      </c>
      <c r="I48" s="181" t="s">
        <v>997</v>
      </c>
    </row>
    <row r="49" spans="1:9">
      <c r="A49" s="180">
        <v>41100</v>
      </c>
      <c r="B49" s="3" t="s">
        <v>998</v>
      </c>
      <c r="C49" s="3" t="s">
        <v>999</v>
      </c>
      <c r="D49" s="3" t="s">
        <v>1000</v>
      </c>
      <c r="E49" s="3" t="s">
        <v>1001</v>
      </c>
      <c r="F49" s="3" t="s">
        <v>1002</v>
      </c>
      <c r="G49" s="3" t="s">
        <v>1003</v>
      </c>
      <c r="H49" s="3" t="s">
        <v>1004</v>
      </c>
      <c r="I49" s="181" t="s">
        <v>1005</v>
      </c>
    </row>
    <row r="50" spans="1:9">
      <c r="A50" s="180">
        <v>41101</v>
      </c>
      <c r="B50" s="3" t="s">
        <v>1006</v>
      </c>
      <c r="C50" s="3" t="s">
        <v>1007</v>
      </c>
      <c r="D50" s="3" t="s">
        <v>1008</v>
      </c>
      <c r="E50" s="3" t="s">
        <v>1009</v>
      </c>
      <c r="F50" s="3" t="s">
        <v>1010</v>
      </c>
      <c r="G50" s="3" t="s">
        <v>1011</v>
      </c>
      <c r="H50" s="3" t="s">
        <v>1012</v>
      </c>
      <c r="I50" s="181" t="s">
        <v>1013</v>
      </c>
    </row>
    <row r="51" spans="1:9">
      <c r="A51" s="180">
        <v>41102</v>
      </c>
      <c r="B51" s="3" t="s">
        <v>1014</v>
      </c>
      <c r="C51" s="3" t="s">
        <v>1015</v>
      </c>
      <c r="D51" s="3" t="s">
        <v>1016</v>
      </c>
      <c r="E51" s="3" t="s">
        <v>1017</v>
      </c>
      <c r="F51" s="3" t="s">
        <v>1018</v>
      </c>
      <c r="G51" s="3" t="s">
        <v>1019</v>
      </c>
      <c r="H51" s="3" t="s">
        <v>1020</v>
      </c>
      <c r="I51" s="181" t="s">
        <v>1021</v>
      </c>
    </row>
    <row r="52" spans="1:9">
      <c r="A52" s="180">
        <v>41103</v>
      </c>
      <c r="B52" s="3" t="s">
        <v>1022</v>
      </c>
      <c r="C52" s="3" t="s">
        <v>1023</v>
      </c>
      <c r="D52" s="3" t="s">
        <v>1024</v>
      </c>
      <c r="E52" s="3" t="s">
        <v>1025</v>
      </c>
      <c r="F52" s="3" t="s">
        <v>1026</v>
      </c>
      <c r="G52" s="3" t="s">
        <v>1027</v>
      </c>
      <c r="H52" s="3" t="s">
        <v>1028</v>
      </c>
      <c r="I52" s="181" t="s">
        <v>1029</v>
      </c>
    </row>
    <row r="53" spans="1:9">
      <c r="A53" s="180">
        <v>41106</v>
      </c>
      <c r="B53" s="3" t="s">
        <v>1030</v>
      </c>
      <c r="C53" s="3" t="s">
        <v>1031</v>
      </c>
      <c r="D53" s="3" t="s">
        <v>1032</v>
      </c>
      <c r="E53" s="3" t="s">
        <v>1033</v>
      </c>
      <c r="F53" s="3" t="s">
        <v>1034</v>
      </c>
      <c r="G53" s="3" t="s">
        <v>1035</v>
      </c>
      <c r="H53" s="3" t="s">
        <v>1036</v>
      </c>
      <c r="I53" s="181" t="s">
        <v>1037</v>
      </c>
    </row>
    <row r="54" spans="1:9">
      <c r="A54" s="180">
        <v>41107</v>
      </c>
      <c r="B54" s="3" t="s">
        <v>1038</v>
      </c>
      <c r="C54" s="3" t="s">
        <v>1039</v>
      </c>
      <c r="D54" s="3" t="s">
        <v>1040</v>
      </c>
      <c r="E54" s="3" t="s">
        <v>1041</v>
      </c>
      <c r="F54" s="3" t="s">
        <v>1042</v>
      </c>
      <c r="G54" s="3" t="s">
        <v>1043</v>
      </c>
      <c r="H54" s="3" t="s">
        <v>1044</v>
      </c>
      <c r="I54" s="181" t="s">
        <v>1045</v>
      </c>
    </row>
    <row r="55" spans="1:9">
      <c r="A55" s="180">
        <v>41108</v>
      </c>
      <c r="B55" s="3" t="s">
        <v>1046</v>
      </c>
      <c r="C55" s="3" t="s">
        <v>1047</v>
      </c>
      <c r="D55" s="3" t="s">
        <v>1048</v>
      </c>
      <c r="E55" s="3" t="s">
        <v>1049</v>
      </c>
      <c r="F55" s="3" t="s">
        <v>1050</v>
      </c>
      <c r="G55" s="3" t="s">
        <v>1051</v>
      </c>
      <c r="H55" s="3" t="s">
        <v>1052</v>
      </c>
      <c r="I55" s="181" t="s">
        <v>1053</v>
      </c>
    </row>
    <row r="56" spans="1:9">
      <c r="A56" s="180">
        <v>41109</v>
      </c>
      <c r="B56" s="3" t="s">
        <v>1054</v>
      </c>
      <c r="C56" s="3" t="s">
        <v>1055</v>
      </c>
      <c r="D56" s="3" t="s">
        <v>1056</v>
      </c>
      <c r="E56" s="3" t="s">
        <v>1057</v>
      </c>
      <c r="F56" s="3" t="s">
        <v>1058</v>
      </c>
      <c r="G56" s="3" t="s">
        <v>1059</v>
      </c>
      <c r="H56" s="3" t="s">
        <v>1060</v>
      </c>
      <c r="I56" s="181" t="s">
        <v>1061</v>
      </c>
    </row>
    <row r="57" spans="1:9">
      <c r="A57" s="180">
        <v>41092</v>
      </c>
      <c r="B57" s="3" t="s">
        <v>1062</v>
      </c>
      <c r="C57" s="3" t="s">
        <v>1063</v>
      </c>
      <c r="D57" s="3" t="s">
        <v>1064</v>
      </c>
      <c r="E57" s="3" t="s">
        <v>1065</v>
      </c>
      <c r="F57" s="3" t="s">
        <v>1066</v>
      </c>
      <c r="G57" s="3" t="s">
        <v>1067</v>
      </c>
      <c r="H57" s="3" t="s">
        <v>1068</v>
      </c>
      <c r="I57" s="181" t="s">
        <v>1069</v>
      </c>
    </row>
    <row r="58" spans="1:9">
      <c r="A58" s="180">
        <v>41110</v>
      </c>
      <c r="B58" s="3" t="s">
        <v>1070</v>
      </c>
      <c r="C58" s="3" t="s">
        <v>1071</v>
      </c>
      <c r="D58" s="3" t="s">
        <v>1072</v>
      </c>
      <c r="E58" s="3" t="s">
        <v>1073</v>
      </c>
      <c r="F58" s="3" t="s">
        <v>1074</v>
      </c>
      <c r="G58" s="3" t="s">
        <v>1075</v>
      </c>
      <c r="H58" s="3" t="s">
        <v>1076</v>
      </c>
      <c r="I58" s="181" t="s">
        <v>1077</v>
      </c>
    </row>
    <row r="59" spans="1:9">
      <c r="A59" s="180">
        <v>41113</v>
      </c>
      <c r="B59" s="3" t="s">
        <v>1078</v>
      </c>
      <c r="C59" s="3" t="s">
        <v>1079</v>
      </c>
      <c r="D59" s="3" t="s">
        <v>1080</v>
      </c>
      <c r="E59" s="3" t="s">
        <v>1081</v>
      </c>
      <c r="F59" s="3" t="s">
        <v>1082</v>
      </c>
      <c r="G59" s="3" t="s">
        <v>1083</v>
      </c>
      <c r="H59" s="3" t="s">
        <v>1084</v>
      </c>
      <c r="I59" s="181" t="s">
        <v>1085</v>
      </c>
    </row>
    <row r="60" spans="1:9">
      <c r="A60" s="180">
        <v>41114</v>
      </c>
      <c r="B60" s="3" t="s">
        <v>1086</v>
      </c>
      <c r="C60" s="3" t="s">
        <v>1087</v>
      </c>
      <c r="D60" s="3" t="s">
        <v>1088</v>
      </c>
      <c r="E60" s="3" t="s">
        <v>1089</v>
      </c>
      <c r="F60" s="3" t="s">
        <v>1090</v>
      </c>
      <c r="G60" s="3" t="s">
        <v>1091</v>
      </c>
      <c r="H60" s="3" t="s">
        <v>1092</v>
      </c>
      <c r="I60" s="181" t="s">
        <v>1093</v>
      </c>
    </row>
    <row r="61" spans="1:9">
      <c r="A61" s="180">
        <v>41115</v>
      </c>
      <c r="B61" s="3" t="s">
        <v>1094</v>
      </c>
      <c r="C61" s="3" t="s">
        <v>1095</v>
      </c>
      <c r="D61" s="3" t="s">
        <v>1096</v>
      </c>
      <c r="E61" s="3" t="s">
        <v>1097</v>
      </c>
      <c r="F61" s="3" t="s">
        <v>1098</v>
      </c>
      <c r="G61" s="3" t="s">
        <v>1099</v>
      </c>
      <c r="H61" s="3" t="s">
        <v>1100</v>
      </c>
      <c r="I61" s="181" t="s">
        <v>1101</v>
      </c>
    </row>
    <row r="62" spans="1:9">
      <c r="A62" s="180">
        <v>41116</v>
      </c>
      <c r="B62" s="3" t="s">
        <v>1102</v>
      </c>
      <c r="C62" s="3" t="s">
        <v>1103</v>
      </c>
      <c r="D62" s="3" t="s">
        <v>1104</v>
      </c>
      <c r="E62" s="3" t="s">
        <v>1105</v>
      </c>
      <c r="F62" s="3" t="s">
        <v>1106</v>
      </c>
      <c r="G62" s="3" t="s">
        <v>1107</v>
      </c>
      <c r="H62" s="3" t="s">
        <v>1108</v>
      </c>
      <c r="I62" s="181" t="s">
        <v>1109</v>
      </c>
    </row>
    <row r="63" spans="1:9">
      <c r="A63" s="180">
        <v>41117</v>
      </c>
      <c r="B63" s="3" t="s">
        <v>1110</v>
      </c>
      <c r="C63" s="3" t="s">
        <v>1111</v>
      </c>
      <c r="D63" s="3" t="s">
        <v>1112</v>
      </c>
      <c r="E63" s="3" t="s">
        <v>1113</v>
      </c>
      <c r="F63" s="3" t="s">
        <v>1114</v>
      </c>
      <c r="G63" s="3" t="s">
        <v>1115</v>
      </c>
      <c r="H63" s="3" t="s">
        <v>1116</v>
      </c>
      <c r="I63" s="181" t="s">
        <v>1117</v>
      </c>
    </row>
    <row r="64" spans="1:9">
      <c r="A64" s="180">
        <v>41093</v>
      </c>
      <c r="B64" s="3" t="s">
        <v>1118</v>
      </c>
      <c r="C64" s="3" t="s">
        <v>1119</v>
      </c>
      <c r="D64" s="3" t="s">
        <v>1120</v>
      </c>
      <c r="E64" s="3" t="s">
        <v>1121</v>
      </c>
      <c r="F64" s="3" t="s">
        <v>1122</v>
      </c>
      <c r="G64" s="3" t="s">
        <v>1123</v>
      </c>
      <c r="H64" s="3" t="s">
        <v>1124</v>
      </c>
      <c r="I64" s="181" t="s">
        <v>1125</v>
      </c>
    </row>
    <row r="65" spans="1:9">
      <c r="A65" s="180">
        <v>41120</v>
      </c>
      <c r="B65" s="3" t="s">
        <v>1126</v>
      </c>
      <c r="C65" s="3" t="s">
        <v>1127</v>
      </c>
      <c r="D65" s="3" t="s">
        <v>1128</v>
      </c>
      <c r="E65" s="3" t="s">
        <v>1129</v>
      </c>
      <c r="F65" s="3" t="s">
        <v>1130</v>
      </c>
      <c r="G65" s="3" t="s">
        <v>1131</v>
      </c>
      <c r="H65" s="3" t="s">
        <v>1132</v>
      </c>
      <c r="I65" s="181" t="s">
        <v>1133</v>
      </c>
    </row>
    <row r="66" spans="1:9">
      <c r="A66" s="180">
        <v>41121</v>
      </c>
      <c r="B66" s="3" t="s">
        <v>1134</v>
      </c>
      <c r="C66" s="3" t="s">
        <v>1135</v>
      </c>
      <c r="D66" s="3" t="s">
        <v>1136</v>
      </c>
      <c r="E66" s="3" t="s">
        <v>1137</v>
      </c>
      <c r="F66" s="3" t="s">
        <v>1138</v>
      </c>
      <c r="G66" s="3" t="s">
        <v>1139</v>
      </c>
      <c r="H66" s="3" t="s">
        <v>1140</v>
      </c>
      <c r="I66" s="181" t="s">
        <v>1141</v>
      </c>
    </row>
    <row r="67" spans="1:9">
      <c r="A67" s="180">
        <v>41094</v>
      </c>
      <c r="B67" s="3" t="s">
        <v>1142</v>
      </c>
      <c r="C67" s="3" t="s">
        <v>1143</v>
      </c>
      <c r="D67" s="3" t="s">
        <v>1144</v>
      </c>
      <c r="E67" s="3" t="s">
        <v>1145</v>
      </c>
      <c r="F67" s="3" t="s">
        <v>1146</v>
      </c>
      <c r="G67" s="3" t="s">
        <v>1147</v>
      </c>
      <c r="H67" s="3" t="s">
        <v>1148</v>
      </c>
      <c r="I67" s="181" t="s">
        <v>1149</v>
      </c>
    </row>
    <row r="68" spans="1:9">
      <c r="A68" s="180">
        <v>41095</v>
      </c>
      <c r="B68" s="3" t="s">
        <v>1150</v>
      </c>
      <c r="C68" s="3" t="s">
        <v>1151</v>
      </c>
      <c r="D68" s="3" t="s">
        <v>1152</v>
      </c>
      <c r="E68" s="3" t="s">
        <v>1153</v>
      </c>
      <c r="F68" s="3" t="s">
        <v>1154</v>
      </c>
      <c r="G68" s="3" t="s">
        <v>1155</v>
      </c>
      <c r="H68" s="3" t="s">
        <v>1156</v>
      </c>
      <c r="I68" s="181" t="s">
        <v>1157</v>
      </c>
    </row>
    <row r="69" spans="1:9">
      <c r="A69" s="180">
        <v>41096</v>
      </c>
      <c r="B69" s="3" t="s">
        <v>1158</v>
      </c>
      <c r="C69" s="3" t="s">
        <v>1159</v>
      </c>
      <c r="D69" s="3" t="s">
        <v>1160</v>
      </c>
      <c r="E69" s="3" t="s">
        <v>1161</v>
      </c>
      <c r="F69" s="3" t="s">
        <v>1162</v>
      </c>
      <c r="G69" s="3" t="s">
        <v>1163</v>
      </c>
      <c r="H69" s="3" t="s">
        <v>1164</v>
      </c>
      <c r="I69" s="181" t="s">
        <v>1165</v>
      </c>
    </row>
    <row r="70" spans="1:9">
      <c r="A70" s="180">
        <v>41099</v>
      </c>
      <c r="B70" s="3" t="s">
        <v>1166</v>
      </c>
      <c r="C70" s="3" t="s">
        <v>1167</v>
      </c>
      <c r="D70" s="3" t="s">
        <v>1168</v>
      </c>
      <c r="E70" s="3" t="s">
        <v>1169</v>
      </c>
      <c r="F70" s="3" t="s">
        <v>1170</v>
      </c>
      <c r="G70" s="3" t="s">
        <v>1171</v>
      </c>
      <c r="H70" s="3" t="s">
        <v>1172</v>
      </c>
      <c r="I70" s="181" t="s">
        <v>1173</v>
      </c>
    </row>
    <row r="71" spans="1:9">
      <c r="A71" s="180">
        <v>41122</v>
      </c>
      <c r="B71" s="3" t="s">
        <v>1174</v>
      </c>
      <c r="C71" s="3" t="s">
        <v>1175</v>
      </c>
      <c r="D71" s="3" t="s">
        <v>1176</v>
      </c>
      <c r="E71" s="3" t="s">
        <v>1177</v>
      </c>
      <c r="F71" s="3" t="s">
        <v>1178</v>
      </c>
      <c r="G71" s="3" t="s">
        <v>1179</v>
      </c>
      <c r="H71" s="3" t="s">
        <v>1180</v>
      </c>
      <c r="I71" s="181" t="s">
        <v>1181</v>
      </c>
    </row>
    <row r="72" spans="1:9">
      <c r="A72" s="180">
        <v>41131</v>
      </c>
      <c r="B72" s="3" t="s">
        <v>1182</v>
      </c>
      <c r="C72" s="3" t="s">
        <v>1183</v>
      </c>
      <c r="D72" s="3" t="s">
        <v>1184</v>
      </c>
      <c r="E72" s="3" t="s">
        <v>1185</v>
      </c>
      <c r="F72" s="3" t="s">
        <v>1186</v>
      </c>
      <c r="G72" s="3" t="s">
        <v>1187</v>
      </c>
      <c r="H72" s="3" t="s">
        <v>1188</v>
      </c>
      <c r="I72" s="181" t="s">
        <v>1189</v>
      </c>
    </row>
    <row r="73" spans="1:9">
      <c r="A73" s="180">
        <v>41134</v>
      </c>
      <c r="B73" s="3" t="s">
        <v>1190</v>
      </c>
      <c r="C73" s="3" t="s">
        <v>1191</v>
      </c>
      <c r="D73" s="3" t="s">
        <v>1192</v>
      </c>
      <c r="E73" s="3" t="s">
        <v>1193</v>
      </c>
      <c r="F73" s="3" t="s">
        <v>1194</v>
      </c>
      <c r="G73" s="3" t="s">
        <v>1195</v>
      </c>
      <c r="H73" s="3" t="s">
        <v>1196</v>
      </c>
      <c r="I73" s="181" t="s">
        <v>1197</v>
      </c>
    </row>
    <row r="74" spans="1:9">
      <c r="A74" s="180">
        <v>41135</v>
      </c>
      <c r="B74" s="3" t="s">
        <v>1198</v>
      </c>
      <c r="C74" s="3" t="s">
        <v>1199</v>
      </c>
      <c r="D74" s="3" t="s">
        <v>1200</v>
      </c>
      <c r="E74" s="3" t="s">
        <v>1201</v>
      </c>
      <c r="F74" s="3" t="s">
        <v>1202</v>
      </c>
      <c r="G74" s="3" t="s">
        <v>1203</v>
      </c>
      <c r="H74" s="3" t="s">
        <v>1204</v>
      </c>
      <c r="I74" s="181" t="s">
        <v>1205</v>
      </c>
    </row>
    <row r="75" spans="1:9">
      <c r="A75" s="180">
        <v>41136</v>
      </c>
      <c r="B75" s="3" t="s">
        <v>1206</v>
      </c>
      <c r="C75" s="3" t="s">
        <v>1207</v>
      </c>
      <c r="D75" s="3" t="s">
        <v>1208</v>
      </c>
      <c r="E75" s="3" t="s">
        <v>1209</v>
      </c>
      <c r="F75" s="3" t="s">
        <v>1210</v>
      </c>
      <c r="G75" s="3" t="s">
        <v>1211</v>
      </c>
      <c r="H75" s="3" t="s">
        <v>1212</v>
      </c>
      <c r="I75" s="181" t="s">
        <v>1213</v>
      </c>
    </row>
    <row r="76" spans="1:9">
      <c r="A76" s="180">
        <v>41137</v>
      </c>
      <c r="B76" s="3" t="s">
        <v>1214</v>
      </c>
      <c r="C76" s="3" t="s">
        <v>1215</v>
      </c>
      <c r="D76" s="3" t="s">
        <v>1216</v>
      </c>
      <c r="E76" s="3" t="s">
        <v>1217</v>
      </c>
      <c r="F76" s="3" t="s">
        <v>1218</v>
      </c>
      <c r="G76" s="3" t="s">
        <v>1219</v>
      </c>
      <c r="H76" s="3" t="s">
        <v>1220</v>
      </c>
      <c r="I76" s="181" t="s">
        <v>1221</v>
      </c>
    </row>
    <row r="77" spans="1:9">
      <c r="A77" s="180">
        <v>41138</v>
      </c>
      <c r="B77" s="3" t="s">
        <v>1222</v>
      </c>
      <c r="C77" s="3" t="s">
        <v>1223</v>
      </c>
      <c r="D77" s="3" t="s">
        <v>1224</v>
      </c>
      <c r="E77" s="3" t="s">
        <v>1225</v>
      </c>
      <c r="F77" s="3" t="s">
        <v>1226</v>
      </c>
      <c r="G77" s="3" t="s">
        <v>1227</v>
      </c>
      <c r="H77" s="3" t="s">
        <v>1228</v>
      </c>
      <c r="I77" s="181" t="s">
        <v>1229</v>
      </c>
    </row>
    <row r="78" spans="1:9">
      <c r="A78" s="180">
        <v>41123</v>
      </c>
      <c r="B78" s="3" t="s">
        <v>1230</v>
      </c>
      <c r="C78" s="3" t="s">
        <v>1231</v>
      </c>
      <c r="D78" s="3" t="s">
        <v>1232</v>
      </c>
      <c r="E78" s="3" t="s">
        <v>1233</v>
      </c>
      <c r="F78" s="3" t="s">
        <v>1234</v>
      </c>
      <c r="G78" s="3" t="s">
        <v>1235</v>
      </c>
      <c r="H78" s="3" t="s">
        <v>1236</v>
      </c>
      <c r="I78" s="181" t="s">
        <v>1237</v>
      </c>
    </row>
    <row r="79" spans="1:9">
      <c r="A79" s="180">
        <v>41141</v>
      </c>
      <c r="B79" s="3" t="s">
        <v>1238</v>
      </c>
      <c r="C79" s="3" t="s">
        <v>1239</v>
      </c>
      <c r="D79" s="3" t="s">
        <v>1240</v>
      </c>
      <c r="E79" s="3" t="s">
        <v>1241</v>
      </c>
      <c r="F79" s="3" t="s">
        <v>1242</v>
      </c>
      <c r="G79" s="3" t="s">
        <v>1243</v>
      </c>
      <c r="H79" s="3" t="s">
        <v>1244</v>
      </c>
      <c r="I79" s="181" t="s">
        <v>651</v>
      </c>
    </row>
    <row r="80" spans="1:9">
      <c r="A80" s="180">
        <v>41142</v>
      </c>
      <c r="B80" s="3" t="s">
        <v>1245</v>
      </c>
      <c r="C80" s="3" t="s">
        <v>1246</v>
      </c>
      <c r="D80" s="3" t="s">
        <v>1247</v>
      </c>
      <c r="E80" s="3" t="s">
        <v>1248</v>
      </c>
      <c r="F80" s="3" t="s">
        <v>1249</v>
      </c>
      <c r="G80" s="3" t="s">
        <v>1250</v>
      </c>
      <c r="H80" s="3" t="s">
        <v>1251</v>
      </c>
      <c r="I80" s="181" t="s">
        <v>652</v>
      </c>
    </row>
    <row r="81" spans="1:9">
      <c r="A81" s="180">
        <v>41143</v>
      </c>
      <c r="B81" s="3" t="s">
        <v>1252</v>
      </c>
      <c r="C81" s="3" t="s">
        <v>1253</v>
      </c>
      <c r="D81" s="3" t="s">
        <v>1254</v>
      </c>
      <c r="E81" s="3" t="s">
        <v>1255</v>
      </c>
      <c r="F81" s="3" t="s">
        <v>1256</v>
      </c>
      <c r="G81" s="3" t="s">
        <v>1257</v>
      </c>
      <c r="H81" s="3" t="s">
        <v>1258</v>
      </c>
      <c r="I81" s="181" t="s">
        <v>653</v>
      </c>
    </row>
    <row r="82" spans="1:9">
      <c r="A82" s="180">
        <v>41144</v>
      </c>
      <c r="B82" s="3" t="s">
        <v>1259</v>
      </c>
      <c r="C82" s="3" t="s">
        <v>1260</v>
      </c>
      <c r="D82" s="3" t="s">
        <v>1261</v>
      </c>
      <c r="E82" s="3" t="s">
        <v>1262</v>
      </c>
      <c r="F82" s="3" t="s">
        <v>1263</v>
      </c>
      <c r="G82" s="3" t="s">
        <v>1264</v>
      </c>
      <c r="H82" s="3" t="s">
        <v>1265</v>
      </c>
      <c r="I82" s="181" t="s">
        <v>654</v>
      </c>
    </row>
    <row r="83" spans="1:9">
      <c r="A83" s="180">
        <v>41145</v>
      </c>
      <c r="B83" s="3" t="s">
        <v>1266</v>
      </c>
      <c r="C83" s="3" t="s">
        <v>1267</v>
      </c>
      <c r="D83" s="3" t="s">
        <v>1268</v>
      </c>
      <c r="E83" s="3" t="s">
        <v>1269</v>
      </c>
      <c r="F83" s="3" t="s">
        <v>1270</v>
      </c>
      <c r="G83" s="3" t="s">
        <v>1271</v>
      </c>
      <c r="H83" s="3" t="s">
        <v>1272</v>
      </c>
      <c r="I83" s="181" t="s">
        <v>655</v>
      </c>
    </row>
    <row r="84" spans="1:9">
      <c r="A84" s="180">
        <v>41124</v>
      </c>
      <c r="B84" s="3" t="s">
        <v>1273</v>
      </c>
      <c r="C84" s="3" t="s">
        <v>1274</v>
      </c>
      <c r="D84" s="3" t="s">
        <v>1275</v>
      </c>
      <c r="E84" s="3" t="s">
        <v>1276</v>
      </c>
      <c r="F84" s="3" t="s">
        <v>1277</v>
      </c>
      <c r="G84" s="3" t="s">
        <v>1278</v>
      </c>
      <c r="H84" s="3" t="s">
        <v>1279</v>
      </c>
      <c r="I84" s="181" t="s">
        <v>656</v>
      </c>
    </row>
    <row r="85" spans="1:9">
      <c r="A85" s="180">
        <v>41127</v>
      </c>
      <c r="B85" s="3" t="s">
        <v>1280</v>
      </c>
      <c r="C85" s="3" t="s">
        <v>1281</v>
      </c>
      <c r="D85" s="3" t="s">
        <v>1282</v>
      </c>
      <c r="E85" s="3" t="s">
        <v>1283</v>
      </c>
      <c r="F85" s="3" t="s">
        <v>1284</v>
      </c>
      <c r="G85" s="3" t="s">
        <v>1285</v>
      </c>
      <c r="H85" s="3" t="s">
        <v>1286</v>
      </c>
      <c r="I85" s="181" t="s">
        <v>657</v>
      </c>
    </row>
    <row r="86" spans="1:9">
      <c r="A86" s="180">
        <v>41128</v>
      </c>
      <c r="B86" s="3" t="s">
        <v>1287</v>
      </c>
      <c r="C86" s="3" t="s">
        <v>1288</v>
      </c>
      <c r="D86" s="3" t="s">
        <v>1289</v>
      </c>
      <c r="E86" s="3" t="s">
        <v>1290</v>
      </c>
      <c r="F86" s="3" t="s">
        <v>1291</v>
      </c>
      <c r="G86" s="3" t="s">
        <v>1292</v>
      </c>
      <c r="H86" s="3" t="s">
        <v>1293</v>
      </c>
      <c r="I86" s="181" t="s">
        <v>658</v>
      </c>
    </row>
    <row r="87" spans="1:9">
      <c r="A87" s="180">
        <v>41129</v>
      </c>
      <c r="B87" s="3" t="s">
        <v>1294</v>
      </c>
      <c r="C87" s="3" t="s">
        <v>1295</v>
      </c>
      <c r="D87" s="3" t="s">
        <v>1296</v>
      </c>
      <c r="E87" s="3" t="s">
        <v>1297</v>
      </c>
      <c r="F87" s="3" t="s">
        <v>1298</v>
      </c>
      <c r="G87" s="3" t="s">
        <v>1299</v>
      </c>
      <c r="H87" s="3" t="s">
        <v>1300</v>
      </c>
      <c r="I87" s="181" t="s">
        <v>659</v>
      </c>
    </row>
    <row r="88" spans="1:9">
      <c r="A88" s="180">
        <v>41130</v>
      </c>
      <c r="B88" s="3" t="s">
        <v>1301</v>
      </c>
      <c r="C88" s="3" t="s">
        <v>1302</v>
      </c>
      <c r="D88" s="3" t="s">
        <v>1303</v>
      </c>
      <c r="E88" s="3" t="s">
        <v>1304</v>
      </c>
      <c r="F88" s="3" t="s">
        <v>1305</v>
      </c>
      <c r="G88" s="3" t="s">
        <v>1306</v>
      </c>
      <c r="H88" s="3" t="s">
        <v>1307</v>
      </c>
      <c r="I88" s="181" t="s">
        <v>660</v>
      </c>
    </row>
    <row r="89" spans="1:9">
      <c r="A89" s="180">
        <v>41043</v>
      </c>
      <c r="B89" s="3" t="s">
        <v>55</v>
      </c>
      <c r="C89" s="3" t="s">
        <v>56</v>
      </c>
      <c r="D89" s="3" t="s">
        <v>57</v>
      </c>
      <c r="E89" s="3" t="s">
        <v>58</v>
      </c>
      <c r="F89" s="3" t="s">
        <v>59</v>
      </c>
      <c r="G89" s="3" t="s">
        <v>60</v>
      </c>
      <c r="H89" s="3" t="s">
        <v>61</v>
      </c>
    </row>
    <row r="90" spans="1:9">
      <c r="A90" s="180">
        <v>41044</v>
      </c>
      <c r="B90" s="3" t="s">
        <v>62</v>
      </c>
      <c r="C90" s="3" t="s">
        <v>63</v>
      </c>
      <c r="D90" s="3" t="s">
        <v>64</v>
      </c>
      <c r="E90" s="3" t="s">
        <v>65</v>
      </c>
      <c r="F90" s="3" t="s">
        <v>66</v>
      </c>
      <c r="G90" s="3" t="s">
        <v>67</v>
      </c>
      <c r="H90" s="3" t="s">
        <v>68</v>
      </c>
    </row>
    <row r="91" spans="1:9">
      <c r="A91" s="180">
        <v>41045</v>
      </c>
      <c r="B91" s="3" t="s">
        <v>69</v>
      </c>
      <c r="C91" s="3" t="s">
        <v>70</v>
      </c>
      <c r="D91" s="3" t="s">
        <v>71</v>
      </c>
      <c r="E91" s="3" t="s">
        <v>72</v>
      </c>
      <c r="F91" s="3" t="s">
        <v>73</v>
      </c>
      <c r="G91" s="3" t="s">
        <v>74</v>
      </c>
      <c r="H91" s="3" t="s">
        <v>75</v>
      </c>
    </row>
    <row r="92" spans="1:9">
      <c r="A92" s="180">
        <v>41046</v>
      </c>
      <c r="B92" s="3" t="s">
        <v>76</v>
      </c>
      <c r="C92" s="3" t="s">
        <v>77</v>
      </c>
      <c r="D92" s="3" t="s">
        <v>78</v>
      </c>
      <c r="E92" s="3" t="s">
        <v>79</v>
      </c>
      <c r="F92" s="3" t="s">
        <v>80</v>
      </c>
      <c r="G92" s="3" t="s">
        <v>81</v>
      </c>
      <c r="H92" s="3" t="s">
        <v>82</v>
      </c>
    </row>
    <row r="93" spans="1:9">
      <c r="A93" s="180">
        <v>41047</v>
      </c>
      <c r="B93" s="3" t="s">
        <v>83</v>
      </c>
      <c r="C93" s="3" t="s">
        <v>84</v>
      </c>
      <c r="D93" s="3" t="s">
        <v>85</v>
      </c>
      <c r="E93" s="3" t="s">
        <v>86</v>
      </c>
      <c r="F93" s="3" t="s">
        <v>87</v>
      </c>
      <c r="G93" s="3" t="s">
        <v>88</v>
      </c>
      <c r="H93" s="3" t="s">
        <v>89</v>
      </c>
    </row>
    <row r="94" spans="1:9">
      <c r="A94" s="180">
        <v>41031</v>
      </c>
      <c r="B94" s="3" t="s">
        <v>90</v>
      </c>
      <c r="C94" s="3" t="s">
        <v>91</v>
      </c>
      <c r="D94" s="3" t="s">
        <v>92</v>
      </c>
      <c r="E94" s="3" t="s">
        <v>93</v>
      </c>
      <c r="F94" s="3" t="s">
        <v>94</v>
      </c>
      <c r="G94" s="3" t="s">
        <v>95</v>
      </c>
      <c r="H94" s="3" t="s">
        <v>96</v>
      </c>
    </row>
    <row r="95" spans="1:9">
      <c r="A95" s="180">
        <v>41050</v>
      </c>
      <c r="B95" s="3" t="s">
        <v>97</v>
      </c>
      <c r="C95" s="3" t="s">
        <v>98</v>
      </c>
      <c r="D95" s="3" t="s">
        <v>99</v>
      </c>
      <c r="E95" s="3" t="s">
        <v>100</v>
      </c>
      <c r="F95" s="3" t="s">
        <v>101</v>
      </c>
      <c r="G95" s="3" t="s">
        <v>102</v>
      </c>
      <c r="H95" s="3" t="s">
        <v>103</v>
      </c>
    </row>
    <row r="96" spans="1:9">
      <c r="A96" s="180">
        <v>41051</v>
      </c>
      <c r="B96" s="3" t="s">
        <v>104</v>
      </c>
      <c r="C96" s="3" t="s">
        <v>105</v>
      </c>
      <c r="D96" s="3" t="s">
        <v>106</v>
      </c>
      <c r="E96" s="3" t="s">
        <v>107</v>
      </c>
      <c r="F96" s="3" t="s">
        <v>108</v>
      </c>
      <c r="G96" s="3" t="s">
        <v>109</v>
      </c>
      <c r="H96" s="3" t="s">
        <v>110</v>
      </c>
    </row>
    <row r="97" spans="1:8">
      <c r="A97" s="180">
        <v>41052</v>
      </c>
      <c r="B97" s="3" t="s">
        <v>111</v>
      </c>
      <c r="C97" s="3" t="s">
        <v>112</v>
      </c>
      <c r="D97" s="3" t="s">
        <v>113</v>
      </c>
      <c r="E97" s="3" t="s">
        <v>114</v>
      </c>
      <c r="F97" s="3" t="s">
        <v>115</v>
      </c>
      <c r="G97" s="3" t="s">
        <v>116</v>
      </c>
      <c r="H97" s="3" t="s">
        <v>117</v>
      </c>
    </row>
    <row r="98" spans="1:8">
      <c r="A98" s="180">
        <v>41053</v>
      </c>
      <c r="B98" s="3" t="s">
        <v>118</v>
      </c>
      <c r="C98" s="3" t="s">
        <v>119</v>
      </c>
      <c r="D98" s="3" t="s">
        <v>120</v>
      </c>
      <c r="E98" s="3" t="s">
        <v>121</v>
      </c>
      <c r="F98" s="3" t="s">
        <v>122</v>
      </c>
      <c r="G98" s="3" t="s">
        <v>123</v>
      </c>
      <c r="H98" s="3" t="s">
        <v>124</v>
      </c>
    </row>
    <row r="99" spans="1:8">
      <c r="A99" s="180">
        <v>41054</v>
      </c>
      <c r="B99" s="3" t="s">
        <v>125</v>
      </c>
      <c r="C99" s="3" t="s">
        <v>126</v>
      </c>
      <c r="D99" s="3" t="s">
        <v>127</v>
      </c>
      <c r="E99" s="3" t="s">
        <v>128</v>
      </c>
      <c r="F99" s="3" t="s">
        <v>129</v>
      </c>
      <c r="G99" s="3" t="s">
        <v>130</v>
      </c>
      <c r="H99" s="3" t="s">
        <v>131</v>
      </c>
    </row>
    <row r="100" spans="1:8">
      <c r="A100" s="180">
        <v>41057</v>
      </c>
      <c r="B100" s="3" t="s">
        <v>132</v>
      </c>
      <c r="C100" s="3" t="s">
        <v>133</v>
      </c>
      <c r="D100" s="3" t="s">
        <v>134</v>
      </c>
      <c r="E100" s="3" t="s">
        <v>135</v>
      </c>
      <c r="F100" s="3" t="s">
        <v>136</v>
      </c>
      <c r="G100" s="3" t="s">
        <v>137</v>
      </c>
      <c r="H100" s="3" t="s">
        <v>138</v>
      </c>
    </row>
    <row r="101" spans="1:8">
      <c r="A101" s="180">
        <v>41058</v>
      </c>
      <c r="B101" s="3" t="s">
        <v>139</v>
      </c>
      <c r="C101" s="3" t="s">
        <v>140</v>
      </c>
      <c r="D101" s="3" t="s">
        <v>141</v>
      </c>
      <c r="E101" s="3" t="s">
        <v>142</v>
      </c>
      <c r="F101" s="3" t="s">
        <v>143</v>
      </c>
      <c r="G101" s="3" t="s">
        <v>144</v>
      </c>
      <c r="H101" s="3" t="s">
        <v>145</v>
      </c>
    </row>
    <row r="102" spans="1:8">
      <c r="A102" s="180">
        <v>41032</v>
      </c>
      <c r="B102" s="3" t="s">
        <v>146</v>
      </c>
      <c r="C102" s="3" t="s">
        <v>147</v>
      </c>
      <c r="D102" s="3" t="s">
        <v>148</v>
      </c>
      <c r="E102" s="3" t="s">
        <v>149</v>
      </c>
      <c r="F102" s="3" t="s">
        <v>150</v>
      </c>
      <c r="G102" s="3" t="s">
        <v>151</v>
      </c>
      <c r="H102" s="3" t="s">
        <v>152</v>
      </c>
    </row>
    <row r="103" spans="1:8">
      <c r="A103" s="180">
        <v>41059</v>
      </c>
      <c r="B103" s="3" t="s">
        <v>153</v>
      </c>
      <c r="C103" s="3" t="s">
        <v>154</v>
      </c>
      <c r="D103" s="3" t="s">
        <v>155</v>
      </c>
      <c r="E103" s="3" t="s">
        <v>156</v>
      </c>
      <c r="F103" s="3" t="s">
        <v>157</v>
      </c>
      <c r="G103" s="3" t="s">
        <v>158</v>
      </c>
      <c r="H103" s="3" t="s">
        <v>159</v>
      </c>
    </row>
    <row r="104" spans="1:8">
      <c r="A104" s="180">
        <v>41060</v>
      </c>
      <c r="B104" s="3" t="s">
        <v>160</v>
      </c>
      <c r="C104" s="3" t="s">
        <v>161</v>
      </c>
      <c r="D104" s="3" t="s">
        <v>162</v>
      </c>
      <c r="E104" s="3" t="s">
        <v>163</v>
      </c>
      <c r="F104" s="3" t="s">
        <v>164</v>
      </c>
      <c r="G104" s="3" t="s">
        <v>165</v>
      </c>
      <c r="H104" s="3" t="s">
        <v>166</v>
      </c>
    </row>
    <row r="105" spans="1:8">
      <c r="A105" s="180">
        <v>41033</v>
      </c>
      <c r="B105" s="3" t="s">
        <v>167</v>
      </c>
      <c r="C105" s="3" t="s">
        <v>168</v>
      </c>
      <c r="D105" s="3" t="s">
        <v>169</v>
      </c>
      <c r="E105" s="3" t="s">
        <v>170</v>
      </c>
      <c r="F105" s="3" t="s">
        <v>171</v>
      </c>
      <c r="G105" s="3" t="s">
        <v>172</v>
      </c>
      <c r="H105" s="3" t="s">
        <v>173</v>
      </c>
    </row>
    <row r="106" spans="1:8">
      <c r="A106" s="180">
        <v>41036</v>
      </c>
      <c r="B106" s="3" t="s">
        <v>174</v>
      </c>
      <c r="C106" s="3" t="s">
        <v>175</v>
      </c>
      <c r="D106" s="3" t="s">
        <v>176</v>
      </c>
      <c r="E106" s="3" t="s">
        <v>177</v>
      </c>
      <c r="F106" s="3" t="s">
        <v>178</v>
      </c>
      <c r="G106" s="3" t="s">
        <v>179</v>
      </c>
      <c r="H106" s="3" t="s">
        <v>180</v>
      </c>
    </row>
    <row r="107" spans="1:8">
      <c r="A107" s="180">
        <v>41037</v>
      </c>
      <c r="B107" s="3" t="s">
        <v>181</v>
      </c>
      <c r="C107" s="3" t="s">
        <v>182</v>
      </c>
      <c r="D107" s="3" t="s">
        <v>183</v>
      </c>
      <c r="E107" s="3" t="s">
        <v>184</v>
      </c>
      <c r="F107" s="3" t="s">
        <v>185</v>
      </c>
      <c r="G107" s="3" t="s">
        <v>186</v>
      </c>
      <c r="H107" s="3" t="s">
        <v>187</v>
      </c>
    </row>
    <row r="108" spans="1:8">
      <c r="A108" s="180">
        <v>41038</v>
      </c>
      <c r="B108" s="3" t="s">
        <v>188</v>
      </c>
      <c r="C108" s="3" t="s">
        <v>189</v>
      </c>
      <c r="D108" s="3" t="s">
        <v>190</v>
      </c>
      <c r="E108" s="3" t="s">
        <v>191</v>
      </c>
      <c r="F108" s="3" t="s">
        <v>192</v>
      </c>
      <c r="G108" s="3" t="s">
        <v>193</v>
      </c>
      <c r="H108" s="3" t="s">
        <v>194</v>
      </c>
    </row>
    <row r="109" spans="1:8">
      <c r="A109" s="180">
        <v>41061</v>
      </c>
      <c r="B109" s="3" t="s">
        <v>195</v>
      </c>
      <c r="C109" s="3" t="s">
        <v>196</v>
      </c>
      <c r="D109" s="3" t="s">
        <v>197</v>
      </c>
      <c r="E109" s="3" t="s">
        <v>198</v>
      </c>
      <c r="F109" s="3" t="s">
        <v>199</v>
      </c>
      <c r="G109" s="3" t="s">
        <v>200</v>
      </c>
      <c r="H109" s="3" t="s">
        <v>201</v>
      </c>
    </row>
    <row r="110" spans="1:8">
      <c r="A110" s="180">
        <v>41071</v>
      </c>
      <c r="B110" s="3" t="s">
        <v>202</v>
      </c>
      <c r="C110" s="3" t="s">
        <v>203</v>
      </c>
      <c r="D110" s="3" t="s">
        <v>204</v>
      </c>
      <c r="E110" s="3" t="s">
        <v>205</v>
      </c>
      <c r="F110" s="3" t="s">
        <v>206</v>
      </c>
      <c r="G110" s="3" t="s">
        <v>207</v>
      </c>
      <c r="H110" s="3" t="s">
        <v>208</v>
      </c>
    </row>
    <row r="111" spans="1:8">
      <c r="A111" s="180">
        <v>41072</v>
      </c>
      <c r="B111" s="3" t="s">
        <v>209</v>
      </c>
      <c r="C111" s="3" t="s">
        <v>210</v>
      </c>
      <c r="D111" s="3" t="s">
        <v>211</v>
      </c>
      <c r="E111" s="3" t="s">
        <v>212</v>
      </c>
      <c r="F111" s="3" t="s">
        <v>213</v>
      </c>
      <c r="G111" s="3" t="s">
        <v>214</v>
      </c>
      <c r="H111" s="3" t="s">
        <v>215</v>
      </c>
    </row>
    <row r="112" spans="1:8">
      <c r="A112" s="180">
        <v>41073</v>
      </c>
      <c r="B112" s="3" t="s">
        <v>216</v>
      </c>
      <c r="C112" s="3" t="s">
        <v>217</v>
      </c>
      <c r="D112" s="3" t="s">
        <v>218</v>
      </c>
      <c r="E112" s="3" t="s">
        <v>219</v>
      </c>
      <c r="F112" s="3" t="s">
        <v>220</v>
      </c>
      <c r="G112" s="3" t="s">
        <v>221</v>
      </c>
      <c r="H112" s="3" t="s">
        <v>222</v>
      </c>
    </row>
    <row r="113" spans="1:8">
      <c r="A113" s="180">
        <v>41074</v>
      </c>
      <c r="B113" s="3" t="s">
        <v>223</v>
      </c>
      <c r="C113" s="3" t="s">
        <v>224</v>
      </c>
      <c r="D113" s="3" t="s">
        <v>225</v>
      </c>
      <c r="E113" s="3" t="s">
        <v>226</v>
      </c>
      <c r="F113" s="3" t="s">
        <v>227</v>
      </c>
      <c r="G113" s="3" t="s">
        <v>228</v>
      </c>
      <c r="H113" s="3" t="s">
        <v>229</v>
      </c>
    </row>
    <row r="114" spans="1:8">
      <c r="A114" s="180">
        <v>41075</v>
      </c>
      <c r="B114" s="3" t="s">
        <v>230</v>
      </c>
      <c r="C114" s="3" t="s">
        <v>231</v>
      </c>
      <c r="D114" s="3" t="s">
        <v>232</v>
      </c>
      <c r="E114" s="3" t="s">
        <v>233</v>
      </c>
      <c r="F114" s="3" t="s">
        <v>234</v>
      </c>
      <c r="G114" s="3" t="s">
        <v>235</v>
      </c>
      <c r="H114" s="3" t="s">
        <v>236</v>
      </c>
    </row>
    <row r="115" spans="1:8">
      <c r="A115" s="180">
        <v>41078</v>
      </c>
      <c r="B115" s="3" t="s">
        <v>237</v>
      </c>
      <c r="C115" s="3" t="s">
        <v>238</v>
      </c>
      <c r="D115" s="3" t="s">
        <v>239</v>
      </c>
      <c r="E115" s="3" t="s">
        <v>240</v>
      </c>
      <c r="F115" s="3" t="s">
        <v>241</v>
      </c>
      <c r="G115" s="3" t="s">
        <v>242</v>
      </c>
      <c r="H115" s="3" t="s">
        <v>243</v>
      </c>
    </row>
    <row r="116" spans="1:8">
      <c r="A116" s="180">
        <v>41079</v>
      </c>
      <c r="B116" s="3" t="s">
        <v>244</v>
      </c>
      <c r="C116" s="3" t="s">
        <v>245</v>
      </c>
      <c r="D116" s="3" t="s">
        <v>246</v>
      </c>
      <c r="E116" s="3" t="s">
        <v>247</v>
      </c>
      <c r="F116" s="3" t="s">
        <v>248</v>
      </c>
      <c r="G116" s="3" t="s">
        <v>249</v>
      </c>
      <c r="H116" s="3" t="s">
        <v>250</v>
      </c>
    </row>
    <row r="117" spans="1:8">
      <c r="A117" s="180">
        <v>41080</v>
      </c>
      <c r="B117" s="3" t="s">
        <v>251</v>
      </c>
      <c r="C117" s="3" t="s">
        <v>252</v>
      </c>
      <c r="D117" s="3" t="s">
        <v>253</v>
      </c>
      <c r="E117" s="3" t="s">
        <v>254</v>
      </c>
      <c r="F117" s="3" t="s">
        <v>255</v>
      </c>
      <c r="G117" s="3" t="s">
        <v>256</v>
      </c>
      <c r="H117" s="3" t="s">
        <v>257</v>
      </c>
    </row>
    <row r="118" spans="1:8">
      <c r="A118" s="180">
        <v>41081</v>
      </c>
      <c r="B118" s="3" t="s">
        <v>258</v>
      </c>
      <c r="C118" s="3" t="s">
        <v>259</v>
      </c>
      <c r="D118" s="3" t="s">
        <v>260</v>
      </c>
      <c r="E118" s="3" t="s">
        <v>261</v>
      </c>
      <c r="F118" s="3" t="s">
        <v>262</v>
      </c>
      <c r="G118" s="3" t="s">
        <v>263</v>
      </c>
      <c r="H118" s="3" t="s">
        <v>264</v>
      </c>
    </row>
    <row r="119" spans="1:8">
      <c r="A119" s="180">
        <v>41085</v>
      </c>
      <c r="B119" s="3" t="s">
        <v>265</v>
      </c>
      <c r="C119" s="3" t="s">
        <v>266</v>
      </c>
      <c r="D119" s="3" t="s">
        <v>267</v>
      </c>
      <c r="E119" s="3" t="s">
        <v>268</v>
      </c>
      <c r="F119" s="3" t="s">
        <v>269</v>
      </c>
      <c r="G119" s="3" t="s">
        <v>270</v>
      </c>
      <c r="H119" s="3" t="s">
        <v>271</v>
      </c>
    </row>
    <row r="120" spans="1:8">
      <c r="A120" s="180">
        <v>41086</v>
      </c>
      <c r="B120" s="3" t="s">
        <v>272</v>
      </c>
      <c r="C120" s="3" t="s">
        <v>273</v>
      </c>
      <c r="D120" s="3" t="s">
        <v>274</v>
      </c>
      <c r="E120" s="3" t="s">
        <v>275</v>
      </c>
      <c r="F120" s="3" t="s">
        <v>276</v>
      </c>
      <c r="G120" s="3" t="s">
        <v>277</v>
      </c>
      <c r="H120" s="3" t="s">
        <v>278</v>
      </c>
    </row>
    <row r="121" spans="1:8">
      <c r="A121" s="180">
        <v>41087</v>
      </c>
      <c r="B121" s="3" t="s">
        <v>279</v>
      </c>
      <c r="C121" s="3" t="s">
        <v>280</v>
      </c>
      <c r="D121" s="3" t="s">
        <v>281</v>
      </c>
      <c r="E121" s="3" t="s">
        <v>282</v>
      </c>
      <c r="F121" s="3" t="s">
        <v>283</v>
      </c>
      <c r="G121" s="3" t="s">
        <v>284</v>
      </c>
      <c r="H121" s="3" t="s">
        <v>285</v>
      </c>
    </row>
    <row r="122" spans="1:8">
      <c r="A122" s="180">
        <v>41088</v>
      </c>
      <c r="B122" s="3" t="s">
        <v>286</v>
      </c>
      <c r="C122" s="3" t="s">
        <v>287</v>
      </c>
      <c r="D122" s="3" t="s">
        <v>288</v>
      </c>
      <c r="E122" s="3" t="s">
        <v>289</v>
      </c>
      <c r="F122" s="3" t="s">
        <v>290</v>
      </c>
      <c r="G122" s="3" t="s">
        <v>291</v>
      </c>
      <c r="H122" s="3" t="s">
        <v>292</v>
      </c>
    </row>
    <row r="123" spans="1:8">
      <c r="A123" s="180">
        <v>41089</v>
      </c>
      <c r="B123" s="3" t="s">
        <v>293</v>
      </c>
      <c r="C123" s="3" t="s">
        <v>294</v>
      </c>
      <c r="D123" s="3" t="s">
        <v>295</v>
      </c>
      <c r="E123" s="3" t="s">
        <v>296</v>
      </c>
      <c r="F123" s="3" t="s">
        <v>297</v>
      </c>
      <c r="G123" s="3" t="s">
        <v>298</v>
      </c>
      <c r="H123" s="3" t="s">
        <v>299</v>
      </c>
    </row>
    <row r="124" spans="1:8">
      <c r="A124" s="180">
        <v>41064</v>
      </c>
      <c r="B124" s="3" t="s">
        <v>300</v>
      </c>
      <c r="C124" s="3" t="s">
        <v>301</v>
      </c>
      <c r="D124" s="3" t="s">
        <v>302</v>
      </c>
      <c r="E124" s="3" t="s">
        <v>303</v>
      </c>
      <c r="F124" s="3" t="s">
        <v>304</v>
      </c>
      <c r="G124" s="3" t="s">
        <v>305</v>
      </c>
      <c r="H124" s="3" t="s">
        <v>306</v>
      </c>
    </row>
    <row r="125" spans="1:8">
      <c r="A125" s="180">
        <v>41065</v>
      </c>
      <c r="B125" s="3" t="s">
        <v>307</v>
      </c>
      <c r="C125" s="3" t="s">
        <v>308</v>
      </c>
      <c r="D125" s="3" t="s">
        <v>309</v>
      </c>
      <c r="E125" s="3" t="s">
        <v>310</v>
      </c>
      <c r="F125" s="3" t="s">
        <v>311</v>
      </c>
      <c r="G125" s="3" t="s">
        <v>312</v>
      </c>
      <c r="H125" s="3" t="s">
        <v>313</v>
      </c>
    </row>
    <row r="126" spans="1:8">
      <c r="A126" s="180">
        <v>41066</v>
      </c>
      <c r="B126" s="3" t="s">
        <v>314</v>
      </c>
      <c r="C126" s="3" t="s">
        <v>315</v>
      </c>
      <c r="D126" s="3" t="s">
        <v>316</v>
      </c>
      <c r="E126" s="3" t="s">
        <v>317</v>
      </c>
      <c r="F126" s="3" t="s">
        <v>318</v>
      </c>
      <c r="G126" s="3" t="s">
        <v>319</v>
      </c>
      <c r="H126" s="3" t="s">
        <v>320</v>
      </c>
    </row>
    <row r="127" spans="1:8">
      <c r="A127" s="180">
        <v>41067</v>
      </c>
      <c r="B127" s="3" t="s">
        <v>321</v>
      </c>
      <c r="C127" s="3" t="s">
        <v>322</v>
      </c>
      <c r="D127" s="3" t="s">
        <v>323</v>
      </c>
      <c r="E127" s="3" t="s">
        <v>324</v>
      </c>
      <c r="F127" s="3" t="s">
        <v>325</v>
      </c>
      <c r="G127" s="3" t="s">
        <v>326</v>
      </c>
      <c r="H127" s="3" t="s">
        <v>327</v>
      </c>
    </row>
    <row r="128" spans="1:8">
      <c r="A128" s="180">
        <v>41068</v>
      </c>
      <c r="B128" s="3" t="s">
        <v>328</v>
      </c>
      <c r="C128" s="3" t="s">
        <v>329</v>
      </c>
      <c r="D128" s="3" t="s">
        <v>330</v>
      </c>
      <c r="E128" s="3" t="s">
        <v>331</v>
      </c>
      <c r="F128" s="3" t="s">
        <v>332</v>
      </c>
      <c r="G128" s="3" t="s">
        <v>333</v>
      </c>
      <c r="H128" s="3" t="s">
        <v>334</v>
      </c>
    </row>
    <row r="129" spans="1:8">
      <c r="A129" s="180">
        <v>41100</v>
      </c>
      <c r="B129" s="3" t="s">
        <v>335</v>
      </c>
      <c r="C129" s="3" t="s">
        <v>336</v>
      </c>
      <c r="D129" s="3" t="s">
        <v>337</v>
      </c>
      <c r="E129" s="3" t="s">
        <v>338</v>
      </c>
      <c r="F129" s="3" t="s">
        <v>339</v>
      </c>
      <c r="G129" s="3" t="s">
        <v>340</v>
      </c>
      <c r="H129" s="3" t="s">
        <v>341</v>
      </c>
    </row>
    <row r="130" spans="1:8">
      <c r="A130" s="180">
        <v>41101</v>
      </c>
      <c r="B130" s="3" t="s">
        <v>342</v>
      </c>
      <c r="C130" s="3" t="s">
        <v>343</v>
      </c>
      <c r="D130" s="3" t="s">
        <v>344</v>
      </c>
      <c r="E130" s="3" t="s">
        <v>345</v>
      </c>
      <c r="F130" s="3" t="s">
        <v>346</v>
      </c>
      <c r="G130" s="3" t="s">
        <v>347</v>
      </c>
      <c r="H130" s="3" t="s">
        <v>348</v>
      </c>
    </row>
    <row r="131" spans="1:8">
      <c r="A131" s="180">
        <v>41102</v>
      </c>
      <c r="B131" s="3" t="s">
        <v>349</v>
      </c>
      <c r="C131" s="3" t="s">
        <v>350</v>
      </c>
      <c r="D131" s="3" t="s">
        <v>351</v>
      </c>
      <c r="E131" s="3" t="s">
        <v>352</v>
      </c>
      <c r="F131" s="3" t="s">
        <v>353</v>
      </c>
      <c r="G131" s="3" t="s">
        <v>354</v>
      </c>
      <c r="H131" s="3" t="s">
        <v>355</v>
      </c>
    </row>
    <row r="132" spans="1:8">
      <c r="A132" s="180">
        <v>41103</v>
      </c>
      <c r="B132" s="3" t="s">
        <v>356</v>
      </c>
      <c r="C132" s="3" t="s">
        <v>357</v>
      </c>
      <c r="D132" s="3" t="s">
        <v>358</v>
      </c>
      <c r="E132" s="3" t="s">
        <v>359</v>
      </c>
      <c r="F132" s="3" t="s">
        <v>360</v>
      </c>
      <c r="G132" s="3" t="s">
        <v>361</v>
      </c>
      <c r="H132" s="3" t="s">
        <v>362</v>
      </c>
    </row>
    <row r="133" spans="1:8">
      <c r="A133" s="180">
        <v>41106</v>
      </c>
      <c r="B133" s="3" t="s">
        <v>363</v>
      </c>
      <c r="C133" s="3" t="s">
        <v>364</v>
      </c>
      <c r="D133" s="3" t="s">
        <v>365</v>
      </c>
      <c r="E133" s="3" t="s">
        <v>366</v>
      </c>
      <c r="F133" s="3" t="s">
        <v>367</v>
      </c>
      <c r="G133" s="3" t="s">
        <v>368</v>
      </c>
      <c r="H133" s="3" t="s">
        <v>369</v>
      </c>
    </row>
    <row r="134" spans="1:8">
      <c r="A134" s="180">
        <v>41107</v>
      </c>
      <c r="B134" s="3" t="s">
        <v>370</v>
      </c>
      <c r="C134" s="3" t="s">
        <v>371</v>
      </c>
      <c r="D134" s="3" t="s">
        <v>372</v>
      </c>
      <c r="E134" s="3" t="s">
        <v>373</v>
      </c>
      <c r="F134" s="3" t="s">
        <v>374</v>
      </c>
      <c r="G134" s="3" t="s">
        <v>375</v>
      </c>
      <c r="H134" s="3" t="s">
        <v>376</v>
      </c>
    </row>
    <row r="135" spans="1:8">
      <c r="A135" s="180">
        <v>41108</v>
      </c>
      <c r="B135" s="3" t="s">
        <v>377</v>
      </c>
      <c r="C135" s="3" t="s">
        <v>378</v>
      </c>
      <c r="D135" s="3" t="s">
        <v>379</v>
      </c>
      <c r="E135" s="3" t="s">
        <v>380</v>
      </c>
      <c r="F135" s="3" t="s">
        <v>381</v>
      </c>
      <c r="G135" s="3" t="s">
        <v>382</v>
      </c>
      <c r="H135" s="3" t="s">
        <v>383</v>
      </c>
    </row>
    <row r="136" spans="1:8">
      <c r="A136" s="180">
        <v>41109</v>
      </c>
      <c r="B136" s="3" t="s">
        <v>384</v>
      </c>
      <c r="C136" s="3" t="s">
        <v>385</v>
      </c>
      <c r="D136" s="3" t="s">
        <v>386</v>
      </c>
      <c r="E136" s="3" t="s">
        <v>387</v>
      </c>
      <c r="F136" s="3" t="s">
        <v>388</v>
      </c>
      <c r="G136" s="3" t="s">
        <v>389</v>
      </c>
      <c r="H136" s="3" t="s">
        <v>390</v>
      </c>
    </row>
    <row r="137" spans="1:8">
      <c r="A137" s="180">
        <v>41092</v>
      </c>
      <c r="B137" s="3" t="s">
        <v>391</v>
      </c>
      <c r="C137" s="3" t="s">
        <v>392</v>
      </c>
      <c r="D137" s="3" t="s">
        <v>393</v>
      </c>
      <c r="E137" s="3" t="s">
        <v>394</v>
      </c>
      <c r="F137" s="3" t="s">
        <v>395</v>
      </c>
      <c r="G137" s="3" t="s">
        <v>396</v>
      </c>
      <c r="H137" s="3" t="s">
        <v>397</v>
      </c>
    </row>
    <row r="138" spans="1:8">
      <c r="A138" s="180">
        <v>41110</v>
      </c>
      <c r="B138" s="3" t="s">
        <v>398</v>
      </c>
      <c r="C138" s="3" t="s">
        <v>399</v>
      </c>
      <c r="D138" s="3" t="s">
        <v>400</v>
      </c>
      <c r="E138" s="3" t="s">
        <v>401</v>
      </c>
      <c r="F138" s="3" t="s">
        <v>402</v>
      </c>
      <c r="G138" s="3" t="s">
        <v>403</v>
      </c>
      <c r="H138" s="3" t="s">
        <v>404</v>
      </c>
    </row>
    <row r="139" spans="1:8">
      <c r="A139" s="180">
        <v>41113</v>
      </c>
      <c r="B139" s="3" t="s">
        <v>405</v>
      </c>
      <c r="C139" s="3" t="s">
        <v>406</v>
      </c>
      <c r="D139" s="3" t="s">
        <v>407</v>
      </c>
      <c r="E139" s="3" t="s">
        <v>408</v>
      </c>
      <c r="F139" s="3" t="s">
        <v>409</v>
      </c>
      <c r="G139" s="3" t="s">
        <v>410</v>
      </c>
      <c r="H139" s="3" t="s">
        <v>411</v>
      </c>
    </row>
    <row r="140" spans="1:8">
      <c r="A140" s="180">
        <v>41114</v>
      </c>
      <c r="B140" s="3" t="s">
        <v>412</v>
      </c>
      <c r="C140" s="3" t="s">
        <v>413</v>
      </c>
      <c r="D140" s="3" t="s">
        <v>414</v>
      </c>
      <c r="E140" s="3" t="s">
        <v>415</v>
      </c>
      <c r="F140" s="3" t="s">
        <v>416</v>
      </c>
      <c r="G140" s="3" t="s">
        <v>417</v>
      </c>
      <c r="H140" s="3" t="s">
        <v>418</v>
      </c>
    </row>
    <row r="141" spans="1:8">
      <c r="A141" s="180">
        <v>41115</v>
      </c>
      <c r="B141" s="3" t="s">
        <v>419</v>
      </c>
      <c r="C141" s="3" t="s">
        <v>420</v>
      </c>
      <c r="D141" s="3" t="s">
        <v>421</v>
      </c>
      <c r="E141" s="3" t="s">
        <v>422</v>
      </c>
      <c r="F141" s="3" t="s">
        <v>423</v>
      </c>
      <c r="G141" s="3" t="s">
        <v>424</v>
      </c>
      <c r="H141" s="3" t="s">
        <v>425</v>
      </c>
    </row>
    <row r="142" spans="1:8">
      <c r="A142" s="180">
        <v>41116</v>
      </c>
      <c r="B142" s="3" t="s">
        <v>426</v>
      </c>
      <c r="C142" s="3" t="s">
        <v>427</v>
      </c>
      <c r="D142" s="3" t="s">
        <v>428</v>
      </c>
      <c r="E142" s="3" t="s">
        <v>429</v>
      </c>
      <c r="F142" s="3" t="s">
        <v>430</v>
      </c>
      <c r="G142" s="3" t="s">
        <v>431</v>
      </c>
      <c r="H142" s="3" t="s">
        <v>432</v>
      </c>
    </row>
    <row r="143" spans="1:8">
      <c r="A143" s="180">
        <v>41117</v>
      </c>
      <c r="B143" s="3" t="s">
        <v>433</v>
      </c>
      <c r="C143" s="3" t="s">
        <v>434</v>
      </c>
      <c r="D143" s="3" t="s">
        <v>435</v>
      </c>
      <c r="E143" s="3" t="s">
        <v>436</v>
      </c>
      <c r="F143" s="3" t="s">
        <v>437</v>
      </c>
      <c r="G143" s="3" t="s">
        <v>438</v>
      </c>
      <c r="H143" s="3" t="s">
        <v>439</v>
      </c>
    </row>
    <row r="144" spans="1:8">
      <c r="A144" s="180">
        <v>41093</v>
      </c>
      <c r="B144" s="3" t="s">
        <v>440</v>
      </c>
      <c r="C144" s="3" t="s">
        <v>441</v>
      </c>
      <c r="D144" s="3" t="s">
        <v>442</v>
      </c>
      <c r="E144" s="3" t="s">
        <v>443</v>
      </c>
      <c r="F144" s="3" t="s">
        <v>444</v>
      </c>
      <c r="G144" s="3" t="s">
        <v>445</v>
      </c>
      <c r="H144" s="3" t="s">
        <v>446</v>
      </c>
    </row>
    <row r="145" spans="1:8">
      <c r="A145" s="180">
        <v>41120</v>
      </c>
      <c r="B145" s="3" t="s">
        <v>447</v>
      </c>
      <c r="C145" s="3" t="s">
        <v>448</v>
      </c>
      <c r="D145" s="3" t="s">
        <v>449</v>
      </c>
      <c r="E145" s="3" t="s">
        <v>450</v>
      </c>
      <c r="F145" s="3" t="s">
        <v>451</v>
      </c>
      <c r="G145" s="3" t="s">
        <v>452</v>
      </c>
      <c r="H145" s="3" t="s">
        <v>453</v>
      </c>
    </row>
    <row r="146" spans="1:8">
      <c r="A146" s="180">
        <v>41121</v>
      </c>
      <c r="B146" s="3" t="s">
        <v>454</v>
      </c>
      <c r="C146" s="3" t="s">
        <v>455</v>
      </c>
      <c r="D146" s="3" t="s">
        <v>456</v>
      </c>
      <c r="E146" s="3" t="s">
        <v>457</v>
      </c>
      <c r="F146" s="3" t="s">
        <v>458</v>
      </c>
      <c r="G146" s="3" t="s">
        <v>459</v>
      </c>
      <c r="H146" s="3" t="s">
        <v>460</v>
      </c>
    </row>
    <row r="147" spans="1:8">
      <c r="A147" s="180">
        <v>41094</v>
      </c>
      <c r="B147" s="3" t="s">
        <v>461</v>
      </c>
      <c r="C147" s="3" t="s">
        <v>462</v>
      </c>
      <c r="D147" s="3" t="s">
        <v>463</v>
      </c>
      <c r="E147" s="3" t="s">
        <v>464</v>
      </c>
      <c r="F147" s="3" t="s">
        <v>465</v>
      </c>
      <c r="G147" s="3" t="s">
        <v>466</v>
      </c>
      <c r="H147" s="3" t="s">
        <v>467</v>
      </c>
    </row>
    <row r="148" spans="1:8">
      <c r="A148" s="180">
        <v>41095</v>
      </c>
      <c r="B148" s="3" t="s">
        <v>468</v>
      </c>
      <c r="C148" s="3" t="s">
        <v>469</v>
      </c>
      <c r="D148" s="3" t="s">
        <v>470</v>
      </c>
      <c r="E148" s="3" t="s">
        <v>471</v>
      </c>
      <c r="F148" s="3" t="s">
        <v>472</v>
      </c>
      <c r="G148" s="3" t="s">
        <v>473</v>
      </c>
      <c r="H148" s="3" t="s">
        <v>474</v>
      </c>
    </row>
    <row r="149" spans="1:8">
      <c r="A149" s="180">
        <v>41096</v>
      </c>
      <c r="B149" s="3" t="s">
        <v>475</v>
      </c>
      <c r="C149" s="3" t="s">
        <v>476</v>
      </c>
      <c r="D149" s="3" t="s">
        <v>477</v>
      </c>
      <c r="E149" s="3" t="s">
        <v>478</v>
      </c>
      <c r="F149" s="3" t="s">
        <v>479</v>
      </c>
      <c r="G149" s="3" t="s">
        <v>480</v>
      </c>
      <c r="H149" s="3" t="s">
        <v>481</v>
      </c>
    </row>
    <row r="150" spans="1:8">
      <c r="A150" s="180">
        <v>41099</v>
      </c>
      <c r="B150" s="3" t="s">
        <v>482</v>
      </c>
      <c r="C150" s="3" t="s">
        <v>483</v>
      </c>
      <c r="D150" s="3" t="s">
        <v>484</v>
      </c>
      <c r="E150" s="3" t="s">
        <v>485</v>
      </c>
      <c r="F150" s="3" t="s">
        <v>486</v>
      </c>
      <c r="G150" s="3" t="s">
        <v>487</v>
      </c>
      <c r="H150" s="3" t="s">
        <v>488</v>
      </c>
    </row>
    <row r="151" spans="1:8">
      <c r="A151" s="180">
        <v>41122</v>
      </c>
      <c r="B151" s="3" t="s">
        <v>489</v>
      </c>
      <c r="C151" s="3" t="s">
        <v>490</v>
      </c>
      <c r="D151" s="3" t="s">
        <v>491</v>
      </c>
      <c r="E151" s="3" t="s">
        <v>492</v>
      </c>
      <c r="F151" s="3" t="s">
        <v>493</v>
      </c>
      <c r="G151" s="3" t="s">
        <v>494</v>
      </c>
      <c r="H151" s="3" t="s">
        <v>495</v>
      </c>
    </row>
    <row r="152" spans="1:8">
      <c r="A152" s="180">
        <v>41131</v>
      </c>
      <c r="B152" s="3" t="s">
        <v>496</v>
      </c>
      <c r="C152" s="3" t="s">
        <v>497</v>
      </c>
      <c r="D152" s="3" t="s">
        <v>498</v>
      </c>
      <c r="E152" s="3" t="s">
        <v>499</v>
      </c>
      <c r="F152" s="3" t="s">
        <v>500</v>
      </c>
      <c r="G152" s="3" t="s">
        <v>501</v>
      </c>
      <c r="H152" s="3" t="s">
        <v>502</v>
      </c>
    </row>
    <row r="153" spans="1:8">
      <c r="A153" s="180">
        <v>41134</v>
      </c>
      <c r="B153" s="3" t="s">
        <v>503</v>
      </c>
      <c r="C153" s="3" t="s">
        <v>504</v>
      </c>
      <c r="D153" s="3" t="s">
        <v>505</v>
      </c>
      <c r="E153" s="3" t="s">
        <v>506</v>
      </c>
      <c r="F153" s="3" t="s">
        <v>507</v>
      </c>
      <c r="G153" s="3" t="s">
        <v>508</v>
      </c>
      <c r="H153" s="3" t="s">
        <v>509</v>
      </c>
    </row>
    <row r="154" spans="1:8">
      <c r="A154" s="180">
        <v>41135</v>
      </c>
      <c r="B154" s="3" t="s">
        <v>510</v>
      </c>
      <c r="C154" s="3" t="s">
        <v>511</v>
      </c>
      <c r="D154" s="3" t="s">
        <v>512</v>
      </c>
      <c r="E154" s="3" t="s">
        <v>513</v>
      </c>
      <c r="F154" s="3" t="s">
        <v>514</v>
      </c>
      <c r="G154" s="3" t="s">
        <v>515</v>
      </c>
      <c r="H154" s="3" t="s">
        <v>516</v>
      </c>
    </row>
    <row r="155" spans="1:8">
      <c r="A155" s="180">
        <v>41136</v>
      </c>
      <c r="B155" s="3" t="s">
        <v>517</v>
      </c>
      <c r="C155" s="3" t="s">
        <v>518</v>
      </c>
      <c r="D155" s="3" t="s">
        <v>519</v>
      </c>
      <c r="E155" s="3" t="s">
        <v>520</v>
      </c>
      <c r="F155" s="3" t="s">
        <v>521</v>
      </c>
      <c r="G155" s="3" t="s">
        <v>522</v>
      </c>
      <c r="H155" s="3" t="s">
        <v>523</v>
      </c>
    </row>
    <row r="156" spans="1:8">
      <c r="A156" s="180">
        <v>41137</v>
      </c>
      <c r="B156" s="3" t="s">
        <v>524</v>
      </c>
      <c r="C156" s="3" t="s">
        <v>525</v>
      </c>
      <c r="D156" s="3" t="s">
        <v>526</v>
      </c>
      <c r="E156" s="3" t="s">
        <v>527</v>
      </c>
      <c r="F156" s="3" t="s">
        <v>528</v>
      </c>
      <c r="G156" s="3" t="s">
        <v>529</v>
      </c>
      <c r="H156" s="3" t="s">
        <v>530</v>
      </c>
    </row>
    <row r="157" spans="1:8">
      <c r="A157" s="180">
        <v>41123</v>
      </c>
      <c r="B157" s="3" t="s">
        <v>531</v>
      </c>
      <c r="C157" s="3" t="s">
        <v>532</v>
      </c>
      <c r="D157" s="3" t="s">
        <v>533</v>
      </c>
      <c r="E157" s="3" t="s">
        <v>534</v>
      </c>
      <c r="F157" s="3" t="s">
        <v>535</v>
      </c>
      <c r="G157" s="3" t="s">
        <v>536</v>
      </c>
      <c r="H157" s="3" t="s">
        <v>537</v>
      </c>
    </row>
    <row r="158" spans="1:8">
      <c r="A158" s="180">
        <v>41124</v>
      </c>
      <c r="B158" s="3" t="s">
        <v>538</v>
      </c>
      <c r="C158" s="3" t="s">
        <v>539</v>
      </c>
      <c r="D158" s="3" t="s">
        <v>540</v>
      </c>
      <c r="E158" s="3" t="s">
        <v>541</v>
      </c>
      <c r="F158" s="3" t="s">
        <v>542</v>
      </c>
      <c r="G158" s="3" t="s">
        <v>543</v>
      </c>
      <c r="H158" s="3" t="s">
        <v>544</v>
      </c>
    </row>
    <row r="159" spans="1:8">
      <c r="A159" s="180">
        <v>41127</v>
      </c>
      <c r="B159" s="3" t="s">
        <v>545</v>
      </c>
      <c r="C159" s="3" t="s">
        <v>546</v>
      </c>
      <c r="D159" s="3" t="s">
        <v>547</v>
      </c>
      <c r="E159" s="3" t="s">
        <v>548</v>
      </c>
      <c r="F159" s="3" t="s">
        <v>549</v>
      </c>
      <c r="G159" s="3" t="s">
        <v>550</v>
      </c>
      <c r="H159" s="3" t="s">
        <v>551</v>
      </c>
    </row>
    <row r="160" spans="1:8">
      <c r="A160" s="180">
        <v>41128</v>
      </c>
      <c r="B160" s="3" t="s">
        <v>552</v>
      </c>
      <c r="C160" s="3" t="s">
        <v>553</v>
      </c>
      <c r="D160" s="3" t="s">
        <v>554</v>
      </c>
      <c r="E160" s="3" t="s">
        <v>555</v>
      </c>
      <c r="F160" s="3" t="s">
        <v>556</v>
      </c>
      <c r="G160" s="3" t="s">
        <v>557</v>
      </c>
      <c r="H160" s="3" t="s">
        <v>558</v>
      </c>
    </row>
    <row r="161" spans="1:8">
      <c r="A161" s="180">
        <v>41129</v>
      </c>
      <c r="B161" s="3" t="s">
        <v>559</v>
      </c>
      <c r="C161" s="3" t="s">
        <v>560</v>
      </c>
      <c r="D161" s="3" t="s">
        <v>561</v>
      </c>
      <c r="E161" s="3" t="s">
        <v>562</v>
      </c>
      <c r="F161" s="3" t="s">
        <v>563</v>
      </c>
      <c r="G161" s="3" t="s">
        <v>564</v>
      </c>
      <c r="H161" s="3" t="s">
        <v>565</v>
      </c>
    </row>
    <row r="162" spans="1:8">
      <c r="A162" s="180">
        <v>41130</v>
      </c>
      <c r="B162" s="3" t="s">
        <v>566</v>
      </c>
      <c r="C162" s="3" t="s">
        <v>567</v>
      </c>
      <c r="D162" s="3" t="s">
        <v>568</v>
      </c>
      <c r="E162" s="3" t="s">
        <v>569</v>
      </c>
      <c r="F162" s="3" t="s">
        <v>570</v>
      </c>
      <c r="G162" s="3" t="s">
        <v>571</v>
      </c>
      <c r="H162" s="3" t="s">
        <v>572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21"/>
  <sheetViews>
    <sheetView workbookViewId="0">
      <selection activeCell="A2" sqref="A2"/>
    </sheetView>
  </sheetViews>
  <sheetFormatPr defaultRowHeight="13.5"/>
  <cols>
    <col min="1" max="1" width="56" bestFit="1" customWidth="1"/>
    <col min="2" max="2" width="37.125" bestFit="1" customWidth="1"/>
    <col min="3" max="10" width="58.25" bestFit="1" customWidth="1"/>
    <col min="11" max="11" width="12.75" bestFit="1" customWidth="1"/>
  </cols>
  <sheetData>
    <row r="1" spans="1:11" ht="15">
      <c r="A1" s="3"/>
      <c r="B1" s="61" t="b">
        <f ca="1">_xll.qlSettingsSetEvaluationDate(B3)</f>
        <v>1</v>
      </c>
      <c r="C1" s="3"/>
      <c r="D1" s="3"/>
      <c r="E1" s="3"/>
      <c r="F1" s="3"/>
      <c r="G1" s="3"/>
      <c r="H1" s="3"/>
      <c r="I1" s="3"/>
      <c r="J1" s="3"/>
      <c r="K1" s="3"/>
    </row>
    <row r="2" spans="1:11" ht="15">
      <c r="A2" s="61" t="str">
        <f ca="1">LEFT(A3,LEN(A3)-18)</f>
        <v>CNY_Treasury_Live_Curve_2012-7-16</v>
      </c>
      <c r="B2" s="3" t="str">
        <f ca="1">"Swap_Curve_"&amp;YEAR(B3)&amp;"-"&amp;MONTH(B3)&amp;"-"&amp;DAY(B3)&amp;"_Calibrated_Curve_"</f>
        <v>Swap_Curve_2012-7-16_Calibrated_Curve_</v>
      </c>
      <c r="C2" s="3" t="str">
        <f ca="1">$B$2&amp;1</f>
        <v>Swap_Curve_2012-7-16_Calibrated_Curve_1</v>
      </c>
      <c r="D2" s="3" t="str">
        <f ca="1">$B$2&amp;2</f>
        <v>Swap_Curve_2012-7-16_Calibrated_Curve_2</v>
      </c>
      <c r="E2" s="3" t="str">
        <f ca="1">$B$2&amp;3</f>
        <v>Swap_Curve_2012-7-16_Calibrated_Curve_3</v>
      </c>
      <c r="F2" s="3" t="str">
        <f ca="1">$B$2&amp;4</f>
        <v>Swap_Curve_2012-7-16_Calibrated_Curve_4</v>
      </c>
      <c r="G2" s="3" t="str">
        <f ca="1">$B$2&amp;5</f>
        <v>Swap_Curve_2012-7-16_Calibrated_Curve_5</v>
      </c>
      <c r="H2" s="3" t="str">
        <f ca="1">$B$2&amp;6</f>
        <v>Swap_Curve_2012-7-16_Calibrated_Curve_6</v>
      </c>
      <c r="I2" s="3" t="str">
        <f ca="1">$B$2&amp;7</f>
        <v>Swap_Curve_2012-7-16_Calibrated_Curve_7</v>
      </c>
      <c r="J2" s="3" t="str">
        <f ca="1">$B$2&amp;8</f>
        <v>Swap_Curve_2012-7-16_Calibrated_Curve_8</v>
      </c>
      <c r="K2" s="182"/>
    </row>
    <row r="3" spans="1:11" ht="15">
      <c r="A3" s="61" t="str">
        <f ca="1">"CNY_Treasury_Live_Curve_"&amp;YEAR(B3)&amp;"-"&amp;MONTH(B3)&amp;"-"&amp;DAY(B3)&amp;"_Calibrated_Curve_"</f>
        <v>CNY_Treasury_Live_Curve_2012-7-16_Calibrated_Curve_</v>
      </c>
      <c r="B3" s="183">
        <v>41106</v>
      </c>
      <c r="C3" s="172" t="str">
        <f ca="1">$A$3&amp;1</f>
        <v>CNY_Treasury_Live_Curve_2012-7-16_Calibrated_Curve_1</v>
      </c>
      <c r="D3" s="172" t="str">
        <f ca="1">$A$3&amp;2</f>
        <v>CNY_Treasury_Live_Curve_2012-7-16_Calibrated_Curve_2</v>
      </c>
      <c r="E3" s="172" t="str">
        <f ca="1">$A$3&amp;3</f>
        <v>CNY_Treasury_Live_Curve_2012-7-16_Calibrated_Curve_3</v>
      </c>
      <c r="F3" s="172" t="str">
        <f ca="1">$A$3&amp;4</f>
        <v>CNY_Treasury_Live_Curve_2012-7-16_Calibrated_Curve_4</v>
      </c>
      <c r="G3" s="172" t="str">
        <f ca="1">$A$3&amp;5</f>
        <v>CNY_Treasury_Live_Curve_2012-7-16_Calibrated_Curve_5</v>
      </c>
      <c r="H3" s="172" t="str">
        <f ca="1">$A$3&amp;6</f>
        <v>CNY_Treasury_Live_Curve_2012-7-16_Calibrated_Curve_6</v>
      </c>
      <c r="I3" s="172" t="str">
        <f ca="1">$A$3&amp;7</f>
        <v>CNY_Treasury_Live_Curve_2012-7-16_Calibrated_Curve_7</v>
      </c>
      <c r="J3" s="172" t="str">
        <f ca="1">$A$3&amp;8</f>
        <v>CNY_Treasury_Live_Curve_2012-7-16_Calibrated_Curve_8</v>
      </c>
      <c r="K3" s="182"/>
    </row>
    <row r="4" spans="1:11" ht="15">
      <c r="A4" s="4">
        <f ca="1">B3</f>
        <v>41106</v>
      </c>
      <c r="B4" s="3"/>
      <c r="C4" s="182">
        <f t="array" aca="1" ref="C4:C215" ca="1">_xll.qlYieldTSZeroRate(C$3,$A$4:$A$215,"Bond Basis",,,TRUE)</f>
        <v>2.4016920224418408E-2</v>
      </c>
      <c r="D4" s="182">
        <f t="array" aca="1" ref="D4:D215" ca="1">_xll.qlYieldTSZeroRate(D$3,$A$4:$A$215,"Bond Basis",,,TRUE)</f>
        <v>2.4041974740405224E-2</v>
      </c>
      <c r="E4" s="182">
        <f t="array" aca="1" ref="E4:E215" ca="1">_xll.qlYieldTSZeroRate(E$3,$A$4:$A$215,"Bond Basis",,,TRUE)</f>
        <v>2.4016920224418408E-2</v>
      </c>
      <c r="F4" s="182">
        <f t="array" aca="1" ref="F4:F215" ca="1">_xll.qlYieldTSZeroRate(F$3,$A$4:$A$215,"Bond Basis",,,TRUE)</f>
        <v>2.4016920224418408E-2</v>
      </c>
      <c r="G4" s="182">
        <f t="array" aca="1" ref="G4:G215" ca="1">_xll.qlYieldTSZeroRate(G$3,$A$4:$A$215,"Bond Basis",,,TRUE)</f>
        <v>2.4016920224418408E-2</v>
      </c>
      <c r="H4" s="182">
        <f t="array" aca="1" ref="H4:H215" ca="1">_xll.qlYieldTSZeroRate(H$3,$A$4:$A$215,"Bond Basis",,,TRUE)</f>
        <v>2.4016920224418408E-2</v>
      </c>
      <c r="I4" s="182">
        <f t="array" aca="1" ref="I4:I215" ca="1">_xll.qlYieldTSZeroRate(I$3,$A$4:$A$215,"Bond Basis",,,TRUE)</f>
        <v>2.4016920224418408E-2</v>
      </c>
      <c r="J4" s="182">
        <f t="array" aca="1" ref="J4:J215" ca="1">_xll.qlYieldTSZeroRate(J$3,$A$4:$A$215,"Bond Basis",,,TRUE)</f>
        <v>2.4116320366454905E-2</v>
      </c>
      <c r="K4" s="182"/>
    </row>
    <row r="5" spans="1:11" ht="15">
      <c r="A5" s="4">
        <f ca="1">A4+90</f>
        <v>41196</v>
      </c>
      <c r="B5" s="3"/>
      <c r="C5" s="182">
        <f ca="1"/>
        <v>2.401692022490589E-2</v>
      </c>
      <c r="D5" s="182">
        <f ca="1"/>
        <v>2.404197473982482E-2</v>
      </c>
      <c r="E5" s="182">
        <f ca="1"/>
        <v>2.4016920224904984E-2</v>
      </c>
      <c r="F5" s="182">
        <f ca="1"/>
        <v>2.4016920224904984E-2</v>
      </c>
      <c r="G5" s="182">
        <f ca="1"/>
        <v>2.4016920224904984E-2</v>
      </c>
      <c r="H5" s="182">
        <f ca="1"/>
        <v>2.4016920224904984E-2</v>
      </c>
      <c r="I5" s="182">
        <f ca="1"/>
        <v>2.4016920224904984E-2</v>
      </c>
      <c r="J5" s="182">
        <f ca="1"/>
        <v>2.4116320365777932E-2</v>
      </c>
      <c r="K5" s="182"/>
    </row>
    <row r="6" spans="1:11" ht="15">
      <c r="A6" s="4">
        <f t="shared" ref="A6:A69" ca="1" si="0">A5+90</f>
        <v>41286</v>
      </c>
      <c r="B6" s="3"/>
      <c r="C6" s="182">
        <f ca="1"/>
        <v>2.2049354548419997E-2</v>
      </c>
      <c r="D6" s="182">
        <f ca="1"/>
        <v>2.2098368284234598E-2</v>
      </c>
      <c r="E6" s="182">
        <f ca="1"/>
        <v>2.2049354549397701E-2</v>
      </c>
      <c r="F6" s="182">
        <f ca="1"/>
        <v>2.2049354549397701E-2</v>
      </c>
      <c r="G6" s="182">
        <f ca="1"/>
        <v>2.2049354549397701E-2</v>
      </c>
      <c r="H6" s="182">
        <f ca="1"/>
        <v>2.2049354549397701E-2</v>
      </c>
      <c r="I6" s="182">
        <f ca="1"/>
        <v>2.2049354549397701E-2</v>
      </c>
      <c r="J6" s="182">
        <f ca="1"/>
        <v>2.2148276018456651E-2</v>
      </c>
      <c r="K6" s="182"/>
    </row>
    <row r="7" spans="1:11" ht="15">
      <c r="A7" s="4">
        <f t="shared" ca="1" si="0"/>
        <v>41376</v>
      </c>
      <c r="B7" s="3"/>
      <c r="C7" s="182">
        <f ca="1"/>
        <v>2.168302914395252E-2</v>
      </c>
      <c r="D7" s="182">
        <f ca="1"/>
        <v>2.1755800209119026E-2</v>
      </c>
      <c r="E7" s="182">
        <f ca="1"/>
        <v>2.1683029143990375E-2</v>
      </c>
      <c r="F7" s="182">
        <f ca="1"/>
        <v>2.1683029143990375E-2</v>
      </c>
      <c r="G7" s="182">
        <f ca="1"/>
        <v>2.1683029143990375E-2</v>
      </c>
      <c r="H7" s="182">
        <f ca="1"/>
        <v>2.1683029143990375E-2</v>
      </c>
      <c r="I7" s="182">
        <f ca="1"/>
        <v>2.1683029143990375E-2</v>
      </c>
      <c r="J7" s="182">
        <f ca="1"/>
        <v>2.1781437328659593E-2</v>
      </c>
      <c r="K7" s="182"/>
    </row>
    <row r="8" spans="1:11" ht="15">
      <c r="A8" s="4">
        <f t="shared" ca="1" si="0"/>
        <v>41466</v>
      </c>
      <c r="B8" s="3"/>
      <c r="C8" s="182">
        <f ca="1"/>
        <v>2.281808417782483E-2</v>
      </c>
      <c r="D8" s="182">
        <f ca="1"/>
        <v>2.291440233882475E-2</v>
      </c>
      <c r="E8" s="182">
        <f ca="1"/>
        <v>2.2818084177824608E-2</v>
      </c>
      <c r="F8" s="182">
        <f ca="1"/>
        <v>2.2818084177824608E-2</v>
      </c>
      <c r="G8" s="182">
        <f ca="1"/>
        <v>2.2818084177824608E-2</v>
      </c>
      <c r="H8" s="182">
        <f ca="1"/>
        <v>2.2818084177824608E-2</v>
      </c>
      <c r="I8" s="182">
        <f ca="1"/>
        <v>2.2818084177824608E-2</v>
      </c>
      <c r="J8" s="182">
        <f ca="1"/>
        <v>2.2915855443029463E-2</v>
      </c>
      <c r="K8" s="182"/>
    </row>
    <row r="9" spans="1:11" ht="15">
      <c r="A9" s="4">
        <f t="shared" ca="1" si="0"/>
        <v>41556</v>
      </c>
      <c r="B9" s="3"/>
      <c r="C9" s="182">
        <f ca="1"/>
        <v>2.4985026408419823E-2</v>
      </c>
      <c r="D9" s="182">
        <f ca="1"/>
        <v>2.5059965994309402E-2</v>
      </c>
      <c r="E9" s="182">
        <f ca="1"/>
        <v>2.5007892978144576E-2</v>
      </c>
      <c r="F9" s="182">
        <f ca="1"/>
        <v>2.4985026408419649E-2</v>
      </c>
      <c r="G9" s="182">
        <f ca="1"/>
        <v>2.4985026408419649E-2</v>
      </c>
      <c r="H9" s="182">
        <f ca="1"/>
        <v>2.4985026408419649E-2</v>
      </c>
      <c r="I9" s="182">
        <f ca="1"/>
        <v>2.4985026408419649E-2</v>
      </c>
      <c r="J9" s="182">
        <f ca="1"/>
        <v>2.5082911287335218E-2</v>
      </c>
      <c r="K9" s="182"/>
    </row>
    <row r="10" spans="1:11" ht="15">
      <c r="A10" s="4">
        <f t="shared" ca="1" si="0"/>
        <v>41646</v>
      </c>
      <c r="B10" s="3"/>
      <c r="C10" s="182">
        <f ca="1"/>
        <v>2.6521136687349563E-2</v>
      </c>
      <c r="D10" s="182">
        <f ca="1"/>
        <v>2.657195890142517E-2</v>
      </c>
      <c r="E10" s="182">
        <f ca="1"/>
        <v>2.6568271622563439E-2</v>
      </c>
      <c r="F10" s="182">
        <f ca="1"/>
        <v>2.6521136687345369E-2</v>
      </c>
      <c r="G10" s="182">
        <f ca="1"/>
        <v>2.6521136687345369E-2</v>
      </c>
      <c r="H10" s="182">
        <f ca="1"/>
        <v>2.6521136687345369E-2</v>
      </c>
      <c r="I10" s="182">
        <f ca="1"/>
        <v>2.6521136687345369E-2</v>
      </c>
      <c r="J10" s="182">
        <f ca="1"/>
        <v>2.661902302037417E-2</v>
      </c>
      <c r="K10" s="182"/>
    </row>
    <row r="11" spans="1:11" ht="15">
      <c r="A11" s="4">
        <f t="shared" ca="1" si="0"/>
        <v>41736</v>
      </c>
      <c r="B11" s="3"/>
      <c r="C11" s="182">
        <f ca="1"/>
        <v>2.2635928952122217E-2</v>
      </c>
      <c r="D11" s="182">
        <f ca="1"/>
        <v>2.2662383070852835E-2</v>
      </c>
      <c r="E11" s="182">
        <f ca="1"/>
        <v>2.2707576725421046E-2</v>
      </c>
      <c r="F11" s="182">
        <f ca="1"/>
        <v>2.2635928951853838E-2</v>
      </c>
      <c r="G11" s="182">
        <f ca="1"/>
        <v>2.2635928951853838E-2</v>
      </c>
      <c r="H11" s="182">
        <f ca="1"/>
        <v>2.2635928951853838E-2</v>
      </c>
      <c r="I11" s="182">
        <f ca="1"/>
        <v>2.2635928951853838E-2</v>
      </c>
      <c r="J11" s="182">
        <f ca="1"/>
        <v>2.2733966814559942E-2</v>
      </c>
      <c r="K11" s="182"/>
    </row>
    <row r="12" spans="1:11" ht="15">
      <c r="A12" s="4">
        <f t="shared" ca="1" si="0"/>
        <v>41826</v>
      </c>
      <c r="B12" s="3"/>
      <c r="C12" s="182">
        <f ca="1"/>
        <v>2.221706905903292E-2</v>
      </c>
      <c r="D12" s="182">
        <f ca="1"/>
        <v>2.221874019303207E-2</v>
      </c>
      <c r="E12" s="182">
        <f ca="1"/>
        <v>2.2313116013515735E-2</v>
      </c>
      <c r="F12" s="182">
        <f ca="1"/>
        <v>2.2217069059233353E-2</v>
      </c>
      <c r="G12" s="182">
        <f ca="1"/>
        <v>2.2217069059233353E-2</v>
      </c>
      <c r="H12" s="182">
        <f ca="1"/>
        <v>2.2217069059233353E-2</v>
      </c>
      <c r="I12" s="182">
        <f ca="1"/>
        <v>2.2217069059233353E-2</v>
      </c>
      <c r="J12" s="182">
        <f ca="1"/>
        <v>2.2314867910032288E-2</v>
      </c>
      <c r="K12" s="182"/>
    </row>
    <row r="13" spans="1:11" ht="15">
      <c r="A13" s="4">
        <f t="shared" ca="1" si="0"/>
        <v>41916</v>
      </c>
      <c r="B13" s="3"/>
      <c r="C13" s="182">
        <f ca="1"/>
        <v>2.2898246727052988E-2</v>
      </c>
      <c r="D13" s="182">
        <f ca="1"/>
        <v>2.2897300209875199E-2</v>
      </c>
      <c r="E13" s="182">
        <f ca="1"/>
        <v>2.2989731144584278E-2</v>
      </c>
      <c r="F13" s="182">
        <f ca="1"/>
        <v>2.2905452898653676E-2</v>
      </c>
      <c r="G13" s="182">
        <f ca="1"/>
        <v>2.289824672729026E-2</v>
      </c>
      <c r="H13" s="182">
        <f ca="1"/>
        <v>2.289824672729026E-2</v>
      </c>
      <c r="I13" s="182">
        <f ca="1"/>
        <v>2.289824672729026E-2</v>
      </c>
      <c r="J13" s="182">
        <f ca="1"/>
        <v>2.2996037925602193E-2</v>
      </c>
      <c r="K13" s="182"/>
    </row>
    <row r="14" spans="1:11" ht="15">
      <c r="A14" s="4">
        <f t="shared" ca="1" si="0"/>
        <v>42006</v>
      </c>
      <c r="B14" s="3"/>
      <c r="C14" s="182">
        <f ca="1"/>
        <v>2.3460786495142608E-2</v>
      </c>
      <c r="D14" s="182">
        <f ca="1"/>
        <v>2.3459980856976242E-2</v>
      </c>
      <c r="E14" s="182">
        <f ca="1"/>
        <v>2.3544012672142588E-2</v>
      </c>
      <c r="F14" s="182">
        <f ca="1"/>
        <v>2.3476150472046466E-2</v>
      </c>
      <c r="G14" s="182">
        <f ca="1"/>
        <v>2.3460786495356104E-2</v>
      </c>
      <c r="H14" s="182">
        <f ca="1"/>
        <v>2.3460786495356104E-2</v>
      </c>
      <c r="I14" s="182">
        <f ca="1"/>
        <v>2.3460786495356104E-2</v>
      </c>
      <c r="J14" s="182">
        <f ca="1"/>
        <v>2.3558545313485609E-2</v>
      </c>
      <c r="K14" s="182"/>
    </row>
    <row r="15" spans="1:11" ht="15">
      <c r="A15" s="4">
        <f t="shared" ca="1" si="0"/>
        <v>42096</v>
      </c>
      <c r="B15" s="3"/>
      <c r="C15" s="182">
        <f ca="1"/>
        <v>2.3719622519614486E-2</v>
      </c>
      <c r="D15" s="182">
        <f ca="1"/>
        <v>2.3718893977189168E-2</v>
      </c>
      <c r="E15" s="182">
        <f ca="1"/>
        <v>2.3794667391176343E-2</v>
      </c>
      <c r="F15" s="182">
        <f ca="1"/>
        <v>2.3743262291309068E-2</v>
      </c>
      <c r="G15" s="182">
        <f ca="1"/>
        <v>2.3719622519498211E-2</v>
      </c>
      <c r="H15" s="182">
        <f ca="1"/>
        <v>2.3719622519498211E-2</v>
      </c>
      <c r="I15" s="182">
        <f ca="1"/>
        <v>2.3719622519498211E-2</v>
      </c>
      <c r="J15" s="182">
        <f ca="1"/>
        <v>2.3817535338009004E-2</v>
      </c>
      <c r="K15" s="182"/>
    </row>
    <row r="16" spans="1:11" ht="15">
      <c r="A16" s="4">
        <f t="shared" ca="1" si="0"/>
        <v>42186</v>
      </c>
      <c r="B16" s="3"/>
      <c r="C16" s="182">
        <f ca="1"/>
        <v>2.4115059377074879E-2</v>
      </c>
      <c r="D16" s="182">
        <f ca="1"/>
        <v>2.4114295928926346E-2</v>
      </c>
      <c r="E16" s="182">
        <f ca="1"/>
        <v>2.4181717707750065E-2</v>
      </c>
      <c r="F16" s="182">
        <f ca="1"/>
        <v>2.4146934106310261E-2</v>
      </c>
      <c r="G16" s="182">
        <f ca="1"/>
        <v>2.4115059377034204E-2</v>
      </c>
      <c r="H16" s="182">
        <f ca="1"/>
        <v>2.4115059377034204E-2</v>
      </c>
      <c r="I16" s="182">
        <f ca="1"/>
        <v>2.4115059377034204E-2</v>
      </c>
      <c r="J16" s="182">
        <f ca="1"/>
        <v>2.4212872720010058E-2</v>
      </c>
      <c r="K16" s="182"/>
    </row>
    <row r="17" spans="1:11" ht="15">
      <c r="A17" s="4">
        <f t="shared" ca="1" si="0"/>
        <v>42276</v>
      </c>
      <c r="B17" s="3"/>
      <c r="C17" s="182">
        <f ca="1"/>
        <v>2.466063045633796E-2</v>
      </c>
      <c r="D17" s="182">
        <f ca="1"/>
        <v>2.4659921850438769E-2</v>
      </c>
      <c r="E17" s="182">
        <f ca="1"/>
        <v>2.4719050757539981E-2</v>
      </c>
      <c r="F17" s="182">
        <f ca="1"/>
        <v>2.4700689395457946E-2</v>
      </c>
      <c r="G17" s="182">
        <f ca="1"/>
        <v>2.4660630456333862E-2</v>
      </c>
      <c r="H17" s="182">
        <f ca="1"/>
        <v>2.4660630456333862E-2</v>
      </c>
      <c r="I17" s="182">
        <f ca="1"/>
        <v>2.4660630456333862E-2</v>
      </c>
      <c r="J17" s="182">
        <f ca="1"/>
        <v>2.4758432228475458E-2</v>
      </c>
      <c r="K17" s="182"/>
    </row>
    <row r="18" spans="1:11" ht="15">
      <c r="A18" s="4">
        <f t="shared" ca="1" si="0"/>
        <v>42366</v>
      </c>
      <c r="B18" s="3"/>
      <c r="C18" s="182">
        <f ca="1"/>
        <v>2.5264558340341463E-2</v>
      </c>
      <c r="D18" s="182">
        <f ca="1"/>
        <v>2.5263933692042887E-2</v>
      </c>
      <c r="E18" s="182">
        <f ca="1"/>
        <v>2.5314616453985049E-2</v>
      </c>
      <c r="F18" s="182">
        <f ca="1"/>
        <v>2.5312935702206277E-2</v>
      </c>
      <c r="G18" s="182">
        <f ca="1"/>
        <v>2.5264558340336331E-2</v>
      </c>
      <c r="H18" s="182">
        <f ca="1"/>
        <v>2.5264558340336331E-2</v>
      </c>
      <c r="I18" s="182">
        <f ca="1"/>
        <v>2.5264558340336331E-2</v>
      </c>
      <c r="J18" s="182">
        <f ca="1"/>
        <v>2.5362346598049822E-2</v>
      </c>
      <c r="K18" s="182"/>
    </row>
    <row r="19" spans="1:11" ht="15">
      <c r="A19" s="4">
        <f t="shared" ca="1" si="0"/>
        <v>42456</v>
      </c>
      <c r="B19" s="3"/>
      <c r="C19" s="182">
        <f ca="1"/>
        <v>2.571379159913216E-2</v>
      </c>
      <c r="D19" s="182">
        <f ca="1"/>
        <v>2.5713208429355046E-2</v>
      </c>
      <c r="E19" s="182">
        <f ca="1"/>
        <v>2.5755546096806012E-2</v>
      </c>
      <c r="F19" s="182">
        <f ca="1"/>
        <v>2.5770576832013101E-2</v>
      </c>
      <c r="G19" s="182">
        <f ca="1"/>
        <v>2.5713791599136039E-2</v>
      </c>
      <c r="H19" s="182">
        <f ca="1"/>
        <v>2.5713791599136039E-2</v>
      </c>
      <c r="I19" s="182">
        <f ca="1"/>
        <v>2.5713791599136039E-2</v>
      </c>
      <c r="J19" s="182">
        <f ca="1"/>
        <v>2.5811707438540818E-2</v>
      </c>
      <c r="K19" s="182"/>
    </row>
    <row r="20" spans="1:11" ht="15">
      <c r="A20" s="4">
        <f t="shared" ca="1" si="0"/>
        <v>42546</v>
      </c>
      <c r="B20" s="3"/>
      <c r="C20" s="182">
        <f ca="1"/>
        <v>2.6033459851793218E-2</v>
      </c>
      <c r="D20" s="182">
        <f ca="1"/>
        <v>2.6032842786216315E-2</v>
      </c>
      <c r="E20" s="182">
        <f ca="1"/>
        <v>2.6066877478929204E-2</v>
      </c>
      <c r="F20" s="182">
        <f ca="1"/>
        <v>2.60985074018859E-2</v>
      </c>
      <c r="G20" s="182">
        <f ca="1"/>
        <v>2.6033459851690727E-2</v>
      </c>
      <c r="H20" s="182">
        <f ca="1"/>
        <v>2.6033459851690727E-2</v>
      </c>
      <c r="I20" s="182">
        <f ca="1"/>
        <v>2.6033459851690727E-2</v>
      </c>
      <c r="J20" s="182">
        <f ca="1"/>
        <v>2.6131330403884316E-2</v>
      </c>
      <c r="K20" s="182"/>
    </row>
    <row r="21" spans="1:11" ht="15">
      <c r="A21" s="4">
        <f t="shared" ca="1" si="0"/>
        <v>42636</v>
      </c>
      <c r="B21" s="3"/>
      <c r="C21" s="182">
        <f ca="1"/>
        <v>2.6302864469476453E-2</v>
      </c>
      <c r="D21" s="182">
        <f ca="1"/>
        <v>2.630228007532303E-2</v>
      </c>
      <c r="E21" s="182">
        <f ca="1"/>
        <v>2.6327968967368231E-2</v>
      </c>
      <c r="F21" s="182">
        <f ca="1"/>
        <v>2.637617528909169E-2</v>
      </c>
      <c r="G21" s="182">
        <f ca="1"/>
        <v>2.6302864469433314E-2</v>
      </c>
      <c r="H21" s="182">
        <f ca="1"/>
        <v>2.6302864469433314E-2</v>
      </c>
      <c r="I21" s="182">
        <f ca="1"/>
        <v>2.6302864469433314E-2</v>
      </c>
      <c r="J21" s="182">
        <f ca="1"/>
        <v>2.6400715827079427E-2</v>
      </c>
      <c r="K21" s="182"/>
    </row>
    <row r="22" spans="1:11" ht="15">
      <c r="A22" s="4">
        <f t="shared" ca="1" si="0"/>
        <v>42726</v>
      </c>
      <c r="B22" s="3"/>
      <c r="C22" s="182">
        <f ca="1"/>
        <v>2.6545113405558981E-2</v>
      </c>
      <c r="D22" s="182">
        <f ca="1"/>
        <v>2.6544596904531596E-2</v>
      </c>
      <c r="E22" s="182">
        <f ca="1"/>
        <v>2.6561785204074952E-2</v>
      </c>
      <c r="F22" s="182">
        <f ca="1"/>
        <v>2.662680970557349E-2</v>
      </c>
      <c r="G22" s="182">
        <f ca="1"/>
        <v>2.6545113405642418E-2</v>
      </c>
      <c r="H22" s="182">
        <f ca="1"/>
        <v>2.6545113405642418E-2</v>
      </c>
      <c r="I22" s="182">
        <f ca="1"/>
        <v>2.6545113405642418E-2</v>
      </c>
      <c r="J22" s="182">
        <f ca="1"/>
        <v>2.6642942084035913E-2</v>
      </c>
      <c r="K22" s="182"/>
    </row>
    <row r="23" spans="1:11" ht="15">
      <c r="A23" s="4">
        <f t="shared" ca="1" si="0"/>
        <v>42816</v>
      </c>
      <c r="B23" s="3"/>
      <c r="C23" s="182">
        <f ca="1"/>
        <v>2.6937477998202654E-2</v>
      </c>
      <c r="D23" s="182">
        <f ca="1"/>
        <v>2.6936993183763167E-2</v>
      </c>
      <c r="E23" s="182">
        <f ca="1"/>
        <v>2.6945671920674062E-2</v>
      </c>
      <c r="F23" s="182">
        <f ca="1"/>
        <v>2.7027737944952078E-2</v>
      </c>
      <c r="G23" s="182">
        <f ca="1"/>
        <v>2.6937477998242816E-2</v>
      </c>
      <c r="H23" s="182">
        <f ca="1"/>
        <v>2.6937477998242816E-2</v>
      </c>
      <c r="I23" s="182">
        <f ca="1"/>
        <v>2.6937477998242816E-2</v>
      </c>
      <c r="J23" s="182">
        <f ca="1"/>
        <v>2.7035404794155688E-2</v>
      </c>
      <c r="K23" s="182"/>
    </row>
    <row r="24" spans="1:11" ht="15">
      <c r="A24" s="4">
        <f t="shared" ca="1" si="0"/>
        <v>42906</v>
      </c>
      <c r="B24" s="3"/>
      <c r="C24" s="182">
        <f ca="1"/>
        <v>2.7420191520435858E-2</v>
      </c>
      <c r="D24" s="182">
        <f ca="1"/>
        <v>2.741967244349908E-2</v>
      </c>
      <c r="E24" s="182">
        <f ca="1"/>
        <v>2.7419980239044853E-2</v>
      </c>
      <c r="F24" s="182">
        <f ca="1"/>
        <v>2.7518849895909445E-2</v>
      </c>
      <c r="G24" s="182">
        <f ca="1"/>
        <v>2.7420191520437901E-2</v>
      </c>
      <c r="H24" s="182">
        <f ca="1"/>
        <v>2.7420191520437901E-2</v>
      </c>
      <c r="I24" s="182">
        <f ca="1"/>
        <v>2.7420191520437901E-2</v>
      </c>
      <c r="J24" s="182">
        <f ca="1"/>
        <v>2.751812388478209E-2</v>
      </c>
      <c r="K24" s="182"/>
    </row>
    <row r="25" spans="1:11" ht="15">
      <c r="A25" s="4">
        <f t="shared" ca="1" si="0"/>
        <v>42996</v>
      </c>
      <c r="B25" s="3"/>
      <c r="C25" s="182">
        <f ca="1"/>
        <v>2.7940271537032262E-2</v>
      </c>
      <c r="D25" s="182">
        <f ca="1"/>
        <v>2.7939763954051001E-2</v>
      </c>
      <c r="E25" s="182">
        <f ca="1"/>
        <v>2.7937323563084145E-2</v>
      </c>
      <c r="F25" s="182">
        <f ca="1"/>
        <v>2.8038250920470457E-2</v>
      </c>
      <c r="G25" s="182">
        <f ca="1"/>
        <v>2.794369561340267E-2</v>
      </c>
      <c r="H25" s="182">
        <f ca="1"/>
        <v>2.794027153710274E-2</v>
      </c>
      <c r="I25" s="182">
        <f ca="1"/>
        <v>2.794027153710274E-2</v>
      </c>
      <c r="J25" s="182">
        <f ca="1"/>
        <v>2.8038229016398807E-2</v>
      </c>
      <c r="K25" s="182"/>
    </row>
    <row r="26" spans="1:11" ht="15">
      <c r="A26" s="4">
        <f t="shared" ca="1" si="0"/>
        <v>43086</v>
      </c>
      <c r="B26" s="3"/>
      <c r="C26" s="182">
        <f ca="1"/>
        <v>2.8691740926190413E-2</v>
      </c>
      <c r="D26" s="182">
        <f ca="1"/>
        <v>2.8691278423569767E-2</v>
      </c>
      <c r="E26" s="182">
        <f ca="1"/>
        <v>2.8688846025100256E-2</v>
      </c>
      <c r="F26" s="182">
        <f ca="1"/>
        <v>2.8784521357176313E-2</v>
      </c>
      <c r="G26" s="182">
        <f ca="1"/>
        <v>2.8700374090577321E-2</v>
      </c>
      <c r="H26" s="182">
        <f ca="1"/>
        <v>2.8691740926225728E-2</v>
      </c>
      <c r="I26" s="182">
        <f ca="1"/>
        <v>2.8691740926225728E-2</v>
      </c>
      <c r="J26" s="182">
        <f ca="1"/>
        <v>2.8789772123955393E-2</v>
      </c>
      <c r="K26" s="182"/>
    </row>
    <row r="27" spans="1:11" ht="15">
      <c r="A27" s="4">
        <f t="shared" ca="1" si="0"/>
        <v>43176</v>
      </c>
      <c r="B27" s="3"/>
      <c r="C27" s="182">
        <f ca="1"/>
        <v>2.9400424040779648E-2</v>
      </c>
      <c r="D27" s="182">
        <f ca="1"/>
        <v>2.9399984064611549E-2</v>
      </c>
      <c r="E27" s="182">
        <f ca="1"/>
        <v>2.9397575907137548E-2</v>
      </c>
      <c r="F27" s="182">
        <f ca="1"/>
        <v>2.9488023243014447E-2</v>
      </c>
      <c r="G27" s="182">
        <f ca="1"/>
        <v>2.9414324173915377E-2</v>
      </c>
      <c r="H27" s="182">
        <f ca="1"/>
        <v>2.9400424040780349E-2</v>
      </c>
      <c r="I27" s="182">
        <f ca="1"/>
        <v>2.9400424040780349E-2</v>
      </c>
      <c r="J27" s="182">
        <f ca="1"/>
        <v>2.9498593581936253E-2</v>
      </c>
      <c r="K27" s="182"/>
    </row>
    <row r="28" spans="1:11" ht="15">
      <c r="A28" s="4">
        <f t="shared" ca="1" si="0"/>
        <v>43266</v>
      </c>
      <c r="B28" s="3"/>
      <c r="C28" s="182">
        <f ca="1"/>
        <v>2.9968644176550291E-2</v>
      </c>
      <c r="D28" s="182">
        <f ca="1"/>
        <v>2.9968174760607896E-2</v>
      </c>
      <c r="E28" s="182">
        <f ca="1"/>
        <v>2.9965854431846278E-2</v>
      </c>
      <c r="F28" s="182">
        <f ca="1"/>
        <v>3.0051043488180568E-2</v>
      </c>
      <c r="G28" s="182">
        <f ca="1"/>
        <v>2.9987738320484583E-2</v>
      </c>
      <c r="H28" s="182">
        <f ca="1"/>
        <v>2.9968644176493874E-2</v>
      </c>
      <c r="I28" s="182">
        <f ca="1"/>
        <v>2.9968644176493874E-2</v>
      </c>
      <c r="J28" s="182">
        <f ca="1"/>
        <v>3.0066876515461003E-2</v>
      </c>
      <c r="K28" s="182"/>
    </row>
    <row r="29" spans="1:11" ht="15">
      <c r="A29" s="4">
        <f t="shared" ca="1" si="0"/>
        <v>43356</v>
      </c>
      <c r="B29" s="3"/>
      <c r="C29" s="182">
        <f ca="1"/>
        <v>3.1309421098991583E-2</v>
      </c>
      <c r="D29" s="182">
        <f ca="1"/>
        <v>3.1308935669778694E-2</v>
      </c>
      <c r="E29" s="182">
        <f ca="1"/>
        <v>3.1306613048243927E-2</v>
      </c>
      <c r="F29" s="182">
        <f ca="1"/>
        <v>3.1386708849099186E-2</v>
      </c>
      <c r="G29" s="182">
        <f ca="1"/>
        <v>3.1333833511312428E-2</v>
      </c>
      <c r="H29" s="182">
        <f ca="1"/>
        <v>3.1309421098944933E-2</v>
      </c>
      <c r="I29" s="182">
        <f ca="1"/>
        <v>3.1309421098944933E-2</v>
      </c>
      <c r="J29" s="182">
        <f ca="1"/>
        <v>3.1407838953053289E-2</v>
      </c>
      <c r="K29" s="182"/>
    </row>
    <row r="30" spans="1:11" ht="15">
      <c r="A30" s="4">
        <f t="shared" ca="1" si="0"/>
        <v>43446</v>
      </c>
      <c r="B30" s="3"/>
      <c r="C30" s="182">
        <f ca="1"/>
        <v>3.1745101102080946E-2</v>
      </c>
      <c r="D30" s="182">
        <f ca="1"/>
        <v>3.1744658592984851E-2</v>
      </c>
      <c r="E30" s="182">
        <f ca="1"/>
        <v>3.1742357110134928E-2</v>
      </c>
      <c r="F30" s="182">
        <f ca="1"/>
        <v>3.1817053181411085E-2</v>
      </c>
      <c r="G30" s="182">
        <f ca="1"/>
        <v>3.1774815935140831E-2</v>
      </c>
      <c r="H30" s="182">
        <f ca="1"/>
        <v>3.1745101102127055E-2</v>
      </c>
      <c r="I30" s="182">
        <f ca="1"/>
        <v>3.1745101102127055E-2</v>
      </c>
      <c r="J30" s="182">
        <f ca="1"/>
        <v>3.1843560756636385E-2</v>
      </c>
      <c r="K30" s="182"/>
    </row>
    <row r="31" spans="1:11" ht="15">
      <c r="A31" s="4">
        <f t="shared" ca="1" si="0"/>
        <v>43536</v>
      </c>
      <c r="B31" s="3"/>
      <c r="C31" s="182">
        <f ca="1"/>
        <v>3.0950709406223527E-2</v>
      </c>
      <c r="D31" s="182">
        <f ca="1"/>
        <v>3.095031151677051E-2</v>
      </c>
      <c r="E31" s="182">
        <f ca="1"/>
        <v>3.094813616056271E-2</v>
      </c>
      <c r="F31" s="182">
        <f ca="1"/>
        <v>3.1017112622729222E-2</v>
      </c>
      <c r="G31" s="182">
        <f ca="1"/>
        <v>3.0985630969699179E-2</v>
      </c>
      <c r="H31" s="182">
        <f ca="1"/>
        <v>3.0950709406315759E-2</v>
      </c>
      <c r="I31" s="182">
        <f ca="1"/>
        <v>3.0950709406315759E-2</v>
      </c>
      <c r="J31" s="182">
        <f ca="1"/>
        <v>3.1049025841965134E-2</v>
      </c>
      <c r="K31" s="182"/>
    </row>
    <row r="32" spans="1:11" ht="15">
      <c r="A32" s="4">
        <f t="shared" ca="1" si="0"/>
        <v>43626</v>
      </c>
      <c r="B32" s="3"/>
      <c r="C32" s="182">
        <f ca="1"/>
        <v>3.0516181161685137E-2</v>
      </c>
      <c r="D32" s="182">
        <f ca="1"/>
        <v>3.0515773157415372E-2</v>
      </c>
      <c r="E32" s="182">
        <f ca="1"/>
        <v>3.0513736442989953E-2</v>
      </c>
      <c r="F32" s="182">
        <f ca="1"/>
        <v>3.0577186297005971E-2</v>
      </c>
      <c r="G32" s="182">
        <f ca="1"/>
        <v>3.0556227002658382E-2</v>
      </c>
      <c r="H32" s="182">
        <f ca="1"/>
        <v>3.0516181161731284E-2</v>
      </c>
      <c r="I32" s="182">
        <f ca="1"/>
        <v>3.0516181161731284E-2</v>
      </c>
      <c r="J32" s="182">
        <f ca="1"/>
        <v>3.0614374098896238E-2</v>
      </c>
      <c r="K32" s="182"/>
    </row>
    <row r="33" spans="1:11" ht="15">
      <c r="A33" s="4">
        <f t="shared" ca="1" si="0"/>
        <v>43716</v>
      </c>
      <c r="B33" s="3"/>
      <c r="C33" s="182">
        <f ca="1"/>
        <v>3.0769707831482297E-2</v>
      </c>
      <c r="D33" s="182">
        <f ca="1"/>
        <v>3.0769295006760455E-2</v>
      </c>
      <c r="E33" s="182">
        <f ca="1"/>
        <v>3.0767327722234977E-2</v>
      </c>
      <c r="F33" s="182">
        <f ca="1"/>
        <v>3.0825332172308671E-2</v>
      </c>
      <c r="G33" s="182">
        <f ca="1"/>
        <v>3.0814978392004418E-2</v>
      </c>
      <c r="H33" s="182">
        <f ca="1"/>
        <v>3.0769707831524828E-2</v>
      </c>
      <c r="I33" s="182">
        <f ca="1"/>
        <v>3.0769707831524828E-2</v>
      </c>
      <c r="J33" s="182">
        <f ca="1"/>
        <v>3.0867820798325993E-2</v>
      </c>
      <c r="K33" s="182"/>
    </row>
    <row r="34" spans="1:11" ht="15">
      <c r="A34" s="4">
        <f t="shared" ca="1" si="0"/>
        <v>43806</v>
      </c>
      <c r="B34" s="3"/>
      <c r="C34" s="182">
        <f ca="1"/>
        <v>3.1351946607803667E-2</v>
      </c>
      <c r="D34" s="182">
        <f ca="1"/>
        <v>3.1351566425796687E-2</v>
      </c>
      <c r="E34" s="182">
        <f ca="1"/>
        <v>3.1349597410994232E-2</v>
      </c>
      <c r="F34" s="182">
        <f ca="1"/>
        <v>3.1402199000625193E-2</v>
      </c>
      <c r="G34" s="182">
        <f ca="1"/>
        <v>3.1402617715234532E-2</v>
      </c>
      <c r="H34" s="182">
        <f ca="1"/>
        <v>3.1351946607798595E-2</v>
      </c>
      <c r="I34" s="182">
        <f ca="1"/>
        <v>3.1351946607798595E-2</v>
      </c>
      <c r="J34" s="182">
        <f ca="1"/>
        <v>3.1450123215306422E-2</v>
      </c>
      <c r="K34" s="182"/>
    </row>
    <row r="35" spans="1:11" ht="15">
      <c r="A35" s="4">
        <f t="shared" ca="1" si="0"/>
        <v>43896</v>
      </c>
      <c r="B35" s="3"/>
      <c r="C35" s="182">
        <f ca="1"/>
        <v>3.1861057402677841E-2</v>
      </c>
      <c r="D35" s="182">
        <f ca="1"/>
        <v>3.1860698456621941E-2</v>
      </c>
      <c r="E35" s="182">
        <f ca="1"/>
        <v>3.1858738113050497E-2</v>
      </c>
      <c r="F35" s="182">
        <f ca="1"/>
        <v>3.1905963202855117E-2</v>
      </c>
      <c r="G35" s="182">
        <f ca="1"/>
        <v>3.191724243672707E-2</v>
      </c>
      <c r="H35" s="182">
        <f ca="1"/>
        <v>3.1861057402671374E-2</v>
      </c>
      <c r="I35" s="182">
        <f ca="1"/>
        <v>3.1861057402671374E-2</v>
      </c>
      <c r="J35" s="182">
        <f ca="1"/>
        <v>3.1959433187719676E-2</v>
      </c>
      <c r="K35" s="182"/>
    </row>
    <row r="36" spans="1:11" ht="15">
      <c r="A36" s="4">
        <f t="shared" ca="1" si="0"/>
        <v>43986</v>
      </c>
      <c r="B36" s="3"/>
      <c r="C36" s="182">
        <f ca="1"/>
        <v>3.2224220230480133E-2</v>
      </c>
      <c r="D36" s="182">
        <f ca="1"/>
        <v>3.2223842693836026E-2</v>
      </c>
      <c r="E36" s="182">
        <f ca="1"/>
        <v>3.2221941034811234E-2</v>
      </c>
      <c r="F36" s="182">
        <f ca="1"/>
        <v>3.2263769763530542E-2</v>
      </c>
      <c r="G36" s="182">
        <f ca="1"/>
        <v>3.2285847903781723E-2</v>
      </c>
      <c r="H36" s="182">
        <f ca="1"/>
        <v>3.2224220230488945E-2</v>
      </c>
      <c r="I36" s="182">
        <f ca="1"/>
        <v>3.2224220230488945E-2</v>
      </c>
      <c r="J36" s="182">
        <f ca="1"/>
        <v>3.2322726742839314E-2</v>
      </c>
      <c r="K36" s="182"/>
    </row>
    <row r="37" spans="1:11" ht="15">
      <c r="A37" s="4">
        <f t="shared" ca="1" si="0"/>
        <v>44076</v>
      </c>
      <c r="B37" s="3"/>
      <c r="C37" s="182">
        <f ca="1"/>
        <v>3.2484920959021862E-2</v>
      </c>
      <c r="D37" s="182">
        <f ca="1"/>
        <v>3.2484532351308583E-2</v>
      </c>
      <c r="E37" s="182">
        <f ca="1"/>
        <v>3.24826923407368E-2</v>
      </c>
      <c r="F37" s="182">
        <f ca="1"/>
        <v>3.2519032228552493E-2</v>
      </c>
      <c r="G37" s="182">
        <f ca="1"/>
        <v>3.2551888003780574E-2</v>
      </c>
      <c r="H37" s="182">
        <f ca="1"/>
        <v>3.2484920959009712E-2</v>
      </c>
      <c r="I37" s="182">
        <f ca="1"/>
        <v>3.2484920959009712E-2</v>
      </c>
      <c r="J37" s="182">
        <f ca="1"/>
        <v>3.2583387043258326E-2</v>
      </c>
      <c r="K37" s="182"/>
    </row>
    <row r="38" spans="1:11" ht="15">
      <c r="A38" s="4">
        <f t="shared" ca="1" si="0"/>
        <v>44166</v>
      </c>
      <c r="B38" s="3"/>
      <c r="C38" s="182">
        <f ca="1"/>
        <v>3.2731896824628445E-2</v>
      </c>
      <c r="D38" s="182">
        <f ca="1"/>
        <v>3.2731541825203027E-2</v>
      </c>
      <c r="E38" s="182">
        <f ca="1"/>
        <v>3.2729714391550334E-2</v>
      </c>
      <c r="F38" s="182">
        <f ca="1"/>
        <v>3.2760516295333303E-2</v>
      </c>
      <c r="G38" s="182">
        <f ca="1"/>
        <v>3.2804277432792885E-2</v>
      </c>
      <c r="H38" s="182">
        <f ca="1"/>
        <v>3.2731896824668191E-2</v>
      </c>
      <c r="I38" s="182">
        <f ca="1"/>
        <v>3.2731896824668191E-2</v>
      </c>
      <c r="J38" s="182">
        <f ca="1"/>
        <v>3.2830337584941999E-2</v>
      </c>
      <c r="K38" s="182"/>
    </row>
    <row r="39" spans="1:11" ht="15">
      <c r="A39" s="4">
        <f t="shared" ca="1" si="0"/>
        <v>44256</v>
      </c>
      <c r="B39" s="3"/>
      <c r="C39" s="182">
        <f ca="1"/>
        <v>3.2946311143256031E-2</v>
      </c>
      <c r="D39" s="182">
        <f ca="1"/>
        <v>3.2945982472171891E-2</v>
      </c>
      <c r="E39" s="182">
        <f ca="1"/>
        <v>3.294416896592036E-2</v>
      </c>
      <c r="F39" s="182">
        <f ca="1"/>
        <v>3.2969410521937824E-2</v>
      </c>
      <c r="G39" s="182">
        <f ca="1"/>
        <v>3.3024266692273922E-2</v>
      </c>
      <c r="H39" s="182">
        <f ca="1"/>
        <v>3.2946311143252777E-2</v>
      </c>
      <c r="I39" s="182">
        <f ca="1"/>
        <v>3.2946311143252777E-2</v>
      </c>
      <c r="J39" s="182">
        <f ca="1"/>
        <v>3.3044852621972536E-2</v>
      </c>
      <c r="K39" s="182"/>
    </row>
    <row r="40" spans="1:11" ht="15">
      <c r="A40" s="4">
        <f t="shared" ca="1" si="0"/>
        <v>44346</v>
      </c>
      <c r="B40" s="3"/>
      <c r="C40" s="182">
        <f ca="1"/>
        <v>3.311856348354137E-2</v>
      </c>
      <c r="D40" s="182">
        <f ca="1"/>
        <v>3.3118222491956444E-2</v>
      </c>
      <c r="E40" s="182">
        <f ca="1"/>
        <v>3.3116464521825359E-2</v>
      </c>
      <c r="F40" s="182">
        <f ca="1"/>
        <v>3.3136183463540601E-2</v>
      </c>
      <c r="G40" s="182">
        <f ca="1"/>
        <v>3.3202035141185575E-2</v>
      </c>
      <c r="H40" s="182">
        <f ca="1"/>
        <v>3.3118563483542418E-2</v>
      </c>
      <c r="I40" s="182">
        <f ca="1"/>
        <v>3.3118563483542418E-2</v>
      </c>
      <c r="J40" s="182">
        <f ca="1"/>
        <v>3.3217188202681207E-2</v>
      </c>
      <c r="K40" s="182"/>
    </row>
    <row r="41" spans="1:11" ht="15">
      <c r="A41" s="4">
        <f t="shared" ca="1" si="0"/>
        <v>44436</v>
      </c>
      <c r="B41" s="3"/>
      <c r="C41" s="182">
        <f ca="1"/>
        <v>3.3135635213631665E-2</v>
      </c>
      <c r="D41" s="182">
        <f ca="1"/>
        <v>3.3135279117255036E-2</v>
      </c>
      <c r="E41" s="182">
        <f ca="1"/>
        <v>3.3133597269549904E-2</v>
      </c>
      <c r="F41" s="182">
        <f ca="1"/>
        <v>3.3147778482816748E-2</v>
      </c>
      <c r="G41" s="182">
        <f ca="1"/>
        <v>3.3224420039332181E-2</v>
      </c>
      <c r="H41" s="182">
        <f ca="1"/>
        <v>3.3135635213631193E-2</v>
      </c>
      <c r="I41" s="182">
        <f ca="1"/>
        <v>3.3135635213631193E-2</v>
      </c>
      <c r="J41" s="182">
        <f ca="1"/>
        <v>3.323416280125862E-2</v>
      </c>
      <c r="K41" s="182"/>
    </row>
    <row r="42" spans="1:11" ht="15">
      <c r="A42" s="4">
        <f t="shared" ca="1" si="0"/>
        <v>44526</v>
      </c>
      <c r="B42" s="3"/>
      <c r="C42" s="182">
        <f ca="1"/>
        <v>3.2934840498698499E-2</v>
      </c>
      <c r="D42" s="182">
        <f ca="1"/>
        <v>3.2934517957104031E-2</v>
      </c>
      <c r="E42" s="182">
        <f ca="1"/>
        <v>3.293287090383501E-2</v>
      </c>
      <c r="F42" s="182">
        <f ca="1"/>
        <v>3.294156467953565E-2</v>
      </c>
      <c r="G42" s="182">
        <f ca="1"/>
        <v>3.302879630925256E-2</v>
      </c>
      <c r="H42" s="182">
        <f ca="1"/>
        <v>3.293484049866717E-2</v>
      </c>
      <c r="I42" s="182">
        <f ca="1"/>
        <v>3.293484049866717E-2</v>
      </c>
      <c r="J42" s="182">
        <f ca="1"/>
        <v>3.3033196476960458E-2</v>
      </c>
      <c r="K42" s="182"/>
    </row>
    <row r="43" spans="1:11" ht="15">
      <c r="A43" s="4">
        <f t="shared" ca="1" si="0"/>
        <v>44616</v>
      </c>
      <c r="B43" s="3"/>
      <c r="C43" s="182">
        <f ca="1"/>
        <v>3.2833668017669113E-2</v>
      </c>
      <c r="D43" s="182">
        <f ca="1"/>
        <v>3.283337285306373E-2</v>
      </c>
      <c r="E43" s="182">
        <f ca="1"/>
        <v>3.2831751650561708E-2</v>
      </c>
      <c r="F43" s="182">
        <f ca="1"/>
        <v>3.2834968383145577E-2</v>
      </c>
      <c r="G43" s="182">
        <f ca="1"/>
        <v>3.2932970203717903E-2</v>
      </c>
      <c r="H43" s="182">
        <f ca="1"/>
        <v>3.2833668017616939E-2</v>
      </c>
      <c r="I43" s="182">
        <f ca="1"/>
        <v>3.2833668017616939E-2</v>
      </c>
      <c r="J43" s="182">
        <f ca="1"/>
        <v>3.2932005237522745E-2</v>
      </c>
      <c r="K43" s="182"/>
    </row>
    <row r="44" spans="1:11" ht="15">
      <c r="A44" s="4">
        <f t="shared" ca="1" si="0"/>
        <v>44706</v>
      </c>
      <c r="B44" s="3"/>
      <c r="C44" s="182">
        <f ca="1"/>
        <v>3.2925446130497263E-2</v>
      </c>
      <c r="D44" s="182">
        <f ca="1"/>
        <v>3.2925143259100918E-2</v>
      </c>
      <c r="E44" s="182">
        <f ca="1"/>
        <v>3.2923565666131506E-2</v>
      </c>
      <c r="F44" s="182">
        <f ca="1"/>
        <v>3.2921099119628733E-2</v>
      </c>
      <c r="G44" s="182">
        <f ca="1"/>
        <v>3.3030415348144923E-2</v>
      </c>
      <c r="H44" s="182">
        <f ca="1"/>
        <v>3.292544613052082E-2</v>
      </c>
      <c r="I44" s="182">
        <f ca="1"/>
        <v>3.292544613052082E-2</v>
      </c>
      <c r="J44" s="182">
        <f ca="1"/>
        <v>3.3023840682791038E-2</v>
      </c>
      <c r="K44" s="182"/>
    </row>
    <row r="45" spans="1:11" ht="15">
      <c r="A45" s="4">
        <f t="shared" ca="1" si="0"/>
        <v>44796</v>
      </c>
      <c r="B45" s="3"/>
      <c r="C45" s="182">
        <f ca="1"/>
        <v>3.3284306186165645E-2</v>
      </c>
      <c r="D45" s="182">
        <f ca="1"/>
        <v>3.328398157397245E-2</v>
      </c>
      <c r="E45" s="182">
        <f ca="1"/>
        <v>3.3282453966456529E-2</v>
      </c>
      <c r="F45" s="182">
        <f ca="1"/>
        <v>3.3276129971453204E-2</v>
      </c>
      <c r="G45" s="182">
        <f ca="1"/>
        <v>3.3392236907478799E-2</v>
      </c>
      <c r="H45" s="182">
        <f ca="1"/>
        <v>3.3285193266596166E-2</v>
      </c>
      <c r="I45" s="182">
        <f ca="1"/>
        <v>3.3284306186235048E-2</v>
      </c>
      <c r="J45" s="182">
        <f ca="1"/>
        <v>3.3382748476792179E-2</v>
      </c>
      <c r="K45" s="182"/>
    </row>
    <row r="46" spans="1:11" ht="15">
      <c r="A46" s="4">
        <f t="shared" ca="1" si="0"/>
        <v>44886</v>
      </c>
      <c r="B46" s="3"/>
      <c r="C46" s="182">
        <f ca="1"/>
        <v>3.3723353078736223E-2</v>
      </c>
      <c r="D46" s="182">
        <f ca="1"/>
        <v>3.3723051006169728E-2</v>
      </c>
      <c r="E46" s="182">
        <f ca="1"/>
        <v>3.3721517627747041E-2</v>
      </c>
      <c r="F46" s="182">
        <f ca="1"/>
        <v>3.3715244276906024E-2</v>
      </c>
      <c r="G46" s="182">
        <f ca="1"/>
        <v>3.3828435450131172E-2</v>
      </c>
      <c r="H46" s="182">
        <f ca="1"/>
        <v>3.372709492216644E-2</v>
      </c>
      <c r="I46" s="182">
        <f ca="1"/>
        <v>3.3723353078760135E-2</v>
      </c>
      <c r="J46" s="182">
        <f ca="1"/>
        <v>3.382189109750338E-2</v>
      </c>
      <c r="K46" s="182"/>
    </row>
    <row r="47" spans="1:11" ht="15">
      <c r="A47" s="4">
        <f t="shared" ca="1" si="0"/>
        <v>44976</v>
      </c>
      <c r="B47" s="3"/>
      <c r="C47" s="182">
        <f ca="1"/>
        <v>3.4142134497194755E-2</v>
      </c>
      <c r="D47" s="182">
        <f ca="1"/>
        <v>3.4141853281813989E-2</v>
      </c>
      <c r="E47" s="182">
        <f ca="1"/>
        <v>3.4140311863351779E-2</v>
      </c>
      <c r="F47" s="182">
        <f ca="1"/>
        <v>3.413408643903805E-2</v>
      </c>
      <c r="G47" s="182">
        <f ca="1"/>
        <v>3.4244459511715654E-2</v>
      </c>
      <c r="H47" s="182">
        <f ca="1"/>
        <v>3.4148763272156595E-2</v>
      </c>
      <c r="I47" s="182">
        <f ca="1"/>
        <v>3.4142134497142894E-2</v>
      </c>
      <c r="J47" s="182">
        <f ca="1"/>
        <v>3.4240880359293124E-2</v>
      </c>
      <c r="K47" s="182"/>
    </row>
    <row r="48" spans="1:11" ht="15">
      <c r="A48" s="4">
        <f t="shared" ca="1" si="0"/>
        <v>45066</v>
      </c>
      <c r="B48" s="3"/>
      <c r="C48" s="182">
        <f ca="1"/>
        <v>3.455533666542053E-2</v>
      </c>
      <c r="D48" s="182">
        <f ca="1"/>
        <v>3.4555046562983825E-2</v>
      </c>
      <c r="E48" s="182">
        <f ca="1"/>
        <v>3.4553522134602249E-2</v>
      </c>
      <c r="F48" s="182">
        <f ca="1"/>
        <v>3.4547350813017588E-2</v>
      </c>
      <c r="G48" s="182">
        <f ca="1"/>
        <v>3.4654807173748248E-2</v>
      </c>
      <c r="H48" s="182">
        <f ca="1"/>
        <v>3.4564965757152503E-2</v>
      </c>
      <c r="I48" s="182">
        <f ca="1"/>
        <v>3.4555336665420378E-2</v>
      </c>
      <c r="J48" s="182">
        <f ca="1"/>
        <v>3.4654303152029428E-2</v>
      </c>
      <c r="K48" s="182"/>
    </row>
    <row r="49" spans="1:11" ht="15">
      <c r="A49" s="4">
        <f t="shared" ca="1" si="0"/>
        <v>45156</v>
      </c>
      <c r="B49" s="3"/>
      <c r="C49" s="182">
        <f ca="1"/>
        <v>3.4936999739724042E-2</v>
      </c>
      <c r="D49" s="182">
        <f ca="1"/>
        <v>3.4936684314193382E-2</v>
      </c>
      <c r="E49" s="182">
        <f ca="1"/>
        <v>3.4935207853777586E-2</v>
      </c>
      <c r="F49" s="182">
        <f ca="1"/>
        <v>3.4929090141921706E-2</v>
      </c>
      <c r="G49" s="182">
        <f ca="1"/>
        <v>3.5033505894485742E-2</v>
      </c>
      <c r="H49" s="182">
        <f ca="1"/>
        <v>3.4949571058433569E-2</v>
      </c>
      <c r="I49" s="182">
        <f ca="1"/>
        <v>3.493699973973894E-2</v>
      </c>
      <c r="J49" s="182">
        <f ca="1"/>
        <v>3.5036047278452616E-2</v>
      </c>
      <c r="K49" s="182"/>
    </row>
    <row r="50" spans="1:11" ht="15">
      <c r="A50" s="4">
        <f t="shared" ca="1" si="0"/>
        <v>45246</v>
      </c>
      <c r="B50" s="3"/>
      <c r="C50" s="182">
        <f ca="1"/>
        <v>3.529157337975259E-2</v>
      </c>
      <c r="D50" s="182">
        <f ca="1"/>
        <v>3.5291279731271746E-2</v>
      </c>
      <c r="E50" s="182">
        <f ca="1"/>
        <v>3.528979970203483E-2</v>
      </c>
      <c r="F50" s="182">
        <f ca="1"/>
        <v>3.5283738122541319E-2</v>
      </c>
      <c r="G50" s="182">
        <f ca="1"/>
        <v>3.5385117742267234E-2</v>
      </c>
      <c r="H50" s="182">
        <f ca="1"/>
        <v>3.530707792374832E-2</v>
      </c>
      <c r="I50" s="182">
        <f ca="1"/>
        <v>3.5291573379781421E-2</v>
      </c>
      <c r="J50" s="182">
        <f ca="1"/>
        <v>3.5390689739452925E-2</v>
      </c>
      <c r="K50" s="182"/>
    </row>
    <row r="51" spans="1:11" ht="15">
      <c r="A51" s="4">
        <f t="shared" ca="1" si="0"/>
        <v>45336</v>
      </c>
      <c r="B51" s="3"/>
      <c r="C51" s="182">
        <f ca="1"/>
        <v>3.5590892016537728E-2</v>
      </c>
      <c r="D51" s="182">
        <f ca="1"/>
        <v>3.5590620502868757E-2</v>
      </c>
      <c r="E51" s="182">
        <f ca="1"/>
        <v>3.558913547604859E-2</v>
      </c>
      <c r="F51" s="182">
        <f ca="1"/>
        <v>3.5583133230201729E-2</v>
      </c>
      <c r="G51" s="182">
        <f ca="1"/>
        <v>3.5681516386167005E-2</v>
      </c>
      <c r="H51" s="182">
        <f ca="1"/>
        <v>3.560937692156807E-2</v>
      </c>
      <c r="I51" s="182">
        <f ca="1"/>
        <v>3.5590892016485888E-2</v>
      </c>
      <c r="J51" s="182">
        <f ca="1"/>
        <v>3.5690167110182053E-2</v>
      </c>
      <c r="K51" s="182"/>
    </row>
    <row r="52" spans="1:11" ht="15">
      <c r="A52" s="4">
        <f t="shared" ca="1" si="0"/>
        <v>45426</v>
      </c>
      <c r="B52" s="3"/>
      <c r="C52" s="182">
        <f ca="1"/>
        <v>3.5865067494816431E-2</v>
      </c>
      <c r="D52" s="182">
        <f ca="1"/>
        <v>3.5864791125152354E-2</v>
      </c>
      <c r="E52" s="182">
        <f ca="1"/>
        <v>3.5863321920564822E-2</v>
      </c>
      <c r="F52" s="182">
        <f ca="1"/>
        <v>3.5857387141387288E-2</v>
      </c>
      <c r="G52" s="182">
        <f ca="1"/>
        <v>3.5952696526406411E-2</v>
      </c>
      <c r="H52" s="182">
        <f ca="1"/>
        <v>3.5886625950749422E-2</v>
      </c>
      <c r="I52" s="182">
        <f ca="1"/>
        <v>3.5865067494790022E-2</v>
      </c>
      <c r="J52" s="182">
        <f ca="1"/>
        <v>3.5964514814553865E-2</v>
      </c>
      <c r="K52" s="182"/>
    </row>
    <row r="53" spans="1:11" ht="15">
      <c r="A53" s="4">
        <f t="shared" ca="1" si="0"/>
        <v>45516</v>
      </c>
      <c r="B53" s="3"/>
      <c r="C53" s="182">
        <f ca="1"/>
        <v>3.6122170267825063E-2</v>
      </c>
      <c r="D53" s="182">
        <f ca="1"/>
        <v>3.6121866544302418E-2</v>
      </c>
      <c r="E53" s="182">
        <f ca="1"/>
        <v>3.6120451473405105E-2</v>
      </c>
      <c r="F53" s="182">
        <f ca="1"/>
        <v>3.611458269520066E-2</v>
      </c>
      <c r="G53" s="182">
        <f ca="1"/>
        <v>3.6206706472980903E-2</v>
      </c>
      <c r="H53" s="182">
        <f ca="1"/>
        <v>3.6146736032054941E-2</v>
      </c>
      <c r="I53" s="182">
        <f ca="1"/>
        <v>3.6122170267718516E-2</v>
      </c>
      <c r="J53" s="182">
        <f ca="1"/>
        <v>3.622165607275564E-2</v>
      </c>
      <c r="K53" s="182"/>
    </row>
    <row r="54" spans="1:11" ht="15">
      <c r="A54" s="4">
        <f t="shared" ca="1" si="0"/>
        <v>45606</v>
      </c>
      <c r="B54" s="3"/>
      <c r="C54" s="182">
        <f ca="1"/>
        <v>3.6369067788589247E-2</v>
      </c>
      <c r="D54" s="182">
        <f ca="1"/>
        <v>3.6368786074203678E-2</v>
      </c>
      <c r="E54" s="182">
        <f ca="1"/>
        <v>3.6367370762146613E-2</v>
      </c>
      <c r="F54" s="182">
        <f ca="1"/>
        <v>3.6361566465521244E-2</v>
      </c>
      <c r="G54" s="182">
        <f ca="1"/>
        <v>3.6450529659421624E-2</v>
      </c>
      <c r="H54" s="182">
        <f ca="1"/>
        <v>3.63966162661944E-2</v>
      </c>
      <c r="I54" s="182">
        <f ca="1"/>
        <v>3.6369067788579845E-2</v>
      </c>
      <c r="J54" s="182">
        <f ca="1"/>
        <v>3.6468575586287376E-2</v>
      </c>
      <c r="K54" s="182"/>
    </row>
    <row r="55" spans="1:11" ht="15">
      <c r="A55" s="4">
        <f t="shared" ca="1" si="0"/>
        <v>45696</v>
      </c>
      <c r="B55" s="3"/>
      <c r="C55" s="182">
        <f ca="1"/>
        <v>3.6606355852605237E-2</v>
      </c>
      <c r="D55" s="182">
        <f ca="1"/>
        <v>3.6606095697324093E-2</v>
      </c>
      <c r="E55" s="182">
        <f ca="1"/>
        <v>3.6604677753866194E-2</v>
      </c>
      <c r="F55" s="182">
        <f ca="1"/>
        <v>3.6598929587582152E-2</v>
      </c>
      <c r="G55" s="182">
        <f ca="1"/>
        <v>3.6684797533579033E-2</v>
      </c>
      <c r="H55" s="182">
        <f ca="1"/>
        <v>3.6636951954092056E-2</v>
      </c>
      <c r="I55" s="182">
        <f ca="1"/>
        <v>3.6606355852614604E-2</v>
      </c>
      <c r="J55" s="182">
        <f ca="1"/>
        <v>3.6705988103239995E-2</v>
      </c>
      <c r="K55" s="182"/>
    </row>
    <row r="56" spans="1:11" ht="15">
      <c r="A56" s="4">
        <f t="shared" ca="1" si="0"/>
        <v>45786</v>
      </c>
      <c r="B56" s="3"/>
      <c r="C56" s="182">
        <f ca="1"/>
        <v>3.6842211808358304E-2</v>
      </c>
      <c r="D56" s="182">
        <f ca="1"/>
        <v>3.6841945953720874E-2</v>
      </c>
      <c r="E56" s="182">
        <f ca="1"/>
        <v>3.6840546692201333E-2</v>
      </c>
      <c r="F56" s="182">
        <f ca="1"/>
        <v>3.6834858429422523E-2</v>
      </c>
      <c r="G56" s="182">
        <f ca="1"/>
        <v>3.6917578020489519E-2</v>
      </c>
      <c r="H56" s="182">
        <f ca="1"/>
        <v>3.6875970373459119E-2</v>
      </c>
      <c r="I56" s="182">
        <f ca="1"/>
        <v>3.6842211808413586E-2</v>
      </c>
      <c r="J56" s="182">
        <f ca="1"/>
        <v>3.6942017123177393E-2</v>
      </c>
      <c r="K56" s="182"/>
    </row>
    <row r="57" spans="1:11" ht="15">
      <c r="A57" s="4">
        <f t="shared" ca="1" si="0"/>
        <v>45876</v>
      </c>
      <c r="B57" s="3"/>
      <c r="C57" s="182">
        <f ca="1"/>
        <v>3.7061607671307041E-2</v>
      </c>
      <c r="D57" s="182">
        <f ca="1"/>
        <v>3.7061317012985054E-2</v>
      </c>
      <c r="E57" s="182">
        <f ca="1"/>
        <v>3.7059963706867184E-2</v>
      </c>
      <c r="F57" s="182">
        <f ca="1"/>
        <v>3.7054342925052615E-2</v>
      </c>
      <c r="G57" s="182">
        <f ca="1"/>
        <v>3.7133815168572212E-2</v>
      </c>
      <c r="H57" s="182">
        <f ca="1"/>
        <v>3.70984421891997E-2</v>
      </c>
      <c r="I57" s="182">
        <f ca="1"/>
        <v>3.706160767131058E-2</v>
      </c>
      <c r="J57" s="182">
        <f ca="1"/>
        <v>3.7161448255583117E-2</v>
      </c>
      <c r="K57" s="182"/>
    </row>
    <row r="58" spans="1:11" ht="15">
      <c r="A58" s="4">
        <f t="shared" ca="1" si="0"/>
        <v>45966</v>
      </c>
      <c r="B58" s="3"/>
      <c r="C58" s="182">
        <f ca="1"/>
        <v>3.7272940541593073E-2</v>
      </c>
      <c r="D58" s="182">
        <f ca="1"/>
        <v>3.7272669412925251E-2</v>
      </c>
      <c r="E58" s="182">
        <f ca="1"/>
        <v>3.7271315493337141E-2</v>
      </c>
      <c r="F58" s="182">
        <f ca="1"/>
        <v>3.7265758058552777E-2</v>
      </c>
      <c r="G58" s="182">
        <f ca="1"/>
        <v>3.7342009637295823E-2</v>
      </c>
      <c r="H58" s="182">
        <f ca="1"/>
        <v>3.7312819964387955E-2</v>
      </c>
      <c r="I58" s="182">
        <f ca="1"/>
        <v>3.7272940541578564E-2</v>
      </c>
      <c r="J58" s="182">
        <f ca="1"/>
        <v>3.7372791877352561E-2</v>
      </c>
      <c r="K58" s="182"/>
    </row>
    <row r="59" spans="1:11" ht="15">
      <c r="A59" s="4">
        <f t="shared" ca="1" si="0"/>
        <v>46056</v>
      </c>
      <c r="B59" s="3"/>
      <c r="C59" s="182">
        <f ca="1"/>
        <v>3.7476646882215588E-2</v>
      </c>
      <c r="D59" s="182">
        <f ca="1"/>
        <v>3.7476397785527311E-2</v>
      </c>
      <c r="E59" s="182">
        <f ca="1"/>
        <v>3.7475039857324331E-2</v>
      </c>
      <c r="F59" s="182">
        <f ca="1"/>
        <v>3.7469534172684178E-2</v>
      </c>
      <c r="G59" s="182">
        <f ca="1"/>
        <v>3.754261431925849E-2</v>
      </c>
      <c r="H59" s="182">
        <f ca="1"/>
        <v>3.7519649023395857E-2</v>
      </c>
      <c r="I59" s="182">
        <f ca="1"/>
        <v>3.7476646882163275E-2</v>
      </c>
      <c r="J59" s="182">
        <f ca="1"/>
        <v>3.757660931915989E-2</v>
      </c>
      <c r="K59" s="182"/>
    </row>
    <row r="60" spans="1:11" ht="15">
      <c r="A60" s="4">
        <f t="shared" ca="1" si="0"/>
        <v>46146</v>
      </c>
      <c r="B60" s="3"/>
      <c r="C60" s="182">
        <f ca="1"/>
        <v>3.7679707880644786E-2</v>
      </c>
      <c r="D60" s="182">
        <f ca="1"/>
        <v>3.7679454764264431E-2</v>
      </c>
      <c r="E60" s="182">
        <f ca="1"/>
        <v>3.767811201813126E-2</v>
      </c>
      <c r="F60" s="182">
        <f ca="1"/>
        <v>3.7672660636022627E-2</v>
      </c>
      <c r="G60" s="182">
        <f ca="1"/>
        <v>3.7742522676082815E-2</v>
      </c>
      <c r="H60" s="182">
        <f ca="1"/>
        <v>3.7725956846066347E-2</v>
      </c>
      <c r="I60" s="182">
        <f ca="1"/>
        <v>3.7679707880703767E-2</v>
      </c>
      <c r="J60" s="182">
        <f ca="1"/>
        <v>3.7779839759574455E-2</v>
      </c>
      <c r="K60" s="182"/>
    </row>
    <row r="61" spans="1:11" ht="15">
      <c r="A61" s="4">
        <f t="shared" ca="1" si="0"/>
        <v>46236</v>
      </c>
      <c r="B61" s="3"/>
      <c r="C61" s="182">
        <f ca="1"/>
        <v>3.7869122496419848E-2</v>
      </c>
      <c r="D61" s="182">
        <f ca="1"/>
        <v>3.7868842823326837E-2</v>
      </c>
      <c r="E61" s="182">
        <f ca="1"/>
        <v>3.786754650515059E-2</v>
      </c>
      <c r="F61" s="182">
        <f ca="1"/>
        <v>3.7862158158376173E-2</v>
      </c>
      <c r="G61" s="182">
        <f ca="1"/>
        <v>3.7928713219508969E-2</v>
      </c>
      <c r="H61" s="182">
        <f ca="1"/>
        <v>3.7918518296082497E-2</v>
      </c>
      <c r="I61" s="182">
        <f ca="1"/>
        <v>3.7869122496479217E-2</v>
      </c>
      <c r="J61" s="182">
        <f ca="1"/>
        <v>3.796928709835274E-2</v>
      </c>
      <c r="K61" s="182"/>
    </row>
    <row r="62" spans="1:11" ht="15">
      <c r="A62" s="4">
        <f t="shared" ca="1" si="0"/>
        <v>46326</v>
      </c>
      <c r="B62" s="3"/>
      <c r="C62" s="182">
        <f ca="1"/>
        <v>3.8054099197532866E-2</v>
      </c>
      <c r="D62" s="182">
        <f ca="1"/>
        <v>3.8053838186451659E-2</v>
      </c>
      <c r="E62" s="182">
        <f ca="1"/>
        <v>3.8052541105455341E-2</v>
      </c>
      <c r="F62" s="182">
        <f ca="1"/>
        <v>3.8047213170779755E-2</v>
      </c>
      <c r="G62" s="182">
        <f ca="1"/>
        <v>3.8110454051443997E-2</v>
      </c>
      <c r="H62" s="182">
        <f ca="1"/>
        <v>3.8106635657600814E-2</v>
      </c>
      <c r="I62" s="182">
        <f ca="1"/>
        <v>3.8054099197464705E-2</v>
      </c>
      <c r="J62" s="182">
        <f ca="1"/>
        <v>3.8154266795224961E-2</v>
      </c>
      <c r="K62" s="182"/>
    </row>
    <row r="63" spans="1:11" ht="15">
      <c r="A63" s="4">
        <f t="shared" ca="1" si="0"/>
        <v>46416</v>
      </c>
      <c r="B63" s="3"/>
      <c r="C63" s="182">
        <f ca="1"/>
        <v>3.8230811190938768E-2</v>
      </c>
      <c r="D63" s="182">
        <f ca="1"/>
        <v>3.823057234194515E-2</v>
      </c>
      <c r="E63" s="182">
        <f ca="1"/>
        <v>3.8229270139563412E-2</v>
      </c>
      <c r="F63" s="182">
        <f ca="1"/>
        <v>3.8223989733142685E-2</v>
      </c>
      <c r="G63" s="182">
        <f ca="1"/>
        <v>3.8283985798797507E-2</v>
      </c>
      <c r="H63" s="182">
        <f ca="1"/>
        <v>3.8286545711181397E-2</v>
      </c>
      <c r="I63" s="182">
        <f ca="1"/>
        <v>3.823081119094382E-2</v>
      </c>
      <c r="J63" s="182">
        <f ca="1"/>
        <v>3.8331079467838355E-2</v>
      </c>
      <c r="K63" s="182"/>
    </row>
    <row r="64" spans="1:11" ht="15">
      <c r="A64" s="4">
        <f t="shared" ca="1" si="0"/>
        <v>46506</v>
      </c>
      <c r="B64" s="3"/>
      <c r="C64" s="182">
        <f ca="1"/>
        <v>3.8405495853866108E-2</v>
      </c>
      <c r="D64" s="182">
        <f ca="1"/>
        <v>3.8405254542803559E-2</v>
      </c>
      <c r="E64" s="182">
        <f ca="1"/>
        <v>3.8403964123873306E-2</v>
      </c>
      <c r="F64" s="182">
        <f ca="1"/>
        <v>3.8398732103583987E-2</v>
      </c>
      <c r="G64" s="182">
        <f ca="1"/>
        <v>3.8455475259620495E-2</v>
      </c>
      <c r="H64" s="182">
        <f ca="1"/>
        <v>3.8464526988171745E-2</v>
      </c>
      <c r="I64" s="182">
        <f ca="1"/>
        <v>3.8405495853921334E-2</v>
      </c>
      <c r="J64" s="182">
        <f ca="1"/>
        <v>3.8505929564549221E-2</v>
      </c>
      <c r="K64" s="182"/>
    </row>
    <row r="65" spans="1:11" ht="15">
      <c r="A65" s="4">
        <f t="shared" ca="1" si="0"/>
        <v>46596</v>
      </c>
      <c r="B65" s="3"/>
      <c r="C65" s="182">
        <f ca="1"/>
        <v>3.8572526138121947E-2</v>
      </c>
      <c r="D65" s="182">
        <f ca="1"/>
        <v>3.857225685829218E-2</v>
      </c>
      <c r="E65" s="182">
        <f ca="1"/>
        <v>3.8571013232384585E-2</v>
      </c>
      <c r="F65" s="182">
        <f ca="1"/>
        <v>3.8565840601137151E-2</v>
      </c>
      <c r="G65" s="182">
        <f ca="1"/>
        <v>3.8619176958651844E-2</v>
      </c>
      <c r="H65" s="182">
        <f ca="1"/>
        <v>3.8634813931365634E-2</v>
      </c>
      <c r="I65" s="182">
        <f ca="1"/>
        <v>3.8572526138183988E-2</v>
      </c>
      <c r="J65" s="182">
        <f ca="1"/>
        <v>3.867299093355709E-2</v>
      </c>
      <c r="K65" s="182"/>
    </row>
    <row r="66" spans="1:11" ht="15">
      <c r="A66" s="4">
        <f t="shared" ca="1" si="0"/>
        <v>46686</v>
      </c>
      <c r="B66" s="3"/>
      <c r="C66" s="182">
        <f ca="1"/>
        <v>3.8604526487803825E-2</v>
      </c>
      <c r="D66" s="182">
        <f ca="1"/>
        <v>3.860427583149216E-2</v>
      </c>
      <c r="E66" s="182">
        <f ca="1"/>
        <v>3.860303665885547E-2</v>
      </c>
      <c r="F66" s="182">
        <f ca="1"/>
        <v>3.8597942533156612E-2</v>
      </c>
      <c r="G66" s="182">
        <f ca="1"/>
        <v>3.8647891798970734E-2</v>
      </c>
      <c r="H66" s="182">
        <f ca="1"/>
        <v>3.8669879972945485E-2</v>
      </c>
      <c r="I66" s="182">
        <f ca="1"/>
        <v>3.8604526487739918E-2</v>
      </c>
      <c r="J66" s="182">
        <f ca="1"/>
        <v>3.8704898085693482E-2</v>
      </c>
      <c r="K66" s="182"/>
    </row>
    <row r="67" spans="1:11" ht="15">
      <c r="A67" s="4">
        <f t="shared" ca="1" si="0"/>
        <v>46776</v>
      </c>
      <c r="B67" s="3"/>
      <c r="C67" s="182">
        <f ca="1"/>
        <v>3.8604777605478868E-2</v>
      </c>
      <c r="D67" s="182">
        <f ca="1"/>
        <v>3.8604549475844657E-2</v>
      </c>
      <c r="E67" s="182">
        <f ca="1"/>
        <v>3.8603311401383372E-2</v>
      </c>
      <c r="F67" s="182">
        <f ca="1"/>
        <v>3.8598287761706339E-2</v>
      </c>
      <c r="G67" s="182">
        <f ca="1"/>
        <v>3.8644865983445492E-2</v>
      </c>
      <c r="H67" s="182">
        <f ca="1"/>
        <v>3.8673266687556489E-2</v>
      </c>
      <c r="I67" s="182">
        <f ca="1"/>
        <v>3.8604777605592194E-2</v>
      </c>
      <c r="J67" s="182">
        <f ca="1"/>
        <v>3.87051270607583E-2</v>
      </c>
      <c r="K67" s="182"/>
    </row>
    <row r="68" spans="1:11" ht="15">
      <c r="A68" s="4">
        <f t="shared" ca="1" si="0"/>
        <v>46866</v>
      </c>
      <c r="B68" s="3"/>
      <c r="C68" s="182">
        <f ca="1"/>
        <v>3.8604311954661512E-2</v>
      </c>
      <c r="D68" s="182">
        <f ca="1"/>
        <v>3.8604083962367128E-2</v>
      </c>
      <c r="E68" s="182">
        <f ca="1"/>
        <v>3.8602861740270548E-2</v>
      </c>
      <c r="F68" s="182">
        <f ca="1"/>
        <v>3.8597907339549715E-2</v>
      </c>
      <c r="G68" s="182">
        <f ca="1"/>
        <v>3.8641111905589769E-2</v>
      </c>
      <c r="H68" s="182">
        <f ca="1"/>
        <v>3.867602788548466E-2</v>
      </c>
      <c r="I68" s="182">
        <f ca="1"/>
        <v>3.8604311954662074E-2</v>
      </c>
      <c r="J68" s="182">
        <f ca="1"/>
        <v>3.870469837651188E-2</v>
      </c>
      <c r="K68" s="182"/>
    </row>
    <row r="69" spans="1:11" ht="15">
      <c r="A69" s="4">
        <f t="shared" ca="1" si="0"/>
        <v>46956</v>
      </c>
      <c r="B69" s="3"/>
      <c r="C69" s="182">
        <f ca="1"/>
        <v>3.8603860678667348E-2</v>
      </c>
      <c r="D69" s="182">
        <f ca="1"/>
        <v>3.8603608797122553E-2</v>
      </c>
      <c r="E69" s="182">
        <f ca="1"/>
        <v>3.8602434572165334E-2</v>
      </c>
      <c r="F69" s="182">
        <f ca="1"/>
        <v>3.859755902165881E-2</v>
      </c>
      <c r="G69" s="182">
        <f ca="1"/>
        <v>3.8637279089486533E-2</v>
      </c>
      <c r="H69" s="182">
        <f ca="1"/>
        <v>3.8678743627853063E-2</v>
      </c>
      <c r="I69" s="182">
        <f ca="1"/>
        <v>3.8603860678667182E-2</v>
      </c>
      <c r="J69" s="182">
        <f ca="1"/>
        <v>3.8704164794827856E-2</v>
      </c>
      <c r="K69" s="182"/>
    </row>
    <row r="70" spans="1:11" ht="15">
      <c r="A70" s="4">
        <f t="shared" ref="A70:A94" ca="1" si="1">A69+90</f>
        <v>47046</v>
      </c>
      <c r="B70" s="3"/>
      <c r="C70" s="182">
        <f ca="1"/>
        <v>3.8603427964640891E-2</v>
      </c>
      <c r="D70" s="182">
        <f ca="1"/>
        <v>3.8603190711300465E-2</v>
      </c>
      <c r="E70" s="182">
        <f ca="1"/>
        <v>3.8602025292352682E-2</v>
      </c>
      <c r="F70" s="182">
        <f ca="1"/>
        <v>3.8597223846826505E-2</v>
      </c>
      <c r="G70" s="182">
        <f ca="1"/>
        <v>3.8633547504476062E-2</v>
      </c>
      <c r="H70" s="182">
        <f ca="1"/>
        <v>3.8681393835126081E-2</v>
      </c>
      <c r="I70" s="182">
        <f ca="1"/>
        <v>3.8603427964584984E-2</v>
      </c>
      <c r="J70" s="182">
        <f ca="1"/>
        <v>3.8703638203463245E-2</v>
      </c>
      <c r="K70" s="182"/>
    </row>
    <row r="71" spans="1:11" ht="15">
      <c r="A71" s="4">
        <f t="shared" ca="1" si="1"/>
        <v>47136</v>
      </c>
      <c r="B71" s="3"/>
      <c r="C71" s="182">
        <f ca="1"/>
        <v>3.8603008067417247E-2</v>
      </c>
      <c r="D71" s="182">
        <f ca="1"/>
        <v>3.8602791893656306E-2</v>
      </c>
      <c r="E71" s="182">
        <f ca="1"/>
        <v>3.8601624353422057E-2</v>
      </c>
      <c r="F71" s="182">
        <f ca="1"/>
        <v>3.8596893992141432E-2</v>
      </c>
      <c r="G71" s="182">
        <f ca="1"/>
        <v>3.8629836152381053E-2</v>
      </c>
      <c r="H71" s="182">
        <f ca="1"/>
        <v>3.8684147035737061E-2</v>
      </c>
      <c r="I71" s="182">
        <f ca="1"/>
        <v>3.8603008067458526E-2</v>
      </c>
      <c r="J71" s="182">
        <f ca="1"/>
        <v>3.8703209089519915E-2</v>
      </c>
      <c r="K71" s="182"/>
    </row>
    <row r="72" spans="1:11" ht="15">
      <c r="A72" s="4">
        <f t="shared" ca="1" si="1"/>
        <v>47226</v>
      </c>
      <c r="B72" s="3"/>
      <c r="C72" s="182">
        <f ca="1"/>
        <v>3.860259129954316E-2</v>
      </c>
      <c r="D72" s="182">
        <f ca="1"/>
        <v>3.8602378037368434E-2</v>
      </c>
      <c r="E72" s="182">
        <f ca="1"/>
        <v>3.8601222304767632E-2</v>
      </c>
      <c r="F72" s="182">
        <f ca="1"/>
        <v>3.859654973333923E-2</v>
      </c>
      <c r="G72" s="182">
        <f ca="1"/>
        <v>3.8626086715199057E-2</v>
      </c>
      <c r="H72" s="182">
        <f ca="1"/>
        <v>3.8686986731297134E-2</v>
      </c>
      <c r="I72" s="182">
        <f ca="1"/>
        <v>3.8602591299594917E-2</v>
      </c>
      <c r="J72" s="182">
        <f ca="1"/>
        <v>3.8702800642795604E-2</v>
      </c>
      <c r="K72" s="182"/>
    </row>
    <row r="73" spans="1:11" ht="15">
      <c r="A73" s="4">
        <f t="shared" ca="1" si="1"/>
        <v>47316</v>
      </c>
      <c r="B73" s="3"/>
      <c r="C73" s="182">
        <f ca="1"/>
        <v>3.8602191214741829E-2</v>
      </c>
      <c r="D73" s="182">
        <f ca="1"/>
        <v>3.8601954914656365E-2</v>
      </c>
      <c r="E73" s="182">
        <f ca="1"/>
        <v>3.860084351988563E-2</v>
      </c>
      <c r="F73" s="182">
        <f ca="1"/>
        <v>3.8596236659972118E-2</v>
      </c>
      <c r="G73" s="182">
        <f ca="1"/>
        <v>3.8622318780948302E-2</v>
      </c>
      <c r="H73" s="182">
        <f ca="1"/>
        <v>3.8689811822895492E-2</v>
      </c>
      <c r="I73" s="182">
        <f ca="1"/>
        <v>3.8602191214749428E-2</v>
      </c>
      <c r="J73" s="182">
        <f ca="1"/>
        <v>3.8702366811565359E-2</v>
      </c>
      <c r="K73" s="182"/>
    </row>
    <row r="74" spans="1:11" ht="15">
      <c r="A74" s="4">
        <f t="shared" ca="1" si="1"/>
        <v>47406</v>
      </c>
      <c r="B74" s="3"/>
      <c r="C74" s="182">
        <f ca="1"/>
        <v>3.8717057424327087E-2</v>
      </c>
      <c r="D74" s="182">
        <f ca="1"/>
        <v>3.8716831269633607E-2</v>
      </c>
      <c r="E74" s="182">
        <f ca="1"/>
        <v>3.8715725806974167E-2</v>
      </c>
      <c r="F74" s="182">
        <f ca="1"/>
        <v>3.8711167866532815E-2</v>
      </c>
      <c r="G74" s="182">
        <f ca="1"/>
        <v>3.8733840797385406E-2</v>
      </c>
      <c r="H74" s="182">
        <f ca="1"/>
        <v>3.8807921994688403E-2</v>
      </c>
      <c r="I74" s="182">
        <f ca="1"/>
        <v>3.8717057424324838E-2</v>
      </c>
      <c r="J74" s="182">
        <f ca="1"/>
        <v>3.8817212695547137E-2</v>
      </c>
      <c r="K74" s="182"/>
    </row>
    <row r="75" spans="1:11" ht="15">
      <c r="A75" s="4">
        <f t="shared" ca="1" si="1"/>
        <v>47496</v>
      </c>
      <c r="B75" s="3"/>
      <c r="C75" s="182">
        <f ca="1"/>
        <v>3.8895814803419297E-2</v>
      </c>
      <c r="D75" s="182">
        <f ca="1"/>
        <v>3.8895607110985636E-2</v>
      </c>
      <c r="E75" s="182">
        <f ca="1"/>
        <v>3.8894492007730673E-2</v>
      </c>
      <c r="F75" s="182">
        <f ca="1"/>
        <v>3.8889969491671769E-2</v>
      </c>
      <c r="G75" s="182">
        <f ca="1"/>
        <v>3.8909234473749853E-2</v>
      </c>
      <c r="H75" s="182">
        <f ca="1"/>
        <v>3.8990128316352131E-2</v>
      </c>
      <c r="I75" s="182">
        <f ca="1"/>
        <v>3.8895814803416882E-2</v>
      </c>
      <c r="J75" s="182">
        <f ca="1"/>
        <v>3.8996105138687669E-2</v>
      </c>
      <c r="K75" s="182"/>
    </row>
    <row r="76" spans="1:11" ht="15">
      <c r="A76" s="4">
        <f t="shared" ca="1" si="1"/>
        <v>47586</v>
      </c>
      <c r="B76" s="3"/>
      <c r="C76" s="182">
        <f ca="1"/>
        <v>3.9083361383279162E-2</v>
      </c>
      <c r="D76" s="182">
        <f ca="1"/>
        <v>3.908315603377454E-2</v>
      </c>
      <c r="E76" s="182">
        <f ca="1"/>
        <v>3.9082042958783696E-2</v>
      </c>
      <c r="F76" s="182">
        <f ca="1"/>
        <v>3.9077542607665113E-2</v>
      </c>
      <c r="G76" s="182">
        <f ca="1"/>
        <v>3.9093349408359561E-2</v>
      </c>
      <c r="H76" s="182">
        <f ca="1"/>
        <v>3.9181259120092175E-2</v>
      </c>
      <c r="I76" s="182">
        <f ca="1"/>
        <v>3.9083361383272314E-2</v>
      </c>
      <c r="J76" s="182">
        <f ca="1"/>
        <v>3.9183828998212156E-2</v>
      </c>
      <c r="K76" s="182"/>
    </row>
    <row r="77" spans="1:11" ht="15">
      <c r="A77" s="4">
        <f t="shared" ca="1" si="1"/>
        <v>47676</v>
      </c>
      <c r="B77" s="3"/>
      <c r="C77" s="182">
        <f ca="1"/>
        <v>3.9263697826188285E-2</v>
      </c>
      <c r="D77" s="182">
        <f ca="1"/>
        <v>3.9263470022626409E-2</v>
      </c>
      <c r="E77" s="182">
        <f ca="1"/>
        <v>3.9262389967506563E-2</v>
      </c>
      <c r="F77" s="182">
        <f ca="1"/>
        <v>3.9257919779638301E-2</v>
      </c>
      <c r="G77" s="182">
        <f ca="1"/>
        <v>3.927021360922231E-2</v>
      </c>
      <c r="H77" s="182">
        <f ca="1"/>
        <v>3.9365159305718128E-2</v>
      </c>
      <c r="I77" s="182">
        <f ca="1"/>
        <v>3.926369782623209E-2</v>
      </c>
      <c r="J77" s="182">
        <f ca="1"/>
        <v>3.9364304807352854E-2</v>
      </c>
      <c r="K77" s="182"/>
    </row>
    <row r="78" spans="1:11" ht="15">
      <c r="A78" s="4">
        <f t="shared" ca="1" si="1"/>
        <v>47766</v>
      </c>
      <c r="B78" s="3"/>
      <c r="C78" s="182">
        <f ca="1"/>
        <v>3.9437199835367927E-2</v>
      </c>
      <c r="D78" s="182">
        <f ca="1"/>
        <v>3.9436978869204713E-2</v>
      </c>
      <c r="E78" s="182">
        <f ca="1"/>
        <v>3.9435903855887057E-2</v>
      </c>
      <c r="F78" s="182">
        <f ca="1"/>
        <v>3.9431468209121252E-2</v>
      </c>
      <c r="G78" s="182">
        <f ca="1"/>
        <v>3.9440272892571945E-2</v>
      </c>
      <c r="H78" s="182">
        <f ca="1"/>
        <v>3.9542100612408877E-2</v>
      </c>
      <c r="I78" s="182">
        <f ca="1"/>
        <v>3.9437199835334245E-2</v>
      </c>
      <c r="J78" s="182">
        <f ca="1"/>
        <v>3.9537858016918635E-2</v>
      </c>
      <c r="K78" s="182"/>
    </row>
    <row r="79" spans="1:11" ht="15">
      <c r="A79" s="4">
        <f t="shared" ca="1" si="1"/>
        <v>47856</v>
      </c>
      <c r="B79" s="3"/>
      <c r="C79" s="182">
        <f ca="1"/>
        <v>3.9606111292291135E-2</v>
      </c>
      <c r="D79" s="182">
        <f ca="1"/>
        <v>3.9605908016612297E-2</v>
      </c>
      <c r="E79" s="182">
        <f ca="1"/>
        <v>3.9604823514917939E-2</v>
      </c>
      <c r="F79" s="182">
        <f ca="1"/>
        <v>3.9600420320921051E-2</v>
      </c>
      <c r="G79" s="182">
        <f ca="1"/>
        <v>3.9605715542788474E-2</v>
      </c>
      <c r="H79" s="182">
        <f ca="1"/>
        <v>3.9714566489413544E-2</v>
      </c>
      <c r="I79" s="182">
        <f ca="1"/>
        <v>3.9606111292232578E-2</v>
      </c>
      <c r="J79" s="182">
        <f ca="1"/>
        <v>3.9706898772812159E-2</v>
      </c>
      <c r="K79" s="182"/>
    </row>
    <row r="80" spans="1:11" ht="15">
      <c r="A80" s="4">
        <f t="shared" ca="1" si="1"/>
        <v>47946</v>
      </c>
      <c r="B80" s="3"/>
      <c r="C80" s="182">
        <f ca="1"/>
        <v>3.9774388148874587E-2</v>
      </c>
      <c r="D80" s="182">
        <f ca="1"/>
        <v>3.9774188240415564E-2</v>
      </c>
      <c r="E80" s="182">
        <f ca="1"/>
        <v>3.9773104604870699E-2</v>
      </c>
      <c r="F80" s="182">
        <f ca="1"/>
        <v>3.9768722938268414E-2</v>
      </c>
      <c r="G80" s="182">
        <f ca="1"/>
        <v>3.9770445070228255E-2</v>
      </c>
      <c r="H80" s="182">
        <f ca="1"/>
        <v>3.9886537308412434E-2</v>
      </c>
      <c r="I80" s="182">
        <f ca="1"/>
        <v>3.9774388148812005E-2</v>
      </c>
      <c r="J80" s="182">
        <f ca="1"/>
        <v>3.9875344203778702E-2</v>
      </c>
      <c r="K80" s="182"/>
    </row>
    <row r="81" spans="1:11" ht="15">
      <c r="A81" s="4">
        <f t="shared" ca="1" si="1"/>
        <v>48036</v>
      </c>
      <c r="B81" s="3"/>
      <c r="C81" s="182">
        <f ca="1"/>
        <v>3.9940201963825174E-2</v>
      </c>
      <c r="D81" s="182">
        <f ca="1"/>
        <v>3.9939981534916576E-2</v>
      </c>
      <c r="E81" s="182">
        <f ca="1"/>
        <v>3.9938927842165343E-2</v>
      </c>
      <c r="F81" s="182">
        <f ca="1"/>
        <v>3.9934573459589916E-2</v>
      </c>
      <c r="G81" s="182">
        <f ca="1"/>
        <v>3.9932681284859002E-2</v>
      </c>
      <c r="H81" s="182">
        <f ca="1"/>
        <v>4.0056027077984682E-2</v>
      </c>
      <c r="I81" s="182">
        <f ca="1"/>
        <v>3.9940201963765597E-2</v>
      </c>
      <c r="J81" s="182">
        <f ca="1"/>
        <v>4.0041296645686439E-2</v>
      </c>
      <c r="K81" s="182"/>
    </row>
    <row r="82" spans="1:11" ht="15">
      <c r="A82" s="4">
        <f t="shared" ca="1" si="1"/>
        <v>48126</v>
      </c>
      <c r="B82" s="3"/>
      <c r="C82" s="182">
        <f ca="1"/>
        <v>4.0101157262932834E-2</v>
      </c>
      <c r="D82" s="182">
        <f ca="1"/>
        <v>4.0100941098205466E-2</v>
      </c>
      <c r="E82" s="182">
        <f ca="1"/>
        <v>4.0099894354164993E-2</v>
      </c>
      <c r="F82" s="182">
        <f ca="1"/>
        <v>4.0095572199103556E-2</v>
      </c>
      <c r="G82" s="182">
        <f ca="1"/>
        <v>4.0090094653842313E-2</v>
      </c>
      <c r="H82" s="182">
        <f ca="1"/>
        <v>4.0220532310376887E-2</v>
      </c>
      <c r="I82" s="182">
        <f ca="1"/>
        <v>4.0101157262875602E-2</v>
      </c>
      <c r="J82" s="182">
        <f ca="1"/>
        <v>4.0202308827966202E-2</v>
      </c>
      <c r="K82" s="182"/>
    </row>
    <row r="83" spans="1:11" ht="15">
      <c r="A83" s="4">
        <f t="shared" ca="1" si="1"/>
        <v>48216</v>
      </c>
      <c r="B83" s="3"/>
      <c r="C83" s="182">
        <f ca="1"/>
        <v>4.0258069728718746E-2</v>
      </c>
      <c r="D83" s="182">
        <f ca="1"/>
        <v>4.0257870569029422E-2</v>
      </c>
      <c r="E83" s="182">
        <f ca="1"/>
        <v>4.0256814648666907E-2</v>
      </c>
      <c r="F83" s="182">
        <f ca="1"/>
        <v>4.0252522860800513E-2</v>
      </c>
      <c r="G83" s="182">
        <f ca="1"/>
        <v>4.0243431194087756E-2</v>
      </c>
      <c r="H83" s="182">
        <f ca="1"/>
        <v>4.0381103041055008E-2</v>
      </c>
      <c r="I83" s="182">
        <f ca="1"/>
        <v>4.0258069728662332E-2</v>
      </c>
      <c r="J83" s="182">
        <f ca="1"/>
        <v>4.0359342290443162E-2</v>
      </c>
      <c r="K83" s="182"/>
    </row>
    <row r="84" spans="1:11" ht="15">
      <c r="A84" s="4">
        <f t="shared" ca="1" si="1"/>
        <v>48306</v>
      </c>
      <c r="B84" s="3"/>
      <c r="C84" s="182">
        <f ca="1"/>
        <v>4.0409919435551007E-2</v>
      </c>
      <c r="D84" s="182">
        <f ca="1"/>
        <v>4.0409724618198417E-2</v>
      </c>
      <c r="E84" s="182">
        <f ca="1"/>
        <v>4.0408668330982923E-2</v>
      </c>
      <c r="F84" s="182">
        <f ca="1"/>
        <v>4.0404396959450417E-2</v>
      </c>
      <c r="G84" s="182">
        <f ca="1"/>
        <v>4.0391626603548218E-2</v>
      </c>
      <c r="H84" s="182">
        <f ca="1"/>
        <v>4.0536750205841396E-2</v>
      </c>
      <c r="I84" s="182">
        <f ca="1"/>
        <v>4.0409919435568861E-2</v>
      </c>
      <c r="J84" s="182">
        <f ca="1"/>
        <v>4.05113532979232E-2</v>
      </c>
      <c r="K84" s="182"/>
    </row>
    <row r="85" spans="1:11" ht="15">
      <c r="A85" s="4">
        <f t="shared" ca="1" si="1"/>
        <v>48396</v>
      </c>
      <c r="B85" s="3"/>
      <c r="C85" s="182">
        <f ca="1"/>
        <v>4.052349838857279E-2</v>
      </c>
      <c r="D85" s="182">
        <f ca="1"/>
        <v>4.0523285473213884E-2</v>
      </c>
      <c r="E85" s="182">
        <f ca="1"/>
        <v>4.0522257305151681E-2</v>
      </c>
      <c r="F85" s="182">
        <f ca="1"/>
        <v>4.0518016412843222E-2</v>
      </c>
      <c r="G85" s="182">
        <f ca="1"/>
        <v>4.0501538637718527E-2</v>
      </c>
      <c r="H85" s="182">
        <f ca="1"/>
        <v>4.0654052027550527E-2</v>
      </c>
      <c r="I85" s="182">
        <f ca="1"/>
        <v>4.0523498388627441E-2</v>
      </c>
      <c r="J85" s="182">
        <f ca="1"/>
        <v>4.0625030527756942E-2</v>
      </c>
      <c r="K85" s="182"/>
    </row>
    <row r="86" spans="1:11" ht="15">
      <c r="A86" s="4">
        <f t="shared" ca="1" si="1"/>
        <v>48486</v>
      </c>
      <c r="B86" s="3"/>
      <c r="C86" s="182">
        <f ca="1"/>
        <v>4.0618152264187871E-2</v>
      </c>
      <c r="D86" s="182">
        <f ca="1"/>
        <v>4.061794120265836E-2</v>
      </c>
      <c r="E86" s="182">
        <f ca="1"/>
        <v>4.0616922519131141E-2</v>
      </c>
      <c r="F86" s="182">
        <f ca="1"/>
        <v>4.0612722447224053E-2</v>
      </c>
      <c r="G86" s="182">
        <f ca="1"/>
        <v>4.0595139236300377E-2</v>
      </c>
      <c r="H86" s="182">
        <f ca="1"/>
        <v>4.0747122474728469E-2</v>
      </c>
      <c r="I86" s="182">
        <f ca="1"/>
        <v>4.0620714597421573E-2</v>
      </c>
      <c r="J86" s="182">
        <f ca="1"/>
        <v>4.0719679124695436E-2</v>
      </c>
      <c r="K86" s="182"/>
    </row>
    <row r="87" spans="1:11" ht="15">
      <c r="A87" s="4">
        <f t="shared" ca="1" si="1"/>
        <v>48576</v>
      </c>
      <c r="B87" s="3"/>
      <c r="C87" s="182">
        <f ca="1"/>
        <v>4.0711580187376847E-2</v>
      </c>
      <c r="D87" s="182">
        <f ca="1"/>
        <v>4.0711386719306554E-2</v>
      </c>
      <c r="E87" s="182">
        <f ca="1"/>
        <v>4.0710359290999552E-2</v>
      </c>
      <c r="F87" s="182">
        <f ca="1"/>
        <v>4.0706195458137827E-2</v>
      </c>
      <c r="G87" s="182">
        <f ca="1"/>
        <v>4.0688753308601826E-2</v>
      </c>
      <c r="H87" s="182">
        <f ca="1"/>
        <v>4.0836479968803088E-2</v>
      </c>
      <c r="I87" s="182">
        <f ca="1"/>
        <v>4.0718001395002035E-2</v>
      </c>
      <c r="J87" s="182">
        <f ca="1"/>
        <v>4.0813146838091015E-2</v>
      </c>
      <c r="K87" s="182"/>
    </row>
    <row r="88" spans="1:11" ht="15">
      <c r="A88" s="4">
        <f t="shared" ca="1" si="1"/>
        <v>48666</v>
      </c>
      <c r="B88" s="3"/>
      <c r="C88" s="182">
        <f ca="1"/>
        <v>4.0803788471232429E-2</v>
      </c>
      <c r="D88" s="182">
        <f ca="1"/>
        <v>4.0803600330894987E-2</v>
      </c>
      <c r="E88" s="182">
        <f ca="1"/>
        <v>4.0802574422940732E-2</v>
      </c>
      <c r="F88" s="182">
        <f ca="1"/>
        <v>4.0798436650245927E-2</v>
      </c>
      <c r="G88" s="182">
        <f ca="1"/>
        <v>4.0781131762021569E-2</v>
      </c>
      <c r="H88" s="182">
        <f ca="1"/>
        <v>4.0924717344270077E-2</v>
      </c>
      <c r="I88" s="182">
        <f ca="1"/>
        <v>4.0814079152522297E-2</v>
      </c>
      <c r="J88" s="182">
        <f ca="1"/>
        <v>4.0905471461175333E-2</v>
      </c>
      <c r="K88" s="182"/>
    </row>
    <row r="89" spans="1:11" ht="15">
      <c r="A89" s="4">
        <f t="shared" ca="1" si="1"/>
        <v>48756</v>
      </c>
      <c r="B89" s="3"/>
      <c r="C89" s="182">
        <f ca="1"/>
        <v>4.0891819255099493E-2</v>
      </c>
      <c r="D89" s="182">
        <f ca="1"/>
        <v>4.0891615107266528E-2</v>
      </c>
      <c r="E89" s="182">
        <f ca="1"/>
        <v>4.0890615214790878E-2</v>
      </c>
      <c r="F89" s="182">
        <f ca="1"/>
        <v>4.0886509418335659E-2</v>
      </c>
      <c r="G89" s="182">
        <f ca="1"/>
        <v>4.0869335230856736E-2</v>
      </c>
      <c r="H89" s="182">
        <f ca="1"/>
        <v>4.1008714148675275E-2</v>
      </c>
      <c r="I89" s="182">
        <f ca="1"/>
        <v>4.090597400661658E-2</v>
      </c>
      <c r="J89" s="182">
        <f ca="1"/>
        <v>4.099356586220626E-2</v>
      </c>
      <c r="K89" s="182"/>
    </row>
    <row r="90" spans="1:11" ht="15">
      <c r="A90" s="4">
        <f t="shared" ca="1" si="1"/>
        <v>48846</v>
      </c>
      <c r="B90" s="3"/>
      <c r="C90" s="182">
        <f ca="1"/>
        <v>4.0977818914429913E-2</v>
      </c>
      <c r="D90" s="182">
        <f ca="1"/>
        <v>4.0977613494371151E-2</v>
      </c>
      <c r="E90" s="182">
        <f ca="1"/>
        <v>4.0976626730481608E-2</v>
      </c>
      <c r="F90" s="182">
        <f ca="1"/>
        <v>4.097255748986936E-2</v>
      </c>
      <c r="G90" s="182">
        <f ca="1"/>
        <v>4.0955516223671898E-2</v>
      </c>
      <c r="H90" s="182">
        <f ca="1"/>
        <v>4.1090601934078229E-2</v>
      </c>
      <c r="I90" s="182">
        <f ca="1"/>
        <v>4.0995844957958598E-2</v>
      </c>
      <c r="J90" s="182">
        <f ca="1"/>
        <v>4.1079576011651714E-2</v>
      </c>
      <c r="K90" s="182"/>
    </row>
    <row r="91" spans="1:11" ht="15">
      <c r="A91" s="4">
        <f t="shared" ca="1" si="1"/>
        <v>48936</v>
      </c>
      <c r="B91" s="3"/>
      <c r="C91" s="182">
        <f ca="1"/>
        <v>4.1062800907241251E-2</v>
      </c>
      <c r="D91" s="182">
        <f ca="1"/>
        <v>4.1062611590528542E-2</v>
      </c>
      <c r="E91" s="182">
        <f ca="1"/>
        <v>4.1061619585395483E-2</v>
      </c>
      <c r="F91" s="182">
        <f ca="1"/>
        <v>4.1057580368530501E-2</v>
      </c>
      <c r="G91" s="182">
        <f ca="1"/>
        <v>4.1040672337863654E-2</v>
      </c>
      <c r="H91" s="182">
        <f ca="1"/>
        <v>4.117148456492941E-2</v>
      </c>
      <c r="I91" s="182">
        <f ca="1"/>
        <v>4.1084744380813804E-2</v>
      </c>
      <c r="J91" s="182">
        <f ca="1"/>
        <v>4.1164609706816103E-2</v>
      </c>
      <c r="K91" s="182"/>
    </row>
    <row r="92" spans="1:11" ht="15">
      <c r="A92" s="4">
        <f t="shared" ca="1" si="1"/>
        <v>49026</v>
      </c>
      <c r="B92" s="3"/>
      <c r="C92" s="182">
        <f ca="1"/>
        <v>4.1146767381731814E-2</v>
      </c>
      <c r="D92" s="182">
        <f ca="1"/>
        <v>4.1146584659286049E-2</v>
      </c>
      <c r="E92" s="182">
        <f ca="1"/>
        <v>4.1145591775453232E-2</v>
      </c>
      <c r="F92" s="182">
        <f ca="1"/>
        <v>4.1141577906764044E-2</v>
      </c>
      <c r="G92" s="182">
        <f ca="1"/>
        <v>4.1124797591541737E-2</v>
      </c>
      <c r="H92" s="182">
        <f ca="1"/>
        <v>4.1251397670489687E-2</v>
      </c>
      <c r="I92" s="182">
        <f ca="1"/>
        <v>4.117267337833512E-2</v>
      </c>
      <c r="J92" s="182">
        <f ca="1"/>
        <v>4.1248686771157561E-2</v>
      </c>
      <c r="K92" s="182"/>
    </row>
    <row r="93" spans="1:11" ht="15">
      <c r="A93" s="4">
        <f t="shared" ca="1" si="1"/>
        <v>49116</v>
      </c>
      <c r="B93" s="3"/>
      <c r="C93" s="182">
        <f ca="1"/>
        <v>4.122701690243985E-2</v>
      </c>
      <c r="D93" s="182">
        <f ca="1"/>
        <v>4.1226820256000551E-2</v>
      </c>
      <c r="E93" s="182">
        <f ca="1"/>
        <v>4.1225848791993064E-2</v>
      </c>
      <c r="F93" s="182">
        <f ca="1"/>
        <v>4.1221865750890277E-2</v>
      </c>
      <c r="G93" s="182">
        <f ca="1"/>
        <v>4.1205206769722127E-2</v>
      </c>
      <c r="H93" s="182">
        <f ca="1"/>
        <v>4.1327564285038573E-2</v>
      </c>
      <c r="I93" s="182">
        <f ca="1"/>
        <v>4.1256860330131838E-2</v>
      </c>
      <c r="J93" s="182">
        <f ca="1"/>
        <v>4.1329002845214409E-2</v>
      </c>
      <c r="K93" s="182"/>
    </row>
    <row r="94" spans="1:11" ht="15">
      <c r="A94" s="4">
        <f t="shared" ca="1" si="1"/>
        <v>49206</v>
      </c>
      <c r="B94" s="3"/>
      <c r="C94" s="182">
        <f ca="1"/>
        <v>4.1305497174101292E-2</v>
      </c>
      <c r="D94" s="182">
        <f ca="1"/>
        <v>4.1305297097932174E-2</v>
      </c>
      <c r="E94" s="182">
        <f ca="1"/>
        <v>4.1304340310953938E-2</v>
      </c>
      <c r="F94" s="182">
        <f ca="1"/>
        <v>4.1300391836512323E-2</v>
      </c>
      <c r="G94" s="182">
        <f ca="1"/>
        <v>4.1283857095981584E-2</v>
      </c>
      <c r="H94" s="182">
        <f ca="1"/>
        <v>4.1401870758408607E-2</v>
      </c>
      <c r="I94" s="182">
        <f ca="1"/>
        <v>4.1339291317247472E-2</v>
      </c>
      <c r="J94" s="182">
        <f ca="1"/>
        <v>4.1407494005027475E-2</v>
      </c>
      <c r="K94" s="182"/>
    </row>
    <row r="95" spans="1:11" ht="15">
      <c r="A95" s="4">
        <f ca="1">A94+90</f>
        <v>49296</v>
      </c>
      <c r="B95" s="3"/>
      <c r="C95" s="182">
        <f ca="1"/>
        <v>4.1383128823429566E-2</v>
      </c>
      <c r="D95" s="182">
        <f ca="1"/>
        <v>4.1382944183656914E-2</v>
      </c>
      <c r="E95" s="182">
        <f ca="1"/>
        <v>4.1381982245460205E-2</v>
      </c>
      <c r="F95" s="182">
        <f ca="1"/>
        <v>4.1378062349757744E-2</v>
      </c>
      <c r="G95" s="182">
        <f ca="1"/>
        <v>4.1361652607796048E-2</v>
      </c>
      <c r="H95" s="182">
        <f ca="1"/>
        <v>4.1475335869813383E-2</v>
      </c>
      <c r="I95" s="182">
        <f ca="1"/>
        <v>4.1420916852152254E-2</v>
      </c>
      <c r="J95" s="182">
        <f ca="1"/>
        <v>4.1485171126611715E-2</v>
      </c>
      <c r="K95" s="182"/>
    </row>
    <row r="96" spans="1:11" ht="15">
      <c r="A96" s="4">
        <f t="shared" ref="A96:A159" ca="1" si="2">A95+90</f>
        <v>49386</v>
      </c>
      <c r="B96" s="3"/>
      <c r="C96" s="182">
        <f ca="1"/>
        <v>4.1459911077004703E-2</v>
      </c>
      <c r="D96" s="182">
        <f ca="1"/>
        <v>4.1459733794243191E-2</v>
      </c>
      <c r="E96" s="182">
        <f ca="1"/>
        <v>4.1458770129730649E-2</v>
      </c>
      <c r="F96" s="182">
        <f ca="1"/>
        <v>4.1454873656462624E-2</v>
      </c>
      <c r="G96" s="182">
        <f ca="1"/>
        <v>4.1438583065705026E-2</v>
      </c>
      <c r="H96" s="182">
        <f ca="1"/>
        <v>4.1547979575491299E-2</v>
      </c>
      <c r="I96" s="182">
        <f ca="1"/>
        <v>4.1501757605851605E-2</v>
      </c>
      <c r="J96" s="182">
        <f ca="1"/>
        <v>4.1562059424369864E-2</v>
      </c>
      <c r="K96" s="182"/>
    </row>
    <row r="97" spans="1:11" ht="15">
      <c r="A97" s="4">
        <f t="shared" ca="1" si="2"/>
        <v>49476</v>
      </c>
      <c r="B97" s="3"/>
      <c r="C97" s="182">
        <f ca="1"/>
        <v>4.1533367237160043E-2</v>
      </c>
      <c r="D97" s="182">
        <f ca="1"/>
        <v>4.1533177614238692E-2</v>
      </c>
      <c r="E97" s="182">
        <f ca="1"/>
        <v>4.1532232696286621E-2</v>
      </c>
      <c r="F97" s="182">
        <f ca="1"/>
        <v>4.1528364348529717E-2</v>
      </c>
      <c r="G97" s="182">
        <f ca="1"/>
        <v>4.1512186748729162E-2</v>
      </c>
      <c r="H97" s="182">
        <f ca="1"/>
        <v>4.1617297878855049E-2</v>
      </c>
      <c r="I97" s="182">
        <f ca="1"/>
        <v>4.157923058417267E-2</v>
      </c>
      <c r="J97" s="182">
        <f ca="1"/>
        <v>4.1635586481326932E-2</v>
      </c>
      <c r="K97" s="182"/>
    </row>
    <row r="98" spans="1:11" ht="15">
      <c r="A98" s="4">
        <f t="shared" ca="1" si="2"/>
        <v>49566</v>
      </c>
      <c r="B98" s="3"/>
      <c r="C98" s="182">
        <f ca="1"/>
        <v>4.1605272871478222E-2</v>
      </c>
      <c r="D98" s="182">
        <f ca="1"/>
        <v>4.1605077786518264E-2</v>
      </c>
      <c r="E98" s="182">
        <f ca="1"/>
        <v>4.1604149018131684E-2</v>
      </c>
      <c r="F98" s="182">
        <f ca="1"/>
        <v>4.1600313410040092E-2</v>
      </c>
      <c r="G98" s="182">
        <f ca="1"/>
        <v>4.1584252064859994E-2</v>
      </c>
      <c r="H98" s="182">
        <f ca="1"/>
        <v>4.1684961847073758E-2</v>
      </c>
      <c r="I98" s="182">
        <f ca="1"/>
        <v>4.1655171587220846E-2</v>
      </c>
      <c r="J98" s="182">
        <f ca="1"/>
        <v>4.1707503563819456E-2</v>
      </c>
      <c r="K98" s="182"/>
    </row>
    <row r="99" spans="1:11" ht="15">
      <c r="A99" s="4">
        <f t="shared" ca="1" si="2"/>
        <v>49656</v>
      </c>
      <c r="B99" s="3"/>
      <c r="C99" s="182">
        <f ca="1"/>
        <v>4.1676468152876484E-2</v>
      </c>
      <c r="D99" s="182">
        <f ca="1"/>
        <v>4.1676288028173178E-2</v>
      </c>
      <c r="E99" s="182">
        <f ca="1"/>
        <v>4.1675354451921505E-2</v>
      </c>
      <c r="F99" s="182">
        <f ca="1"/>
        <v>4.1671544203424032E-2</v>
      </c>
      <c r="G99" s="182">
        <f ca="1"/>
        <v>4.1655602186569753E-2</v>
      </c>
      <c r="H99" s="182">
        <f ca="1"/>
        <v>4.1751919126716885E-2</v>
      </c>
      <c r="I99" s="182">
        <f ca="1"/>
        <v>4.1730440220237974E-2</v>
      </c>
      <c r="J99" s="182">
        <f ca="1"/>
        <v>4.177873716412963E-2</v>
      </c>
      <c r="K99" s="182"/>
    </row>
    <row r="100" spans="1:11" ht="15">
      <c r="A100" s="4">
        <f t="shared" ca="1" si="2"/>
        <v>49746</v>
      </c>
      <c r="B100" s="3"/>
      <c r="C100" s="182">
        <f ca="1"/>
        <v>4.1746175322453172E-2</v>
      </c>
      <c r="D100" s="182">
        <f ca="1"/>
        <v>4.1746002762374564E-2</v>
      </c>
      <c r="E100" s="182">
        <f ca="1"/>
        <v>4.1745068423580861E-2</v>
      </c>
      <c r="F100" s="182">
        <f ca="1"/>
        <v>4.174127794062852E-2</v>
      </c>
      <c r="G100" s="182">
        <f ca="1"/>
        <v>4.172544674011594E-2</v>
      </c>
      <c r="H100" s="182">
        <f ca="1"/>
        <v>4.1817422893577996E-2</v>
      </c>
      <c r="I100" s="182">
        <f ca="1"/>
        <v>4.1804278787101821E-2</v>
      </c>
      <c r="J100" s="182">
        <f ca="1"/>
        <v>4.1848543054873337E-2</v>
      </c>
      <c r="K100" s="182"/>
    </row>
    <row r="101" spans="1:11" ht="15">
      <c r="A101" s="4">
        <f t="shared" ca="1" si="2"/>
        <v>49836</v>
      </c>
      <c r="B101" s="3"/>
      <c r="C101" s="182">
        <f ca="1"/>
        <v>4.1813681373959272E-2</v>
      </c>
      <c r="D101" s="182">
        <f ca="1"/>
        <v>4.1813498793718505E-2</v>
      </c>
      <c r="E101" s="182">
        <f ca="1"/>
        <v>4.1812579845863292E-2</v>
      </c>
      <c r="F101" s="182">
        <f ca="1"/>
        <v>4.1808815743022511E-2</v>
      </c>
      <c r="G101" s="182">
        <f ca="1"/>
        <v>4.1793088072089965E-2</v>
      </c>
      <c r="H101" s="182">
        <f ca="1"/>
        <v>4.1880714388034909E-2</v>
      </c>
      <c r="I101" s="182">
        <f ca="1"/>
        <v>4.1875907296731407E-2</v>
      </c>
      <c r="J101" s="182">
        <f ca="1"/>
        <v>4.1916129479238624E-2</v>
      </c>
      <c r="K101" s="182"/>
    </row>
    <row r="102" spans="1:11" ht="15">
      <c r="A102" s="4">
        <f t="shared" ca="1" si="2"/>
        <v>49926</v>
      </c>
      <c r="B102" s="3"/>
      <c r="C102" s="182">
        <f ca="1"/>
        <v>4.1879820528939668E-2</v>
      </c>
      <c r="D102" s="182">
        <f ca="1"/>
        <v>4.1879631007740149E-2</v>
      </c>
      <c r="E102" s="182">
        <f ca="1"/>
        <v>4.1878728611408483E-2</v>
      </c>
      <c r="F102" s="182">
        <f ca="1"/>
        <v>4.1874995676829806E-2</v>
      </c>
      <c r="G102" s="182">
        <f ca="1"/>
        <v>4.1859377918630189E-2</v>
      </c>
      <c r="H102" s="182">
        <f ca="1"/>
        <v>4.194253416225497E-2</v>
      </c>
      <c r="I102" s="182">
        <f ca="1"/>
        <v>4.1946176499800709E-2</v>
      </c>
      <c r="J102" s="182">
        <f ca="1"/>
        <v>4.1982282371386334E-2</v>
      </c>
      <c r="K102" s="182"/>
    </row>
    <row r="103" spans="1:11" ht="15">
      <c r="A103" s="4">
        <f t="shared" ca="1" si="2"/>
        <v>50016</v>
      </c>
      <c r="B103" s="3"/>
      <c r="C103" s="182">
        <f ca="1"/>
        <v>4.1945362938133939E-2</v>
      </c>
      <c r="D103" s="182">
        <f ca="1"/>
        <v>4.1945187236742461E-2</v>
      </c>
      <c r="E103" s="182">
        <f ca="1"/>
        <v>4.1944279990256711E-2</v>
      </c>
      <c r="F103" s="182">
        <f ca="1"/>
        <v>4.1940574026018383E-2</v>
      </c>
      <c r="G103" s="182">
        <f ca="1"/>
        <v>4.1925065710923151E-2</v>
      </c>
      <c r="H103" s="182">
        <f ca="1"/>
        <v>4.200376417081618E-2</v>
      </c>
      <c r="I103" s="182">
        <f ca="1"/>
        <v>4.2015874041384405E-2</v>
      </c>
      <c r="J103" s="182">
        <f ca="1"/>
        <v>4.204785620712323E-2</v>
      </c>
      <c r="K103" s="182"/>
    </row>
    <row r="104" spans="1:11" ht="15">
      <c r="A104" s="4">
        <f t="shared" ca="1" si="2"/>
        <v>50106</v>
      </c>
      <c r="B104" s="3"/>
      <c r="C104" s="182">
        <f ca="1"/>
        <v>4.2010304397224529E-2</v>
      </c>
      <c r="D104" s="182">
        <f ca="1"/>
        <v>4.2010136971482988E-2</v>
      </c>
      <c r="E104" s="182">
        <f ca="1"/>
        <v>4.2009227257697061E-2</v>
      </c>
      <c r="F104" s="182">
        <f ca="1"/>
        <v>4.2005542724349774E-2</v>
      </c>
      <c r="G104" s="182">
        <f ca="1"/>
        <v>4.199013639916669E-2</v>
      </c>
      <c r="H104" s="182">
        <f ca="1"/>
        <v>4.2064376697677472E-2</v>
      </c>
      <c r="I104" s="182">
        <f ca="1"/>
        <v>4.2085080699656982E-2</v>
      </c>
      <c r="J104" s="182">
        <f ca="1"/>
        <v>4.2112892429735399E-2</v>
      </c>
      <c r="K104" s="182"/>
    </row>
    <row r="105" spans="1:11" ht="15">
      <c r="A105" s="4">
        <f t="shared" ca="1" si="2"/>
        <v>50196</v>
      </c>
      <c r="B105" s="3"/>
      <c r="C105" s="182">
        <f ca="1"/>
        <v>4.2072541109920876E-2</v>
      </c>
      <c r="D105" s="182">
        <f ca="1"/>
        <v>4.2072364516813947E-2</v>
      </c>
      <c r="E105" s="182">
        <f ca="1"/>
        <v>4.2071469054072157E-2</v>
      </c>
      <c r="F105" s="182">
        <f ca="1"/>
        <v>4.2067805635102214E-2</v>
      </c>
      <c r="G105" s="182">
        <f ca="1"/>
        <v>4.2052500350329536E-2</v>
      </c>
      <c r="H105" s="182">
        <f ca="1"/>
        <v>4.2122355217656948E-2</v>
      </c>
      <c r="I105" s="182">
        <f ca="1"/>
        <v>4.215150526331924E-2</v>
      </c>
      <c r="J105" s="182">
        <f ca="1"/>
        <v>4.2175213348302848E-2</v>
      </c>
      <c r="K105" s="182"/>
    </row>
    <row r="106" spans="1:11" ht="15">
      <c r="A106" s="4">
        <f t="shared" ca="1" si="2"/>
        <v>50286</v>
      </c>
      <c r="B106" s="3"/>
      <c r="C106" s="182">
        <f ca="1"/>
        <v>4.2133567071933678E-2</v>
      </c>
      <c r="D106" s="182">
        <f ca="1"/>
        <v>4.2133381915985486E-2</v>
      </c>
      <c r="E106" s="182">
        <f ca="1"/>
        <v>4.2132504100542256E-2</v>
      </c>
      <c r="F106" s="182">
        <f ca="1"/>
        <v>4.2128870425556554E-2</v>
      </c>
      <c r="G106" s="182">
        <f ca="1"/>
        <v>4.2113668271318634E-2</v>
      </c>
      <c r="H106" s="182">
        <f ca="1"/>
        <v>4.2178981837112391E-2</v>
      </c>
      <c r="I106" s="182">
        <f ca="1"/>
        <v>4.2216756543764201E-2</v>
      </c>
      <c r="J106" s="182">
        <f ca="1"/>
        <v>4.2236253640022932E-2</v>
      </c>
      <c r="K106" s="182"/>
    </row>
    <row r="107" spans="1:11" ht="15">
      <c r="A107" s="4">
        <f t="shared" ca="1" si="2"/>
        <v>50376</v>
      </c>
      <c r="B107" s="3"/>
      <c r="C107" s="182">
        <f ca="1"/>
        <v>4.2194090764171042E-2</v>
      </c>
      <c r="D107" s="182">
        <f ca="1"/>
        <v>4.2193918901617784E-2</v>
      </c>
      <c r="E107" s="182">
        <f ca="1"/>
        <v>4.2193036433057628E-2</v>
      </c>
      <c r="F107" s="182">
        <f ca="1"/>
        <v>4.2189428436767359E-2</v>
      </c>
      <c r="G107" s="182">
        <f ca="1"/>
        <v>4.2174330161810623E-2</v>
      </c>
      <c r="H107" s="182">
        <f ca="1"/>
        <v>4.2235115069553977E-2</v>
      </c>
      <c r="I107" s="182">
        <f ca="1"/>
        <v>4.2281521359590582E-2</v>
      </c>
      <c r="J107" s="182">
        <f ca="1"/>
        <v>4.2296803857291433E-2</v>
      </c>
      <c r="K107" s="182"/>
    </row>
    <row r="108" spans="1:11" ht="15">
      <c r="A108" s="4">
        <f t="shared" ca="1" si="2"/>
        <v>50466</v>
      </c>
      <c r="B108" s="3"/>
      <c r="C108" s="182">
        <f ca="1"/>
        <v>4.2254107042023176E-2</v>
      </c>
      <c r="D108" s="182">
        <f ca="1"/>
        <v>4.2253944261321508E-2</v>
      </c>
      <c r="E108" s="182">
        <f ca="1"/>
        <v>4.2253058312395675E-2</v>
      </c>
      <c r="F108" s="182">
        <f ca="1"/>
        <v>4.2249470662804392E-2</v>
      </c>
      <c r="G108" s="182">
        <f ca="1"/>
        <v>4.2234467568214966E-2</v>
      </c>
      <c r="H108" s="182">
        <f ca="1"/>
        <v>4.2290703971903064E-2</v>
      </c>
      <c r="I108" s="182">
        <f ca="1"/>
        <v>4.2345911001875181E-2</v>
      </c>
      <c r="J108" s="182">
        <f ca="1"/>
        <v>4.235691128015167E-2</v>
      </c>
      <c r="K108" s="182"/>
    </row>
    <row r="109" spans="1:11" ht="15">
      <c r="A109" s="4">
        <f t="shared" ca="1" si="2"/>
        <v>50556</v>
      </c>
      <c r="B109" s="3"/>
      <c r="C109" s="182">
        <f ca="1"/>
        <v>4.2312315994782988E-2</v>
      </c>
      <c r="D109" s="182">
        <f ca="1"/>
        <v>4.2312144830423143E-2</v>
      </c>
      <c r="E109" s="182">
        <f ca="1"/>
        <v>4.2311271712508161E-2</v>
      </c>
      <c r="F109" s="182">
        <f ca="1"/>
        <v>4.2307703179257923E-2</v>
      </c>
      <c r="G109" s="182">
        <f ca="1"/>
        <v>4.2292795644342504E-2</v>
      </c>
      <c r="H109" s="182">
        <f ca="1"/>
        <v>4.2344525558320044E-2</v>
      </c>
      <c r="I109" s="182">
        <f ca="1"/>
        <v>4.2408457468033921E-2</v>
      </c>
      <c r="J109" s="182">
        <f ca="1"/>
        <v>4.2415209150250176E-2</v>
      </c>
      <c r="K109" s="182"/>
    </row>
    <row r="110" spans="1:11" ht="15">
      <c r="A110" s="4">
        <f t="shared" ca="1" si="2"/>
        <v>50646</v>
      </c>
      <c r="B110" s="3"/>
      <c r="C110" s="182">
        <f ca="1"/>
        <v>4.236878751327354E-2</v>
      </c>
      <c r="D110" s="182">
        <f ca="1"/>
        <v>4.2368606592585574E-2</v>
      </c>
      <c r="E110" s="182">
        <f ca="1"/>
        <v>4.2367751833433075E-2</v>
      </c>
      <c r="F110" s="182">
        <f ca="1"/>
        <v>4.2364211687641685E-2</v>
      </c>
      <c r="G110" s="182">
        <f ca="1"/>
        <v>4.2349401090612103E-2</v>
      </c>
      <c r="H110" s="182">
        <f ca="1"/>
        <v>4.2396513080891179E-2</v>
      </c>
      <c r="I110" s="182">
        <f ca="1"/>
        <v>4.2469253861770626E-2</v>
      </c>
      <c r="J110" s="182">
        <f ca="1"/>
        <v>4.2471695528676641E-2</v>
      </c>
      <c r="K110" s="182"/>
    </row>
    <row r="111" spans="1:11" ht="15">
      <c r="A111" s="4">
        <f t="shared" ca="1" si="2"/>
        <v>50736</v>
      </c>
      <c r="B111" s="3"/>
      <c r="C111" s="182">
        <f ca="1"/>
        <v>4.2424211830425745E-2</v>
      </c>
      <c r="D111" s="182">
        <f ca="1"/>
        <v>4.2424043625531607E-2</v>
      </c>
      <c r="E111" s="182">
        <f ca="1"/>
        <v>4.2423183922093072E-2</v>
      </c>
      <c r="F111" s="182">
        <f ca="1"/>
        <v>4.241966850337392E-2</v>
      </c>
      <c r="G111" s="182">
        <f ca="1"/>
        <v>4.2404956682896497E-2</v>
      </c>
      <c r="H111" s="182">
        <f ca="1"/>
        <v>4.244751443992402E-2</v>
      </c>
      <c r="I111" s="182">
        <f ca="1"/>
        <v>4.2528960785672143E-2</v>
      </c>
      <c r="J111" s="182">
        <f ca="1"/>
        <v>4.2527141773723118E-2</v>
      </c>
      <c r="K111" s="182"/>
    </row>
    <row r="112" spans="1:11" ht="15">
      <c r="A112" s="4">
        <f t="shared" ca="1" si="2"/>
        <v>50826</v>
      </c>
      <c r="B112" s="3"/>
      <c r="C112" s="182">
        <f ca="1"/>
        <v>4.2480524345640452E-2</v>
      </c>
      <c r="D112" s="182">
        <f ca="1"/>
        <v>4.2480366987170323E-2</v>
      </c>
      <c r="E112" s="182">
        <f ca="1"/>
        <v>4.2479500251459273E-2</v>
      </c>
      <c r="F112" s="182">
        <f ca="1"/>
        <v>4.2476005622721212E-2</v>
      </c>
      <c r="G112" s="182">
        <f ca="1"/>
        <v>4.2461382351671441E-2</v>
      </c>
      <c r="H112" s="182">
        <f ca="1"/>
        <v>4.2499391621149463E-2</v>
      </c>
      <c r="I112" s="182">
        <f ca="1"/>
        <v>4.2589664574340581E-2</v>
      </c>
      <c r="J112" s="182">
        <f ca="1"/>
        <v>4.2583541025944173E-2</v>
      </c>
      <c r="K112" s="182"/>
    </row>
    <row r="113" spans="1:11" ht="15">
      <c r="A113" s="4">
        <f t="shared" ca="1" si="2"/>
        <v>50916</v>
      </c>
      <c r="B113" s="3"/>
      <c r="C113" s="182">
        <f ca="1"/>
        <v>4.2549350570468637E-2</v>
      </c>
      <c r="D113" s="182">
        <f ca="1"/>
        <v>4.2549187010947294E-2</v>
      </c>
      <c r="E113" s="182">
        <f ca="1"/>
        <v>4.2548329456468491E-2</v>
      </c>
      <c r="F113" s="182">
        <f ca="1"/>
        <v>4.2544850425586735E-2</v>
      </c>
      <c r="G113" s="182">
        <f ca="1"/>
        <v>4.253030779513952E-2</v>
      </c>
      <c r="H113" s="182">
        <f ca="1"/>
        <v>4.2563651434695267E-2</v>
      </c>
      <c r="I113" s="182">
        <f ca="1"/>
        <v>4.2663066886979975E-2</v>
      </c>
      <c r="J113" s="182">
        <f ca="1"/>
        <v>4.2652484808725785E-2</v>
      </c>
      <c r="K113" s="182"/>
    </row>
    <row r="114" spans="1:11" ht="15">
      <c r="A114" s="4">
        <f t="shared" ca="1" si="2"/>
        <v>51006</v>
      </c>
      <c r="B114" s="3"/>
      <c r="C114" s="182">
        <f ca="1"/>
        <v>4.2631693860888949E-2</v>
      </c>
      <c r="D114" s="182">
        <f ca="1"/>
        <v>4.2631515591497547E-2</v>
      </c>
      <c r="E114" s="182">
        <f ca="1"/>
        <v>4.2630680776331094E-2</v>
      </c>
      <c r="F114" s="182">
        <f ca="1"/>
        <v>4.2627224923439795E-2</v>
      </c>
      <c r="G114" s="182">
        <f ca="1"/>
        <v>4.2612753888414616E-2</v>
      </c>
      <c r="H114" s="182">
        <f ca="1"/>
        <v>4.2641407153195789E-2</v>
      </c>
      <c r="I114" s="182">
        <f ca="1"/>
        <v>4.2749930180475897E-2</v>
      </c>
      <c r="J114" s="182">
        <f ca="1"/>
        <v>4.2734890333745765E-2</v>
      </c>
      <c r="K114" s="182"/>
    </row>
    <row r="115" spans="1:11" ht="15">
      <c r="A115" s="4">
        <f t="shared" ca="1" si="2"/>
        <v>51096</v>
      </c>
      <c r="B115" s="3"/>
      <c r="C115" s="182">
        <f ca="1"/>
        <v>4.2712565242026247E-2</v>
      </c>
      <c r="D115" s="182">
        <f ca="1"/>
        <v>4.2712400232082601E-2</v>
      </c>
      <c r="E115" s="182">
        <f ca="1"/>
        <v>4.2711559058317611E-2</v>
      </c>
      <c r="F115" s="182">
        <f ca="1"/>
        <v>4.2708122647577784E-2</v>
      </c>
      <c r="G115" s="182">
        <f ca="1"/>
        <v>4.269372852657935E-2</v>
      </c>
      <c r="H115" s="182">
        <f ca="1"/>
        <v>4.2717751764485556E-2</v>
      </c>
      <c r="I115" s="182">
        <f ca="1"/>
        <v>4.2835269318579408E-2</v>
      </c>
      <c r="J115" s="182">
        <f ca="1"/>
        <v>4.2815825434695018E-2</v>
      </c>
      <c r="K115" s="182"/>
    </row>
    <row r="116" spans="1:11" ht="15">
      <c r="A116" s="4">
        <f t="shared" ca="1" si="2"/>
        <v>51186</v>
      </c>
      <c r="B116" s="3"/>
      <c r="C116" s="182">
        <f ca="1"/>
        <v>4.2792003830332125E-2</v>
      </c>
      <c r="D116" s="182">
        <f ca="1"/>
        <v>4.2791850099605101E-2</v>
      </c>
      <c r="E116" s="182">
        <f ca="1"/>
        <v>4.2791002607328425E-2</v>
      </c>
      <c r="F116" s="182">
        <f ca="1"/>
        <v>4.2787577471082264E-2</v>
      </c>
      <c r="G116" s="182">
        <f ca="1"/>
        <v>4.2773253157097693E-2</v>
      </c>
      <c r="H116" s="182">
        <f ca="1"/>
        <v>4.2792618083936237E-2</v>
      </c>
      <c r="I116" s="182">
        <f ca="1"/>
        <v>4.291932511095764E-2</v>
      </c>
      <c r="J116" s="182">
        <f ca="1"/>
        <v>4.2895399422173117E-2</v>
      </c>
      <c r="K116" s="182"/>
    </row>
    <row r="117" spans="1:11" ht="15">
      <c r="A117" s="4">
        <f t="shared" ca="1" si="2"/>
        <v>51276</v>
      </c>
      <c r="B117" s="3"/>
      <c r="C117" s="182">
        <f ca="1"/>
        <v>4.2871805160197687E-2</v>
      </c>
      <c r="D117" s="182">
        <f ca="1"/>
        <v>4.2871646186066474E-2</v>
      </c>
      <c r="E117" s="182">
        <f ca="1"/>
        <v>4.2870803764979711E-2</v>
      </c>
      <c r="F117" s="182">
        <f ca="1"/>
        <v>4.2867392215091116E-2</v>
      </c>
      <c r="G117" s="182">
        <f ca="1"/>
        <v>4.2853133643110275E-2</v>
      </c>
      <c r="H117" s="182">
        <f ca="1"/>
        <v>4.2867728472340785E-2</v>
      </c>
      <c r="I117" s="182">
        <f ca="1"/>
        <v>4.3003886581726561E-2</v>
      </c>
      <c r="J117" s="182">
        <f ca="1"/>
        <v>4.297534391860075E-2</v>
      </c>
      <c r="K117" s="182"/>
    </row>
    <row r="118" spans="1:11" ht="15">
      <c r="A118" s="4">
        <f t="shared" ca="1" si="2"/>
        <v>51366</v>
      </c>
      <c r="B118" s="3"/>
      <c r="C118" s="182">
        <f ca="1"/>
        <v>4.2948459612722013E-2</v>
      </c>
      <c r="D118" s="182">
        <f ca="1"/>
        <v>4.2948283924579028E-2</v>
      </c>
      <c r="E118" s="182">
        <f ca="1"/>
        <v>4.2947466019947304E-2</v>
      </c>
      <c r="F118" s="182">
        <f ca="1"/>
        <v>4.2944076880958248E-2</v>
      </c>
      <c r="G118" s="182">
        <f ca="1"/>
        <v>4.2929885898073034E-2</v>
      </c>
      <c r="H118" s="182">
        <f ca="1"/>
        <v>4.293966898530753E-2</v>
      </c>
      <c r="I118" s="182">
        <f ca="1"/>
        <v>4.3085198363966959E-2</v>
      </c>
      <c r="J118" s="182">
        <f ca="1"/>
        <v>4.3052059914991163E-2</v>
      </c>
      <c r="K118" s="182"/>
    </row>
    <row r="119" spans="1:11" ht="15">
      <c r="A119" s="4">
        <f t="shared" ca="1" si="2"/>
        <v>51456</v>
      </c>
      <c r="B119" s="3"/>
      <c r="C119" s="182">
        <f ca="1"/>
        <v>4.3023791400178195E-2</v>
      </c>
      <c r="D119" s="182">
        <f ca="1"/>
        <v>4.3023628719983005E-2</v>
      </c>
      <c r="E119" s="182">
        <f ca="1"/>
        <v>4.302280459911597E-2</v>
      </c>
      <c r="F119" s="182">
        <f ca="1"/>
        <v>4.3019434364797042E-2</v>
      </c>
      <c r="G119" s="182">
        <f ca="1"/>
        <v>4.3005317759766168E-2</v>
      </c>
      <c r="H119" s="182">
        <f ca="1"/>
        <v>4.3010358664500016E-2</v>
      </c>
      <c r="I119" s="182">
        <f ca="1"/>
        <v>4.3165114755163381E-2</v>
      </c>
      <c r="J119" s="182">
        <f ca="1"/>
        <v>4.3127447767048389E-2</v>
      </c>
      <c r="K119" s="182"/>
    </row>
    <row r="120" spans="1:11" ht="15">
      <c r="A120" s="4">
        <f t="shared" ca="1" si="2"/>
        <v>51546</v>
      </c>
      <c r="B120" s="3"/>
      <c r="C120" s="182">
        <f ca="1"/>
        <v>4.3097834463385352E-2</v>
      </c>
      <c r="D120" s="182">
        <f ca="1"/>
        <v>4.3097684697027808E-2</v>
      </c>
      <c r="E120" s="182">
        <f ca="1"/>
        <v>4.309685399042236E-2</v>
      </c>
      <c r="F120" s="182">
        <f ca="1"/>
        <v>4.3093489593292351E-2</v>
      </c>
      <c r="G120" s="182">
        <f ca="1"/>
        <v>4.3079443761135774E-2</v>
      </c>
      <c r="H120" s="182">
        <f ca="1"/>
        <v>4.3079697578624648E-2</v>
      </c>
      <c r="I120" s="182">
        <f ca="1"/>
        <v>4.3243910681306577E-2</v>
      </c>
      <c r="J120" s="182">
        <f ca="1"/>
        <v>4.3201619216216687E-2</v>
      </c>
      <c r="K120" s="182"/>
    </row>
    <row r="121" spans="1:11" ht="15">
      <c r="A121" s="4">
        <f t="shared" ca="1" si="2"/>
        <v>51636</v>
      </c>
      <c r="B121" s="3"/>
      <c r="C121" s="182">
        <f ca="1"/>
        <v>4.3173081215322283E-2</v>
      </c>
      <c r="D121" s="182">
        <f ca="1"/>
        <v>4.3172927174145601E-2</v>
      </c>
      <c r="E121" s="182">
        <f ca="1"/>
        <v>4.3172102223931773E-2</v>
      </c>
      <c r="F121" s="182">
        <f ca="1"/>
        <v>4.3168745081378135E-2</v>
      </c>
      <c r="G121" s="182">
        <f ca="1"/>
        <v>4.3154764128105143E-2</v>
      </c>
      <c r="H121" s="182">
        <f ca="1"/>
        <v>4.3150126888325549E-2</v>
      </c>
      <c r="I121" s="182">
        <f ca="1"/>
        <v>4.3324068536855206E-2</v>
      </c>
      <c r="J121" s="182">
        <f ca="1"/>
        <v>4.3277018631546545E-2</v>
      </c>
      <c r="K121" s="182"/>
    </row>
    <row r="122" spans="1:11" ht="15">
      <c r="A122" s="4">
        <f t="shared" ca="1" si="2"/>
        <v>51726</v>
      </c>
      <c r="B122" s="3"/>
      <c r="C122" s="182">
        <f ca="1"/>
        <v>4.3244602905498093E-2</v>
      </c>
      <c r="D122" s="182">
        <f ca="1"/>
        <v>4.324442972058818E-2</v>
      </c>
      <c r="E122" s="182">
        <f ca="1"/>
        <v>4.3243628679836721E-2</v>
      </c>
      <c r="F122" s="182">
        <f ca="1"/>
        <v>4.3240301614607221E-2</v>
      </c>
      <c r="G122" s="182">
        <f ca="1"/>
        <v>4.322637852205783E-2</v>
      </c>
      <c r="H122" s="182">
        <f ca="1"/>
        <v>4.3216801953362499E-2</v>
      </c>
      <c r="I122" s="182">
        <f ca="1"/>
        <v>4.3400388746731036E-2</v>
      </c>
      <c r="J122" s="182">
        <f ca="1"/>
        <v>4.3348600723677168E-2</v>
      </c>
      <c r="K122" s="182"/>
    </row>
    <row r="123" spans="1:11" ht="15">
      <c r="A123" s="4">
        <f t="shared" ca="1" si="2"/>
        <v>51816</v>
      </c>
      <c r="B123" s="3"/>
      <c r="C123" s="182">
        <f ca="1"/>
        <v>4.3314932002829674E-2</v>
      </c>
      <c r="D123" s="182">
        <f ca="1"/>
        <v>4.3314772453783137E-2</v>
      </c>
      <c r="E123" s="182">
        <f ca="1"/>
        <v>4.3313964687532742E-2</v>
      </c>
      <c r="F123" s="182">
        <f ca="1"/>
        <v>4.3310656687629637E-2</v>
      </c>
      <c r="G123" s="182">
        <f ca="1"/>
        <v>4.3296802005477163E-2</v>
      </c>
      <c r="H123" s="182">
        <f ca="1"/>
        <v>4.3282368492476068E-2</v>
      </c>
      <c r="I123" s="182">
        <f ca="1"/>
        <v>4.3475431033927807E-2</v>
      </c>
      <c r="J123" s="182">
        <f ca="1"/>
        <v>4.3418982876958848E-2</v>
      </c>
      <c r="K123" s="182"/>
    </row>
    <row r="124" spans="1:11" ht="15">
      <c r="A124" s="4">
        <f t="shared" ca="1" si="2"/>
        <v>51906</v>
      </c>
      <c r="B124" s="3"/>
      <c r="C124" s="182">
        <f ca="1"/>
        <v>4.3384098089630015E-2</v>
      </c>
      <c r="D124" s="182">
        <f ca="1"/>
        <v>4.3383951139555323E-2</v>
      </c>
      <c r="E124" s="182">
        <f ca="1"/>
        <v>4.3383133348257538E-2</v>
      </c>
      <c r="F124" s="182">
        <f ca="1"/>
        <v>4.3379839322290184E-2</v>
      </c>
      <c r="G124" s="182">
        <f ca="1"/>
        <v>4.3366045801348251E-2</v>
      </c>
      <c r="H124" s="182">
        <f ca="1"/>
        <v>4.334668152296061E-2</v>
      </c>
      <c r="I124" s="182">
        <f ca="1"/>
        <v>4.3549506070715081E-2</v>
      </c>
      <c r="J124" s="182">
        <f ca="1"/>
        <v>4.3488272642007074E-2</v>
      </c>
      <c r="K124" s="182"/>
    </row>
    <row r="125" spans="1:11" ht="15">
      <c r="A125" s="4">
        <f t="shared" ca="1" si="2"/>
        <v>51996</v>
      </c>
      <c r="B125" s="3"/>
      <c r="C125" s="182">
        <f ca="1"/>
        <v>4.3454429377849151E-2</v>
      </c>
      <c r="D125" s="182">
        <f ca="1"/>
        <v>4.3454278745767939E-2</v>
      </c>
      <c r="E125" s="182">
        <f ca="1"/>
        <v>4.3453468388780454E-2</v>
      </c>
      <c r="F125" s="182">
        <f ca="1"/>
        <v>4.3450173163369604E-2</v>
      </c>
      <c r="G125" s="182">
        <f ca="1"/>
        <v>4.3436449094192919E-2</v>
      </c>
      <c r="H125" s="182">
        <f ca="1"/>
        <v>4.3412045287029868E-2</v>
      </c>
      <c r="I125" s="182">
        <f ca="1"/>
        <v>4.3624910195722941E-2</v>
      </c>
      <c r="J125" s="182">
        <f ca="1"/>
        <v>4.3558755428246242E-2</v>
      </c>
      <c r="K125" s="182"/>
    </row>
    <row r="126" spans="1:11" ht="15">
      <c r="A126" s="4">
        <f t="shared" ca="1" si="2"/>
        <v>52086</v>
      </c>
      <c r="B126" s="3"/>
      <c r="C126" s="182">
        <f ca="1"/>
        <v>4.3521317096641352E-2</v>
      </c>
      <c r="D126" s="182">
        <f ca="1"/>
        <v>4.3521148138771143E-2</v>
      </c>
      <c r="E126" s="182">
        <f ca="1"/>
        <v>4.3520360626197359E-2</v>
      </c>
      <c r="F126" s="182">
        <f ca="1"/>
        <v>4.3517093435963002E-2</v>
      </c>
      <c r="G126" s="182">
        <f ca="1"/>
        <v>4.350342472364651E-2</v>
      </c>
      <c r="H126" s="182">
        <f ca="1"/>
        <v>4.3473959428645029E-2</v>
      </c>
      <c r="I126" s="182">
        <f ca="1"/>
        <v>4.3696739751652204E-2</v>
      </c>
      <c r="J126" s="182">
        <f ca="1"/>
        <v>4.3625705450766834E-2</v>
      </c>
      <c r="K126" s="182"/>
    </row>
    <row r="127" spans="1:11" ht="15">
      <c r="A127" s="4">
        <f t="shared" ca="1" si="2"/>
        <v>52176</v>
      </c>
      <c r="B127" s="3"/>
      <c r="C127" s="182">
        <f ca="1"/>
        <v>4.3587125783489555E-2</v>
      </c>
      <c r="D127" s="182">
        <f ca="1"/>
        <v>4.3586968376780388E-2</v>
      </c>
      <c r="E127" s="182">
        <f ca="1"/>
        <v>4.3586175860611198E-2</v>
      </c>
      <c r="F127" s="182">
        <f ca="1"/>
        <v>4.3582927594783508E-2</v>
      </c>
      <c r="G127" s="182">
        <f ca="1"/>
        <v>4.356932377736264E-2</v>
      </c>
      <c r="H127" s="182">
        <f ca="1"/>
        <v>4.3539695182104834E-2</v>
      </c>
      <c r="I127" s="182">
        <f ca="1"/>
        <v>4.3760929761886377E-2</v>
      </c>
      <c r="J127" s="182">
        <f ca="1"/>
        <v>4.3691566255208494E-2</v>
      </c>
      <c r="K127" s="182"/>
    </row>
    <row r="128" spans="1:11" ht="15">
      <c r="A128" s="4">
        <f t="shared" ca="1" si="2"/>
        <v>52266</v>
      </c>
      <c r="B128" s="3"/>
      <c r="C128" s="182">
        <f ca="1"/>
        <v>4.365188133992997E-2</v>
      </c>
      <c r="D128" s="182">
        <f ca="1"/>
        <v>4.36517363370892E-2</v>
      </c>
      <c r="E128" s="182">
        <f ca="1"/>
        <v>4.3650934042113551E-2</v>
      </c>
      <c r="F128" s="182">
        <f ca="1"/>
        <v>4.3647699279344761E-2</v>
      </c>
      <c r="G128" s="182">
        <f ca="1"/>
        <v>4.3634153806006569E-2</v>
      </c>
      <c r="H128" s="182">
        <f ca="1"/>
        <v>4.3604650680962039E-2</v>
      </c>
      <c r="I128" s="182">
        <f ca="1"/>
        <v>4.3823765239182633E-2</v>
      </c>
      <c r="J128" s="182">
        <f ca="1"/>
        <v>4.3756439931578607E-2</v>
      </c>
      <c r="K128" s="182"/>
    </row>
    <row r="129" spans="1:11" ht="15">
      <c r="A129" s="4">
        <f t="shared" ca="1" si="2"/>
        <v>52356</v>
      </c>
      <c r="B129" s="3"/>
      <c r="C129" s="182">
        <f ca="1"/>
        <v>4.371776354494504E-2</v>
      </c>
      <c r="D129" s="182">
        <f ca="1"/>
        <v>4.3717615836081317E-2</v>
      </c>
      <c r="E129" s="182">
        <f ca="1"/>
        <v>4.371681969863974E-2</v>
      </c>
      <c r="F129" s="182">
        <f ca="1"/>
        <v>4.3713584060090328E-2</v>
      </c>
      <c r="G129" s="182">
        <f ca="1"/>
        <v>4.3700104050085863E-2</v>
      </c>
      <c r="H129" s="182">
        <f ca="1"/>
        <v>4.36707076571137E-2</v>
      </c>
      <c r="I129" s="182">
        <f ca="1"/>
        <v>4.3887765793502356E-2</v>
      </c>
      <c r="J129" s="182">
        <f ca="1"/>
        <v>4.3822470955049285E-2</v>
      </c>
      <c r="K129" s="182"/>
    </row>
    <row r="130" spans="1:11" ht="15">
      <c r="A130" s="4">
        <f t="shared" ca="1" si="2"/>
        <v>52446</v>
      </c>
      <c r="B130" s="3"/>
      <c r="C130" s="182">
        <f ca="1"/>
        <v>4.3780453487327328E-2</v>
      </c>
      <c r="D130" s="182">
        <f ca="1"/>
        <v>4.378028856641257E-2</v>
      </c>
      <c r="E130" s="182">
        <f ca="1"/>
        <v>4.3779513902616071E-2</v>
      </c>
      <c r="F130" s="182">
        <f ca="1"/>
        <v>4.3776303644396157E-2</v>
      </c>
      <c r="G130" s="182">
        <f ca="1"/>
        <v>4.3762876863014832E-2</v>
      </c>
      <c r="H130" s="182">
        <f ca="1"/>
        <v>4.3733640281371305E-2</v>
      </c>
      <c r="I130" s="182">
        <f ca="1"/>
        <v>4.3948363365058453E-2</v>
      </c>
      <c r="J130" s="182">
        <f ca="1"/>
        <v>4.3885227218197473E-2</v>
      </c>
      <c r="K130" s="182"/>
    </row>
    <row r="131" spans="1:11" ht="15">
      <c r="A131" s="4">
        <f t="shared" ca="1" si="2"/>
        <v>52536</v>
      </c>
      <c r="B131" s="3"/>
      <c r="C131" s="182">
        <f ca="1"/>
        <v>4.3842163986318274E-2</v>
      </c>
      <c r="D131" s="182">
        <f ca="1"/>
        <v>4.3842008607830815E-2</v>
      </c>
      <c r="E131" s="182">
        <f ca="1"/>
        <v>4.3841230603218671E-2</v>
      </c>
      <c r="F131" s="182">
        <f ca="1"/>
        <v>4.3838039146824229E-2</v>
      </c>
      <c r="G131" s="182">
        <f ca="1"/>
        <v>4.3824673921072942E-2</v>
      </c>
      <c r="H131" s="182">
        <f ca="1"/>
        <v>4.3795565967516749E-2</v>
      </c>
      <c r="I131" s="182">
        <f ca="1"/>
        <v>4.4008024638194164E-2</v>
      </c>
      <c r="J131" s="182">
        <f ca="1"/>
        <v>4.3946989096680864E-2</v>
      </c>
      <c r="K131" s="182"/>
    </row>
    <row r="132" spans="1:11" ht="15">
      <c r="A132" s="4">
        <f t="shared" ca="1" si="2"/>
        <v>52626</v>
      </c>
      <c r="B132" s="3"/>
      <c r="C132" s="182">
        <f ca="1"/>
        <v>4.3903602790481777E-2</v>
      </c>
      <c r="D132" s="182">
        <f ca="1"/>
        <v>4.3903461247452258E-2</v>
      </c>
      <c r="E132" s="182">
        <f ca="1"/>
        <v>4.3902669722906358E-2</v>
      </c>
      <c r="F132" s="182">
        <f ca="1"/>
        <v>4.3899493715792166E-2</v>
      </c>
      <c r="G132" s="182">
        <f ca="1"/>
        <v>4.3886187321702783E-2</v>
      </c>
      <c r="H132" s="182">
        <f ca="1"/>
        <v>4.3857197246936805E-2</v>
      </c>
      <c r="I132" s="182">
        <f ca="1"/>
        <v>4.4067484680732578E-2</v>
      </c>
      <c r="J132" s="182">
        <f ca="1"/>
        <v>4.4008545516624635E-2</v>
      </c>
      <c r="K132" s="182"/>
    </row>
    <row r="133" spans="1:11" ht="15">
      <c r="A133" s="4">
        <f t="shared" ca="1" si="2"/>
        <v>52716</v>
      </c>
      <c r="B133" s="3"/>
      <c r="C133" s="182">
        <f ca="1"/>
        <v>4.3964085891702843E-2</v>
      </c>
      <c r="D133" s="182">
        <f ca="1"/>
        <v>4.3963941398608937E-2</v>
      </c>
      <c r="E133" s="182">
        <f ca="1"/>
        <v>4.3963154379080577E-2</v>
      </c>
      <c r="F133" s="182">
        <f ca="1"/>
        <v>4.3959985031467474E-2</v>
      </c>
      <c r="G133" s="182">
        <f ca="1"/>
        <v>4.3946731783910599E-2</v>
      </c>
      <c r="H133" s="182">
        <f ca="1"/>
        <v>4.3917841642541977E-2</v>
      </c>
      <c r="I133" s="182">
        <f ca="1"/>
        <v>4.4126062604331294E-2</v>
      </c>
      <c r="J133" s="182">
        <f ca="1"/>
        <v>4.4069166757950202E-2</v>
      </c>
      <c r="K133" s="182"/>
    </row>
    <row r="134" spans="1:11" ht="15">
      <c r="A134" s="4">
        <f t="shared" ca="1" si="2"/>
        <v>52806</v>
      </c>
      <c r="B134" s="3"/>
      <c r="C134" s="182">
        <f ca="1"/>
        <v>4.402363541759579E-2</v>
      </c>
      <c r="D134" s="182">
        <f ca="1"/>
        <v>4.4023475195429991E-2</v>
      </c>
      <c r="E134" s="182">
        <f ca="1"/>
        <v>4.4022710470345686E-2</v>
      </c>
      <c r="F134" s="182">
        <f ca="1"/>
        <v>4.4019557786770039E-2</v>
      </c>
      <c r="G134" s="182">
        <f ca="1"/>
        <v>4.4006359568946711E-2</v>
      </c>
      <c r="H134" s="182">
        <f ca="1"/>
        <v>4.397761941346643E-2</v>
      </c>
      <c r="I134" s="182">
        <f ca="1"/>
        <v>4.4183488621855137E-2</v>
      </c>
      <c r="J134" s="182">
        <f ca="1"/>
        <v>4.4128789082779667E-2</v>
      </c>
      <c r="K134" s="182"/>
    </row>
    <row r="135" spans="1:11" ht="15">
      <c r="A135" s="4">
        <f t="shared" ca="1" si="2"/>
        <v>52896</v>
      </c>
      <c r="B135" s="3"/>
      <c r="C135" s="182">
        <f ca="1"/>
        <v>4.408161895983638E-2</v>
      </c>
      <c r="D135" s="182">
        <f ca="1"/>
        <v>4.4081465590197211E-2</v>
      </c>
      <c r="E135" s="182">
        <f ca="1"/>
        <v>4.4080700151710075E-2</v>
      </c>
      <c r="F135" s="182">
        <f ca="1"/>
        <v>4.4077564469816435E-2</v>
      </c>
      <c r="G135" s="182">
        <f ca="1"/>
        <v>4.4064427443808091E-2</v>
      </c>
      <c r="H135" s="182">
        <f ca="1"/>
        <v>4.4035811921710306E-2</v>
      </c>
      <c r="I135" s="182">
        <f ca="1"/>
        <v>4.4239382362972847E-2</v>
      </c>
      <c r="J135" s="182">
        <f ca="1"/>
        <v>4.4186822933352875E-2</v>
      </c>
      <c r="K135" s="182"/>
    </row>
    <row r="136" spans="1:11" ht="15">
      <c r="A136" s="4">
        <f t="shared" ca="1" si="2"/>
        <v>52986</v>
      </c>
      <c r="B136" s="3"/>
      <c r="C136" s="182">
        <f ca="1"/>
        <v>4.4138730867074719E-2</v>
      </c>
      <c r="D136" s="182">
        <f ca="1"/>
        <v>4.4138589294043074E-2</v>
      </c>
      <c r="E136" s="182">
        <f ca="1"/>
        <v>4.413781703890695E-2</v>
      </c>
      <c r="F136" s="182">
        <f ca="1"/>
        <v>4.413469009277543E-2</v>
      </c>
      <c r="G136" s="182">
        <f ca="1"/>
        <v>4.4121608631118386E-2</v>
      </c>
      <c r="H136" s="182">
        <f ca="1"/>
        <v>4.4093107631796864E-2</v>
      </c>
      <c r="I136" s="182">
        <f ca="1"/>
        <v>4.4294498800528881E-2</v>
      </c>
      <c r="J136" s="182">
        <f ca="1"/>
        <v>4.4244049565388008E-2</v>
      </c>
      <c r="K136" s="182"/>
    </row>
    <row r="137" spans="1:11" ht="15">
      <c r="A137" s="4">
        <f t="shared" ca="1" si="2"/>
        <v>53076</v>
      </c>
      <c r="B137" s="3"/>
      <c r="C137" s="182">
        <f ca="1"/>
        <v>4.4196259524261067E-2</v>
      </c>
      <c r="D137" s="182">
        <f ca="1"/>
        <v>4.4196117361681019E-2</v>
      </c>
      <c r="E137" s="182">
        <f ca="1"/>
        <v>4.4195344803318763E-2</v>
      </c>
      <c r="F137" s="182">
        <f ca="1"/>
        <v>4.4192227429768444E-2</v>
      </c>
      <c r="G137" s="182">
        <f ca="1"/>
        <v>4.4179196237390632E-2</v>
      </c>
      <c r="H137" s="182">
        <f ca="1"/>
        <v>4.4150791355289751E-2</v>
      </c>
      <c r="I137" s="182">
        <f ca="1"/>
        <v>4.435007093301957E-2</v>
      </c>
      <c r="J137" s="182">
        <f ca="1"/>
        <v>4.430171497153354E-2</v>
      </c>
      <c r="K137" s="182"/>
    </row>
    <row r="138" spans="1:11" ht="15">
      <c r="A138" s="4">
        <f t="shared" ca="1" si="2"/>
        <v>53166</v>
      </c>
      <c r="B138" s="3"/>
      <c r="C138" s="182">
        <f ca="1"/>
        <v>4.4252292306206184E-2</v>
      </c>
      <c r="D138" s="182">
        <f ca="1"/>
        <v>4.4252135736160096E-2</v>
      </c>
      <c r="E138" s="182">
        <f ca="1"/>
        <v>4.425138249719255E-2</v>
      </c>
      <c r="F138" s="182">
        <f ca="1"/>
        <v>4.4248281779793869E-2</v>
      </c>
      <c r="G138" s="182">
        <f ca="1"/>
        <v>4.4235302561223384E-2</v>
      </c>
      <c r="H138" s="182">
        <f ca="1"/>
        <v>4.4207037290791312E-2</v>
      </c>
      <c r="I138" s="182">
        <f ca="1"/>
        <v>4.4403964535372896E-2</v>
      </c>
      <c r="J138" s="182">
        <f ca="1"/>
        <v>4.435782349730058E-2</v>
      </c>
      <c r="K138" s="182"/>
    </row>
    <row r="139" spans="1:11" ht="15">
      <c r="A139" s="4">
        <f t="shared" ca="1" si="2"/>
        <v>53256</v>
      </c>
      <c r="B139" s="3"/>
      <c r="C139" s="182">
        <f ca="1"/>
        <v>4.4306876603082114E-2</v>
      </c>
      <c r="D139" s="182">
        <f ca="1"/>
        <v>4.4306725036846281E-2</v>
      </c>
      <c r="E139" s="182">
        <f ca="1"/>
        <v>4.4305972826705502E-2</v>
      </c>
      <c r="F139" s="182">
        <f ca="1"/>
        <v>4.4302888630190808E-2</v>
      </c>
      <c r="G139" s="182">
        <f ca="1"/>
        <v>4.4289967691810442E-2</v>
      </c>
      <c r="H139" s="182">
        <f ca="1"/>
        <v>4.4261824303266445E-2</v>
      </c>
      <c r="I139" s="182">
        <f ca="1"/>
        <v>4.4456419236976331E-2</v>
      </c>
      <c r="J139" s="182">
        <f ca="1"/>
        <v>4.4412457713267788E-2</v>
      </c>
      <c r="K139" s="182"/>
    </row>
    <row r="140" spans="1:11" ht="15">
      <c r="A140" s="4">
        <f t="shared" ca="1" si="2"/>
        <v>53346</v>
      </c>
      <c r="B140" s="3"/>
      <c r="C140" s="182">
        <f ca="1"/>
        <v>4.4360664511261506E-2</v>
      </c>
      <c r="D140" s="182">
        <f ca="1"/>
        <v>4.4360524621446039E-2</v>
      </c>
      <c r="E140" s="182">
        <f ca="1"/>
        <v>4.4359765568192426E-2</v>
      </c>
      <c r="F140" s="182">
        <f ca="1"/>
        <v>4.4356690102203854E-2</v>
      </c>
      <c r="G140" s="182">
        <f ca="1"/>
        <v>4.4343822585256452E-2</v>
      </c>
      <c r="H140" s="182">
        <f ca="1"/>
        <v>4.4315788098004821E-2</v>
      </c>
      <c r="I140" s="182">
        <f ca="1"/>
        <v>4.4508166832793038E-2</v>
      </c>
      <c r="J140" s="182">
        <f ca="1"/>
        <v>4.4466354584528904E-2</v>
      </c>
      <c r="K140" s="182"/>
    </row>
    <row r="141" spans="1:11" ht="15">
      <c r="A141" s="4">
        <f t="shared" ca="1" si="2"/>
        <v>53436</v>
      </c>
      <c r="B141" s="3"/>
      <c r="C141" s="182">
        <f ca="1"/>
        <v>4.4414869157820218E-2</v>
      </c>
      <c r="D141" s="182">
        <f ca="1"/>
        <v>4.4414729549061914E-2</v>
      </c>
      <c r="E141" s="182">
        <f ca="1"/>
        <v>4.4413969612676345E-2</v>
      </c>
      <c r="F141" s="182">
        <f ca="1"/>
        <v>4.4410902879786357E-2</v>
      </c>
      <c r="G141" s="182">
        <f ca="1"/>
        <v>4.4398083154641915E-2</v>
      </c>
      <c r="H141" s="182">
        <f ca="1"/>
        <v>4.4370140405928377E-2</v>
      </c>
      <c r="I141" s="182">
        <f ca="1"/>
        <v>4.4560367406139161E-2</v>
      </c>
      <c r="J141" s="182">
        <f ca="1"/>
        <v>4.4520695306162691E-2</v>
      </c>
      <c r="K141" s="182"/>
    </row>
    <row r="142" spans="1:11" ht="15">
      <c r="A142" s="4">
        <f t="shared" ca="1" si="2"/>
        <v>53526</v>
      </c>
      <c r="B142" s="3"/>
      <c r="C142" s="182">
        <f ca="1"/>
        <v>4.4467687767721295E-2</v>
      </c>
      <c r="D142" s="182">
        <f ca="1"/>
        <v>4.4467534694366734E-2</v>
      </c>
      <c r="E142" s="182">
        <f ca="1"/>
        <v>4.4466792381582049E-2</v>
      </c>
      <c r="F142" s="182">
        <f ca="1"/>
        <v>4.4463741180240532E-2</v>
      </c>
      <c r="G142" s="182">
        <f ca="1"/>
        <v>4.4450970657925012E-2</v>
      </c>
      <c r="H142" s="182">
        <f ca="1"/>
        <v>4.4423157896582459E-2</v>
      </c>
      <c r="I142" s="182">
        <f ca="1"/>
        <v>4.4611023989365756E-2</v>
      </c>
      <c r="J142" s="182">
        <f ca="1"/>
        <v>4.4573593549639808E-2</v>
      </c>
      <c r="K142" s="182"/>
    </row>
    <row r="143" spans="1:11" ht="15">
      <c r="A143" s="4">
        <f t="shared" ca="1" si="2"/>
        <v>53616</v>
      </c>
      <c r="B143" s="3"/>
      <c r="C143" s="182">
        <f ca="1"/>
        <v>4.4519163205971692E-2</v>
      </c>
      <c r="D143" s="182">
        <f ca="1"/>
        <v>4.4519013348452208E-2</v>
      </c>
      <c r="E143" s="182">
        <f ca="1"/>
        <v>4.4518273753548734E-2</v>
      </c>
      <c r="F143" s="182">
        <f ca="1"/>
        <v>4.4515238620837339E-2</v>
      </c>
      <c r="G143" s="182">
        <f ca="1"/>
        <v>4.4502523612521862E-2</v>
      </c>
      <c r="H143" s="182">
        <f ca="1"/>
        <v>4.4474830182682973E-2</v>
      </c>
      <c r="I143" s="182">
        <f ca="1"/>
        <v>4.4660327064151489E-2</v>
      </c>
      <c r="J143" s="182">
        <f ca="1"/>
        <v>4.4625118663620782E-2</v>
      </c>
      <c r="K143" s="182"/>
    </row>
    <row r="144" spans="1:11" ht="15">
      <c r="A144" s="4">
        <f t="shared" ca="1" si="2"/>
        <v>53706</v>
      </c>
      <c r="B144" s="3"/>
      <c r="C144" s="182">
        <f ca="1"/>
        <v>4.4569909084202726E-2</v>
      </c>
      <c r="D144" s="182">
        <f ca="1"/>
        <v>4.4569771235475578E-2</v>
      </c>
      <c r="E144" s="182">
        <f ca="1"/>
        <v>4.4569025056892649E-2</v>
      </c>
      <c r="F144" s="182">
        <f ca="1"/>
        <v>4.4565995128742784E-2</v>
      </c>
      <c r="G144" s="182">
        <f ca="1"/>
        <v>4.455333491823088E-2</v>
      </c>
      <c r="H144" s="182">
        <f ca="1"/>
        <v>4.4525743221888396E-2</v>
      </c>
      <c r="I144" s="182">
        <f ca="1"/>
        <v>4.4708985373414667E-2</v>
      </c>
      <c r="J144" s="182">
        <f ca="1"/>
        <v>4.4675965198379262E-2</v>
      </c>
      <c r="K144" s="182"/>
    </row>
    <row r="145" spans="1:11" ht="15">
      <c r="A145" s="4">
        <f t="shared" ca="1" si="2"/>
        <v>53796</v>
      </c>
      <c r="B145" s="3"/>
      <c r="C145" s="182">
        <f ca="1"/>
        <v>4.4621069706047102E-2</v>
      </c>
      <c r="D145" s="182">
        <f ca="1"/>
        <v>4.4620932862677216E-2</v>
      </c>
      <c r="E145" s="182">
        <f ca="1"/>
        <v>4.4620188045319947E-2</v>
      </c>
      <c r="F145" s="182">
        <f ca="1"/>
        <v>4.4617160290556457E-2</v>
      </c>
      <c r="G145" s="182">
        <f ca="1"/>
        <v>4.4604549663034079E-2</v>
      </c>
      <c r="H145" s="182">
        <f ca="1"/>
        <v>4.4577049454473334E-2</v>
      </c>
      <c r="I145" s="182">
        <f ca="1"/>
        <v>4.4758084451483257E-2</v>
      </c>
      <c r="J145" s="182">
        <f ca="1"/>
        <v>4.4727260898149157E-2</v>
      </c>
      <c r="K145" s="182"/>
    </row>
    <row r="146" spans="1:11" ht="15">
      <c r="A146" s="4">
        <f t="shared" ca="1" si="2"/>
        <v>53886</v>
      </c>
      <c r="B146" s="3"/>
      <c r="C146" s="182">
        <f ca="1"/>
        <v>4.4670942975301185E-2</v>
      </c>
      <c r="D146" s="182">
        <f ca="1"/>
        <v>4.4670794091734078E-2</v>
      </c>
      <c r="E146" s="182">
        <f ca="1"/>
        <v>4.4670063661051557E-2</v>
      </c>
      <c r="F146" s="182">
        <f ca="1"/>
        <v>4.4667053512285865E-2</v>
      </c>
      <c r="G146" s="182">
        <f ca="1"/>
        <v>4.4654486546257491E-2</v>
      </c>
      <c r="H146" s="182">
        <f ca="1"/>
        <v>4.4627105056696252E-2</v>
      </c>
      <c r="I146" s="182">
        <f ca="1"/>
        <v>4.4805779108585048E-2</v>
      </c>
      <c r="J146" s="182">
        <f ca="1"/>
        <v>4.4777221197017679E-2</v>
      </c>
      <c r="K146" s="182"/>
    </row>
    <row r="147" spans="1:11" ht="15">
      <c r="A147" s="4">
        <f t="shared" ca="1" si="2"/>
        <v>53976</v>
      </c>
      <c r="B147" s="3"/>
      <c r="C147" s="182">
        <f ca="1"/>
        <v>4.4719567783832556E-2</v>
      </c>
      <c r="D147" s="182">
        <f ca="1"/>
        <v>4.4719419878397011E-2</v>
      </c>
      <c r="E147" s="182">
        <f ca="1"/>
        <v>4.4718693272659656E-2</v>
      </c>
      <c r="F147" s="182">
        <f ca="1"/>
        <v>4.4715702898118409E-2</v>
      </c>
      <c r="G147" s="182">
        <f ca="1"/>
        <v>4.4703183420777989E-2</v>
      </c>
      <c r="H147" s="182">
        <f ca="1"/>
        <v>4.4675921256657605E-2</v>
      </c>
      <c r="I147" s="182">
        <f ca="1"/>
        <v>4.4852186324183523E-2</v>
      </c>
      <c r="J147" s="182">
        <f ca="1"/>
        <v>4.4825898312483937E-2</v>
      </c>
      <c r="K147" s="182"/>
    </row>
    <row r="148" spans="1:11" ht="15">
      <c r="A148" s="4">
        <f t="shared" ca="1" si="2"/>
        <v>54066</v>
      </c>
      <c r="B148" s="3"/>
      <c r="C148" s="182">
        <f ca="1"/>
        <v>4.4767522587955716E-2</v>
      </c>
      <c r="D148" s="182">
        <f ca="1"/>
        <v>4.4767386660839938E-2</v>
      </c>
      <c r="E148" s="182">
        <f ca="1"/>
        <v>4.476665093727189E-2</v>
      </c>
      <c r="F148" s="182">
        <f ca="1"/>
        <v>4.4763672730084712E-2</v>
      </c>
      <c r="G148" s="182">
        <f ca="1"/>
        <v>4.4751200100713609E-2</v>
      </c>
      <c r="H148" s="182">
        <f ca="1"/>
        <v>4.4724036840783146E-2</v>
      </c>
      <c r="I148" s="182">
        <f ca="1"/>
        <v>4.489800152416188E-2</v>
      </c>
      <c r="J148" s="182">
        <f ca="1"/>
        <v>4.4873946820414429E-2</v>
      </c>
      <c r="K148" s="182"/>
    </row>
    <row r="149" spans="1:11" ht="15">
      <c r="A149" s="4">
        <f t="shared" ca="1" si="2"/>
        <v>54156</v>
      </c>
      <c r="B149" s="3"/>
      <c r="C149" s="182">
        <f ca="1"/>
        <v>4.4815354905350935E-2</v>
      </c>
      <c r="D149" s="182">
        <f ca="1"/>
        <v>4.4815220773424293E-2</v>
      </c>
      <c r="E149" s="182">
        <f ca="1"/>
        <v>4.4814485380714496E-2</v>
      </c>
      <c r="F149" s="182">
        <f ca="1"/>
        <v>4.4811508492466276E-2</v>
      </c>
      <c r="G149" s="182">
        <f ca="1"/>
        <v>4.4799084841395338E-2</v>
      </c>
      <c r="H149" s="182">
        <f ca="1"/>
        <v>4.4772006000306661E-2</v>
      </c>
      <c r="I149" s="182">
        <f ca="1"/>
        <v>4.4943727595045356E-2</v>
      </c>
      <c r="J149" s="182">
        <f ca="1"/>
        <v>4.4921911108800852E-2</v>
      </c>
      <c r="K149" s="182"/>
    </row>
    <row r="150" spans="1:11" ht="15">
      <c r="A150" s="4">
        <f t="shared" ca="1" si="2"/>
        <v>54246</v>
      </c>
      <c r="B150" s="3"/>
      <c r="C150" s="182">
        <f ca="1"/>
        <v>4.4862529809996471E-2</v>
      </c>
      <c r="D150" s="182">
        <f ca="1"/>
        <v>4.4862384272476144E-2</v>
      </c>
      <c r="E150" s="182">
        <f ca="1"/>
        <v>4.4861663721990644E-2</v>
      </c>
      <c r="F150" s="182">
        <f ca="1"/>
        <v>4.4858697875316295E-2</v>
      </c>
      <c r="G150" s="182">
        <f ca="1"/>
        <v>4.4846320651132768E-2</v>
      </c>
      <c r="H150" s="182">
        <f ca="1"/>
        <v>4.4819349468456324E-2</v>
      </c>
      <c r="I150" s="182">
        <f ca="1"/>
        <v>4.4988684130924383E-2</v>
      </c>
      <c r="J150" s="182">
        <f ca="1"/>
        <v>4.4969177907954613E-2</v>
      </c>
      <c r="K150" s="182"/>
    </row>
    <row r="151" spans="1:11" ht="15">
      <c r="A151" s="4">
        <f t="shared" ca="1" si="2"/>
        <v>54336</v>
      </c>
      <c r="B151" s="3"/>
      <c r="C151" s="182">
        <f ca="1"/>
        <v>4.4908541471566914E-2</v>
      </c>
      <c r="D151" s="182">
        <f ca="1"/>
        <v>4.4908394892949073E-2</v>
      </c>
      <c r="E151" s="182">
        <f ca="1"/>
        <v>4.4907679884601301E-2</v>
      </c>
      <c r="F151" s="182">
        <f ca="1"/>
        <v>4.4904734024749808E-2</v>
      </c>
      <c r="G151" s="182">
        <f ca="1"/>
        <v>4.4892401599444826E-2</v>
      </c>
      <c r="H151" s="182">
        <f ca="1"/>
        <v>4.4865547576143777E-2</v>
      </c>
      <c r="I151" s="182">
        <f ca="1"/>
        <v>4.5032427840397515E-2</v>
      </c>
      <c r="J151" s="182">
        <f ca="1"/>
        <v>4.5015241546425375E-2</v>
      </c>
      <c r="K151" s="182"/>
    </row>
    <row r="152" spans="1:11" ht="15">
      <c r="A152" s="4">
        <f t="shared" ca="1" si="2"/>
        <v>54426</v>
      </c>
      <c r="B152" s="3"/>
      <c r="C152" s="182">
        <f ca="1"/>
        <v>4.4953936232671514E-2</v>
      </c>
      <c r="D152" s="182">
        <f ca="1"/>
        <v>4.4953802552439838E-2</v>
      </c>
      <c r="E152" s="182">
        <f ca="1"/>
        <v>4.4953076129505949E-2</v>
      </c>
      <c r="F152" s="182">
        <f ca="1"/>
        <v>4.4950143704194104E-2</v>
      </c>
      <c r="G152" s="182">
        <f ca="1"/>
        <v>4.4937858184788168E-2</v>
      </c>
      <c r="H152" s="182">
        <f ca="1"/>
        <v>4.4911097413709911E-2</v>
      </c>
      <c r="I152" s="182">
        <f ca="1"/>
        <v>4.5075630154004856E-2</v>
      </c>
      <c r="J152" s="182">
        <f ca="1"/>
        <v>4.5060726525851046E-2</v>
      </c>
      <c r="K152" s="182"/>
    </row>
    <row r="153" spans="1:11" ht="15">
      <c r="A153" s="4">
        <f t="shared" ca="1" si="2"/>
        <v>54516</v>
      </c>
      <c r="B153" s="3"/>
      <c r="C153" s="182">
        <f ca="1"/>
        <v>4.4999737444286536E-2</v>
      </c>
      <c r="D153" s="182">
        <f ca="1"/>
        <v>4.4999608932792631E-2</v>
      </c>
      <c r="E153" s="182">
        <f ca="1"/>
        <v>4.4998873603090149E-2</v>
      </c>
      <c r="F153" s="182">
        <f ca="1"/>
        <v>4.4995953413084377E-2</v>
      </c>
      <c r="G153" s="182">
        <f ca="1"/>
        <v>4.4983709174324128E-2</v>
      </c>
      <c r="H153" s="182">
        <f ca="1"/>
        <v>4.4957033953578224E-2</v>
      </c>
      <c r="I153" s="182">
        <f ca="1"/>
        <v>4.5119250891103184E-2</v>
      </c>
      <c r="J153" s="182">
        <f ca="1"/>
        <v>4.5106659645128895E-2</v>
      </c>
      <c r="K153" s="182"/>
    </row>
    <row r="154" spans="1:11" ht="15">
      <c r="A154" s="4">
        <f t="shared" ca="1" si="2"/>
        <v>54606</v>
      </c>
      <c r="B154" s="3"/>
      <c r="C154" s="182">
        <f ca="1"/>
        <v>4.50444204552286E-2</v>
      </c>
      <c r="D154" s="182">
        <f ca="1"/>
        <v>4.5044280261590491E-2</v>
      </c>
      <c r="E154" s="182">
        <f ca="1"/>
        <v>4.504356106625048E-2</v>
      </c>
      <c r="F154" s="182">
        <f ca="1"/>
        <v>4.5040649040884742E-2</v>
      </c>
      <c r="G154" s="182">
        <f ca="1"/>
        <v>4.5028446935730181E-2</v>
      </c>
      <c r="H154" s="182">
        <f ca="1"/>
        <v>4.5001871498588572E-2</v>
      </c>
      <c r="I154" s="182">
        <f ca="1"/>
        <v>4.5161696774258291E-2</v>
      </c>
      <c r="J154" s="182">
        <f ca="1"/>
        <v>4.5151436656766908E-2</v>
      </c>
      <c r="K154" s="182"/>
    </row>
    <row r="155" spans="1:11" ht="15">
      <c r="A155" s="4">
        <f t="shared" ca="1" si="2"/>
        <v>54696</v>
      </c>
      <c r="B155" s="3"/>
      <c r="C155" s="182">
        <f ca="1"/>
        <v>4.5088017564257753E-2</v>
      </c>
      <c r="D155" s="182">
        <f ca="1"/>
        <v>4.5087871518627073E-2</v>
      </c>
      <c r="E155" s="182">
        <f ca="1"/>
        <v>4.5087169773816459E-2</v>
      </c>
      <c r="F155" s="182">
        <f ca="1"/>
        <v>4.5084265473259541E-2</v>
      </c>
      <c r="G155" s="182">
        <f ca="1"/>
        <v>4.507211326311221E-2</v>
      </c>
      <c r="H155" s="182">
        <f ca="1"/>
        <v>4.5045648513184162E-2</v>
      </c>
      <c r="I155" s="182">
        <f ca="1"/>
        <v>4.5202973218358602E-2</v>
      </c>
      <c r="J155" s="182">
        <f ca="1"/>
        <v>4.5195086075634085E-2</v>
      </c>
      <c r="K155" s="182"/>
    </row>
    <row r="156" spans="1:11" ht="15">
      <c r="A156" s="4">
        <f t="shared" ca="1" si="2"/>
        <v>54786</v>
      </c>
      <c r="B156" s="3"/>
      <c r="C156" s="182">
        <f ca="1"/>
        <v>4.5131531263972735E-2</v>
      </c>
      <c r="D156" s="182">
        <f ca="1"/>
        <v>4.5131398867057429E-2</v>
      </c>
      <c r="E156" s="182">
        <f ca="1"/>
        <v>4.5130686881000436E-2</v>
      </c>
      <c r="F156" s="182">
        <f ca="1"/>
        <v>4.5127792551890346E-2</v>
      </c>
      <c r="G156" s="182">
        <f ca="1"/>
        <v>4.5115687607177518E-2</v>
      </c>
      <c r="H156" s="182">
        <f ca="1"/>
        <v>4.5089313619377125E-2</v>
      </c>
      <c r="I156" s="182">
        <f ca="1"/>
        <v>4.5244215396665684E-2</v>
      </c>
      <c r="J156" s="182">
        <f ca="1"/>
        <v>4.523868804427307E-2</v>
      </c>
      <c r="K156" s="182"/>
    </row>
    <row r="157" spans="1:11" ht="15">
      <c r="A157" s="4">
        <f t="shared" ca="1" si="2"/>
        <v>54876</v>
      </c>
      <c r="B157" s="3"/>
      <c r="C157" s="182">
        <f ca="1"/>
        <v>4.5174953577441009E-2</v>
      </c>
      <c r="D157" s="182">
        <f ca="1"/>
        <v>4.5174825675059045E-2</v>
      </c>
      <c r="E157" s="182">
        <f ca="1"/>
        <v>4.517410611788273E-2</v>
      </c>
      <c r="F157" s="182">
        <f ca="1"/>
        <v>4.5171222527037473E-2</v>
      </c>
      <c r="G157" s="182">
        <f ca="1"/>
        <v>4.5159155416917715E-2</v>
      </c>
      <c r="H157" s="182">
        <f ca="1"/>
        <v>4.5132864280694851E-2</v>
      </c>
      <c r="I157" s="182">
        <f ca="1"/>
        <v>4.5285399542522371E-2</v>
      </c>
      <c r="J157" s="182">
        <f ca="1"/>
        <v>4.5282242390454995E-2</v>
      </c>
      <c r="K157" s="182"/>
    </row>
    <row r="158" spans="1:11" ht="15">
      <c r="A158" s="4">
        <f t="shared" ca="1" si="2"/>
        <v>54966</v>
      </c>
      <c r="B158" s="3"/>
      <c r="C158" s="182">
        <f ca="1"/>
        <v>4.5216857739937132E-2</v>
      </c>
      <c r="D158" s="182">
        <f ca="1"/>
        <v>4.5216720761121577E-2</v>
      </c>
      <c r="E158" s="182">
        <f ca="1"/>
        <v>4.5216009789287817E-2</v>
      </c>
      <c r="F158" s="182">
        <f ca="1"/>
        <v>4.5213139466001209E-2</v>
      </c>
      <c r="G158" s="182">
        <f ca="1"/>
        <v>4.5201110345178111E-2</v>
      </c>
      <c r="H158" s="182">
        <f ca="1"/>
        <v>4.5174910977830871E-2</v>
      </c>
      <c r="I158" s="182">
        <f ca="1"/>
        <v>4.5325047760206273E-2</v>
      </c>
      <c r="J158" s="182">
        <f ca="1"/>
        <v>4.5324242404411956E-2</v>
      </c>
      <c r="K158" s="182"/>
    </row>
    <row r="159" spans="1:11" ht="15">
      <c r="A159" s="4">
        <f t="shared" ca="1" si="2"/>
        <v>55056</v>
      </c>
      <c r="B159" s="3"/>
      <c r="C159" s="182">
        <f ca="1"/>
        <v>4.5258225490117092E-2</v>
      </c>
      <c r="D159" s="182">
        <f ca="1"/>
        <v>4.5258080561476392E-2</v>
      </c>
      <c r="E159" s="182">
        <f ca="1"/>
        <v>4.5257389582345896E-2</v>
      </c>
      <c r="F159" s="182">
        <f ca="1"/>
        <v>4.525452609336518E-2</v>
      </c>
      <c r="G159" s="182">
        <f ca="1"/>
        <v>4.5242544870878254E-2</v>
      </c>
      <c r="H159" s="182">
        <f ca="1"/>
        <v>4.5216453751492247E-2</v>
      </c>
      <c r="I159" s="182">
        <f ca="1"/>
        <v>4.5364039120916071E-2</v>
      </c>
      <c r="J159" s="182">
        <f ca="1"/>
        <v>4.5365661629307871E-2</v>
      </c>
      <c r="K159" s="182"/>
    </row>
    <row r="160" spans="1:11" ht="15">
      <c r="A160" s="4">
        <f t="shared" ref="A160:A215" ca="1" si="3">A159+90</f>
        <v>55146</v>
      </c>
      <c r="B160" s="3"/>
      <c r="C160" s="182">
        <f ca="1"/>
        <v>4.5299528186223001E-2</v>
      </c>
      <c r="D160" s="182">
        <f ca="1"/>
        <v>4.5299397184546779E-2</v>
      </c>
      <c r="E160" s="182">
        <f ca="1"/>
        <v>4.5298695687526078E-2</v>
      </c>
      <c r="F160" s="182">
        <f ca="1"/>
        <v>4.5295842179015985E-2</v>
      </c>
      <c r="G160" s="182">
        <f ca="1"/>
        <v>4.5283906940442264E-2</v>
      </c>
      <c r="H160" s="182">
        <f ca="1"/>
        <v>4.5257903066389757E-2</v>
      </c>
      <c r="I160" s="182">
        <f ca="1"/>
        <v>4.5403011223234903E-2</v>
      </c>
      <c r="J160" s="182">
        <f ca="1"/>
        <v>4.540704802793108E-2</v>
      </c>
      <c r="K160" s="182"/>
    </row>
    <row r="161" spans="1:11" ht="15">
      <c r="A161" s="4">
        <f t="shared" ca="1" si="3"/>
        <v>55236</v>
      </c>
      <c r="B161" s="3"/>
      <c r="C161" s="182">
        <f ca="1"/>
        <v>4.5340758178914739E-2</v>
      </c>
      <c r="D161" s="182">
        <f ca="1"/>
        <v>4.5340632145594868E-2</v>
      </c>
      <c r="E161" s="182">
        <f ca="1"/>
        <v>4.5339923246260398E-2</v>
      </c>
      <c r="F161" s="182">
        <f ca="1"/>
        <v>4.533707917769101E-2</v>
      </c>
      <c r="G161" s="182">
        <f ca="1"/>
        <v>4.5325180149552162E-2</v>
      </c>
      <c r="H161" s="182">
        <f ca="1"/>
        <v>4.5299255177336281E-2</v>
      </c>
      <c r="I161" s="182">
        <f ca="1"/>
        <v>4.5441940897554704E-2</v>
      </c>
      <c r="J161" s="182">
        <f ca="1"/>
        <v>4.5448410443586114E-2</v>
      </c>
      <c r="K161" s="182"/>
    </row>
    <row r="162" spans="1:11" ht="15">
      <c r="A162" s="4">
        <f t="shared" ca="1" si="3"/>
        <v>55326</v>
      </c>
      <c r="B162" s="3"/>
      <c r="C162" s="182">
        <f ca="1"/>
        <v>4.5380559973836207E-2</v>
      </c>
      <c r="D162" s="182">
        <f ca="1"/>
        <v>4.5380426089408427E-2</v>
      </c>
      <c r="E162" s="182">
        <f ca="1"/>
        <v>4.5379722944674107E-2</v>
      </c>
      <c r="F162" s="182">
        <f ca="1"/>
        <v>4.5376892492084861E-2</v>
      </c>
      <c r="G162" s="182">
        <f ca="1"/>
        <v>4.5365028729424189E-2</v>
      </c>
      <c r="H162" s="182">
        <f ca="1"/>
        <v>4.5339188839179506E-2</v>
      </c>
      <c r="I162" s="182">
        <f ca="1"/>
        <v>4.5479442192340978E-2</v>
      </c>
      <c r="J162" s="182">
        <f ca="1"/>
        <v>4.5488312552797831E-2</v>
      </c>
      <c r="K162" s="182"/>
    </row>
    <row r="163" spans="1:11" ht="15">
      <c r="A163" s="4">
        <f t="shared" ca="1" si="3"/>
        <v>55416</v>
      </c>
      <c r="B163" s="3"/>
      <c r="C163" s="182">
        <f ca="1"/>
        <v>4.5419865092970635E-2</v>
      </c>
      <c r="D163" s="182">
        <f ca="1"/>
        <v>4.5419721216968169E-2</v>
      </c>
      <c r="E163" s="182">
        <f ca="1"/>
        <v>4.5419040544266029E-2</v>
      </c>
      <c r="F163" s="182">
        <f ca="1"/>
        <v>4.5416216070331576E-2</v>
      </c>
      <c r="G163" s="182">
        <f ca="1"/>
        <v>4.5404398312351123E-2</v>
      </c>
      <c r="H163" s="182">
        <f ca="1"/>
        <v>4.5378664403497693E-2</v>
      </c>
      <c r="I163" s="182">
        <f ca="1"/>
        <v>4.5516311928980958E-2</v>
      </c>
      <c r="J163" s="182">
        <f ca="1"/>
        <v>4.5527668412618585E-2</v>
      </c>
      <c r="K163" s="182"/>
    </row>
    <row r="164" spans="1:11" ht="15">
      <c r="A164" s="4">
        <f t="shared" ca="1" si="3"/>
        <v>55506</v>
      </c>
      <c r="B164" s="3"/>
      <c r="C164" s="182">
        <f ca="1"/>
        <v>4.5459121119396033E-2</v>
      </c>
      <c r="D164" s="182">
        <f ca="1"/>
        <v>4.5458991736356279E-2</v>
      </c>
      <c r="E164" s="182">
        <f ca="1"/>
        <v>4.5458299897113481E-2</v>
      </c>
      <c r="F164" s="182">
        <f ca="1"/>
        <v>4.5455485948804164E-2</v>
      </c>
      <c r="G164" s="182">
        <f ca="1"/>
        <v>4.5443711256705897E-2</v>
      </c>
      <c r="H164" s="182">
        <f ca="1"/>
        <v>4.5418062992891299E-2</v>
      </c>
      <c r="I164" s="182">
        <f ca="1"/>
        <v>4.5553175883561996E-2</v>
      </c>
      <c r="J164" s="182">
        <f ca="1"/>
        <v>4.5567003702866704E-2</v>
      </c>
      <c r="K164" s="182"/>
    </row>
    <row r="165" spans="1:11" ht="15">
      <c r="A165" s="4">
        <f t="shared" ca="1" si="3"/>
        <v>55596</v>
      </c>
      <c r="B165" s="3"/>
      <c r="C165" s="182">
        <f ca="1"/>
        <v>4.54978878885142E-2</v>
      </c>
      <c r="D165" s="182">
        <f ca="1"/>
        <v>4.5497763285116587E-2</v>
      </c>
      <c r="E165" s="182">
        <f ca="1"/>
        <v>4.5497068197340756E-2</v>
      </c>
      <c r="F165" s="182">
        <f ca="1"/>
        <v>4.5494257087729119E-2</v>
      </c>
      <c r="G165" s="182">
        <f ca="1"/>
        <v>4.5482517347582019E-2</v>
      </c>
      <c r="H165" s="182">
        <f ca="1"/>
        <v>4.5456944778354713E-2</v>
      </c>
      <c r="I165" s="182">
        <f ca="1"/>
        <v>4.5589597505311302E-2</v>
      </c>
      <c r="J165" s="182">
        <f ca="1"/>
        <v>4.5605901601878766E-2</v>
      </c>
      <c r="K165" s="182"/>
    </row>
    <row r="166" spans="1:11" ht="15">
      <c r="A166" s="4">
        <f t="shared" ca="1" si="3"/>
        <v>55686</v>
      </c>
      <c r="B166" s="3"/>
      <c r="C166" s="182">
        <f ca="1"/>
        <v>4.5535746938252457E-2</v>
      </c>
      <c r="D166" s="182">
        <f ca="1"/>
        <v>4.553561309733483E-2</v>
      </c>
      <c r="E166" s="182">
        <f ca="1"/>
        <v>4.5534929260688133E-2</v>
      </c>
      <c r="F166" s="182">
        <f ca="1"/>
        <v>4.5532118755427696E-2</v>
      </c>
      <c r="G166" s="182">
        <f ca="1"/>
        <v>4.5520424159597443E-2</v>
      </c>
      <c r="H166" s="182">
        <f ca="1"/>
        <v>4.5494919874048897E-2</v>
      </c>
      <c r="I166" s="182">
        <f ca="1"/>
        <v>4.5625097567392948E-2</v>
      </c>
      <c r="J166" s="182">
        <f ca="1"/>
        <v>4.564386722631384E-2</v>
      </c>
      <c r="K166" s="182"/>
    </row>
    <row r="167" spans="1:11" ht="15">
      <c r="A167" s="4">
        <f t="shared" ca="1" si="3"/>
        <v>55776</v>
      </c>
      <c r="B167" s="3"/>
      <c r="C167" s="182">
        <f ca="1"/>
        <v>4.5573145122483352E-2</v>
      </c>
      <c r="D167" s="182">
        <f ca="1"/>
        <v>4.557300339895206E-2</v>
      </c>
      <c r="E167" s="182">
        <f ca="1"/>
        <v>4.5572329829010182E-2</v>
      </c>
      <c r="F167" s="182">
        <f ca="1"/>
        <v>4.5569543824754095E-2</v>
      </c>
      <c r="G167" s="182">
        <f ca="1"/>
        <v>4.5557881961160951E-2</v>
      </c>
      <c r="H167" s="182">
        <f ca="1"/>
        <v>4.5532489565831509E-2</v>
      </c>
      <c r="I167" s="182">
        <f ca="1"/>
        <v>4.5659990520425735E-2</v>
      </c>
      <c r="J167" s="182">
        <f ca="1"/>
        <v>4.5681315490544959E-2</v>
      </c>
      <c r="K167" s="182"/>
    </row>
    <row r="168" spans="1:11" ht="15">
      <c r="A168" s="4">
        <f t="shared" ca="1" si="3"/>
        <v>55866</v>
      </c>
      <c r="B168" s="3"/>
      <c r="C168" s="182">
        <f ca="1"/>
        <v>4.5610508074394263E-2</v>
      </c>
      <c r="D168" s="182">
        <f ca="1"/>
        <v>4.5610379016426165E-2</v>
      </c>
      <c r="E168" s="182">
        <f ca="1"/>
        <v>4.5609696877866465E-2</v>
      </c>
      <c r="F168" s="182">
        <f ca="1"/>
        <v>4.560692201511285E-2</v>
      </c>
      <c r="G168" s="182">
        <f ca="1"/>
        <v>4.5595300036004524E-2</v>
      </c>
      <c r="H168" s="182">
        <f ca="1"/>
        <v>4.5569991114491476E-2</v>
      </c>
      <c r="I168" s="182">
        <f ca="1"/>
        <v>4.5694892980668124E-2</v>
      </c>
      <c r="J168" s="182">
        <f ca="1"/>
        <v>4.5718746573991706E-2</v>
      </c>
      <c r="K168" s="182"/>
    </row>
    <row r="169" spans="1:11" ht="15">
      <c r="A169" s="4">
        <f t="shared" ca="1" si="3"/>
        <v>55956</v>
      </c>
      <c r="B169" s="3"/>
      <c r="C169" s="182">
        <f ca="1"/>
        <v>4.5647828778617665E-2</v>
      </c>
      <c r="D169" s="182">
        <f ca="1"/>
        <v>4.564770650514622E-2</v>
      </c>
      <c r="E169" s="182">
        <f ca="1"/>
        <v>4.5647017932900123E-2</v>
      </c>
      <c r="F169" s="182">
        <f ca="1"/>
        <v>4.5644247228447607E-2</v>
      </c>
      <c r="G169" s="182">
        <f ca="1"/>
        <v>4.5632660888936673E-2</v>
      </c>
      <c r="H169" s="182">
        <f ca="1"/>
        <v>4.5607421886593863E-2</v>
      </c>
      <c r="I169" s="182">
        <f ca="1"/>
        <v>4.5729777546629463E-2</v>
      </c>
      <c r="J169" s="182">
        <f ca="1"/>
        <v>4.5756203349578028E-2</v>
      </c>
      <c r="K169" s="182"/>
    </row>
    <row r="170" spans="1:11" ht="15">
      <c r="A170" s="4">
        <f t="shared" ca="1" si="3"/>
        <v>56046</v>
      </c>
      <c r="B170" s="3"/>
      <c r="C170" s="182">
        <f ca="1"/>
        <v>4.5683879016006387E-2</v>
      </c>
      <c r="D170" s="182">
        <f ca="1"/>
        <v>4.5683747642182942E-2</v>
      </c>
      <c r="E170" s="182">
        <f ca="1"/>
        <v>4.568307198206107E-2</v>
      </c>
      <c r="F170" s="182">
        <f ca="1"/>
        <v>4.5680296848161862E-2</v>
      </c>
      <c r="G170" s="182">
        <f ca="1"/>
        <v>4.5668754197217096E-2</v>
      </c>
      <c r="H170" s="182">
        <f ca="1"/>
        <v>4.5643578607790322E-2</v>
      </c>
      <c r="I170" s="182">
        <f ca="1"/>
        <v>4.5763437597133451E-2</v>
      </c>
      <c r="J170" s="182">
        <f ca="1"/>
        <v>4.5792367045843545E-2</v>
      </c>
      <c r="K170" s="182"/>
    </row>
    <row r="171" spans="1:11" ht="15">
      <c r="A171" s="4">
        <f t="shared" ca="1" si="3"/>
        <v>56136</v>
      </c>
      <c r="B171" s="3"/>
      <c r="C171" s="182">
        <f ca="1"/>
        <v>4.571950092408622E-2</v>
      </c>
      <c r="D171" s="182">
        <f ca="1"/>
        <v>4.5719360292891295E-2</v>
      </c>
      <c r="E171" s="182">
        <f ca="1"/>
        <v>4.5718695986535919E-2</v>
      </c>
      <c r="F171" s="182">
        <f ca="1"/>
        <v>4.5715945677961445E-2</v>
      </c>
      <c r="G171" s="182">
        <f ca="1"/>
        <v>4.5704433756164599E-2</v>
      </c>
      <c r="H171" s="182">
        <f ca="1"/>
        <v>4.5679368300776901E-2</v>
      </c>
      <c r="I171" s="182">
        <f ca="1"/>
        <v>4.579648838686675E-2</v>
      </c>
      <c r="J171" s="182">
        <f ca="1"/>
        <v>4.5828038807788081E-2</v>
      </c>
      <c r="K171" s="182"/>
    </row>
    <row r="172" spans="1:11" ht="15">
      <c r="A172" s="4">
        <f t="shared" ca="1" si="3"/>
        <v>56226</v>
      </c>
      <c r="B172" s="3"/>
      <c r="C172" s="182">
        <f ca="1"/>
        <v>4.5755099715765205E-2</v>
      </c>
      <c r="D172" s="182">
        <f ca="1"/>
        <v>4.5754971753839052E-2</v>
      </c>
      <c r="E172" s="182">
        <f ca="1"/>
        <v>4.5754299064750023E-2</v>
      </c>
      <c r="F172" s="182">
        <f ca="1"/>
        <v>4.5751559774341657E-2</v>
      </c>
      <c r="G172" s="182">
        <f ca="1"/>
        <v>4.5740086701529278E-2</v>
      </c>
      <c r="H172" s="182">
        <f ca="1"/>
        <v>4.5715102198445635E-2</v>
      </c>
      <c r="I172" s="182">
        <f ca="1"/>
        <v>4.5829559149839064E-2</v>
      </c>
      <c r="J172" s="182">
        <f ca="1"/>
        <v>4.5863700872229303E-2</v>
      </c>
      <c r="K172" s="182"/>
    </row>
    <row r="173" spans="1:11" ht="15">
      <c r="A173" s="4">
        <f t="shared" ca="1" si="3"/>
        <v>56316</v>
      </c>
      <c r="B173" s="3"/>
      <c r="C173" s="182">
        <f ca="1"/>
        <v>4.5790668679408286E-2</v>
      </c>
      <c r="D173" s="182">
        <f ca="1"/>
        <v>4.5790548431543746E-2</v>
      </c>
      <c r="E173" s="182">
        <f ca="1"/>
        <v>4.578986801707019E-2</v>
      </c>
      <c r="F173" s="182">
        <f ca="1"/>
        <v>4.5787133511507136E-2</v>
      </c>
      <c r="G173" s="182">
        <f ca="1"/>
        <v>4.5775693518057055E-2</v>
      </c>
      <c r="H173" s="182">
        <f ca="1"/>
        <v>4.5750776194269836E-2</v>
      </c>
      <c r="I173" s="182">
        <f ca="1"/>
        <v>4.586261855172296E-2</v>
      </c>
      <c r="J173" s="182">
        <f ca="1"/>
        <v>4.5899406645467995E-2</v>
      </c>
      <c r="K173" s="182"/>
    </row>
    <row r="174" spans="1:11" ht="15">
      <c r="A174" s="4">
        <f t="shared" ca="1" si="3"/>
        <v>56406</v>
      </c>
      <c r="B174" s="3"/>
      <c r="C174" s="182">
        <f ca="1"/>
        <v>4.5825036705484358E-2</v>
      </c>
      <c r="D174" s="182">
        <f ca="1"/>
        <v>4.582490770719605E-2</v>
      </c>
      <c r="E174" s="182">
        <f ca="1"/>
        <v>4.5824239863722728E-2</v>
      </c>
      <c r="F174" s="182">
        <f ca="1"/>
        <v>4.5821498580393964E-2</v>
      </c>
      <c r="G174" s="182">
        <f ca="1"/>
        <v>4.5810101425921922E-2</v>
      </c>
      <c r="H174" s="182">
        <f ca="1"/>
        <v>4.5785240535054034E-2</v>
      </c>
      <c r="I174" s="182">
        <f ca="1"/>
        <v>4.5894538763333645E-2</v>
      </c>
      <c r="J174" s="182">
        <f ca="1"/>
        <v>4.5933892884510427E-2</v>
      </c>
      <c r="K174" s="182"/>
    </row>
    <row r="175" spans="1:11" ht="15">
      <c r="A175" s="4">
        <f t="shared" ca="1" si="3"/>
        <v>56496</v>
      </c>
      <c r="B175" s="3"/>
      <c r="C175" s="182">
        <f ca="1"/>
        <v>4.5859005946503349E-2</v>
      </c>
      <c r="D175" s="182">
        <f ca="1"/>
        <v>4.5858866348824544E-2</v>
      </c>
      <c r="E175" s="182">
        <f ca="1"/>
        <v>4.585821092357701E-2</v>
      </c>
      <c r="F175" s="182">
        <f ca="1"/>
        <v>4.5855494794639171E-2</v>
      </c>
      <c r="G175" s="182">
        <f ca="1"/>
        <v>4.5844126455325186E-2</v>
      </c>
      <c r="H175" s="182">
        <f ca="1"/>
        <v>4.5819374080926463E-2</v>
      </c>
      <c r="I175" s="182">
        <f ca="1"/>
        <v>4.5925867483859607E-2</v>
      </c>
      <c r="J175" s="182">
        <f ca="1"/>
        <v>4.5967911819731644E-2</v>
      </c>
      <c r="K175" s="182"/>
    </row>
    <row r="176" spans="1:11" ht="15">
      <c r="A176" s="4">
        <f t="shared" ca="1" si="3"/>
        <v>56586</v>
      </c>
      <c r="B176" s="3"/>
      <c r="C176" s="182">
        <f ca="1"/>
        <v>4.589296263827071E-2</v>
      </c>
      <c r="D176" s="182">
        <f ca="1"/>
        <v>4.589283587667798E-2</v>
      </c>
      <c r="E176" s="182">
        <f ca="1"/>
        <v>4.589217182085651E-2</v>
      </c>
      <c r="F176" s="182">
        <f ca="1"/>
        <v>4.5889466903669116E-2</v>
      </c>
      <c r="G176" s="182">
        <f ca="1"/>
        <v>4.5878136578864033E-2</v>
      </c>
      <c r="H176" s="182">
        <f ca="1"/>
        <v>4.5853462889463001E-2</v>
      </c>
      <c r="I176" s="182">
        <f ca="1"/>
        <v>4.5957229591081783E-2</v>
      </c>
      <c r="J176" s="182">
        <f ca="1"/>
        <v>4.6001927565647173E-2</v>
      </c>
      <c r="K176" s="182"/>
    </row>
    <row r="177" spans="1:11" ht="15">
      <c r="A177" s="4">
        <f t="shared" ca="1" si="3"/>
        <v>56676</v>
      </c>
      <c r="B177" s="3"/>
      <c r="C177" s="182">
        <f ca="1"/>
        <v>4.5926900361539645E-2</v>
      </c>
      <c r="D177" s="182">
        <f ca="1"/>
        <v>4.5926785163253082E-2</v>
      </c>
      <c r="E177" s="182">
        <f ca="1"/>
        <v>4.5926105030604861E-2</v>
      </c>
      <c r="F177" s="182">
        <f ca="1"/>
        <v>4.5923410764695437E-2</v>
      </c>
      <c r="G177" s="182">
        <f ca="1"/>
        <v>4.5912111496230507E-2</v>
      </c>
      <c r="H177" s="182">
        <f ca="1"/>
        <v>4.5887503520624151E-2</v>
      </c>
      <c r="I177" s="182">
        <f ca="1"/>
        <v>4.5988635074223495E-2</v>
      </c>
      <c r="J177" s="182">
        <f ca="1"/>
        <v>4.603601229922849E-2</v>
      </c>
      <c r="K177" s="182"/>
    </row>
    <row r="178" spans="1:11" ht="15">
      <c r="A178" s="4">
        <f t="shared" ca="1" si="3"/>
        <v>56766</v>
      </c>
      <c r="B178" s="3"/>
      <c r="C178" s="182">
        <f ca="1"/>
        <v>4.5959701232615044E-2</v>
      </c>
      <c r="D178" s="182">
        <f ca="1"/>
        <v>4.5959569341320068E-2</v>
      </c>
      <c r="E178" s="182">
        <f ca="1"/>
        <v>4.5958910778852224E-2</v>
      </c>
      <c r="F178" s="182">
        <f ca="1"/>
        <v>4.595621343727422E-2</v>
      </c>
      <c r="G178" s="182">
        <f ca="1"/>
        <v>4.594494433634852E-2</v>
      </c>
      <c r="H178" s="182">
        <f ca="1"/>
        <v>4.5920389155486629E-2</v>
      </c>
      <c r="I178" s="182">
        <f ca="1"/>
        <v>4.6018842116164263E-2</v>
      </c>
      <c r="J178" s="182">
        <f ca="1"/>
        <v>4.6068929055128931E-2</v>
      </c>
      <c r="K178" s="182"/>
    </row>
    <row r="179" spans="1:11" ht="15">
      <c r="A179" s="4">
        <f t="shared" ca="1" si="3"/>
        <v>56856</v>
      </c>
      <c r="B179" s="3"/>
      <c r="C179" s="182">
        <f ca="1"/>
        <v>4.5992496605466927E-2</v>
      </c>
      <c r="D179" s="182">
        <f ca="1"/>
        <v>4.5992359904633177E-2</v>
      </c>
      <c r="E179" s="182">
        <f ca="1"/>
        <v>4.5991713325270106E-2</v>
      </c>
      <c r="F179" s="182">
        <f ca="1"/>
        <v>4.5989028549566581E-2</v>
      </c>
      <c r="G179" s="182">
        <f ca="1"/>
        <v>4.5977798510584006E-2</v>
      </c>
      <c r="H179" s="182">
        <f ca="1"/>
        <v>4.5953346253586269E-2</v>
      </c>
      <c r="I179" s="182">
        <f ca="1"/>
        <v>4.6048888875266994E-2</v>
      </c>
      <c r="J179" s="182">
        <f ca="1"/>
        <v>4.6101769128602955E-2</v>
      </c>
      <c r="K179" s="182"/>
    </row>
    <row r="180" spans="1:11" ht="15">
      <c r="A180" s="4">
        <f t="shared" ca="1" si="3"/>
        <v>56946</v>
      </c>
      <c r="B180" s="3"/>
      <c r="C180" s="182">
        <f ca="1"/>
        <v>4.6024555853275008E-2</v>
      </c>
      <c r="D180" s="182">
        <f ca="1"/>
        <v>4.6024431455363848E-2</v>
      </c>
      <c r="E180" s="182">
        <f ca="1"/>
        <v>4.6023776100841511E-2</v>
      </c>
      <c r="F180" s="182">
        <f ca="1"/>
        <v>4.6021101843644267E-2</v>
      </c>
      <c r="G180" s="182">
        <f ca="1"/>
        <v>4.6009912105683962E-2</v>
      </c>
      <c r="H180" s="182">
        <f ca="1"/>
        <v>4.5985532592572466E-2</v>
      </c>
      <c r="I180" s="182">
        <f ca="1"/>
        <v>4.6078335639183489E-2</v>
      </c>
      <c r="J180" s="182">
        <f ca="1"/>
        <v>4.6133886910213973E-2</v>
      </c>
      <c r="K180" s="182"/>
    </row>
    <row r="181" spans="1:11" ht="15">
      <c r="A181" s="4">
        <f t="shared" ca="1" si="3"/>
        <v>57036</v>
      </c>
      <c r="B181" s="3"/>
      <c r="C181" s="182">
        <f ca="1"/>
        <v>4.6056255710786767E-2</v>
      </c>
      <c r="D181" s="182">
        <f ca="1"/>
        <v>4.6056141683728714E-2</v>
      </c>
      <c r="E181" s="182">
        <f ca="1"/>
        <v>4.6055470233669391E-2</v>
      </c>
      <c r="F181" s="182">
        <f ca="1"/>
        <v>4.6052807955549446E-2</v>
      </c>
      <c r="G181" s="182">
        <f ca="1"/>
        <v>4.6041643363010601E-2</v>
      </c>
      <c r="H181" s="182">
        <f ca="1"/>
        <v>4.6017328574011959E-2</v>
      </c>
      <c r="I181" s="182">
        <f ca="1"/>
        <v>4.6107455529566639E-2</v>
      </c>
      <c r="J181" s="182">
        <f ca="1"/>
        <v>4.6165728711503796E-2</v>
      </c>
      <c r="K181" s="182"/>
    </row>
    <row r="182" spans="1:11" ht="15">
      <c r="A182" s="4">
        <f t="shared" ca="1" si="3"/>
        <v>57126</v>
      </c>
      <c r="B182" s="3"/>
      <c r="C182" s="182">
        <f ca="1"/>
        <v>4.6088310546849823E-2</v>
      </c>
      <c r="D182" s="182">
        <f ca="1"/>
        <v>4.6088181152475649E-2</v>
      </c>
      <c r="E182" s="182">
        <f ca="1"/>
        <v>4.6087529305475224E-2</v>
      </c>
      <c r="F182" s="182">
        <f ca="1"/>
        <v>4.6084864503318425E-2</v>
      </c>
      <c r="G182" s="182">
        <f ca="1"/>
        <v>4.6073728982650206E-2</v>
      </c>
      <c r="H182" s="182">
        <f ca="1"/>
        <v>4.6049465799156114E-2</v>
      </c>
      <c r="I182" s="182">
        <f ca="1"/>
        <v>4.6136782113788931E-2</v>
      </c>
      <c r="J182" s="182">
        <f ca="1"/>
        <v>4.6197904343584499E-2</v>
      </c>
      <c r="K182" s="182"/>
    </row>
    <row r="183" spans="1:11" ht="15">
      <c r="A183" s="4">
        <f t="shared" ca="1" si="3"/>
        <v>57216</v>
      </c>
      <c r="B183" s="3"/>
      <c r="C183" s="182">
        <f ca="1"/>
        <v>4.61193016886687E-2</v>
      </c>
      <c r="D183" s="182">
        <f ca="1"/>
        <v>4.6119166918993877E-2</v>
      </c>
      <c r="E183" s="182">
        <f ca="1"/>
        <v>4.6118527271679331E-2</v>
      </c>
      <c r="F183" s="182">
        <f ca="1"/>
        <v>4.6115873674323932E-2</v>
      </c>
      <c r="G183" s="182">
        <f ca="1"/>
        <v>4.6104774981245593E-2</v>
      </c>
      <c r="H183" s="182">
        <f ca="1"/>
        <v>4.608060773620816E-2</v>
      </c>
      <c r="I183" s="182">
        <f ca="1"/>
        <v>4.6164989429536903E-2</v>
      </c>
      <c r="J183" s="182">
        <f ca="1"/>
        <v>4.6228943845518275E-2</v>
      </c>
      <c r="K183" s="182"/>
    </row>
    <row r="184" spans="1:11" ht="15">
      <c r="A184" s="4">
        <f t="shared" ca="1" si="3"/>
        <v>57306</v>
      </c>
      <c r="B184" s="3"/>
      <c r="C184" s="182">
        <f ca="1"/>
        <v>4.6149951201895419E-2</v>
      </c>
      <c r="D184" s="182">
        <f ca="1"/>
        <v>4.6149827422990654E-2</v>
      </c>
      <c r="E184" s="182">
        <f ca="1"/>
        <v>4.6149180453973621E-2</v>
      </c>
      <c r="F184" s="182">
        <f ca="1"/>
        <v>4.6146537178712053E-2</v>
      </c>
      <c r="G184" s="182">
        <f ca="1"/>
        <v>4.6135477354746157E-2</v>
      </c>
      <c r="H184" s="182">
        <f ca="1"/>
        <v>4.6111382128254198E-2</v>
      </c>
      <c r="I184" s="182">
        <f ca="1"/>
        <v>4.6192944499330292E-2</v>
      </c>
      <c r="J184" s="182">
        <f ca="1"/>
        <v>4.6259650836861753E-2</v>
      </c>
      <c r="K184" s="182"/>
    </row>
    <row r="185" spans="1:11" ht="15">
      <c r="A185" s="4">
        <f t="shared" ca="1" si="3"/>
        <v>57396</v>
      </c>
      <c r="B185" s="3"/>
      <c r="C185" s="182">
        <f ca="1"/>
        <v>4.6180264704734693E-2</v>
      </c>
      <c r="D185" s="182">
        <f ca="1"/>
        <v>4.6180151309725255E-2</v>
      </c>
      <c r="E185" s="182">
        <f ca="1"/>
        <v>4.6179488861462101E-2</v>
      </c>
      <c r="F185" s="182">
        <f ca="1"/>
        <v>4.6176857057426017E-2</v>
      </c>
      <c r="G185" s="182">
        <f ca="1"/>
        <v>4.6165822030666069E-2</v>
      </c>
      <c r="H185" s="182">
        <f ca="1"/>
        <v>4.6141788891253206E-2</v>
      </c>
      <c r="I185" s="182">
        <f ca="1"/>
        <v>4.6220621150080056E-2</v>
      </c>
      <c r="J185" s="182">
        <f ca="1"/>
        <v>4.6290100799866979E-2</v>
      </c>
      <c r="K185" s="182"/>
    </row>
    <row r="186" spans="1:11" ht="15">
      <c r="A186" s="4">
        <f t="shared" ca="1" si="3"/>
        <v>57486</v>
      </c>
      <c r="B186" s="3"/>
      <c r="C186" s="182">
        <f ca="1"/>
        <v>4.6211264078301811E-2</v>
      </c>
      <c r="D186" s="182">
        <f ca="1"/>
        <v>4.621113709653249E-2</v>
      </c>
      <c r="E186" s="182">
        <f ca="1"/>
        <v>4.6210491669987336E-2</v>
      </c>
      <c r="F186" s="182">
        <f ca="1"/>
        <v>4.6207858088725601E-2</v>
      </c>
      <c r="G186" s="182">
        <f ca="1"/>
        <v>4.619685069193253E-2</v>
      </c>
      <c r="H186" s="182">
        <f ca="1"/>
        <v>4.6172867594837332E-2</v>
      </c>
      <c r="I186" s="182">
        <f ca="1"/>
        <v>4.6248786725844218E-2</v>
      </c>
      <c r="J186" s="182">
        <f ca="1"/>
        <v>4.6321224910900724E-2</v>
      </c>
      <c r="K186" s="182"/>
    </row>
    <row r="187" spans="1:11" ht="15">
      <c r="A187" s="4">
        <f t="shared" ca="1" si="3"/>
        <v>57576</v>
      </c>
      <c r="B187" s="3"/>
      <c r="C187" s="182">
        <f ca="1"/>
        <v>4.6240910935804326E-2</v>
      </c>
      <c r="D187" s="182">
        <f ca="1"/>
        <v>4.6240776190702847E-2</v>
      </c>
      <c r="E187" s="182">
        <f ca="1"/>
        <v>4.6240143174204155E-2</v>
      </c>
      <c r="F187" s="182">
        <f ca="1"/>
        <v>4.6237521238074064E-2</v>
      </c>
      <c r="G187" s="182">
        <f ca="1"/>
        <v>4.622654940522708E-2</v>
      </c>
      <c r="H187" s="182">
        <f ca="1"/>
        <v>4.620265633717293E-2</v>
      </c>
      <c r="I187" s="182">
        <f ca="1"/>
        <v>4.6275583913188603E-2</v>
      </c>
      <c r="J187" s="182">
        <f ca="1"/>
        <v>4.6350924509482326E-2</v>
      </c>
      <c r="K187" s="182"/>
    </row>
    <row r="188" spans="1:11" ht="15">
      <c r="A188" s="4">
        <f t="shared" ca="1" si="3"/>
        <v>57666</v>
      </c>
      <c r="B188" s="3"/>
      <c r="C188" s="182">
        <f ca="1"/>
        <v>4.6270238091878954E-2</v>
      </c>
      <c r="D188" s="182">
        <f ca="1"/>
        <v>4.6270113497710298E-2</v>
      </c>
      <c r="E188" s="182">
        <f ca="1"/>
        <v>4.6269475608962142E-2</v>
      </c>
      <c r="F188" s="182">
        <f ca="1"/>
        <v>4.6266860059648404E-2</v>
      </c>
      <c r="G188" s="182">
        <f ca="1"/>
        <v>4.6255928331891787E-2</v>
      </c>
      <c r="H188" s="182">
        <f ca="1"/>
        <v>4.6232104935649443E-2</v>
      </c>
      <c r="I188" s="182">
        <f ca="1"/>
        <v>4.6302128232300656E-2</v>
      </c>
      <c r="J188" s="182">
        <f ca="1"/>
        <v>4.6380303851983398E-2</v>
      </c>
      <c r="K188" s="182"/>
    </row>
    <row r="189" spans="1:11" ht="15">
      <c r="A189" s="4">
        <f t="shared" ca="1" si="3"/>
        <v>57756</v>
      </c>
      <c r="B189" s="3"/>
      <c r="C189" s="182">
        <f ca="1"/>
        <v>4.6299250690255526E-2</v>
      </c>
      <c r="D189" s="182">
        <f ca="1"/>
        <v>4.62991357994453E-2</v>
      </c>
      <c r="E189" s="182">
        <f ca="1"/>
        <v>4.6298491322930027E-2</v>
      </c>
      <c r="F189" s="182">
        <f ca="1"/>
        <v>4.6295873674374537E-2</v>
      </c>
      <c r="G189" s="182">
        <f ca="1"/>
        <v>4.628497298710512E-2</v>
      </c>
      <c r="H189" s="182">
        <f ca="1"/>
        <v>4.6261204717232988E-2</v>
      </c>
      <c r="I189" s="182">
        <f ca="1"/>
        <v>4.6328418557391324E-2</v>
      </c>
      <c r="J189" s="182">
        <f ca="1"/>
        <v>4.6409450714813415E-2</v>
      </c>
      <c r="K189" s="182"/>
    </row>
    <row r="190" spans="1:11" ht="15">
      <c r="A190" s="4">
        <f t="shared" ca="1" si="3"/>
        <v>57846</v>
      </c>
      <c r="B190" s="3"/>
      <c r="C190" s="182">
        <f ca="1"/>
        <v>4.6328926881859404E-2</v>
      </c>
      <c r="D190" s="182">
        <f ca="1"/>
        <v>4.6328805854944873E-2</v>
      </c>
      <c r="E190" s="182">
        <f ca="1"/>
        <v>4.6328164291304076E-2</v>
      </c>
      <c r="F190" s="182">
        <f ca="1"/>
        <v>4.6325558493427316E-2</v>
      </c>
      <c r="G190" s="182">
        <f ca="1"/>
        <v>4.6314669658351001E-2</v>
      </c>
      <c r="H190" s="182">
        <f ca="1"/>
        <v>4.6290960918938508E-2</v>
      </c>
      <c r="I190" s="182">
        <f ca="1"/>
        <v>4.6355179523074351E-2</v>
      </c>
      <c r="J190" s="182">
        <f ca="1"/>
        <v>4.643925357504175E-2</v>
      </c>
      <c r="K190" s="182"/>
    </row>
    <row r="191" spans="1:11" ht="15">
      <c r="A191" s="4">
        <f t="shared" ca="1" si="3"/>
        <v>57936</v>
      </c>
      <c r="B191" s="3"/>
      <c r="C191" s="182">
        <f ca="1"/>
        <v>4.6357315060808778E-2</v>
      </c>
      <c r="D191" s="182">
        <f ca="1"/>
        <v>4.6357183260136318E-2</v>
      </c>
      <c r="E191" s="182">
        <f ca="1"/>
        <v>4.6356555679168639E-2</v>
      </c>
      <c r="F191" s="182">
        <f ca="1"/>
        <v>4.6353963242882754E-2</v>
      </c>
      <c r="G191" s="182">
        <f ca="1"/>
        <v>4.6343109267201019E-2</v>
      </c>
      <c r="H191" s="182">
        <f ca="1"/>
        <v>4.6319481990601222E-2</v>
      </c>
      <c r="I191" s="182">
        <f ca="1"/>
        <v>4.6380640054574547E-2</v>
      </c>
      <c r="J191" s="182">
        <f ca="1"/>
        <v>4.6467701370985777E-2</v>
      </c>
      <c r="K191" s="182"/>
    </row>
    <row r="192" spans="1:11" ht="15">
      <c r="A192" s="4">
        <f t="shared" ca="1" si="3"/>
        <v>58026</v>
      </c>
      <c r="B192" s="3"/>
      <c r="C192" s="182">
        <f ca="1"/>
        <v>4.6385403628306586E-2</v>
      </c>
      <c r="D192" s="182">
        <f ca="1"/>
        <v>4.6385279639993768E-2</v>
      </c>
      <c r="E192" s="182">
        <f ca="1"/>
        <v>4.6384648847421203E-2</v>
      </c>
      <c r="F192" s="182">
        <f ca="1"/>
        <v>4.6382066076551966E-2</v>
      </c>
      <c r="G192" s="182">
        <f ca="1"/>
        <v>4.6371247033439658E-2</v>
      </c>
      <c r="H192" s="182">
        <f ca="1"/>
        <v>4.6347690871904705E-2</v>
      </c>
      <c r="I192" s="182">
        <f ca="1"/>
        <v>4.6405855929008734E-2</v>
      </c>
      <c r="J192" s="182">
        <f ca="1"/>
        <v>4.6495842510638354E-2</v>
      </c>
      <c r="K192" s="182"/>
    </row>
    <row r="193" spans="1:11" ht="15">
      <c r="A193" s="4">
        <f t="shared" ca="1" si="3"/>
        <v>58116</v>
      </c>
      <c r="B193" s="3"/>
      <c r="C193" s="182">
        <f ca="1"/>
        <v>4.641319730281096E-2</v>
      </c>
      <c r="D193" s="182">
        <f ca="1"/>
        <v>4.6413083186513479E-2</v>
      </c>
      <c r="E193" s="182">
        <f ca="1"/>
        <v>4.6412446012512966E-2</v>
      </c>
      <c r="F193" s="182">
        <f ca="1"/>
        <v>4.6409858863392994E-2</v>
      </c>
      <c r="G193" s="182">
        <f ca="1"/>
        <v>4.639907498460915E-2</v>
      </c>
      <c r="H193" s="182">
        <f ca="1"/>
        <v>4.6375568697195904E-2</v>
      </c>
      <c r="I193" s="182">
        <f ca="1"/>
        <v>4.6430834186528755E-2</v>
      </c>
      <c r="J193" s="182">
        <f ca="1"/>
        <v>4.6523764367061481E-2</v>
      </c>
      <c r="K193" s="182"/>
    </row>
    <row r="194" spans="1:11" ht="15">
      <c r="A194" s="4">
        <f t="shared" ca="1" si="3"/>
        <v>58206</v>
      </c>
      <c r="B194" s="3"/>
      <c r="C194" s="182">
        <f ca="1"/>
        <v>4.6441633257708385E-2</v>
      </c>
      <c r="D194" s="182">
        <f ca="1"/>
        <v>4.6441514093663212E-2</v>
      </c>
      <c r="E194" s="182">
        <f ca="1"/>
        <v>4.6440879293811084E-2</v>
      </c>
      <c r="F194" s="182">
        <f ca="1"/>
        <v>4.6438301225769259E-2</v>
      </c>
      <c r="G194" s="182">
        <f ca="1"/>
        <v>4.6427531528735744E-2</v>
      </c>
      <c r="H194" s="182">
        <f ca="1"/>
        <v>4.6404079937915829E-2</v>
      </c>
      <c r="I194" s="182">
        <f ca="1"/>
        <v>4.6456268012838024E-2</v>
      </c>
      <c r="J194" s="182">
        <f ca="1"/>
        <v>4.6552329870397001E-2</v>
      </c>
      <c r="K194" s="182"/>
    </row>
    <row r="195" spans="1:11" ht="15">
      <c r="A195" s="4">
        <f t="shared" ca="1" si="3"/>
        <v>58296</v>
      </c>
      <c r="B195" s="3"/>
      <c r="C195" s="182">
        <f ca="1"/>
        <v>4.6468841246269273E-2</v>
      </c>
      <c r="D195" s="182">
        <f ca="1"/>
        <v>4.6468711483979484E-2</v>
      </c>
      <c r="E195" s="182">
        <f ca="1"/>
        <v>4.6468089848997141E-2</v>
      </c>
      <c r="F195" s="182">
        <f ca="1"/>
        <v>4.6465524949872293E-2</v>
      </c>
      <c r="G195" s="182">
        <f ca="1"/>
        <v>4.6454786958898521E-2</v>
      </c>
      <c r="H195" s="182">
        <f ca="1"/>
        <v>4.6431412592284296E-2</v>
      </c>
      <c r="I195" s="182">
        <f ca="1"/>
        <v>4.6480467751221471E-2</v>
      </c>
      <c r="J195" s="182">
        <f ca="1"/>
        <v>4.6579601710147613E-2</v>
      </c>
      <c r="K195" s="182"/>
    </row>
    <row r="196" spans="1:11" ht="15">
      <c r="A196" s="4">
        <f t="shared" ca="1" si="3"/>
        <v>58386</v>
      </c>
      <c r="B196" s="3"/>
      <c r="C196" s="182">
        <f ca="1"/>
        <v>4.6495768065029142E-2</v>
      </c>
      <c r="D196" s="182">
        <f ca="1"/>
        <v>4.6495644657309342E-2</v>
      </c>
      <c r="E196" s="182">
        <f ca="1"/>
        <v>4.6495021211649834E-2</v>
      </c>
      <c r="F196" s="182">
        <f ca="1"/>
        <v>4.6492465928318655E-2</v>
      </c>
      <c r="G196" s="182">
        <f ca="1"/>
        <v>4.6481762274054754E-2</v>
      </c>
      <c r="H196" s="182">
        <f ca="1"/>
        <v>4.6458457831779029E-2</v>
      </c>
      <c r="I196" s="182">
        <f ca="1"/>
        <v>4.6504430072656283E-2</v>
      </c>
      <c r="J196" s="182">
        <f ca="1"/>
        <v>4.6606580671309523E-2</v>
      </c>
      <c r="K196" s="182"/>
    </row>
    <row r="197" spans="1:11" ht="15">
      <c r="A197" s="4">
        <f t="shared" ca="1" si="3"/>
        <v>58476</v>
      </c>
      <c r="B197" s="3"/>
      <c r="C197" s="182">
        <f ca="1"/>
        <v>4.65224180497281E-2</v>
      </c>
      <c r="D197" s="182">
        <f ca="1"/>
        <v>4.6522304654784512E-2</v>
      </c>
      <c r="E197" s="182">
        <f ca="1"/>
        <v>4.6521674654373152E-2</v>
      </c>
      <c r="F197" s="182">
        <f ca="1"/>
        <v>4.6519115798648238E-2</v>
      </c>
      <c r="G197" s="182">
        <f ca="1"/>
        <v>4.6508445833781838E-2</v>
      </c>
      <c r="H197" s="182">
        <f ca="1"/>
        <v>4.6485189948474698E-2</v>
      </c>
      <c r="I197" s="182">
        <f ca="1"/>
        <v>4.6528145059224299E-2</v>
      </c>
      <c r="J197" s="182">
        <f ca="1"/>
        <v>4.6633353725976816E-2</v>
      </c>
      <c r="K197" s="182"/>
    </row>
    <row r="198" spans="1:11" ht="15">
      <c r="A198" s="4">
        <f t="shared" ca="1" si="3"/>
        <v>58566</v>
      </c>
      <c r="B198" s="3"/>
      <c r="C198" s="182">
        <f ca="1"/>
        <v>4.6549391798945544E-2</v>
      </c>
      <c r="D198" s="182">
        <f ca="1"/>
        <v>4.6549274544106962E-2</v>
      </c>
      <c r="E198" s="182">
        <f ca="1"/>
        <v>4.6548646179224135E-2</v>
      </c>
      <c r="F198" s="182">
        <f ca="1"/>
        <v>4.6546094565731E-2</v>
      </c>
      <c r="G198" s="182">
        <f ca="1"/>
        <v>4.6535439249048571E-2</v>
      </c>
      <c r="H198" s="182">
        <f ca="1"/>
        <v>4.6512234008540362E-2</v>
      </c>
      <c r="I198" s="182">
        <f ca="1"/>
        <v>4.6552048103876399E-2</v>
      </c>
      <c r="J198" s="182">
        <f ca="1"/>
        <v>4.6660458619020358E-2</v>
      </c>
      <c r="K198" s="182"/>
    </row>
    <row r="199" spans="1:11" ht="15">
      <c r="A199" s="4">
        <f t="shared" ca="1" si="3"/>
        <v>58656</v>
      </c>
      <c r="B199" s="3"/>
      <c r="C199" s="182">
        <f ca="1"/>
        <v>4.6575494718451266E-2</v>
      </c>
      <c r="D199" s="182">
        <f ca="1"/>
        <v>4.6575367166799539E-2</v>
      </c>
      <c r="E199" s="182">
        <f ca="1"/>
        <v>4.6574749675142108E-2</v>
      </c>
      <c r="F199" s="182">
        <f ca="1"/>
        <v>4.657221347139312E-2</v>
      </c>
      <c r="G199" s="182">
        <f ca="1"/>
        <v>4.6561586289135683E-2</v>
      </c>
      <c r="H199" s="182">
        <f ca="1"/>
        <v>4.6538451507213571E-2</v>
      </c>
      <c r="I199" s="182">
        <f ca="1"/>
        <v>4.6575058933320125E-2</v>
      </c>
      <c r="J199" s="182">
        <f ca="1"/>
        <v>4.6686628426433778E-2</v>
      </c>
      <c r="K199" s="182"/>
    </row>
    <row r="200" spans="1:11" ht="15">
      <c r="A200" s="4">
        <f t="shared" ca="1" si="3"/>
        <v>58746</v>
      </c>
      <c r="B200" s="3"/>
      <c r="C200" s="182">
        <f ca="1"/>
        <v>4.6601333380704428E-2</v>
      </c>
      <c r="D200" s="182">
        <f ca="1"/>
        <v>4.6601210215869909E-2</v>
      </c>
      <c r="E200" s="182">
        <f ca="1"/>
        <v>4.6600591674742585E-2</v>
      </c>
      <c r="F200" s="182">
        <f ca="1"/>
        <v>4.6598066598530469E-2</v>
      </c>
      <c r="G200" s="182">
        <f ca="1"/>
        <v>4.6587476090643731E-2</v>
      </c>
      <c r="H200" s="182">
        <f ca="1"/>
        <v>4.6564404181101027E-2</v>
      </c>
      <c r="I200" s="182">
        <f ca="1"/>
        <v>4.6597834767863999E-2</v>
      </c>
      <c r="J200" s="182">
        <f ca="1"/>
        <v>4.6712517396965712E-2</v>
      </c>
      <c r="K200" s="182"/>
    </row>
    <row r="201" spans="1:11" ht="15">
      <c r="A201" s="4">
        <f t="shared" ca="1" si="3"/>
        <v>58836</v>
      </c>
      <c r="B201" s="3"/>
      <c r="C201" s="182">
        <f ca="1"/>
        <v>4.6627200961413776E-2</v>
      </c>
      <c r="D201" s="182">
        <f ca="1"/>
        <v>4.6627088343681983E-2</v>
      </c>
      <c r="E201" s="182">
        <f ca="1"/>
        <v>4.6626460877240504E-2</v>
      </c>
      <c r="F201" s="182">
        <f ca="1"/>
        <v>4.6623938744005063E-2</v>
      </c>
      <c r="G201" s="182">
        <f ca="1"/>
        <v>4.6613374730226129E-2</v>
      </c>
      <c r="H201" s="182">
        <f ca="1"/>
        <v>4.6590352599904371E-2</v>
      </c>
      <c r="I201" s="182">
        <f ca="1"/>
        <v>4.6620658612187393E-2</v>
      </c>
      <c r="J201" s="182">
        <f ca="1"/>
        <v>4.6738505717850425E-2</v>
      </c>
      <c r="K201" s="182"/>
    </row>
    <row r="202" spans="1:11" ht="15">
      <c r="A202" s="4">
        <f t="shared" ca="1" si="3"/>
        <v>58926</v>
      </c>
      <c r="B202" s="3"/>
      <c r="C202" s="182">
        <f ca="1"/>
        <v>4.6653092602845329E-2</v>
      </c>
      <c r="D202" s="182">
        <f ca="1"/>
        <v>4.6652981004464807E-2</v>
      </c>
      <c r="E202" s="182">
        <f ca="1"/>
        <v>4.6652345086585015E-2</v>
      </c>
      <c r="F202" s="182">
        <f ca="1"/>
        <v>4.6649832354425873E-2</v>
      </c>
      <c r="G202" s="182">
        <f ca="1"/>
        <v>4.6639288775498944E-2</v>
      </c>
      <c r="H202" s="182">
        <f ca="1"/>
        <v>4.6616315963659886E-2</v>
      </c>
      <c r="I202" s="182">
        <f ca="1"/>
        <v>4.664339339319426E-2</v>
      </c>
      <c r="J202" s="182">
        <f ca="1"/>
        <v>4.676453287892178E-2</v>
      </c>
      <c r="K202" s="182"/>
    </row>
    <row r="203" spans="1:11" ht="15">
      <c r="A203" s="4">
        <f t="shared" ca="1" si="3"/>
        <v>59016</v>
      </c>
      <c r="B203" s="3"/>
      <c r="C203" s="182">
        <f ca="1"/>
        <v>4.6678436937265269E-2</v>
      </c>
      <c r="D203" s="182">
        <f ca="1"/>
        <v>4.6678311996823679E-2</v>
      </c>
      <c r="E203" s="182">
        <f ca="1"/>
        <v>4.6677696079945853E-2</v>
      </c>
      <c r="F203" s="182">
        <f ca="1"/>
        <v>4.667518813414448E-2</v>
      </c>
      <c r="G203" s="182">
        <f ca="1"/>
        <v>4.6664672003936897E-2</v>
      </c>
      <c r="H203" s="182">
        <f ca="1"/>
        <v>4.6641769563564986E-2</v>
      </c>
      <c r="I203" s="182">
        <f ca="1"/>
        <v>4.6665516654509305E-2</v>
      </c>
      <c r="J203" s="182">
        <f ca="1"/>
        <v>4.6789947568879296E-2</v>
      </c>
      <c r="K203" s="182"/>
    </row>
    <row r="204" spans="1:11" ht="15">
      <c r="A204" s="4">
        <f t="shared" ca="1" si="3"/>
        <v>59106</v>
      </c>
      <c r="B204" s="3"/>
      <c r="C204" s="182">
        <f ca="1"/>
        <v>4.6703246487281164E-2</v>
      </c>
      <c r="D204" s="182">
        <f ca="1"/>
        <v>4.670312237222092E-2</v>
      </c>
      <c r="E204" s="182">
        <f ca="1"/>
        <v>4.6702514103592462E-2</v>
      </c>
      <c r="F204" s="182">
        <f ca="1"/>
        <v>4.6700011976000662E-2</v>
      </c>
      <c r="G204" s="182">
        <f ca="1"/>
        <v>4.6689528006311869E-2</v>
      </c>
      <c r="H204" s="182">
        <f ca="1"/>
        <v>4.6666693355940765E-2</v>
      </c>
      <c r="I204" s="182">
        <f ca="1"/>
        <v>4.6687162180975315E-2</v>
      </c>
      <c r="J204" s="182">
        <f ca="1"/>
        <v>4.6814805372550741E-2</v>
      </c>
      <c r="K204" s="182"/>
    </row>
    <row r="205" spans="1:11" ht="15">
      <c r="A205" s="4">
        <f t="shared" ca="1" si="3"/>
        <v>59196</v>
      </c>
      <c r="B205" s="3"/>
      <c r="C205" s="182">
        <f ca="1"/>
        <v>4.6727811128487742E-2</v>
      </c>
      <c r="D205" s="182">
        <f ca="1"/>
        <v>4.6727699075274562E-2</v>
      </c>
      <c r="E205" s="182">
        <f ca="1"/>
        <v>4.6727078632430023E-2</v>
      </c>
      <c r="F205" s="182">
        <f ca="1"/>
        <v>4.6724581950005166E-2</v>
      </c>
      <c r="G205" s="182">
        <f ca="1"/>
        <v>4.6714123464042294E-2</v>
      </c>
      <c r="H205" s="182">
        <f ca="1"/>
        <v>4.6691334940246756E-2</v>
      </c>
      <c r="I205" s="182">
        <f ca="1"/>
        <v>4.6708615272502432E-2</v>
      </c>
      <c r="J205" s="182">
        <f ca="1"/>
        <v>4.6839485729843464E-2</v>
      </c>
      <c r="K205" s="182"/>
    </row>
    <row r="206" spans="1:11" ht="15">
      <c r="A206" s="4">
        <f t="shared" ca="1" si="3"/>
        <v>59286</v>
      </c>
      <c r="B206" s="3"/>
      <c r="C206" s="182">
        <f ca="1"/>
        <v>4.6752684496059869E-2</v>
      </c>
      <c r="D206" s="182">
        <f ca="1"/>
        <v>4.6752574242736988E-2</v>
      </c>
      <c r="E206" s="182">
        <f ca="1"/>
        <v>4.6751945193104334E-2</v>
      </c>
      <c r="F206" s="182">
        <f ca="1"/>
        <v>4.6749456792417168E-2</v>
      </c>
      <c r="G206" s="182">
        <f ca="1"/>
        <v>4.6739018014738197E-2</v>
      </c>
      <c r="H206" s="182">
        <f ca="1"/>
        <v>4.6716273362717269E-2</v>
      </c>
      <c r="I206" s="182">
        <f ca="1"/>
        <v>4.6730235157061768E-2</v>
      </c>
      <c r="J206" s="182">
        <f ca="1"/>
        <v>4.6864500207097474E-2</v>
      </c>
      <c r="K206" s="182"/>
    </row>
    <row r="207" spans="1:11" ht="15">
      <c r="A207" s="4">
        <f t="shared" ca="1" si="3"/>
        <v>59376</v>
      </c>
      <c r="B207" s="3"/>
      <c r="C207" s="182">
        <f ca="1"/>
        <v>4.6777036998097758E-2</v>
      </c>
      <c r="D207" s="182">
        <f ca="1"/>
        <v>4.6776914386646343E-2</v>
      </c>
      <c r="E207" s="182">
        <f ca="1"/>
        <v>4.6776302391935691E-2</v>
      </c>
      <c r="F207" s="182">
        <f ca="1"/>
        <v>4.6773819630325425E-2</v>
      </c>
      <c r="G207" s="182">
        <f ca="1"/>
        <v>4.6763406543782887E-2</v>
      </c>
      <c r="H207" s="182">
        <f ca="1"/>
        <v>4.6740727967246751E-2</v>
      </c>
      <c r="I207" s="182">
        <f ca="1"/>
        <v>4.6751267622161051E-2</v>
      </c>
      <c r="J207" s="182">
        <f ca="1"/>
        <v>4.688892781589634E-2</v>
      </c>
      <c r="K207" s="182"/>
    </row>
    <row r="208" spans="1:11" ht="15">
      <c r="A208" s="4">
        <f t="shared" ca="1" si="3"/>
        <v>59466</v>
      </c>
      <c r="B208" s="3"/>
      <c r="C208" s="182">
        <f ca="1"/>
        <v>4.6800880356973967E-2</v>
      </c>
      <c r="D208" s="182">
        <f ca="1"/>
        <v>4.680075654566198E-2</v>
      </c>
      <c r="E208" s="182">
        <f ca="1"/>
        <v>4.6800155250028869E-2</v>
      </c>
      <c r="F208" s="182">
        <f ca="1"/>
        <v>4.6797677203567978E-2</v>
      </c>
      <c r="G208" s="182">
        <f ca="1"/>
        <v>4.6787295356655607E-2</v>
      </c>
      <c r="H208" s="182">
        <f ca="1"/>
        <v>4.6764684105753296E-2</v>
      </c>
      <c r="I208" s="182">
        <f ca="1"/>
        <v>4.6771843163375987E-2</v>
      </c>
      <c r="J208" s="182">
        <f ca="1"/>
        <v>4.6912818688687359E-2</v>
      </c>
      <c r="K208" s="182"/>
    </row>
    <row r="209" spans="1:11" ht="15">
      <c r="A209" s="4">
        <f t="shared" ca="1" si="3"/>
        <v>59556</v>
      </c>
      <c r="B209" s="3"/>
      <c r="C209" s="182">
        <f ca="1"/>
        <v>4.6824492939720623E-2</v>
      </c>
      <c r="D209" s="182">
        <f ca="1"/>
        <v>4.682438148951671E-2</v>
      </c>
      <c r="E209" s="182">
        <f ca="1"/>
        <v>4.6823767641822736E-2</v>
      </c>
      <c r="F209" s="182">
        <f ca="1"/>
        <v>4.6821295544655452E-2</v>
      </c>
      <c r="G209" s="182">
        <f ca="1"/>
        <v>4.681093881782946E-2</v>
      </c>
      <c r="H209" s="182">
        <f ca="1"/>
        <v>4.6788372529298836E-2</v>
      </c>
      <c r="I209" s="182">
        <f ca="1"/>
        <v>4.6792236338380339E-2</v>
      </c>
      <c r="J209" s="182">
        <f ca="1"/>
        <v>4.6936541160536263E-2</v>
      </c>
      <c r="K209" s="182"/>
    </row>
    <row r="210" spans="1:11" ht="15">
      <c r="A210" s="4">
        <f t="shared" ca="1" si="3"/>
        <v>59646</v>
      </c>
      <c r="B210" s="3"/>
      <c r="C210" s="182">
        <f ca="1"/>
        <v>4.6848406943799763E-2</v>
      </c>
      <c r="D210" s="182">
        <f ca="1"/>
        <v>4.6848297988532642E-2</v>
      </c>
      <c r="E210" s="182">
        <f ca="1"/>
        <v>4.6847675552587745E-2</v>
      </c>
      <c r="F210" s="182">
        <f ca="1"/>
        <v>4.6845210531331768E-2</v>
      </c>
      <c r="G210" s="182">
        <f ca="1"/>
        <v>4.683487250767663E-2</v>
      </c>
      <c r="H210" s="182">
        <f ca="1"/>
        <v>4.6812347201305241E-2</v>
      </c>
      <c r="I210" s="182">
        <f ca="1"/>
        <v>4.6812792260621391E-2</v>
      </c>
      <c r="J210" s="182">
        <f ca="1"/>
        <v>4.6960600130103294E-2</v>
      </c>
      <c r="K210" s="182"/>
    </row>
    <row r="211" spans="1:11" ht="15">
      <c r="A211" s="4">
        <f t="shared" ca="1" si="3"/>
        <v>59736</v>
      </c>
      <c r="B211" s="3"/>
      <c r="C211" s="182">
        <f ca="1"/>
        <v>4.6871824716479951E-2</v>
      </c>
      <c r="D211" s="182">
        <f ca="1"/>
        <v>4.6871704365967749E-2</v>
      </c>
      <c r="E211" s="182">
        <f ca="1"/>
        <v>4.6871096097862254E-2</v>
      </c>
      <c r="F211" s="182">
        <f ca="1"/>
        <v>4.6868637551500114E-2</v>
      </c>
      <c r="G211" s="182">
        <f ca="1"/>
        <v>4.6858323494347091E-2</v>
      </c>
      <c r="H211" s="182">
        <f ca="1"/>
        <v>4.6835860049554291E-2</v>
      </c>
      <c r="I211" s="182">
        <f ca="1"/>
        <v>4.6832785201601473E-2</v>
      </c>
      <c r="J211" s="182">
        <f ca="1"/>
        <v>4.698409787772076E-2</v>
      </c>
      <c r="K211" s="182"/>
    </row>
    <row r="212" spans="1:11" ht="15">
      <c r="A212" s="4">
        <f t="shared" ca="1" si="3"/>
        <v>59826</v>
      </c>
      <c r="B212" s="3"/>
      <c r="C212" s="182">
        <f ca="1"/>
        <v>4.68947572460474E-2</v>
      </c>
      <c r="D212" s="182">
        <f ca="1"/>
        <v>4.6894633708979637E-2</v>
      </c>
      <c r="E212" s="182">
        <f ca="1"/>
        <v>4.689403913638903E-2</v>
      </c>
      <c r="F212" s="182">
        <f ca="1"/>
        <v>4.6891584229622418E-2</v>
      </c>
      <c r="G212" s="182">
        <f ca="1"/>
        <v>4.6881300539058521E-2</v>
      </c>
      <c r="H212" s="182">
        <f ca="1"/>
        <v>4.6858904030227869E-2</v>
      </c>
      <c r="I212" s="182">
        <f ca="1"/>
        <v>4.68523416941743E-2</v>
      </c>
      <c r="J212" s="182">
        <f ca="1"/>
        <v>4.700707719634712E-2</v>
      </c>
      <c r="K212" s="182"/>
    </row>
    <row r="213" spans="1:11" ht="15">
      <c r="A213" s="4">
        <f t="shared" ca="1" si="3"/>
        <v>59916</v>
      </c>
      <c r="B213" s="3"/>
      <c r="C213" s="182">
        <f ca="1"/>
        <v>4.6917472065637296E-2</v>
      </c>
      <c r="D213" s="182">
        <f ca="1"/>
        <v>4.6917361185694395E-2</v>
      </c>
      <c r="E213" s="182">
        <f ca="1"/>
        <v>4.691675369129189E-2</v>
      </c>
      <c r="F213" s="182">
        <f ca="1"/>
        <v>4.6914305242497685E-2</v>
      </c>
      <c r="G213" s="182">
        <f ca="1"/>
        <v>4.6904046373620993E-2</v>
      </c>
      <c r="H213" s="182">
        <f ca="1"/>
        <v>4.6881693809926392E-2</v>
      </c>
      <c r="I213" s="182">
        <f ca="1"/>
        <v>4.6871708673628533E-2</v>
      </c>
      <c r="J213" s="182">
        <f ca="1"/>
        <v>4.7029896044438885E-2</v>
      </c>
      <c r="K213" s="182"/>
    </row>
    <row r="214" spans="1:11" ht="15">
      <c r="A214" s="4">
        <f t="shared" ca="1" si="3"/>
        <v>60006</v>
      </c>
      <c r="B214" s="3"/>
      <c r="C214" s="182">
        <f ca="1"/>
        <v>4.6940226723333943E-2</v>
      </c>
      <c r="D214" s="182">
        <f ca="1"/>
        <v>4.6940113452370646E-2</v>
      </c>
      <c r="E214" s="182">
        <f ca="1"/>
        <v>4.6939509897948269E-2</v>
      </c>
      <c r="F214" s="182">
        <f ca="1"/>
        <v>4.693705798331075E-2</v>
      </c>
      <c r="G214" s="182">
        <f ca="1"/>
        <v>4.6926819440964281E-2</v>
      </c>
      <c r="H214" s="182">
        <f ca="1"/>
        <v>4.6904501414157099E-2</v>
      </c>
      <c r="I214" s="182">
        <f ca="1"/>
        <v>4.6891016331760231E-2</v>
      </c>
      <c r="J214" s="182">
        <f ca="1"/>
        <v>4.7052797784250075E-2</v>
      </c>
      <c r="K214" s="3"/>
    </row>
    <row r="215" spans="1:11" ht="15">
      <c r="A215" s="4">
        <f t="shared" ca="1" si="3"/>
        <v>60096</v>
      </c>
      <c r="B215" s="3"/>
      <c r="C215" s="182">
        <f ca="1"/>
        <v>4.6962764982645393E-2</v>
      </c>
      <c r="D215" s="182">
        <f ca="1"/>
        <v>4.6962640831307412E-2</v>
      </c>
      <c r="E215" s="182">
        <f ca="1"/>
        <v>4.6962051233695873E-2</v>
      </c>
      <c r="F215" s="182">
        <f ca="1"/>
        <v>4.6959602167737265E-2</v>
      </c>
      <c r="G215" s="182">
        <f ca="1"/>
        <v>4.6949387901859804E-2</v>
      </c>
      <c r="H215" s="182">
        <f ca="1"/>
        <v>4.6927124816793432E-2</v>
      </c>
      <c r="I215" s="182">
        <f ca="1"/>
        <v>4.6910024073067519E-2</v>
      </c>
      <c r="J215" s="182">
        <f ca="1"/>
        <v>4.7075424105888414E-2</v>
      </c>
      <c r="K215" s="3"/>
    </row>
    <row r="217" spans="1:11">
      <c r="C217" t="str">
        <f ca="1">deserializeObject('Bumped Curves'!$B$2,C2&amp;".xml",TRUE)</f>
        <v>Swap_Curve_2012-7-16_Calibrated_Curve_1</v>
      </c>
      <c r="D217" t="str">
        <f ca="1">deserializeObject('Bumped Curves'!$B$2,D2&amp;".xml",TRUE)</f>
        <v>Swap_Curve_2012-7-16_Calibrated_Curve_2</v>
      </c>
      <c r="E217" t="str">
        <f ca="1">deserializeObject('Bumped Curves'!$B$2,E2&amp;".xml",TRUE)</f>
        <v>Swap_Curve_2012-7-16_Calibrated_Curve_3</v>
      </c>
      <c r="F217" t="str">
        <f ca="1">deserializeObject('Bumped Curves'!$B$2,F2&amp;".xml",TRUE)</f>
        <v>Swap_Curve_2012-7-16_Calibrated_Curve_4</v>
      </c>
      <c r="G217" t="str">
        <f ca="1">deserializeObject('Bumped Curves'!$B$2,G2&amp;".xml",TRUE)</f>
        <v>Swap_Curve_2012-7-16_Calibrated_Curve_5</v>
      </c>
      <c r="H217" t="str">
        <f ca="1">deserializeObject('Bumped Curves'!$B$2,H2&amp;".xml",TRUE)</f>
        <v>Swap_Curve_2012-7-16_Calibrated_Curve_6</v>
      </c>
      <c r="I217" t="str">
        <f ca="1">deserializeObject('Bumped Curves'!$B$2,I2&amp;".xml",TRUE)</f>
        <v>Swap_Curve_2012-7-16_Calibrated_Curve_7</v>
      </c>
      <c r="J217" t="str">
        <f ca="1">deserializeObject('Bumped Curves'!$B$2,J2&amp;".xml",TRUE)</f>
        <v>Swap_Curve_2012-7-16_Calibrated_Curve_8</v>
      </c>
    </row>
    <row r="218" spans="1:11">
      <c r="C218" t="str">
        <f ca="1">deserializeObject('Bumped Curves'!$B$2,C3&amp;".xml",TRUE)</f>
        <v>CNY_Treasury_Live_Curve_2012-7-16_Calibrated_Curve_1</v>
      </c>
      <c r="D218" t="str">
        <f ca="1">deserializeObject('Bumped Curves'!$B$2,D3&amp;".xml",TRUE)</f>
        <v>CNY_Treasury_Live_Curve_2012-7-16_Calibrated_Curve_2</v>
      </c>
      <c r="E218" t="str">
        <f ca="1">deserializeObject('Bumped Curves'!$B$2,E3&amp;".xml",TRUE)</f>
        <v>CNY_Treasury_Live_Curve_2012-7-16_Calibrated_Curve_3</v>
      </c>
      <c r="F218" t="str">
        <f ca="1">deserializeObject('Bumped Curves'!$B$2,F3&amp;".xml",TRUE)</f>
        <v>CNY_Treasury_Live_Curve_2012-7-16_Calibrated_Curve_4</v>
      </c>
      <c r="G218" t="str">
        <f ca="1">deserializeObject('Bumped Curves'!$B$2,G3&amp;".xml",TRUE)</f>
        <v>CNY_Treasury_Live_Curve_2012-7-16_Calibrated_Curve_5</v>
      </c>
      <c r="H218" t="str">
        <f ca="1">deserializeObject('Bumped Curves'!$B$2,H3&amp;".xml",TRUE)</f>
        <v>CNY_Treasury_Live_Curve_2012-7-16_Calibrated_Curve_6</v>
      </c>
      <c r="I218" t="str">
        <f ca="1">deserializeObject('Bumped Curves'!$B$2,I3&amp;".xml",TRUE)</f>
        <v>CNY_Treasury_Live_Curve_2012-7-16_Calibrated_Curve_7</v>
      </c>
      <c r="J218" t="str">
        <f ca="1">deserializeObject('Bumped Curves'!$B$2,J3&amp;".xml",TRUE)</f>
        <v>CNY_Treasury_Live_Curve_2012-7-16_Calibrated_Curve_8</v>
      </c>
    </row>
    <row r="221" spans="1:11">
      <c r="J221" t="s">
        <v>1321</v>
      </c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AB2430"/>
  <sheetViews>
    <sheetView tabSelected="1" workbookViewId="0">
      <selection activeCell="H18" sqref="H18"/>
    </sheetView>
  </sheetViews>
  <sheetFormatPr defaultRowHeight="15"/>
  <cols>
    <col min="1" max="1" width="9.125" style="3" bestFit="1" customWidth="1"/>
    <col min="2" max="2" width="10.125" style="3" bestFit="1" customWidth="1"/>
    <col min="3" max="3" width="6.5" style="3" bestFit="1" customWidth="1"/>
    <col min="4" max="4" width="10.375" style="3" bestFit="1" customWidth="1"/>
    <col min="5" max="5" width="17.375" style="3" bestFit="1" customWidth="1"/>
    <col min="6" max="6" width="19.25" style="3" bestFit="1" customWidth="1"/>
    <col min="7" max="9" width="18.125" style="3" bestFit="1" customWidth="1"/>
    <col min="10" max="10" width="36.25" style="3" bestFit="1" customWidth="1"/>
    <col min="11" max="11" width="10.5" style="3" customWidth="1"/>
    <col min="12" max="12" width="9.5" style="3" customWidth="1"/>
    <col min="13" max="13" width="16.375" style="3" bestFit="1" customWidth="1"/>
    <col min="14" max="14" width="14.875" style="3" bestFit="1" customWidth="1"/>
    <col min="15" max="15" width="19.25" style="3" bestFit="1" customWidth="1"/>
    <col min="16" max="16" width="19" style="3" bestFit="1" customWidth="1"/>
    <col min="17" max="18" width="9" style="3" customWidth="1"/>
    <col min="19" max="19" width="6.625" style="3" customWidth="1"/>
    <col min="20" max="20" width="18" style="3" bestFit="1" customWidth="1"/>
    <col min="21" max="21" width="9" style="3" customWidth="1"/>
    <col min="22" max="22" width="25.5" style="3" bestFit="1" customWidth="1"/>
    <col min="23" max="23" width="12.25" style="3" customWidth="1"/>
    <col min="24" max="24" width="10.25" style="3" customWidth="1"/>
    <col min="25" max="25" width="9.875" style="3" customWidth="1"/>
    <col min="26" max="26" width="9.75" style="3" customWidth="1"/>
    <col min="27" max="27" width="8.625" style="3" customWidth="1"/>
    <col min="28" max="28" width="8.75" style="3" customWidth="1"/>
    <col min="29" max="16384" width="9" style="3"/>
  </cols>
  <sheetData>
    <row r="3" spans="1:21">
      <c r="D3" s="3" t="str">
        <f ca="1">deserializeObject('Bumped Curves'!B1,'Bumped Curve Snap'!A2&amp;".xml",TRUE)</f>
        <v>CNY_Treasury_Live_Curve_2012-7-16</v>
      </c>
      <c r="H3" s="4">
        <f ca="1">_xll.qlCalendarAdvance("China",'Bumped Curve Snap'!B3,"1D")</f>
        <v>41107</v>
      </c>
      <c r="K3" s="4">
        <f ca="1">H3</f>
        <v>41107</v>
      </c>
    </row>
    <row r="6" spans="1:21">
      <c r="A6" s="65" t="s">
        <v>575</v>
      </c>
      <c r="B6" s="65" t="s">
        <v>576</v>
      </c>
      <c r="C6" s="65" t="s">
        <v>577</v>
      </c>
      <c r="D6" s="65" t="s">
        <v>578</v>
      </c>
      <c r="E6" s="65" t="s">
        <v>579</v>
      </c>
      <c r="F6" s="65" t="s">
        <v>580</v>
      </c>
      <c r="G6" s="65" t="s">
        <v>588</v>
      </c>
      <c r="H6" s="65" t="s">
        <v>589</v>
      </c>
      <c r="I6" s="65" t="s">
        <v>590</v>
      </c>
      <c r="J6" s="65" t="s">
        <v>591</v>
      </c>
      <c r="K6" s="70" t="s">
        <v>592</v>
      </c>
      <c r="L6" s="70" t="s">
        <v>593</v>
      </c>
      <c r="M6" s="70" t="s">
        <v>594</v>
      </c>
      <c r="N6" s="70" t="s">
        <v>595</v>
      </c>
      <c r="O6" s="70" t="s">
        <v>596</v>
      </c>
      <c r="P6" s="70" t="s">
        <v>597</v>
      </c>
      <c r="Q6" s="70" t="s">
        <v>598</v>
      </c>
      <c r="R6" s="70" t="s">
        <v>599</v>
      </c>
      <c r="S6" s="70" t="s">
        <v>600</v>
      </c>
      <c r="T6" s="70" t="s">
        <v>601</v>
      </c>
    </row>
    <row r="7" spans="1:21">
      <c r="A7" s="64" t="s">
        <v>581</v>
      </c>
      <c r="B7" s="67">
        <v>3.4000000000000002E-2</v>
      </c>
      <c r="C7" s="66" t="s">
        <v>582</v>
      </c>
      <c r="D7" s="68">
        <v>39162</v>
      </c>
      <c r="E7" s="68">
        <v>39174</v>
      </c>
      <c r="F7" s="68">
        <v>42816</v>
      </c>
      <c r="G7" s="69">
        <v>102.422</v>
      </c>
      <c r="H7" s="69">
        <v>102.4224</v>
      </c>
      <c r="I7" s="63">
        <v>103.40422222222222</v>
      </c>
      <c r="J7" s="3" t="str">
        <f ca="1">_xll.qlSchedule(A7&amp;"_portfolioSchedule",D7,F7,C7,"China",,,,,,,,,TRUE)</f>
        <v>070003.IB_portfolioSchedule#0011</v>
      </c>
      <c r="K7" s="3" t="str">
        <f ca="1">_xll.qlFixedRateBond(A7&amp;"_portfolio_bond",,"CNY",1,,J7,B7,"Bond Basis",,,D7,"China",,,TRUE)</f>
        <v>070003.IB_portfolio_bond#0011</v>
      </c>
      <c r="L7" s="59">
        <f ca="1">_xll.qlBondAccruedAmount(K7,$H$3)</f>
        <v>1.086111111111121</v>
      </c>
      <c r="M7" s="59">
        <f ca="1">_xll.qlBondCleanPriceFromYieldTermStructure($K7,'Bumped Curve Snap'!C$3,$H$3)+$L7</f>
        <v>104.1598400279332</v>
      </c>
      <c r="N7" s="59">
        <f ca="1">_xll.qlBondCleanPriceFromYieldTermStructure($K7,'Bumped Curve Snap'!D$3,$H$3)+$L7</f>
        <v>104.15974539632539</v>
      </c>
      <c r="O7" s="59">
        <f ca="1">_xll.qlBondCleanPriceFromYieldTermStructure($K7,'Bumped Curve Snap'!E$3,$H$3)+$L7</f>
        <v>104.15482539692927</v>
      </c>
      <c r="P7" s="59">
        <f ca="1">_xll.qlBondCleanPriceFromYieldTermStructure($K7,'Bumped Curve Snap'!F$3,$H$3)+$L7</f>
        <v>104.12084623043889</v>
      </c>
      <c r="Q7" s="59">
        <f ca="1">_xll.qlBondCleanPriceFromYieldTermStructure($K7,'Bumped Curve Snap'!G$3,$H$3)+$L7</f>
        <v>104.1598400279165</v>
      </c>
      <c r="R7" s="59">
        <f ca="1">_xll.qlBondCleanPriceFromYieldTermStructure($K7,'Bumped Curve Snap'!H$3,$H$3)+$L7</f>
        <v>104.1598400279165</v>
      </c>
      <c r="S7" s="59">
        <f ca="1">_xll.qlBondCleanPriceFromYieldTermStructure($K7,'Bumped Curve Snap'!I$3,$H$3)+$L7</f>
        <v>104.1598400279165</v>
      </c>
      <c r="T7" s="59">
        <f ca="1">_xll.qlBondCleanPriceFromYieldTermStructure($K7,'Bumped Curve Snap'!J$3,$H$3)+$L7</f>
        <v>104.1157198603987</v>
      </c>
    </row>
    <row r="8" spans="1:21">
      <c r="A8" s="64" t="s">
        <v>583</v>
      </c>
      <c r="B8" s="67">
        <v>2.58E-2</v>
      </c>
      <c r="C8" s="66" t="s">
        <v>584</v>
      </c>
      <c r="D8" s="68">
        <v>40415</v>
      </c>
      <c r="E8" s="68">
        <v>40422</v>
      </c>
      <c r="F8" s="68">
        <v>42242</v>
      </c>
      <c r="G8" s="69">
        <v>100.0227</v>
      </c>
      <c r="H8" s="69">
        <v>100.0217</v>
      </c>
      <c r="I8" s="63">
        <v>102.24436666666668</v>
      </c>
      <c r="J8" s="3" t="str">
        <f ca="1">_xll.qlSchedule(A8&amp;"_portfolioSchedule",D8,F8,C8,"China",,,,,,,,,TRUE)</f>
        <v>100028.IB_portfolioSchedule#0011</v>
      </c>
      <c r="K8" s="3" t="str">
        <f ca="1">_xll.qlFixedRateBond(A8&amp;"_portfolio_bond",,"CNY",1,,J8,B8,"Bond Basis",,,D8,"China",,,TRUE)</f>
        <v>100028.IB_portfolio_bond#0011</v>
      </c>
      <c r="L8" s="59">
        <f ca="1">_xll.qlBondAccruedAmount(K8,$H$3)</f>
        <v>2.3004999999999942</v>
      </c>
      <c r="M8" s="59">
        <f ca="1">_xll.qlBondCleanPriceFromYieldTermStructure($K8,'Bumped Curve Snap'!C$3,$H$3)+$L8</f>
        <v>102.61865973900683</v>
      </c>
      <c r="N8" s="59">
        <f ca="1">_xll.qlBondCleanPriceFromYieldTermStructure($K8,'Bumped Curve Snap'!D$3,$H$3)+$L8</f>
        <v>102.61864437307646</v>
      </c>
      <c r="O8" s="59">
        <f ca="1">_xll.qlBondCleanPriceFromYieldTermStructure($K8,'Bumped Curve Snap'!E$3,$H$3)+$L8</f>
        <v>102.59995869345197</v>
      </c>
      <c r="P8" s="59">
        <f ca="1">_xll.qlBondCleanPriceFromYieldTermStructure($K8,'Bumped Curve Snap'!F$3,$H$3)+$L8</f>
        <v>102.60768701400498</v>
      </c>
      <c r="Q8" s="59">
        <f ca="1">_xll.qlBondCleanPriceFromYieldTermStructure($K8,'Bumped Curve Snap'!G$3,$H$3)+$L8</f>
        <v>102.61865973900676</v>
      </c>
      <c r="R8" s="59">
        <f ca="1">_xll.qlBondCleanPriceFromYieldTermStructure($K8,'Bumped Curve Snap'!H$3,$H$3)+$L8</f>
        <v>102.61865973900676</v>
      </c>
      <c r="S8" s="59">
        <f ca="1">_xll.qlBondCleanPriceFromYieldTermStructure($K8,'Bumped Curve Snap'!I$3,$H$3)+$L8</f>
        <v>102.61865973900676</v>
      </c>
      <c r="T8" s="59">
        <f ca="1">_xll.qlBondCleanPriceFromYieldTermStructure($K8,'Bumped Curve Snap'!J$3,$H$3)+$L8</f>
        <v>102.58895739035758</v>
      </c>
    </row>
    <row r="9" spans="1:21">
      <c r="A9" s="64" t="s">
        <v>585</v>
      </c>
      <c r="B9" s="67">
        <v>3.1E-2</v>
      </c>
      <c r="C9" s="66" t="s">
        <v>584</v>
      </c>
      <c r="D9" s="68">
        <v>40464</v>
      </c>
      <c r="E9" s="68">
        <v>40471</v>
      </c>
      <c r="F9" s="68">
        <v>43022</v>
      </c>
      <c r="G9" s="69">
        <v>100.59950000000001</v>
      </c>
      <c r="H9" s="69">
        <v>100.5998</v>
      </c>
      <c r="I9" s="63">
        <v>102.8556111111111</v>
      </c>
      <c r="J9" s="3" t="str">
        <f ca="1">_xll.qlSchedule(A9&amp;"_portfolioSchedule",D9,F9,C9,"China",,,,,,,,,TRUE)</f>
        <v>100032.IB_portfolioSchedule#0011</v>
      </c>
      <c r="K9" s="3" t="str">
        <f ca="1">_xll.qlFixedRateBond(A9&amp;"_portfolio_bond",,"CNY",1,,J9,B9,"Bond Basis",,,D9,"China",,,TRUE)</f>
        <v>100032.IB_portfolio_bond#0011</v>
      </c>
      <c r="L9" s="59">
        <f ca="1">_xll.qlBondAccruedAmount(K9,$H$3)</f>
        <v>2.3508333333333242</v>
      </c>
      <c r="M9" s="59">
        <f ca="1">_xll.qlBondCleanPriceFromYieldTermStructure($K9,'Bumped Curve Snap'!C$3,$H$3)+$L9</f>
        <v>103.62690625298087</v>
      </c>
      <c r="N9" s="59">
        <f ca="1">_xll.qlBondCleanPriceFromYieldTermStructure($K9,'Bumped Curve Snap'!D$3,$H$3)+$L9</f>
        <v>103.62686824448528</v>
      </c>
      <c r="O9" s="59">
        <f ca="1">_xll.qlBondCleanPriceFromYieldTermStructure($K9,'Bumped Curve Snap'!E$3,$H$3)+$L9</f>
        <v>103.62678015252558</v>
      </c>
      <c r="P9" s="59">
        <f ca="1">_xll.qlBondCleanPriceFromYieldTermStructure($K9,'Bumped Curve Snap'!F$3,$H$3)+$L9</f>
        <v>103.58057518948745</v>
      </c>
      <c r="Q9" s="59">
        <f ca="1">_xll.qlBondCleanPriceFromYieldTermStructure($K9,'Bumped Curve Snap'!G$3,$H$3)+$L9</f>
        <v>103.62457014060192</v>
      </c>
      <c r="R9" s="59">
        <f ca="1">_xll.qlBondCleanPriceFromYieldTermStructure($K9,'Bumped Curve Snap'!H$3,$H$3)+$L9</f>
        <v>103.62690625293148</v>
      </c>
      <c r="S9" s="59">
        <f ca="1">_xll.qlBondCleanPriceFromYieldTermStructure($K9,'Bumped Curve Snap'!I$3,$H$3)+$L9</f>
        <v>103.62690625293148</v>
      </c>
      <c r="T9" s="59">
        <f ca="1">_xll.qlBondCleanPriceFromYieldTermStructure($K9,'Bumped Curve Snap'!J$3,$H$3)+$L9</f>
        <v>103.57803869944642</v>
      </c>
    </row>
    <row r="10" spans="1:21">
      <c r="A10" s="64" t="s">
        <v>586</v>
      </c>
      <c r="B10" s="67">
        <v>3.4099999999999998E-2</v>
      </c>
      <c r="C10" s="66" t="s">
        <v>584</v>
      </c>
      <c r="D10" s="68">
        <v>40975</v>
      </c>
      <c r="E10" s="68">
        <v>40982</v>
      </c>
      <c r="F10" s="68">
        <v>43532</v>
      </c>
      <c r="G10" s="69">
        <v>101.8312</v>
      </c>
      <c r="H10" s="69">
        <v>101.7715</v>
      </c>
      <c r="I10" s="63">
        <v>102.94892222222221</v>
      </c>
      <c r="J10" s="3" t="str">
        <f ca="1">_xll.qlSchedule(A10&amp;"_portfolioSchedule",D10,F10,C10,"China",,,,,,,,,TRUE)</f>
        <v>120005.IB_portfolioSchedule#0011</v>
      </c>
      <c r="K10" s="3" t="str">
        <f ca="1">_xll.qlFixedRateBond(A10&amp;"_portfolio_bond",,"CNY",1,,J10,B10,"Bond Basis",,,D10,"China",,,TRUE)</f>
        <v>120005.IB_portfolio_bond#0011</v>
      </c>
      <c r="L10" s="59">
        <f ca="1">_xll.qlBondAccruedAmount(K10,$H$3)</f>
        <v>1.221916666666667</v>
      </c>
      <c r="M10" s="59">
        <f ca="1">_xll.qlBondCleanPriceFromYieldTermStructure($K10,'Bumped Curve Snap'!C$3,$H$3)+$L10</f>
        <v>103.02326749061348</v>
      </c>
      <c r="N10" s="59">
        <f ca="1">_xll.qlBondCleanPriceFromYieldTermStructure($K10,'Bumped Curve Snap'!D$3,$H$3)+$L10</f>
        <v>103.0232029619639</v>
      </c>
      <c r="O10" s="59">
        <f ca="1">_xll.qlBondCleanPriceFromYieldTermStructure($K10,'Bumped Curve Snap'!E$3,$H$3)+$L10</f>
        <v>103.02312837870322</v>
      </c>
      <c r="P10" s="59">
        <f ca="1">_xll.qlBondCleanPriceFromYieldTermStructure($K10,'Bumped Curve Snap'!F$3,$H$3)+$L10</f>
        <v>102.9825159841418</v>
      </c>
      <c r="Q10" s="59">
        <f ca="1">_xll.qlBondCleanPriceFromYieldTermStructure($K10,'Bumped Curve Snap'!G$3,$H$3)+$L10</f>
        <v>103.00364885333077</v>
      </c>
      <c r="R10" s="59">
        <f ca="1">_xll.qlBondCleanPriceFromYieldTermStructure($K10,'Bumped Curve Snap'!H$3,$H$3)+$L10</f>
        <v>103.02326749056171</v>
      </c>
      <c r="S10" s="59">
        <f ca="1">_xll.qlBondCleanPriceFromYieldTermStructure($K10,'Bumped Curve Snap'!I$3,$H$3)+$L10</f>
        <v>103.02326749056171</v>
      </c>
      <c r="T10" s="59">
        <f ca="1">_xll.qlBondCleanPriceFromYieldTermStructure($K10,'Bumped Curve Snap'!J$3,$H$3)+$L10</f>
        <v>102.96267445102234</v>
      </c>
    </row>
    <row r="11" spans="1:21">
      <c r="A11" s="64" t="s">
        <v>603</v>
      </c>
      <c r="B11" s="67">
        <v>3.5700000000000003E-2</v>
      </c>
      <c r="C11" s="66" t="s">
        <v>582</v>
      </c>
      <c r="D11" s="68">
        <v>40863</v>
      </c>
      <c r="E11" s="68">
        <v>40870</v>
      </c>
      <c r="F11" s="68">
        <v>44517</v>
      </c>
      <c r="G11" s="69">
        <v>101.67230000000001</v>
      </c>
      <c r="H11" s="69">
        <v>101.783</v>
      </c>
      <c r="I11" s="63">
        <v>102.15821666666668</v>
      </c>
      <c r="J11" s="3" t="str">
        <f ca="1">_xll.qlSchedule(A11&amp;"_portfolioSchedule",D11,F11,C11,"China",,,,,,,,,TRUE)</f>
        <v>110024.IB_portfolioSchedule#0011</v>
      </c>
      <c r="K11" s="3" t="str">
        <f ca="1">_xll.qlFixedRateBond(A11&amp;"_portfolio_bond",,"CNY",1,,J11,B11,"Bond Basis",,,D11,"China",,,TRUE)</f>
        <v>110024.IB_portfolio_bond#0011</v>
      </c>
      <c r="L11" s="59">
        <f ca="1">_xll.qlBondAccruedAmount(K11,$H$3)</f>
        <v>0.59499999999998998</v>
      </c>
      <c r="M11" s="59">
        <f ca="1">_xll.qlBondCleanPriceFromYieldTermStructure($K11,'Bumped Curve Snap'!C$3,$H$3)+$L11</f>
        <v>103.01204351822761</v>
      </c>
      <c r="N11" s="59">
        <f ca="1">_xll.qlBondCleanPriceFromYieldTermStructure($K11,'Bumped Curve Snap'!D$3,$H$3)+$L11</f>
        <v>103.01199544987419</v>
      </c>
      <c r="O11" s="59">
        <f ca="1">_xll.qlBondCleanPriceFromYieldTermStructure($K11,'Bumped Curve Snap'!E$3,$H$3)+$L11</f>
        <v>103.01191374442269</v>
      </c>
      <c r="P11" s="59">
        <f ca="1">_xll.qlBondCleanPriceFromYieldTermStructure($K11,'Bumped Curve Snap'!F$3,$H$3)+$L11</f>
        <v>103.0005525921063</v>
      </c>
      <c r="Q11" s="59">
        <f ca="1">_xll.qlBondCleanPriceFromYieldTermStructure($K11,'Bumped Curve Snap'!G$3,$H$3)+$L11</f>
        <v>102.94299900779342</v>
      </c>
      <c r="R11" s="59">
        <f ca="1">_xll.qlBondCleanPriceFromYieldTermStructure($K11,'Bumped Curve Snap'!H$3,$H$3)+$L11</f>
        <v>103.0120435182418</v>
      </c>
      <c r="S11" s="59">
        <f ca="1">_xll.qlBondCleanPriceFromYieldTermStructure($K11,'Bumped Curve Snap'!I$3,$H$3)+$L11</f>
        <v>103.0120435182418</v>
      </c>
      <c r="T11" s="59">
        <f ca="1">_xll.qlBondCleanPriceFromYieldTermStructure($K11,'Bumped Curve Snap'!J$3,$H$3)+$L11</f>
        <v>102.93131862539732</v>
      </c>
    </row>
    <row r="12" spans="1:21">
      <c r="A12" s="64" t="s">
        <v>587</v>
      </c>
      <c r="B12" s="89">
        <v>3.6499999999999998E-2</v>
      </c>
      <c r="C12" s="88" t="s">
        <v>584</v>
      </c>
      <c r="D12" s="90">
        <v>40828</v>
      </c>
      <c r="E12" s="90">
        <v>40835</v>
      </c>
      <c r="F12" s="90">
        <v>43386</v>
      </c>
      <c r="G12" s="87">
        <v>102.2551</v>
      </c>
      <c r="H12" s="87">
        <v>102.2543</v>
      </c>
      <c r="I12" s="63">
        <v>104.92162777777779</v>
      </c>
      <c r="J12" s="3" t="str">
        <f ca="1">_xll.qlSchedule(A12&amp;"_portfolioSchedule",D12,F12,C12,"China",,,,,,,,,TRUE)</f>
        <v>110021.IB_portfolioSchedule#0011</v>
      </c>
      <c r="K12" s="3" t="str">
        <f ca="1">_xll.qlFixedRateBond(A12&amp;"_portfolio_bond",,"CNY",1,,J12,B12,"Bond Basis",,,D12,"China",,,TRUE)</f>
        <v>110021.IB_portfolio_bond#0011</v>
      </c>
      <c r="L12" s="59">
        <f ca="1">_xll.qlBondAccruedAmount(K12,$H$3)</f>
        <v>2.7780555555555475</v>
      </c>
      <c r="M12" s="59">
        <f ca="1">_xll.qlBondCleanPriceFromYieldTermStructure($K12,'Bumped Curve Snap'!C$3,$H$3)+$L12</f>
        <v>105.29554624116444</v>
      </c>
      <c r="N12" s="59">
        <f ca="1">_xll.qlBondCleanPriceFromYieldTermStructure($K12,'Bumped Curve Snap'!D$3,$H$3)+$L12</f>
        <v>105.29549210972246</v>
      </c>
      <c r="O12" s="59">
        <f ca="1">_xll.qlBondCleanPriceFromYieldTermStructure($K12,'Bumped Curve Snap'!E$3,$H$3)+$L12</f>
        <v>105.29534073952962</v>
      </c>
      <c r="P12" s="59">
        <f ca="1">_xll.qlBondCleanPriceFromYieldTermStructure($K12,'Bumped Curve Snap'!F$3,$H$3)+$L12</f>
        <v>105.25236541880783</v>
      </c>
      <c r="Q12" s="59">
        <f ca="1">_xll.qlBondCleanPriceFromYieldTermStructure($K12,'Bumped Curve Snap'!G$3,$H$3)+$L12</f>
        <v>105.28150456686163</v>
      </c>
      <c r="R12" s="59">
        <f ca="1">_xll.qlBondCleanPriceFromYieldTermStructure($K12,'Bumped Curve Snap'!H$3,$H$3)+$L12</f>
        <v>105.29554624116864</v>
      </c>
      <c r="S12" s="59">
        <f ca="1">_xll.qlBondCleanPriceFromYieldTermStructure($K12,'Bumped Curve Snap'!I$3,$H$3)+$L12</f>
        <v>105.29554624116864</v>
      </c>
      <c r="T12" s="59">
        <f ca="1">_xll.qlBondCleanPriceFromYieldTermStructure($K12,'Bumped Curve Snap'!J$3,$H$3)+$L12</f>
        <v>105.23802287025846</v>
      </c>
    </row>
    <row r="13" spans="1:21">
      <c r="A13" s="64" t="s">
        <v>602</v>
      </c>
      <c r="B13" s="67">
        <v>3.1399999999999997E-2</v>
      </c>
      <c r="C13" s="66" t="s">
        <v>584</v>
      </c>
      <c r="D13" s="68">
        <v>40954</v>
      </c>
      <c r="E13" s="68">
        <v>40961</v>
      </c>
      <c r="F13" s="68">
        <v>42782</v>
      </c>
      <c r="G13" s="69">
        <v>101.4556</v>
      </c>
      <c r="H13" s="69">
        <v>101.38420000000001</v>
      </c>
      <c r="I13" s="63">
        <v>102.67671111111112</v>
      </c>
      <c r="J13" s="3" t="str">
        <f ca="1">_xll.qlSchedule(A13&amp;"_portfolioSchedule",D13,F13,C13,"China",,,,,,,,,TRUE)</f>
        <v>120003.IB_portfolioSchedule#0011</v>
      </c>
      <c r="K13" s="3" t="str">
        <f ca="1">_xll.qlFixedRateBond(A13&amp;"_portfolio_bond",,"CNY",1,,J13,B13,"Bond Basis",,,D13,"China",,,TRUE)</f>
        <v>120003.IB_portfolio_bond#0011</v>
      </c>
      <c r="L13" s="59">
        <f ca="1">_xll.qlBondAccruedAmount(K13,$H$3)</f>
        <v>1.3170555555555463</v>
      </c>
      <c r="M13" s="59">
        <f ca="1">_xll.qlBondCleanPriceFromYieldTermStructure($K13,'Bumped Curve Snap'!C$3,$H$3)+$L13</f>
        <v>103.18172856779356</v>
      </c>
      <c r="N13" s="59">
        <f ca="1">_xll.qlBondCleanPriceFromYieldTermStructure($K13,'Bumped Curve Snap'!D$3,$H$3)+$L13</f>
        <v>103.18165390006355</v>
      </c>
      <c r="O13" s="59">
        <f ca="1">_xll.qlBondCleanPriceFromYieldTermStructure($K13,'Bumped Curve Snap'!E$3,$H$3)+$L13</f>
        <v>103.17553514500423</v>
      </c>
      <c r="P13" s="59">
        <f ca="1">_xll.qlBondCleanPriceFromYieldTermStructure($K13,'Bumped Curve Snap'!F$3,$H$3)+$L13</f>
        <v>103.14473711204792</v>
      </c>
      <c r="Q13" s="59">
        <f ca="1">_xll.qlBondCleanPriceFromYieldTermStructure($K13,'Bumped Curve Snap'!G$3,$H$3)+$L13</f>
        <v>103.18172856775645</v>
      </c>
      <c r="R13" s="59">
        <f ca="1">_xll.qlBondCleanPriceFromYieldTermStructure($K13,'Bumped Curve Snap'!H$3,$H$3)+$L13</f>
        <v>103.18172856775645</v>
      </c>
      <c r="S13" s="59">
        <f ca="1">_xll.qlBondCleanPriceFromYieldTermStructure($K13,'Bumped Curve Snap'!I$3,$H$3)+$L13</f>
        <v>103.18172856775645</v>
      </c>
      <c r="T13" s="59">
        <f ca="1">_xll.qlBondCleanPriceFromYieldTermStructure($K13,'Bumped Curve Snap'!J$3,$H$3)+$L13</f>
        <v>103.13843965323696</v>
      </c>
    </row>
    <row r="14" spans="1:21">
      <c r="A14" s="91" t="s">
        <v>611</v>
      </c>
      <c r="B14" s="67">
        <v>3.1399999999999997E-2</v>
      </c>
      <c r="C14" s="66" t="s">
        <v>584</v>
      </c>
      <c r="D14" s="68">
        <v>41066</v>
      </c>
      <c r="E14" s="68">
        <v>41073</v>
      </c>
      <c r="F14" s="68">
        <v>43623</v>
      </c>
      <c r="G14" s="92">
        <v>100.1807</v>
      </c>
      <c r="H14" s="92">
        <v>100.22880000000001</v>
      </c>
      <c r="I14" s="93">
        <v>100.43364444444444</v>
      </c>
      <c r="J14" s="3" t="str">
        <f ca="1">_xll.qlSchedule(A14&amp;"_portfolioSchedule",D14,F14,C14,"China",,,,,,,,,TRUE)</f>
        <v>120010.IB_portfolioSchedule#0011</v>
      </c>
      <c r="K14" s="3" t="str">
        <f ca="1">_xll.qlFixedRateBond(A14&amp;"_portfolio_bond",,"CNY",1,,J14,B14,"Bond Basis",,,D14,"China",,,TRUE)</f>
        <v>120010.IB_portfolio_bond#0011</v>
      </c>
      <c r="L14" s="59">
        <f ca="1">_xll.qlBondAccruedAmount(K14,$H$3)</f>
        <v>0.34888888888888742</v>
      </c>
      <c r="M14" s="59">
        <f ca="1">_xll.qlBondCleanPriceFromYieldTermStructure($K14,'Bumped Curve Snap'!C$3,$H$3)+$L14</f>
        <v>100.81737241342807</v>
      </c>
      <c r="N14" s="59">
        <f ca="1">_xll.qlBondCleanPriceFromYieldTermStructure($K14,'Bumped Curve Snap'!D$3,$H$3)+$L14</f>
        <v>100.81734768778898</v>
      </c>
      <c r="O14" s="59">
        <f ca="1">_xll.qlBondCleanPriceFromYieldTermStructure($K14,'Bumped Curve Snap'!E$3,$H$3)+$L14</f>
        <v>100.8173324190731</v>
      </c>
      <c r="P14" s="59">
        <f ca="1">_xll.qlBondCleanPriceFromYieldTermStructure($K14,'Bumped Curve Snap'!F$3,$H$3)+$L14</f>
        <v>100.77858627559323</v>
      </c>
      <c r="Q14" s="59">
        <f ca="1">_xll.qlBondCleanPriceFromYieldTermStructure($K14,'Bumped Curve Snap'!G$3,$H$3)+$L14</f>
        <v>100.7941214953168</v>
      </c>
      <c r="R14" s="59">
        <f ca="1">_xll.qlBondCleanPriceFromYieldTermStructure($K14,'Bumped Curve Snap'!H$3,$H$3)+$L14</f>
        <v>100.8173724134017</v>
      </c>
      <c r="S14" s="59">
        <f ca="1">_xll.qlBondCleanPriceFromYieldTermStructure($K14,'Bumped Curve Snap'!I$3,$H$3)+$L14</f>
        <v>100.8173724134017</v>
      </c>
      <c r="T14" s="59">
        <f ca="1">_xll.qlBondCleanPriceFromYieldTermStructure($K14,'Bumped Curve Snap'!J$3,$H$3)+$L14</f>
        <v>100.7552784725586</v>
      </c>
      <c r="U14" s="110">
        <v>1.0083165390439712</v>
      </c>
    </row>
    <row r="19" spans="2:21">
      <c r="B19" s="3">
        <v>103.01</v>
      </c>
      <c r="C19" s="3">
        <v>100.301</v>
      </c>
      <c r="D19" s="3">
        <v>101.2991</v>
      </c>
      <c r="E19" s="3">
        <v>102.2736</v>
      </c>
      <c r="F19" s="3">
        <v>102.2518</v>
      </c>
    </row>
    <row r="22" spans="2:21">
      <c r="E22" s="85" t="s">
        <v>613</v>
      </c>
      <c r="F22" s="83"/>
      <c r="G22" s="83"/>
      <c r="H22" s="83"/>
      <c r="I22" s="83" t="s">
        <v>614</v>
      </c>
      <c r="J22" s="83"/>
      <c r="K22" s="83"/>
    </row>
    <row r="23" spans="2:21">
      <c r="E23" s="84" t="s">
        <v>615</v>
      </c>
      <c r="F23" s="84" t="s">
        <v>616</v>
      </c>
      <c r="G23" s="84" t="s">
        <v>617</v>
      </c>
      <c r="H23" s="98" t="s">
        <v>618</v>
      </c>
      <c r="I23" s="84" t="s">
        <v>615</v>
      </c>
      <c r="J23" s="104" t="s">
        <v>619</v>
      </c>
      <c r="K23" s="98" t="s">
        <v>617</v>
      </c>
      <c r="M23" s="71" t="s">
        <v>605</v>
      </c>
      <c r="N23" s="61"/>
      <c r="O23" s="61"/>
      <c r="P23" s="61"/>
      <c r="Q23" s="61"/>
      <c r="R23" s="61"/>
      <c r="S23" s="61"/>
      <c r="T23" s="61"/>
      <c r="U23" s="61"/>
    </row>
    <row r="24" spans="2:21">
      <c r="E24" s="86" t="s">
        <v>581</v>
      </c>
      <c r="F24" s="59">
        <v>103.01</v>
      </c>
      <c r="G24" s="96">
        <v>4.2957018368497923</v>
      </c>
      <c r="H24" s="99">
        <v>5</v>
      </c>
      <c r="I24" s="86" t="s">
        <v>620</v>
      </c>
      <c r="J24" s="94">
        <v>99.664000000000001</v>
      </c>
      <c r="K24" s="105">
        <v>6.12</v>
      </c>
      <c r="M24" s="58" t="s">
        <v>606</v>
      </c>
      <c r="N24" s="58" t="s">
        <v>595</v>
      </c>
      <c r="O24" s="58" t="s">
        <v>596</v>
      </c>
      <c r="P24" s="58" t="s">
        <v>597</v>
      </c>
      <c r="Q24" s="58" t="s">
        <v>598</v>
      </c>
      <c r="R24" s="58" t="s">
        <v>599</v>
      </c>
      <c r="S24" s="58" t="s">
        <v>600</v>
      </c>
      <c r="T24" s="58" t="s">
        <v>607</v>
      </c>
      <c r="U24" s="78" t="s">
        <v>608</v>
      </c>
    </row>
    <row r="25" spans="2:21">
      <c r="E25" s="86" t="s">
        <v>583</v>
      </c>
      <c r="F25" s="59">
        <v>100.301</v>
      </c>
      <c r="G25" s="96">
        <v>2.9155661736153697</v>
      </c>
      <c r="H25" s="100">
        <v>5</v>
      </c>
      <c r="I25" s="86"/>
      <c r="J25" s="86"/>
      <c r="K25" s="86"/>
      <c r="M25" s="35" t="str">
        <f ca="1">A7</f>
        <v>070003.IB</v>
      </c>
      <c r="N25" s="72">
        <f t="shared" ref="N25:S28" ca="1" si="0">-N7+$M7</f>
        <v>9.463160780853741E-5</v>
      </c>
      <c r="O25" s="72">
        <f t="shared" ca="1" si="0"/>
        <v>5.0146310039309583E-3</v>
      </c>
      <c r="P25" s="72">
        <f t="shared" ca="1" si="0"/>
        <v>3.8993797494313753E-2</v>
      </c>
      <c r="Q25" s="72">
        <f t="shared" ca="1" si="0"/>
        <v>1.6697754290362354E-11</v>
      </c>
      <c r="R25" s="72">
        <f t="shared" ca="1" si="0"/>
        <v>1.6697754290362354E-11</v>
      </c>
      <c r="S25" s="72">
        <f t="shared" ca="1" si="0"/>
        <v>1.6697754290362354E-11</v>
      </c>
      <c r="T25" s="72">
        <f ca="1">SUM(N25:S25)</f>
        <v>4.4103060156146512E-2</v>
      </c>
      <c r="U25" s="79">
        <f ca="1">-T7+M7</f>
        <v>4.412016753450132E-2</v>
      </c>
    </row>
    <row r="26" spans="2:21">
      <c r="E26" s="86" t="s">
        <v>585</v>
      </c>
      <c r="F26" s="59">
        <v>101.2991</v>
      </c>
      <c r="G26" s="96">
        <v>4.7054726073289403</v>
      </c>
      <c r="H26" s="100">
        <v>10</v>
      </c>
      <c r="I26" s="86"/>
      <c r="J26" s="86"/>
      <c r="K26" s="86"/>
      <c r="M26" s="35" t="str">
        <f ca="1">A8</f>
        <v>100028.IB</v>
      </c>
      <c r="N26" s="72">
        <f t="shared" ca="1" si="0"/>
        <v>1.5365930366328939E-5</v>
      </c>
      <c r="O26" s="72">
        <f t="shared" ca="1" si="0"/>
        <v>1.8701045554863072E-2</v>
      </c>
      <c r="P26" s="72">
        <f t="shared" ca="1" si="0"/>
        <v>1.0972725001849426E-2</v>
      </c>
      <c r="Q26" s="72">
        <f t="shared" ca="1" si="0"/>
        <v>0</v>
      </c>
      <c r="R26" s="72">
        <f t="shared" ca="1" si="0"/>
        <v>0</v>
      </c>
      <c r="S26" s="72">
        <f t="shared" ca="1" si="0"/>
        <v>0</v>
      </c>
      <c r="T26" s="72">
        <f ca="1">SUM(N26:S26)</f>
        <v>2.9689136487078827E-2</v>
      </c>
      <c r="U26" s="79">
        <f ca="1">-T8+M8</f>
        <v>2.9702348649252031E-2</v>
      </c>
    </row>
    <row r="27" spans="2:21">
      <c r="E27" s="86" t="s">
        <v>586</v>
      </c>
      <c r="F27" s="59">
        <v>102.2736</v>
      </c>
      <c r="G27" s="96">
        <v>5.8427867309892196</v>
      </c>
      <c r="H27" s="100">
        <v>15</v>
      </c>
      <c r="I27" s="86"/>
      <c r="J27" s="86"/>
      <c r="K27" s="86"/>
      <c r="M27" s="35" t="str">
        <f ca="1">A9</f>
        <v>100032.IB</v>
      </c>
      <c r="N27" s="72">
        <f t="shared" ca="1" si="0"/>
        <v>3.8008495593544467E-5</v>
      </c>
      <c r="O27" s="72">
        <f t="shared" ca="1" si="0"/>
        <v>1.2610045529015679E-4</v>
      </c>
      <c r="P27" s="72">
        <f t="shared" ca="1" si="0"/>
        <v>4.6331063493425972E-2</v>
      </c>
      <c r="Q27" s="72">
        <f t="shared" ca="1" si="0"/>
        <v>2.3361123789555904E-3</v>
      </c>
      <c r="R27" s="72">
        <f t="shared" ca="1" si="0"/>
        <v>4.9396930990042165E-11</v>
      </c>
      <c r="S27" s="72">
        <f t="shared" ca="1" si="0"/>
        <v>4.9396930990042165E-11</v>
      </c>
      <c r="T27" s="72">
        <f ca="1">SUM(N27:S27)</f>
        <v>4.8831284922059126E-2</v>
      </c>
      <c r="U27" s="79">
        <f ca="1">-T9+M9</f>
        <v>4.8867553534449826E-2</v>
      </c>
    </row>
    <row r="28" spans="2:21">
      <c r="E28" s="86" t="s">
        <v>587</v>
      </c>
      <c r="F28" s="59">
        <v>102.2518</v>
      </c>
      <c r="G28" s="96">
        <v>5.4108535628123411</v>
      </c>
      <c r="H28" s="100">
        <v>2</v>
      </c>
      <c r="I28" s="86"/>
      <c r="J28" s="86"/>
      <c r="K28" s="86"/>
      <c r="M28" s="35" t="str">
        <f ca="1">A10</f>
        <v>120005.IB</v>
      </c>
      <c r="N28" s="72">
        <f t="shared" ca="1" si="0"/>
        <v>6.4528649573958319E-5</v>
      </c>
      <c r="O28" s="72">
        <f t="shared" ca="1" si="0"/>
        <v>1.3911191025783864E-4</v>
      </c>
      <c r="P28" s="72">
        <f t="shared" ca="1" si="0"/>
        <v>4.0751506471679022E-2</v>
      </c>
      <c r="Q28" s="72">
        <f t="shared" ca="1" si="0"/>
        <v>1.9618637282704299E-2</v>
      </c>
      <c r="R28" s="72">
        <f t="shared" ca="1" si="0"/>
        <v>5.17701437274809E-11</v>
      </c>
      <c r="S28" s="72">
        <f t="shared" ca="1" si="0"/>
        <v>5.17701437274809E-11</v>
      </c>
      <c r="T28" s="72">
        <f ca="1">SUM(N28:S28)</f>
        <v>6.0573784417755405E-2</v>
      </c>
      <c r="U28" s="79">
        <f ca="1">-T10+M10</f>
        <v>6.0593039591140041E-2</v>
      </c>
    </row>
    <row r="29" spans="2:21">
      <c r="E29" s="35" t="str">
        <f ca="1">M30</f>
        <v>110024.IB</v>
      </c>
      <c r="F29" s="93">
        <v>102.4556</v>
      </c>
      <c r="G29" s="96"/>
      <c r="H29" s="101">
        <v>15</v>
      </c>
      <c r="I29" s="103"/>
      <c r="J29" s="103"/>
      <c r="K29" s="103"/>
      <c r="M29" s="35" t="str">
        <f ca="1">A12</f>
        <v>110021.IB</v>
      </c>
      <c r="N29" s="72">
        <f t="shared" ref="N29:S29" ca="1" si="1">-N12+$M12</f>
        <v>5.4131441984850426E-5</v>
      </c>
      <c r="O29" s="72">
        <f t="shared" ca="1" si="1"/>
        <v>2.0550163482369044E-4</v>
      </c>
      <c r="P29" s="72">
        <f t="shared" ca="1" si="1"/>
        <v>4.3180822356617909E-2</v>
      </c>
      <c r="Q29" s="72">
        <f t="shared" ca="1" si="1"/>
        <v>1.4041674302816887E-2</v>
      </c>
      <c r="R29" s="72">
        <f t="shared" ca="1" si="1"/>
        <v>-4.1922021409845911E-12</v>
      </c>
      <c r="S29" s="72">
        <f t="shared" ca="1" si="1"/>
        <v>-4.1922021409845911E-12</v>
      </c>
      <c r="T29" s="72">
        <f ca="1">SUM(N29:S29)</f>
        <v>5.7482129727858933E-2</v>
      </c>
      <c r="U29" s="79">
        <f ca="1">-T12+M12</f>
        <v>5.7523370905983029E-2</v>
      </c>
    </row>
    <row r="30" spans="2:21" ht="15.75" thickBot="1">
      <c r="E30" s="82" t="s">
        <v>621</v>
      </c>
      <c r="F30" s="95"/>
      <c r="G30" s="97"/>
      <c r="H30" s="102"/>
      <c r="I30" s="106" t="s">
        <v>612</v>
      </c>
      <c r="J30" s="107" t="e">
        <f ca="1">-H51</f>
        <v>#N/A</v>
      </c>
      <c r="K30" s="108"/>
      <c r="M30" s="35" t="str">
        <f ca="1">A11</f>
        <v>110024.IB</v>
      </c>
      <c r="N30" s="73">
        <f ca="1">-N11+$M11</f>
        <v>4.80683534220816E-5</v>
      </c>
      <c r="O30" s="73">
        <f t="shared" ref="O30:T30" ca="1" si="2">-O11+$M11</f>
        <v>1.2977380492884549E-4</v>
      </c>
      <c r="P30" s="73">
        <f t="shared" ca="1" si="2"/>
        <v>1.1490926121311418E-2</v>
      </c>
      <c r="Q30" s="73">
        <f t="shared" ca="1" si="2"/>
        <v>6.9044510434196127E-2</v>
      </c>
      <c r="R30" s="73">
        <f t="shared" ca="1" si="2"/>
        <v>-1.41824330057716E-11</v>
      </c>
      <c r="S30" s="73">
        <f t="shared" ca="1" si="2"/>
        <v>-1.41824330057716E-11</v>
      </c>
      <c r="T30" s="73">
        <f t="shared" ca="1" si="2"/>
        <v>8.0724892830289718E-2</v>
      </c>
      <c r="U30" s="79">
        <f ca="1">-T11+M11</f>
        <v>8.0724892830289718E-2</v>
      </c>
    </row>
    <row r="31" spans="2:21" ht="15.75" thickBot="1">
      <c r="M31" s="74" t="s">
        <v>609</v>
      </c>
      <c r="N31" s="75">
        <f ca="1">SUM(N25:N30)</f>
        <v>3.1473447874930116E-4</v>
      </c>
      <c r="O31" s="75">
        <f t="shared" ref="O31:T31" ca="1" si="3">SUM(O25:O30)</f>
        <v>2.4316164364094561E-2</v>
      </c>
      <c r="P31" s="75">
        <f t="shared" ca="1" si="3"/>
        <v>0.1917208409391975</v>
      </c>
      <c r="Q31" s="75">
        <f t="shared" ca="1" si="3"/>
        <v>0.10504093441537066</v>
      </c>
      <c r="R31" s="75">
        <f t="shared" ca="1" si="3"/>
        <v>9.9490193861129228E-11</v>
      </c>
      <c r="S31" s="75">
        <f t="shared" ca="1" si="3"/>
        <v>9.9490193861129228E-11</v>
      </c>
      <c r="T31" s="75">
        <f t="shared" ca="1" si="3"/>
        <v>0.32140428854118852</v>
      </c>
      <c r="U31" s="80">
        <f ca="1">SUM(U25:U30)</f>
        <v>0.32153137304561596</v>
      </c>
    </row>
    <row r="32" spans="2:21">
      <c r="M32" s="61" t="s">
        <v>610</v>
      </c>
      <c r="N32" s="61"/>
      <c r="O32" s="61"/>
      <c r="P32" s="61"/>
      <c r="Q32" s="61"/>
      <c r="R32" s="61"/>
      <c r="S32" s="61"/>
      <c r="T32" s="61"/>
      <c r="U32" s="61"/>
    </row>
    <row r="33" spans="1:21">
      <c r="M33" s="58" t="s">
        <v>606</v>
      </c>
      <c r="N33" s="58" t="s">
        <v>595</v>
      </c>
      <c r="O33" s="58" t="s">
        <v>596</v>
      </c>
      <c r="P33" s="58" t="s">
        <v>597</v>
      </c>
      <c r="Q33" s="58" t="s">
        <v>598</v>
      </c>
      <c r="R33" s="58" t="s">
        <v>599</v>
      </c>
      <c r="S33" s="58" t="s">
        <v>600</v>
      </c>
      <c r="T33" s="58" t="s">
        <v>607</v>
      </c>
      <c r="U33" s="78" t="s">
        <v>608</v>
      </c>
    </row>
    <row r="34" spans="1:21">
      <c r="M34" s="35" t="s">
        <v>604</v>
      </c>
      <c r="N34" s="72">
        <f ca="1">(-N14+$M14)/$U$14</f>
        <v>2.4521703389837296E-5</v>
      </c>
      <c r="O34" s="72">
        <f t="shared" ref="O34:T34" ca="1" si="4">(-O14+$M14)/$U$14</f>
        <v>3.9664483750266555E-5</v>
      </c>
      <c r="P34" s="72">
        <f t="shared" ca="1" si="4"/>
        <v>3.8466231915249893E-2</v>
      </c>
      <c r="Q34" s="72">
        <f t="shared" ca="1" si="4"/>
        <v>2.3059145824701466E-2</v>
      </c>
      <c r="R34" s="72">
        <f t="shared" ca="1" si="4"/>
        <v>2.6157803953530834E-11</v>
      </c>
      <c r="S34" s="72">
        <f t="shared" ca="1" si="4"/>
        <v>2.6157803953530834E-11</v>
      </c>
      <c r="T34" s="72">
        <f t="shared" ca="1" si="4"/>
        <v>6.158179347960295E-2</v>
      </c>
      <c r="U34" s="79">
        <f ca="1">(-T14+$M14)/$U$14</f>
        <v>6.158179347960295E-2</v>
      </c>
    </row>
    <row r="35" spans="1:21">
      <c r="M35" s="35" t="str">
        <f ca="1">A13</f>
        <v>120003.IB</v>
      </c>
      <c r="N35" s="72">
        <f t="shared" ref="N35:T35" ca="1" si="5">-N13+$M13</f>
        <v>7.4667730004307487E-5</v>
      </c>
      <c r="O35" s="72">
        <f t="shared" ca="1" si="5"/>
        <v>6.1934227893232219E-3</v>
      </c>
      <c r="P35" s="72">
        <f t="shared" ca="1" si="5"/>
        <v>3.6991455745635449E-2</v>
      </c>
      <c r="Q35" s="72">
        <f t="shared" ca="1" si="5"/>
        <v>3.7104541661392432E-11</v>
      </c>
      <c r="R35" s="72">
        <f t="shared" ca="1" si="5"/>
        <v>3.7104541661392432E-11</v>
      </c>
      <c r="S35" s="72">
        <f t="shared" ca="1" si="5"/>
        <v>3.7104541661392432E-11</v>
      </c>
      <c r="T35" s="72">
        <f t="shared" ca="1" si="5"/>
        <v>4.3288914556598002E-2</v>
      </c>
      <c r="U35" s="79">
        <f ca="1">-T13+M13</f>
        <v>4.3288914556598002E-2</v>
      </c>
    </row>
    <row r="36" spans="1:21">
      <c r="M36" s="76" t="s">
        <v>609</v>
      </c>
      <c r="N36" s="77">
        <f ca="1">SUM(N34:N35)</f>
        <v>9.9189433394144779E-5</v>
      </c>
      <c r="O36" s="77">
        <f t="shared" ref="O36:U36" ca="1" si="6">SUM(O34:O35)</f>
        <v>6.2330872730734883E-3</v>
      </c>
      <c r="P36" s="77">
        <f t="shared" ca="1" si="6"/>
        <v>7.5457687660885342E-2</v>
      </c>
      <c r="Q36" s="77">
        <f t="shared" ca="1" si="6"/>
        <v>2.3059145861806008E-2</v>
      </c>
      <c r="R36" s="77">
        <f t="shared" ca="1" si="6"/>
        <v>6.3262345614923262E-11</v>
      </c>
      <c r="S36" s="77">
        <f t="shared" ca="1" si="6"/>
        <v>6.3262345614923262E-11</v>
      </c>
      <c r="T36" s="77">
        <f t="shared" ca="1" si="6"/>
        <v>0.10487070803620095</v>
      </c>
      <c r="U36" s="81">
        <f t="shared" ca="1" si="6"/>
        <v>0.10487070803620095</v>
      </c>
    </row>
    <row r="37" spans="1:21">
      <c r="E37" s="3" t="s">
        <v>622</v>
      </c>
      <c r="F37" s="58" t="s">
        <v>595</v>
      </c>
      <c r="G37" s="58" t="s">
        <v>596</v>
      </c>
      <c r="H37" s="58" t="s">
        <v>597</v>
      </c>
      <c r="I37" s="58" t="s">
        <v>598</v>
      </c>
      <c r="J37" s="58" t="s">
        <v>599</v>
      </c>
      <c r="K37" s="58" t="s">
        <v>600</v>
      </c>
      <c r="L37" s="78" t="s">
        <v>608</v>
      </c>
    </row>
    <row r="38" spans="1:21">
      <c r="F38" s="109">
        <f ca="1">SUMPRODUCT($H$24:$H$29,N25:N30)</f>
        <v>2.727290575720076E-3</v>
      </c>
      <c r="G38" s="109">
        <f t="shared" ref="G38:L38" ca="1" si="7">SUMPRODUCT($H$24:$H$29,O25:O30)</f>
        <v>0.12428367634431936</v>
      </c>
      <c r="H38" s="109">
        <f t="shared" ca="1" si="7"/>
        <v>1.583141381023168</v>
      </c>
      <c r="I38" s="109">
        <f t="shared" ca="1" si="7"/>
        <v>1.3813916882321848</v>
      </c>
      <c r="J38" s="109">
        <f t="shared" ca="1" si="7"/>
        <v>1.1328893378959037E-9</v>
      </c>
      <c r="K38" s="109">
        <f t="shared" ca="1" si="7"/>
        <v>1.1328893378959037E-9</v>
      </c>
      <c r="L38" s="62">
        <f t="shared" ca="1" si="7"/>
        <v>3.0917182506131127</v>
      </c>
      <c r="M38" s="62">
        <f ca="1">SUM(F38:K38)</f>
        <v>3.091544038441171</v>
      </c>
    </row>
    <row r="40" spans="1:21">
      <c r="D40" s="35" t="str">
        <f ca="1">M34</f>
        <v>TF1209</v>
      </c>
      <c r="E40" s="3">
        <v>57.362783919999998</v>
      </c>
      <c r="F40" s="62">
        <f ca="1">SUMPRODUCT($E$40:$E$41,N34:N35)</f>
        <v>2.4684218301687828E-4</v>
      </c>
      <c r="G40" s="62">
        <f t="shared" ref="G40:L40" ca="1" si="8">SUMPRODUCT($E$40:$E$41,O34:O35)</f>
        <v>-9.392527479757154E-2</v>
      </c>
      <c r="H40" s="62">
        <f t="shared" ca="1" si="8"/>
        <v>1.6319531927782229</v>
      </c>
      <c r="I40" s="62">
        <f t="shared" ca="1" si="8"/>
        <v>1.322736798745787</v>
      </c>
      <c r="J40" s="62">
        <f t="shared" ca="1" si="8"/>
        <v>9.2415097030817734E-10</v>
      </c>
      <c r="K40" s="62">
        <f t="shared" ca="1" si="8"/>
        <v>9.2415097030817734E-10</v>
      </c>
      <c r="L40" s="62">
        <f t="shared" ca="1" si="8"/>
        <v>2.8601096563029724</v>
      </c>
      <c r="M40" s="62">
        <f ca="1">SUM(F40:K40)</f>
        <v>2.8610115607577571</v>
      </c>
    </row>
    <row r="41" spans="1:21">
      <c r="D41" s="35" t="str">
        <f ca="1">M35</f>
        <v>120003.IB</v>
      </c>
      <c r="E41" s="3">
        <v>-15.53269384</v>
      </c>
    </row>
    <row r="42" spans="1:21">
      <c r="M42" s="3">
        <f ca="1">M38/M40</f>
        <v>1.0805772618487273</v>
      </c>
    </row>
    <row r="43" spans="1:21">
      <c r="F43" s="60">
        <f ca="1">F38-F40</f>
        <v>2.4804483927031978E-3</v>
      </c>
      <c r="G43" s="60">
        <f t="shared" ref="G43:K43" ca="1" si="9">G38-G40</f>
        <v>0.2182089511418909</v>
      </c>
      <c r="H43" s="60">
        <f t="shared" ca="1" si="9"/>
        <v>-4.881181175505489E-2</v>
      </c>
      <c r="I43" s="60">
        <f t="shared" ca="1" si="9"/>
        <v>5.8654889486397854E-2</v>
      </c>
      <c r="J43" s="60">
        <f t="shared" ca="1" si="9"/>
        <v>2.0873836758772639E-10</v>
      </c>
      <c r="K43" s="60">
        <f t="shared" ca="1" si="9"/>
        <v>2.0873836758772639E-10</v>
      </c>
    </row>
    <row r="44" spans="1:21">
      <c r="F44" s="3">
        <v>2.6842834738511458E-3</v>
      </c>
      <c r="G44" s="3">
        <v>0.20881153228277427</v>
      </c>
      <c r="H44" s="3">
        <v>-3.2159619035461606E-2</v>
      </c>
      <c r="I44" s="3">
        <v>5.1972753308742847E-2</v>
      </c>
      <c r="J44" s="3">
        <v>-8.5492549184932918E-10</v>
      </c>
      <c r="K44" s="3">
        <v>-8.5492549184932918E-10</v>
      </c>
      <c r="M44" s="3">
        <f ca="1">SUMSQ(F43:K43)</f>
        <v>5.3444288010145453E-2</v>
      </c>
    </row>
    <row r="46" spans="1:21">
      <c r="A46" s="117" t="s">
        <v>623</v>
      </c>
      <c r="B46" s="116" t="s">
        <v>581</v>
      </c>
      <c r="C46" s="117" t="s">
        <v>583</v>
      </c>
      <c r="D46" s="117" t="s">
        <v>585</v>
      </c>
      <c r="E46" s="117" t="s">
        <v>586</v>
      </c>
      <c r="F46" s="117" t="s">
        <v>587</v>
      </c>
      <c r="G46" s="122" t="s">
        <v>603</v>
      </c>
      <c r="H46" s="117" t="s">
        <v>624</v>
      </c>
      <c r="I46" s="119" t="s">
        <v>602</v>
      </c>
      <c r="J46" s="60"/>
      <c r="K46" s="60"/>
    </row>
    <row r="47" spans="1:21">
      <c r="A47" s="114">
        <v>39449</v>
      </c>
      <c r="B47" s="115">
        <v>92.24</v>
      </c>
      <c r="C47" s="115" t="s">
        <v>625</v>
      </c>
      <c r="D47" s="115" t="s">
        <v>625</v>
      </c>
      <c r="E47" s="115" t="s">
        <v>625</v>
      </c>
      <c r="F47" s="115" t="s">
        <v>625</v>
      </c>
      <c r="G47" s="121" t="s">
        <v>625</v>
      </c>
      <c r="H47" s="115" t="e">
        <v>#N/A</v>
      </c>
      <c r="I47" s="118" t="s">
        <v>625</v>
      </c>
    </row>
    <row r="48" spans="1:21">
      <c r="A48" s="114">
        <v>39450</v>
      </c>
      <c r="B48" s="115">
        <v>92.24</v>
      </c>
      <c r="C48" s="115" t="s">
        <v>625</v>
      </c>
      <c r="D48" s="115" t="s">
        <v>625</v>
      </c>
      <c r="E48" s="115" t="s">
        <v>625</v>
      </c>
      <c r="F48" s="115" t="s">
        <v>625</v>
      </c>
      <c r="G48" s="121" t="s">
        <v>625</v>
      </c>
      <c r="H48" s="115" t="e">
        <v>#N/A</v>
      </c>
      <c r="I48" s="118" t="s">
        <v>625</v>
      </c>
      <c r="J48" s="3">
        <v>50.1879887025977</v>
      </c>
      <c r="K48" s="3">
        <v>57.362783919999998</v>
      </c>
    </row>
    <row r="49" spans="1:28">
      <c r="A49" s="114">
        <v>39451</v>
      </c>
      <c r="B49" s="115">
        <v>92.24</v>
      </c>
      <c r="C49" s="115" t="s">
        <v>625</v>
      </c>
      <c r="D49" s="115" t="s">
        <v>625</v>
      </c>
      <c r="E49" s="115" t="s">
        <v>625</v>
      </c>
      <c r="F49" s="115" t="s">
        <v>625</v>
      </c>
      <c r="G49" s="121" t="s">
        <v>625</v>
      </c>
      <c r="H49" s="115" t="e">
        <v>#N/A</v>
      </c>
      <c r="I49" s="118" t="s">
        <v>625</v>
      </c>
      <c r="J49" s="3">
        <v>0</v>
      </c>
      <c r="K49" s="3">
        <v>-15.53269384</v>
      </c>
      <c r="V49" s="193" t="s">
        <v>613</v>
      </c>
      <c r="W49" s="25"/>
      <c r="X49" s="195"/>
      <c r="Y49" s="195"/>
      <c r="Z49" s="195"/>
      <c r="AA49" s="195"/>
      <c r="AB49" s="26"/>
    </row>
    <row r="50" spans="1:28">
      <c r="A50" s="114">
        <v>39454</v>
      </c>
      <c r="B50" s="115">
        <v>92.24</v>
      </c>
      <c r="C50" s="115" t="s">
        <v>625</v>
      </c>
      <c r="D50" s="115" t="s">
        <v>625</v>
      </c>
      <c r="E50" s="115" t="s">
        <v>625</v>
      </c>
      <c r="F50" s="115" t="s">
        <v>625</v>
      </c>
      <c r="G50" s="121" t="s">
        <v>625</v>
      </c>
      <c r="H50" s="115" t="e">
        <v>#N/A</v>
      </c>
      <c r="I50" s="118" t="s">
        <v>625</v>
      </c>
      <c r="N50" s="156" t="s">
        <v>648</v>
      </c>
      <c r="O50" s="61"/>
      <c r="P50" s="127" t="s">
        <v>641</v>
      </c>
      <c r="Q50" s="127"/>
      <c r="R50" s="127"/>
      <c r="S50" s="127"/>
      <c r="V50" s="201" t="s">
        <v>1335</v>
      </c>
      <c r="W50" s="202" t="s">
        <v>581</v>
      </c>
      <c r="X50" s="203" t="s">
        <v>583</v>
      </c>
      <c r="Y50" s="203" t="s">
        <v>585</v>
      </c>
      <c r="Z50" s="203" t="s">
        <v>586</v>
      </c>
      <c r="AA50" s="203" t="s">
        <v>587</v>
      </c>
      <c r="AB50" s="204" t="str">
        <f ca="1">AC58</f>
        <v>110024.IB</v>
      </c>
    </row>
    <row r="51" spans="1:28">
      <c r="A51" s="114">
        <v>39455</v>
      </c>
      <c r="B51" s="115">
        <v>92.24</v>
      </c>
      <c r="C51" s="115" t="s">
        <v>625</v>
      </c>
      <c r="D51" s="115" t="s">
        <v>625</v>
      </c>
      <c r="E51" s="115" t="s">
        <v>625</v>
      </c>
      <c r="F51" s="115" t="s">
        <v>625</v>
      </c>
      <c r="G51" s="121" t="s">
        <v>625</v>
      </c>
      <c r="H51" s="115" t="e">
        <v>#N/A</v>
      </c>
      <c r="I51" s="118" t="s">
        <v>625</v>
      </c>
      <c r="N51" s="146" t="s">
        <v>647</v>
      </c>
      <c r="O51" s="129" t="s">
        <v>637</v>
      </c>
      <c r="P51" s="128" t="s">
        <v>628</v>
      </c>
      <c r="Q51" s="128" t="s">
        <v>639</v>
      </c>
      <c r="R51" s="128" t="s">
        <v>638</v>
      </c>
      <c r="S51" s="145" t="s">
        <v>637</v>
      </c>
      <c r="V51" s="205" t="s">
        <v>616</v>
      </c>
      <c r="W51" s="206">
        <v>103.01</v>
      </c>
      <c r="X51" s="207">
        <v>100.301</v>
      </c>
      <c r="Y51" s="207">
        <v>101.2991</v>
      </c>
      <c r="Z51" s="207">
        <v>102.2736</v>
      </c>
      <c r="AA51" s="207">
        <v>102.2518</v>
      </c>
      <c r="AB51" s="208">
        <v>102.4556</v>
      </c>
    </row>
    <row r="52" spans="1:28">
      <c r="A52" s="114">
        <v>39456</v>
      </c>
      <c r="B52" s="115">
        <v>92.24</v>
      </c>
      <c r="C52" s="115" t="s">
        <v>625</v>
      </c>
      <c r="D52" s="115" t="s">
        <v>625</v>
      </c>
      <c r="E52" s="115" t="s">
        <v>625</v>
      </c>
      <c r="F52" s="115" t="s">
        <v>625</v>
      </c>
      <c r="G52" s="121" t="s">
        <v>625</v>
      </c>
      <c r="H52" s="115" t="e">
        <v>#N/A</v>
      </c>
      <c r="I52" s="118" t="s">
        <v>625</v>
      </c>
      <c r="N52" s="35" t="s">
        <v>631</v>
      </c>
      <c r="O52" s="149">
        <f ca="1">F38</f>
        <v>2.727290575720076E-3</v>
      </c>
      <c r="P52" s="35" t="s">
        <v>629</v>
      </c>
      <c r="Q52" s="35">
        <f ca="1">-ROUND(J48,0)</f>
        <v>-50</v>
      </c>
      <c r="R52" s="35" t="s">
        <v>631</v>
      </c>
      <c r="S52" s="133">
        <v>1.7544826782578218E-3</v>
      </c>
      <c r="V52" s="199" t="s">
        <v>1336</v>
      </c>
      <c r="W52" s="196"/>
      <c r="X52" s="192"/>
      <c r="Y52" s="192"/>
      <c r="Z52" s="192"/>
      <c r="AA52" s="192"/>
      <c r="AB52" s="197"/>
    </row>
    <row r="53" spans="1:28">
      <c r="A53" s="114">
        <v>39457</v>
      </c>
      <c r="B53" s="115">
        <v>92.24</v>
      </c>
      <c r="C53" s="115" t="s">
        <v>625</v>
      </c>
      <c r="D53" s="115" t="s">
        <v>625</v>
      </c>
      <c r="E53" s="115" t="s">
        <v>625</v>
      </c>
      <c r="F53" s="115" t="s">
        <v>625</v>
      </c>
      <c r="G53" s="121" t="s">
        <v>625</v>
      </c>
      <c r="H53" s="115" t="e">
        <v>#N/A</v>
      </c>
      <c r="I53" s="118" t="s">
        <v>625</v>
      </c>
      <c r="N53" s="35" t="s">
        <v>632</v>
      </c>
      <c r="O53" s="149">
        <f ca="1">G38</f>
        <v>0.12428367634431936</v>
      </c>
      <c r="P53" s="35" t="s">
        <v>630</v>
      </c>
      <c r="Q53" s="35">
        <v>0</v>
      </c>
      <c r="R53" s="35" t="s">
        <v>632</v>
      </c>
      <c r="S53" s="133">
        <v>0.11930400974183551</v>
      </c>
      <c r="V53" s="209" t="s">
        <v>606</v>
      </c>
      <c r="W53" s="152" t="s">
        <v>604</v>
      </c>
      <c r="X53" s="134"/>
      <c r="Y53" s="134"/>
      <c r="Z53" s="134"/>
      <c r="AA53" s="134"/>
      <c r="AB53" s="204"/>
    </row>
    <row r="54" spans="1:28">
      <c r="A54" s="114">
        <v>39458</v>
      </c>
      <c r="B54" s="115">
        <v>92.24</v>
      </c>
      <c r="C54" s="115" t="s">
        <v>625</v>
      </c>
      <c r="D54" s="115" t="s">
        <v>625</v>
      </c>
      <c r="E54" s="115" t="s">
        <v>625</v>
      </c>
      <c r="F54" s="115" t="s">
        <v>625</v>
      </c>
      <c r="G54" s="121" t="s">
        <v>625</v>
      </c>
      <c r="H54" s="115" t="e">
        <v>#N/A</v>
      </c>
      <c r="I54" s="118" t="s">
        <v>625</v>
      </c>
      <c r="N54" s="35" t="s">
        <v>633</v>
      </c>
      <c r="O54" s="149">
        <f ca="1">H38</f>
        <v>1.583141381023168</v>
      </c>
      <c r="P54" s="35"/>
      <c r="Q54" s="35"/>
      <c r="R54" s="35" t="s">
        <v>633</v>
      </c>
      <c r="S54" s="133">
        <v>-0.34131549922479265</v>
      </c>
      <c r="V54" s="194" t="s">
        <v>619</v>
      </c>
      <c r="W54" s="38">
        <v>99.835999999999999</v>
      </c>
      <c r="X54" s="47"/>
      <c r="Y54" s="47"/>
      <c r="Z54" s="47"/>
      <c r="AA54" s="47"/>
      <c r="AB54" s="198"/>
    </row>
    <row r="55" spans="1:28">
      <c r="A55" s="114">
        <v>39461</v>
      </c>
      <c r="B55" s="115">
        <v>92.24</v>
      </c>
      <c r="C55" s="115" t="s">
        <v>625</v>
      </c>
      <c r="D55" s="115" t="s">
        <v>625</v>
      </c>
      <c r="E55" s="115" t="s">
        <v>625</v>
      </c>
      <c r="F55" s="115" t="s">
        <v>625</v>
      </c>
      <c r="G55" s="121" t="s">
        <v>625</v>
      </c>
      <c r="H55" s="115" t="e">
        <v>#N/A</v>
      </c>
      <c r="I55" s="118" t="s">
        <v>625</v>
      </c>
      <c r="N55" s="35" t="s">
        <v>634</v>
      </c>
      <c r="O55" s="149">
        <f ca="1">I38</f>
        <v>1.3813916882321848</v>
      </c>
      <c r="P55" s="35"/>
      <c r="Q55" s="35"/>
      <c r="R55" s="35" t="s">
        <v>634</v>
      </c>
      <c r="S55" s="133">
        <v>0.22025700926769809</v>
      </c>
      <c r="V55" s="200" t="s">
        <v>1333</v>
      </c>
      <c r="W55" s="196"/>
      <c r="X55" s="192"/>
      <c r="Y55" s="192"/>
      <c r="Z55" s="192"/>
      <c r="AA55" s="192"/>
      <c r="AB55" s="197"/>
    </row>
    <row r="56" spans="1:28">
      <c r="A56" s="114">
        <v>39462</v>
      </c>
      <c r="B56" s="115">
        <v>92.24</v>
      </c>
      <c r="C56" s="115" t="s">
        <v>625</v>
      </c>
      <c r="D56" s="115" t="s">
        <v>625</v>
      </c>
      <c r="E56" s="115" t="s">
        <v>625</v>
      </c>
      <c r="F56" s="115" t="s">
        <v>625</v>
      </c>
      <c r="G56" s="121" t="s">
        <v>625</v>
      </c>
      <c r="H56" s="115" t="e">
        <v>#N/A</v>
      </c>
      <c r="I56" s="118" t="s">
        <v>625</v>
      </c>
      <c r="N56" s="35" t="s">
        <v>635</v>
      </c>
      <c r="O56" s="149">
        <f ca="1">J38</f>
        <v>1.1328893378959037E-9</v>
      </c>
      <c r="P56" s="35"/>
      <c r="Q56" s="35"/>
      <c r="R56" s="35" t="s">
        <v>635</v>
      </c>
      <c r="S56" s="133">
        <v>-1.2314995185981696E-9</v>
      </c>
      <c r="V56" s="209" t="s">
        <v>606</v>
      </c>
      <c r="W56" s="152" t="s">
        <v>604</v>
      </c>
      <c r="X56" s="134" t="s">
        <v>1334</v>
      </c>
      <c r="Y56" s="134"/>
      <c r="Z56" s="134"/>
      <c r="AA56" s="134"/>
      <c r="AB56" s="204"/>
    </row>
    <row r="57" spans="1:28">
      <c r="A57" s="114">
        <v>39463</v>
      </c>
      <c r="B57" s="115">
        <v>92.24</v>
      </c>
      <c r="C57" s="115" t="s">
        <v>625</v>
      </c>
      <c r="D57" s="115" t="s">
        <v>625</v>
      </c>
      <c r="E57" s="115" t="s">
        <v>625</v>
      </c>
      <c r="F57" s="115" t="s">
        <v>625</v>
      </c>
      <c r="G57" s="121" t="s">
        <v>625</v>
      </c>
      <c r="H57" s="115" t="e">
        <v>#N/A</v>
      </c>
      <c r="I57" s="118" t="s">
        <v>625</v>
      </c>
      <c r="N57" s="35" t="s">
        <v>636</v>
      </c>
      <c r="O57" s="149">
        <f ca="1">K38</f>
        <v>1.1328893378959037E-9</v>
      </c>
      <c r="P57" s="35"/>
      <c r="Q57" s="35"/>
      <c r="R57" s="35" t="s">
        <v>636</v>
      </c>
      <c r="S57" s="133">
        <v>-1.2314995185981696E-9</v>
      </c>
      <c r="V57" s="194" t="s">
        <v>619</v>
      </c>
      <c r="W57" s="38">
        <v>99.835999999999999</v>
      </c>
      <c r="X57" s="49">
        <v>3.2712499999999992E-2</v>
      </c>
      <c r="Y57" s="47"/>
      <c r="Z57" s="47"/>
      <c r="AA57" s="47"/>
      <c r="AB57" s="198"/>
    </row>
    <row r="58" spans="1:28">
      <c r="A58" s="114">
        <v>39464</v>
      </c>
      <c r="B58" s="115">
        <v>92.24</v>
      </c>
      <c r="C58" s="115" t="s">
        <v>625</v>
      </c>
      <c r="D58" s="115" t="s">
        <v>625</v>
      </c>
      <c r="E58" s="115" t="s">
        <v>625</v>
      </c>
      <c r="F58" s="115" t="s">
        <v>625</v>
      </c>
      <c r="G58" s="121" t="s">
        <v>625</v>
      </c>
      <c r="H58" s="115" t="e">
        <v>#N/A</v>
      </c>
      <c r="I58" s="118" t="s">
        <v>625</v>
      </c>
      <c r="K58" s="62"/>
      <c r="N58" s="137" t="s">
        <v>640</v>
      </c>
      <c r="O58" s="135">
        <f ca="1">SQRT(SUMSQ(O52:O57)/COUNT(O52:O57))</f>
        <v>0.85926649910882846</v>
      </c>
      <c r="P58" s="134"/>
      <c r="Q58" s="134"/>
      <c r="R58" s="137" t="s">
        <v>640</v>
      </c>
      <c r="S58" s="136">
        <f ca="1">SQRT(SUMSQ(S52:S57)/COUNT(S52:S57))</f>
        <v>0.17284190516797354</v>
      </c>
    </row>
    <row r="59" spans="1:28" ht="15.75" thickBot="1">
      <c r="A59" s="114">
        <v>39465</v>
      </c>
      <c r="B59" s="115">
        <v>92.24</v>
      </c>
      <c r="C59" s="115" t="s">
        <v>625</v>
      </c>
      <c r="D59" s="115" t="s">
        <v>625</v>
      </c>
      <c r="E59" s="115" t="s">
        <v>625</v>
      </c>
      <c r="F59" s="115" t="s">
        <v>625</v>
      </c>
      <c r="G59" s="121" t="s">
        <v>625</v>
      </c>
      <c r="H59" s="115" t="e">
        <v>#N/A</v>
      </c>
      <c r="I59" s="118" t="s">
        <v>625</v>
      </c>
      <c r="K59" s="62"/>
      <c r="N59" s="126"/>
      <c r="O59" s="147"/>
      <c r="P59" s="132"/>
      <c r="Q59" s="132"/>
      <c r="R59" s="132"/>
      <c r="S59" s="132"/>
    </row>
    <row r="60" spans="1:28">
      <c r="A60" s="114">
        <v>39468</v>
      </c>
      <c r="B60" s="115">
        <v>92.24</v>
      </c>
      <c r="C60" s="115" t="s">
        <v>625</v>
      </c>
      <c r="D60" s="115" t="s">
        <v>625</v>
      </c>
      <c r="E60" s="115" t="s">
        <v>625</v>
      </c>
      <c r="F60" s="115" t="s">
        <v>625</v>
      </c>
      <c r="G60" s="121" t="s">
        <v>625</v>
      </c>
      <c r="H60" s="115" t="e">
        <v>#N/A</v>
      </c>
      <c r="I60" s="118" t="s">
        <v>625</v>
      </c>
      <c r="K60" s="62"/>
      <c r="N60" s="35"/>
      <c r="O60" s="35"/>
      <c r="P60" s="150" t="s">
        <v>642</v>
      </c>
      <c r="Q60" s="127"/>
      <c r="R60" s="127"/>
      <c r="S60" s="127"/>
    </row>
    <row r="61" spans="1:28">
      <c r="A61" s="114">
        <v>39469</v>
      </c>
      <c r="B61" s="115">
        <v>92.24</v>
      </c>
      <c r="C61" s="115" t="s">
        <v>625</v>
      </c>
      <c r="D61" s="115" t="s">
        <v>625</v>
      </c>
      <c r="E61" s="115" t="s">
        <v>625</v>
      </c>
      <c r="F61" s="115" t="s">
        <v>625</v>
      </c>
      <c r="G61" s="121" t="s">
        <v>625</v>
      </c>
      <c r="H61" s="115" t="e">
        <v>#N/A</v>
      </c>
      <c r="I61" s="118" t="s">
        <v>625</v>
      </c>
      <c r="K61" s="62"/>
      <c r="N61" s="35"/>
      <c r="O61" s="35"/>
      <c r="P61" s="151" t="s">
        <v>628</v>
      </c>
      <c r="Q61" s="128" t="s">
        <v>639</v>
      </c>
      <c r="R61" s="128" t="s">
        <v>638</v>
      </c>
      <c r="S61" s="130" t="s">
        <v>637</v>
      </c>
    </row>
    <row r="62" spans="1:28">
      <c r="A62" s="114">
        <v>39470</v>
      </c>
      <c r="B62" s="115">
        <v>92.24</v>
      </c>
      <c r="C62" s="115" t="s">
        <v>625</v>
      </c>
      <c r="D62" s="115" t="s">
        <v>625</v>
      </c>
      <c r="E62" s="115" t="s">
        <v>625</v>
      </c>
      <c r="F62" s="115" t="s">
        <v>625</v>
      </c>
      <c r="G62" s="121" t="s">
        <v>625</v>
      </c>
      <c r="H62" s="115" t="e">
        <v>#N/A</v>
      </c>
      <c r="I62" s="118" t="s">
        <v>625</v>
      </c>
      <c r="K62" s="62"/>
      <c r="N62" s="35"/>
      <c r="O62" s="35"/>
      <c r="P62" s="39" t="s">
        <v>629</v>
      </c>
      <c r="Q62" s="35">
        <f ca="1">-ROUND(K48,0)</f>
        <v>-57</v>
      </c>
      <c r="R62" s="35" t="s">
        <v>631</v>
      </c>
      <c r="S62" s="72">
        <v>2.6842834738511458E-3</v>
      </c>
    </row>
    <row r="63" spans="1:28">
      <c r="A63" s="114">
        <v>39471</v>
      </c>
      <c r="B63" s="115">
        <v>92.24</v>
      </c>
      <c r="C63" s="115" t="s">
        <v>625</v>
      </c>
      <c r="D63" s="115" t="s">
        <v>625</v>
      </c>
      <c r="E63" s="115" t="s">
        <v>625</v>
      </c>
      <c r="F63" s="115" t="s">
        <v>625</v>
      </c>
      <c r="G63" s="121" t="s">
        <v>625</v>
      </c>
      <c r="H63" s="115" t="e">
        <v>#N/A</v>
      </c>
      <c r="I63" s="118" t="s">
        <v>625</v>
      </c>
      <c r="K63" s="62"/>
      <c r="N63" s="35"/>
      <c r="O63" s="35"/>
      <c r="P63" s="39" t="s">
        <v>630</v>
      </c>
      <c r="Q63" s="131">
        <f ca="1">-K49</f>
        <v>15.53269384</v>
      </c>
      <c r="R63" s="35" t="s">
        <v>632</v>
      </c>
      <c r="S63" s="72">
        <v>0.20881153228277427</v>
      </c>
    </row>
    <row r="64" spans="1:28">
      <c r="A64" s="114">
        <v>39472</v>
      </c>
      <c r="B64" s="115">
        <v>92.24</v>
      </c>
      <c r="C64" s="115" t="s">
        <v>625</v>
      </c>
      <c r="D64" s="115" t="s">
        <v>625</v>
      </c>
      <c r="E64" s="115" t="s">
        <v>625</v>
      </c>
      <c r="F64" s="115" t="s">
        <v>625</v>
      </c>
      <c r="G64" s="121" t="s">
        <v>625</v>
      </c>
      <c r="H64" s="115" t="e">
        <v>#N/A</v>
      </c>
      <c r="I64" s="118" t="s">
        <v>625</v>
      </c>
      <c r="N64" s="35"/>
      <c r="O64" s="35"/>
      <c r="P64" s="39"/>
      <c r="Q64" s="35"/>
      <c r="R64" s="35" t="s">
        <v>633</v>
      </c>
      <c r="S64" s="72">
        <v>-3.2159619035461606E-2</v>
      </c>
    </row>
    <row r="65" spans="1:19">
      <c r="A65" s="114">
        <v>39475</v>
      </c>
      <c r="B65" s="115">
        <v>92.24</v>
      </c>
      <c r="C65" s="115" t="s">
        <v>625</v>
      </c>
      <c r="D65" s="115" t="s">
        <v>625</v>
      </c>
      <c r="E65" s="115" t="s">
        <v>625</v>
      </c>
      <c r="F65" s="115" t="s">
        <v>625</v>
      </c>
      <c r="G65" s="121" t="s">
        <v>625</v>
      </c>
      <c r="H65" s="115" t="e">
        <v>#N/A</v>
      </c>
      <c r="I65" s="118" t="s">
        <v>625</v>
      </c>
      <c r="N65" s="35"/>
      <c r="O65" s="35"/>
      <c r="P65" s="39"/>
      <c r="Q65" s="35"/>
      <c r="R65" s="35" t="s">
        <v>634</v>
      </c>
      <c r="S65" s="72">
        <v>5.1972753308742847E-2</v>
      </c>
    </row>
    <row r="66" spans="1:19">
      <c r="A66" s="114">
        <v>39476</v>
      </c>
      <c r="B66" s="115">
        <v>92.24</v>
      </c>
      <c r="C66" s="115" t="s">
        <v>625</v>
      </c>
      <c r="D66" s="115" t="s">
        <v>625</v>
      </c>
      <c r="E66" s="115" t="s">
        <v>625</v>
      </c>
      <c r="F66" s="115" t="s">
        <v>625</v>
      </c>
      <c r="G66" s="121" t="s">
        <v>625</v>
      </c>
      <c r="H66" s="115" t="e">
        <v>#N/A</v>
      </c>
      <c r="I66" s="118" t="s">
        <v>625</v>
      </c>
      <c r="N66" s="35"/>
      <c r="O66" s="35"/>
      <c r="P66" s="39"/>
      <c r="Q66" s="35"/>
      <c r="R66" s="35" t="s">
        <v>635</v>
      </c>
      <c r="S66" s="72">
        <v>-8.5492549184932918E-10</v>
      </c>
    </row>
    <row r="67" spans="1:19">
      <c r="A67" s="114">
        <v>39477</v>
      </c>
      <c r="B67" s="115">
        <v>92.24</v>
      </c>
      <c r="C67" s="115" t="s">
        <v>625</v>
      </c>
      <c r="D67" s="115" t="s">
        <v>625</v>
      </c>
      <c r="E67" s="115" t="s">
        <v>625</v>
      </c>
      <c r="F67" s="115" t="s">
        <v>625</v>
      </c>
      <c r="G67" s="121" t="s">
        <v>625</v>
      </c>
      <c r="H67" s="115" t="e">
        <v>#N/A</v>
      </c>
      <c r="I67" s="118" t="s">
        <v>625</v>
      </c>
      <c r="N67" s="35"/>
      <c r="O67" s="35"/>
      <c r="P67" s="39"/>
      <c r="Q67" s="35"/>
      <c r="R67" s="35" t="s">
        <v>636</v>
      </c>
      <c r="S67" s="72">
        <v>-8.5492549184932918E-10</v>
      </c>
    </row>
    <row r="68" spans="1:19">
      <c r="A68" s="114">
        <v>39478</v>
      </c>
      <c r="B68" s="115">
        <v>92.24</v>
      </c>
      <c r="C68" s="115" t="s">
        <v>625</v>
      </c>
      <c r="D68" s="115" t="s">
        <v>625</v>
      </c>
      <c r="E68" s="115" t="s">
        <v>625</v>
      </c>
      <c r="F68" s="115" t="s">
        <v>625</v>
      </c>
      <c r="G68" s="121" t="s">
        <v>625</v>
      </c>
      <c r="H68" s="115" t="e">
        <v>#N/A</v>
      </c>
      <c r="I68" s="118" t="s">
        <v>625</v>
      </c>
      <c r="N68" s="35"/>
      <c r="O68" s="35"/>
      <c r="P68" s="152"/>
      <c r="Q68" s="134"/>
      <c r="R68" s="137" t="s">
        <v>640</v>
      </c>
      <c r="S68" s="136">
        <f ca="1">SQRT(SUMSQ(S62:S67)/COUNT(S62:S67))</f>
        <v>8.8830240322994317E-2</v>
      </c>
    </row>
    <row r="69" spans="1:19" ht="15.75" thickBot="1">
      <c r="A69" s="114">
        <v>39479</v>
      </c>
      <c r="B69" s="115">
        <v>92.24</v>
      </c>
      <c r="C69" s="115" t="s">
        <v>625</v>
      </c>
      <c r="D69" s="115" t="s">
        <v>625</v>
      </c>
      <c r="E69" s="115" t="s">
        <v>625</v>
      </c>
      <c r="F69" s="115" t="s">
        <v>625</v>
      </c>
      <c r="G69" s="121" t="s">
        <v>625</v>
      </c>
      <c r="H69" s="115" t="e">
        <v>#N/A</v>
      </c>
      <c r="I69" s="118" t="s">
        <v>625</v>
      </c>
      <c r="N69" s="35"/>
      <c r="O69" s="35"/>
      <c r="P69" s="153"/>
      <c r="Q69" s="132"/>
      <c r="R69" s="132"/>
      <c r="S69" s="132"/>
    </row>
    <row r="70" spans="1:19">
      <c r="A70" s="114">
        <v>39480</v>
      </c>
      <c r="B70" s="115">
        <v>92.24</v>
      </c>
      <c r="C70" s="115" t="s">
        <v>625</v>
      </c>
      <c r="D70" s="115" t="s">
        <v>625</v>
      </c>
      <c r="E70" s="115" t="s">
        <v>625</v>
      </c>
      <c r="F70" s="115" t="s">
        <v>625</v>
      </c>
      <c r="G70" s="121" t="s">
        <v>625</v>
      </c>
      <c r="H70" s="115" t="e">
        <v>#N/A</v>
      </c>
      <c r="I70" s="118" t="s">
        <v>625</v>
      </c>
    </row>
    <row r="71" spans="1:19">
      <c r="A71" s="114">
        <v>39481</v>
      </c>
      <c r="B71" s="115">
        <v>92.24</v>
      </c>
      <c r="C71" s="115" t="s">
        <v>625</v>
      </c>
      <c r="D71" s="115" t="s">
        <v>625</v>
      </c>
      <c r="E71" s="115" t="s">
        <v>625</v>
      </c>
      <c r="F71" s="115" t="s">
        <v>625</v>
      </c>
      <c r="G71" s="121" t="s">
        <v>625</v>
      </c>
      <c r="H71" s="115" t="e">
        <v>#N/A</v>
      </c>
      <c r="I71" s="118" t="s">
        <v>625</v>
      </c>
    </row>
    <row r="72" spans="1:19">
      <c r="A72" s="114">
        <v>39482</v>
      </c>
      <c r="B72" s="115">
        <v>92.24</v>
      </c>
      <c r="C72" s="115" t="s">
        <v>625</v>
      </c>
      <c r="D72" s="115" t="s">
        <v>625</v>
      </c>
      <c r="E72" s="115" t="s">
        <v>625</v>
      </c>
      <c r="F72" s="115" t="s">
        <v>625</v>
      </c>
      <c r="G72" s="121" t="s">
        <v>625</v>
      </c>
      <c r="H72" s="115" t="e">
        <v>#N/A</v>
      </c>
      <c r="I72" s="118" t="s">
        <v>625</v>
      </c>
    </row>
    <row r="73" spans="1:19">
      <c r="A73" s="114">
        <v>39483</v>
      </c>
      <c r="B73" s="115">
        <v>92.24</v>
      </c>
      <c r="C73" s="115" t="s">
        <v>625</v>
      </c>
      <c r="D73" s="115" t="s">
        <v>625</v>
      </c>
      <c r="E73" s="115" t="s">
        <v>625</v>
      </c>
      <c r="F73" s="115" t="s">
        <v>625</v>
      </c>
      <c r="G73" s="121" t="s">
        <v>625</v>
      </c>
      <c r="H73" s="115" t="e">
        <v>#N/A</v>
      </c>
      <c r="I73" s="118" t="s">
        <v>625</v>
      </c>
    </row>
    <row r="74" spans="1:19">
      <c r="A74" s="114">
        <v>39491</v>
      </c>
      <c r="B74" s="115">
        <v>92.24</v>
      </c>
      <c r="C74" s="115" t="s">
        <v>625</v>
      </c>
      <c r="D74" s="115" t="s">
        <v>625</v>
      </c>
      <c r="E74" s="115" t="s">
        <v>625</v>
      </c>
      <c r="F74" s="115" t="s">
        <v>625</v>
      </c>
      <c r="G74" s="121" t="s">
        <v>625</v>
      </c>
      <c r="H74" s="115" t="e">
        <v>#N/A</v>
      </c>
      <c r="I74" s="118" t="s">
        <v>625</v>
      </c>
    </row>
    <row r="75" spans="1:19">
      <c r="A75" s="114">
        <v>39492</v>
      </c>
      <c r="B75" s="115">
        <v>92.24</v>
      </c>
      <c r="C75" s="115" t="s">
        <v>625</v>
      </c>
      <c r="D75" s="115" t="s">
        <v>625</v>
      </c>
      <c r="E75" s="115" t="s">
        <v>625</v>
      </c>
      <c r="F75" s="115" t="s">
        <v>625</v>
      </c>
      <c r="G75" s="121" t="s">
        <v>625</v>
      </c>
      <c r="H75" s="115" t="e">
        <v>#N/A</v>
      </c>
      <c r="I75" s="118" t="s">
        <v>625</v>
      </c>
    </row>
    <row r="76" spans="1:19">
      <c r="A76" s="114">
        <v>39493</v>
      </c>
      <c r="B76" s="115">
        <v>92.24</v>
      </c>
      <c r="C76" s="115" t="s">
        <v>625</v>
      </c>
      <c r="D76" s="115" t="s">
        <v>625</v>
      </c>
      <c r="E76" s="115" t="s">
        <v>625</v>
      </c>
      <c r="F76" s="115" t="s">
        <v>625</v>
      </c>
      <c r="G76" s="121" t="s">
        <v>625</v>
      </c>
      <c r="H76" s="115" t="e">
        <v>#N/A</v>
      </c>
      <c r="I76" s="118" t="s">
        <v>625</v>
      </c>
    </row>
    <row r="77" spans="1:19">
      <c r="A77" s="114">
        <v>39496</v>
      </c>
      <c r="B77" s="115">
        <v>92.24</v>
      </c>
      <c r="C77" s="115" t="s">
        <v>625</v>
      </c>
      <c r="D77" s="115" t="s">
        <v>625</v>
      </c>
      <c r="E77" s="115" t="s">
        <v>625</v>
      </c>
      <c r="F77" s="115" t="s">
        <v>625</v>
      </c>
      <c r="G77" s="121" t="s">
        <v>625</v>
      </c>
      <c r="H77" s="115" t="e">
        <v>#N/A</v>
      </c>
      <c r="I77" s="118" t="s">
        <v>625</v>
      </c>
      <c r="N77" s="148" t="s">
        <v>648</v>
      </c>
      <c r="O77" s="61"/>
      <c r="P77" s="155" t="s">
        <v>641</v>
      </c>
      <c r="Q77" s="127"/>
      <c r="R77" s="127"/>
      <c r="S77" s="127"/>
    </row>
    <row r="78" spans="1:19">
      <c r="A78" s="114">
        <v>39497</v>
      </c>
      <c r="B78" s="115">
        <v>92.24</v>
      </c>
      <c r="C78" s="115" t="s">
        <v>625</v>
      </c>
      <c r="D78" s="115" t="s">
        <v>625</v>
      </c>
      <c r="E78" s="115" t="s">
        <v>625</v>
      </c>
      <c r="F78" s="115" t="s">
        <v>625</v>
      </c>
      <c r="G78" s="121" t="s">
        <v>625</v>
      </c>
      <c r="H78" s="115" t="e">
        <v>#N/A</v>
      </c>
      <c r="I78" s="118" t="s">
        <v>625</v>
      </c>
      <c r="N78" s="146" t="s">
        <v>647</v>
      </c>
      <c r="O78" s="130" t="s">
        <v>637</v>
      </c>
      <c r="P78" s="151" t="s">
        <v>628</v>
      </c>
      <c r="Q78" s="128" t="s">
        <v>639</v>
      </c>
      <c r="R78" s="128" t="s">
        <v>638</v>
      </c>
      <c r="S78" s="130" t="s">
        <v>637</v>
      </c>
    </row>
    <row r="79" spans="1:19">
      <c r="A79" s="114">
        <v>39498</v>
      </c>
      <c r="B79" s="115">
        <v>92.24</v>
      </c>
      <c r="C79" s="115" t="s">
        <v>625</v>
      </c>
      <c r="D79" s="115" t="s">
        <v>625</v>
      </c>
      <c r="E79" s="115" t="s">
        <v>625</v>
      </c>
      <c r="F79" s="115" t="s">
        <v>625</v>
      </c>
      <c r="G79" s="121" t="s">
        <v>625</v>
      </c>
      <c r="H79" s="115" t="e">
        <v>#N/A</v>
      </c>
      <c r="I79" s="118" t="s">
        <v>625</v>
      </c>
      <c r="N79" s="35" t="s">
        <v>631</v>
      </c>
      <c r="O79" s="154">
        <f t="shared" ref="O79:O85" ca="1" si="10">O52</f>
        <v>2.727290575720076E-3</v>
      </c>
      <c r="P79" s="39" t="s">
        <v>629</v>
      </c>
      <c r="Q79" s="40">
        <f ca="1">Q52</f>
        <v>-50</v>
      </c>
      <c r="R79" s="40" t="s">
        <v>631</v>
      </c>
      <c r="S79" s="133">
        <v>1.7544826782578218E-3</v>
      </c>
    </row>
    <row r="80" spans="1:19">
      <c r="A80" s="114">
        <v>39499</v>
      </c>
      <c r="B80" s="115">
        <v>92.24</v>
      </c>
      <c r="C80" s="115" t="s">
        <v>625</v>
      </c>
      <c r="D80" s="115" t="s">
        <v>625</v>
      </c>
      <c r="E80" s="115" t="s">
        <v>625</v>
      </c>
      <c r="F80" s="115" t="s">
        <v>625</v>
      </c>
      <c r="G80" s="121" t="s">
        <v>625</v>
      </c>
      <c r="H80" s="115" t="e">
        <v>#N/A</v>
      </c>
      <c r="I80" s="118" t="s">
        <v>625</v>
      </c>
      <c r="N80" s="35" t="s">
        <v>632</v>
      </c>
      <c r="O80" s="154">
        <f t="shared" ca="1" si="10"/>
        <v>0.12428367634431936</v>
      </c>
      <c r="P80" s="39" t="s">
        <v>630</v>
      </c>
      <c r="Q80" s="40">
        <f ca="1">Q53</f>
        <v>0</v>
      </c>
      <c r="R80" s="40" t="s">
        <v>632</v>
      </c>
      <c r="S80" s="133">
        <v>0.11930400974183551</v>
      </c>
    </row>
    <row r="81" spans="1:19">
      <c r="A81" s="114">
        <v>39500</v>
      </c>
      <c r="B81" s="115">
        <v>92.24</v>
      </c>
      <c r="C81" s="115" t="s">
        <v>625</v>
      </c>
      <c r="D81" s="115" t="s">
        <v>625</v>
      </c>
      <c r="E81" s="115" t="s">
        <v>625</v>
      </c>
      <c r="F81" s="115" t="s">
        <v>625</v>
      </c>
      <c r="G81" s="121" t="s">
        <v>625</v>
      </c>
      <c r="H81" s="115" t="e">
        <v>#N/A</v>
      </c>
      <c r="I81" s="118" t="s">
        <v>625</v>
      </c>
      <c r="N81" s="35" t="s">
        <v>633</v>
      </c>
      <c r="O81" s="154">
        <f t="shared" ca="1" si="10"/>
        <v>1.583141381023168</v>
      </c>
      <c r="P81" s="39"/>
      <c r="Q81" s="40"/>
      <c r="R81" s="40" t="s">
        <v>633</v>
      </c>
      <c r="S81" s="133">
        <v>-0.34131549922479265</v>
      </c>
    </row>
    <row r="82" spans="1:19">
      <c r="A82" s="114">
        <v>39503</v>
      </c>
      <c r="B82" s="115">
        <v>92.24</v>
      </c>
      <c r="C82" s="115" t="s">
        <v>625</v>
      </c>
      <c r="D82" s="115" t="s">
        <v>625</v>
      </c>
      <c r="E82" s="115" t="s">
        <v>625</v>
      </c>
      <c r="F82" s="115" t="s">
        <v>625</v>
      </c>
      <c r="G82" s="121" t="s">
        <v>625</v>
      </c>
      <c r="H82" s="115" t="e">
        <v>#N/A</v>
      </c>
      <c r="I82" s="118" t="s">
        <v>625</v>
      </c>
      <c r="N82" s="35" t="s">
        <v>634</v>
      </c>
      <c r="O82" s="154">
        <f t="shared" ca="1" si="10"/>
        <v>1.3813916882321848</v>
      </c>
      <c r="P82" s="39"/>
      <c r="Q82" s="40"/>
      <c r="R82" s="40" t="s">
        <v>634</v>
      </c>
      <c r="S82" s="133">
        <v>0.22025700926769809</v>
      </c>
    </row>
    <row r="83" spans="1:19">
      <c r="A83" s="114">
        <v>39504</v>
      </c>
      <c r="B83" s="115">
        <v>92.24</v>
      </c>
      <c r="C83" s="115" t="s">
        <v>625</v>
      </c>
      <c r="D83" s="115" t="s">
        <v>625</v>
      </c>
      <c r="E83" s="115" t="s">
        <v>625</v>
      </c>
      <c r="F83" s="115" t="s">
        <v>625</v>
      </c>
      <c r="G83" s="121" t="s">
        <v>625</v>
      </c>
      <c r="H83" s="115" t="e">
        <v>#N/A</v>
      </c>
      <c r="I83" s="118" t="s">
        <v>625</v>
      </c>
      <c r="N83" s="35" t="s">
        <v>635</v>
      </c>
      <c r="O83" s="154">
        <f t="shared" ca="1" si="10"/>
        <v>1.1328893378959037E-9</v>
      </c>
      <c r="P83" s="39"/>
      <c r="Q83" s="40"/>
      <c r="R83" s="40" t="s">
        <v>635</v>
      </c>
      <c r="S83" s="133">
        <v>-1.2314995185981696E-9</v>
      </c>
    </row>
    <row r="84" spans="1:19">
      <c r="A84" s="114">
        <v>39505</v>
      </c>
      <c r="B84" s="115">
        <v>92.24</v>
      </c>
      <c r="C84" s="115" t="s">
        <v>625</v>
      </c>
      <c r="D84" s="115" t="s">
        <v>625</v>
      </c>
      <c r="E84" s="115" t="s">
        <v>625</v>
      </c>
      <c r="F84" s="115" t="s">
        <v>625</v>
      </c>
      <c r="G84" s="121" t="s">
        <v>625</v>
      </c>
      <c r="H84" s="115" t="e">
        <v>#N/A</v>
      </c>
      <c r="I84" s="118" t="s">
        <v>625</v>
      </c>
      <c r="N84" s="35" t="s">
        <v>636</v>
      </c>
      <c r="O84" s="154">
        <f t="shared" ca="1" si="10"/>
        <v>1.1328893378959037E-9</v>
      </c>
      <c r="P84" s="39"/>
      <c r="Q84" s="40"/>
      <c r="R84" s="40" t="s">
        <v>636</v>
      </c>
      <c r="S84" s="133">
        <v>-1.2314995185981696E-9</v>
      </c>
    </row>
    <row r="85" spans="1:19">
      <c r="A85" s="114">
        <v>39506</v>
      </c>
      <c r="B85" s="115">
        <v>92.24</v>
      </c>
      <c r="C85" s="115" t="s">
        <v>625</v>
      </c>
      <c r="D85" s="115" t="s">
        <v>625</v>
      </c>
      <c r="E85" s="115" t="s">
        <v>625</v>
      </c>
      <c r="F85" s="115" t="s">
        <v>625</v>
      </c>
      <c r="G85" s="121" t="s">
        <v>625</v>
      </c>
      <c r="H85" s="115" t="e">
        <v>#N/A</v>
      </c>
      <c r="I85" s="118" t="s">
        <v>625</v>
      </c>
      <c r="N85" s="137" t="s">
        <v>640</v>
      </c>
      <c r="O85" s="136">
        <f t="shared" ca="1" si="10"/>
        <v>0.85926649910882846</v>
      </c>
      <c r="P85" s="152"/>
      <c r="Q85" s="134"/>
      <c r="R85" s="137" t="s">
        <v>640</v>
      </c>
      <c r="S85" s="136">
        <f ca="1">SQRT(SUMSQ(S79:S84)/COUNT(S79:S84))</f>
        <v>0.17284190516797354</v>
      </c>
    </row>
    <row r="86" spans="1:19" ht="15.75" thickBot="1">
      <c r="A86" s="114">
        <v>39507</v>
      </c>
      <c r="B86" s="115">
        <v>92.24</v>
      </c>
      <c r="C86" s="115" t="s">
        <v>625</v>
      </c>
      <c r="D86" s="115" t="s">
        <v>625</v>
      </c>
      <c r="E86" s="115" t="s">
        <v>625</v>
      </c>
      <c r="F86" s="115" t="s">
        <v>625</v>
      </c>
      <c r="G86" s="121" t="s">
        <v>625</v>
      </c>
      <c r="H86" s="115" t="e">
        <v>#N/A</v>
      </c>
      <c r="I86" s="118" t="s">
        <v>625</v>
      </c>
      <c r="N86" s="126"/>
      <c r="O86" s="126"/>
      <c r="P86" s="153"/>
      <c r="Q86" s="132"/>
      <c r="R86" s="132"/>
      <c r="S86" s="132"/>
    </row>
    <row r="87" spans="1:19">
      <c r="A87" s="114">
        <v>39510</v>
      </c>
      <c r="B87" s="115">
        <v>92.24</v>
      </c>
      <c r="C87" s="115" t="s">
        <v>625</v>
      </c>
      <c r="D87" s="115" t="s">
        <v>625</v>
      </c>
      <c r="E87" s="115" t="s">
        <v>625</v>
      </c>
      <c r="F87" s="115" t="s">
        <v>625</v>
      </c>
      <c r="G87" s="121" t="s">
        <v>625</v>
      </c>
      <c r="H87" s="115" t="e">
        <v>#N/A</v>
      </c>
      <c r="I87" s="118" t="s">
        <v>625</v>
      </c>
      <c r="N87" s="35"/>
      <c r="O87" s="35"/>
      <c r="P87" s="155" t="s">
        <v>642</v>
      </c>
      <c r="Q87" s="127"/>
      <c r="R87" s="127"/>
      <c r="S87" s="127"/>
    </row>
    <row r="88" spans="1:19">
      <c r="A88" s="114">
        <v>39511</v>
      </c>
      <c r="B88" s="115">
        <v>92.24</v>
      </c>
      <c r="C88" s="115" t="s">
        <v>625</v>
      </c>
      <c r="D88" s="115" t="s">
        <v>625</v>
      </c>
      <c r="E88" s="115" t="s">
        <v>625</v>
      </c>
      <c r="F88" s="115" t="s">
        <v>625</v>
      </c>
      <c r="G88" s="121" t="s">
        <v>625</v>
      </c>
      <c r="H88" s="115" t="e">
        <v>#N/A</v>
      </c>
      <c r="I88" s="118" t="s">
        <v>625</v>
      </c>
      <c r="N88" s="35"/>
      <c r="O88" s="35"/>
      <c r="P88" s="151" t="s">
        <v>628</v>
      </c>
      <c r="Q88" s="128" t="s">
        <v>639</v>
      </c>
      <c r="R88" s="128" t="s">
        <v>638</v>
      </c>
      <c r="S88" s="130" t="s">
        <v>637</v>
      </c>
    </row>
    <row r="89" spans="1:19">
      <c r="A89" s="114">
        <v>39512</v>
      </c>
      <c r="B89" s="115">
        <v>92.24</v>
      </c>
      <c r="C89" s="115" t="s">
        <v>625</v>
      </c>
      <c r="D89" s="115" t="s">
        <v>625</v>
      </c>
      <c r="E89" s="115" t="s">
        <v>625</v>
      </c>
      <c r="F89" s="115" t="s">
        <v>625</v>
      </c>
      <c r="G89" s="121" t="s">
        <v>625</v>
      </c>
      <c r="H89" s="115" t="e">
        <v>#N/A</v>
      </c>
      <c r="I89" s="118" t="s">
        <v>625</v>
      </c>
      <c r="N89" s="35"/>
      <c r="O89" s="35"/>
      <c r="P89" s="39" t="s">
        <v>629</v>
      </c>
      <c r="Q89" s="35">
        <f ca="1">Q62</f>
        <v>-57</v>
      </c>
      <c r="R89" s="35" t="s">
        <v>631</v>
      </c>
      <c r="S89" s="72">
        <v>2.6842834738511458E-3</v>
      </c>
    </row>
    <row r="90" spans="1:19">
      <c r="A90" s="114">
        <v>39513</v>
      </c>
      <c r="B90" s="115">
        <v>92.24</v>
      </c>
      <c r="C90" s="115" t="s">
        <v>625</v>
      </c>
      <c r="D90" s="115" t="s">
        <v>625</v>
      </c>
      <c r="E90" s="115" t="s">
        <v>625</v>
      </c>
      <c r="F90" s="115" t="s">
        <v>625</v>
      </c>
      <c r="G90" s="121" t="s">
        <v>625</v>
      </c>
      <c r="H90" s="115" t="e">
        <v>#N/A</v>
      </c>
      <c r="I90" s="118" t="s">
        <v>625</v>
      </c>
      <c r="N90" s="35"/>
      <c r="O90" s="35"/>
      <c r="P90" s="39" t="s">
        <v>630</v>
      </c>
      <c r="Q90" s="131">
        <f ca="1">Q63</f>
        <v>15.53269384</v>
      </c>
      <c r="R90" s="35" t="s">
        <v>632</v>
      </c>
      <c r="S90" s="72">
        <v>0.20881153228277427</v>
      </c>
    </row>
    <row r="91" spans="1:19">
      <c r="A91" s="114">
        <v>39514</v>
      </c>
      <c r="B91" s="115">
        <v>92.24</v>
      </c>
      <c r="C91" s="115" t="s">
        <v>625</v>
      </c>
      <c r="D91" s="115" t="s">
        <v>625</v>
      </c>
      <c r="E91" s="115" t="s">
        <v>625</v>
      </c>
      <c r="F91" s="115" t="s">
        <v>625</v>
      </c>
      <c r="G91" s="121" t="s">
        <v>625</v>
      </c>
      <c r="H91" s="115" t="e">
        <v>#N/A</v>
      </c>
      <c r="I91" s="118" t="s">
        <v>625</v>
      </c>
      <c r="N91" s="35"/>
      <c r="O91" s="35"/>
      <c r="P91" s="39"/>
      <c r="Q91" s="35"/>
      <c r="R91" s="35" t="s">
        <v>633</v>
      </c>
      <c r="S91" s="72">
        <v>-3.2159619035461606E-2</v>
      </c>
    </row>
    <row r="92" spans="1:19">
      <c r="A92" s="114">
        <v>39517</v>
      </c>
      <c r="B92" s="115">
        <v>92.24</v>
      </c>
      <c r="C92" s="115" t="s">
        <v>625</v>
      </c>
      <c r="D92" s="115" t="s">
        <v>625</v>
      </c>
      <c r="E92" s="115" t="s">
        <v>625</v>
      </c>
      <c r="F92" s="115" t="s">
        <v>625</v>
      </c>
      <c r="G92" s="121" t="s">
        <v>625</v>
      </c>
      <c r="H92" s="115" t="e">
        <v>#N/A</v>
      </c>
      <c r="I92" s="118" t="s">
        <v>625</v>
      </c>
      <c r="N92" s="35"/>
      <c r="O92" s="35"/>
      <c r="P92" s="39"/>
      <c r="Q92" s="35"/>
      <c r="R92" s="35" t="s">
        <v>634</v>
      </c>
      <c r="S92" s="72">
        <v>5.1972753308742847E-2</v>
      </c>
    </row>
    <row r="93" spans="1:19">
      <c r="A93" s="114">
        <v>39518</v>
      </c>
      <c r="B93" s="115">
        <v>92.24</v>
      </c>
      <c r="C93" s="115" t="s">
        <v>625</v>
      </c>
      <c r="D93" s="115" t="s">
        <v>625</v>
      </c>
      <c r="E93" s="115" t="s">
        <v>625</v>
      </c>
      <c r="F93" s="115" t="s">
        <v>625</v>
      </c>
      <c r="G93" s="121" t="s">
        <v>625</v>
      </c>
      <c r="H93" s="115" t="e">
        <v>#N/A</v>
      </c>
      <c r="I93" s="118" t="s">
        <v>625</v>
      </c>
      <c r="N93" s="35"/>
      <c r="O93" s="35"/>
      <c r="P93" s="39"/>
      <c r="Q93" s="35"/>
      <c r="R93" s="35" t="s">
        <v>635</v>
      </c>
      <c r="S93" s="72">
        <v>-8.5492549184932918E-10</v>
      </c>
    </row>
    <row r="94" spans="1:19">
      <c r="A94" s="114">
        <v>39519</v>
      </c>
      <c r="B94" s="115">
        <v>92.24</v>
      </c>
      <c r="C94" s="115" t="s">
        <v>625</v>
      </c>
      <c r="D94" s="115" t="s">
        <v>625</v>
      </c>
      <c r="E94" s="115" t="s">
        <v>625</v>
      </c>
      <c r="F94" s="115" t="s">
        <v>625</v>
      </c>
      <c r="G94" s="121" t="s">
        <v>625</v>
      </c>
      <c r="H94" s="115" t="e">
        <v>#N/A</v>
      </c>
      <c r="I94" s="118" t="s">
        <v>625</v>
      </c>
      <c r="N94" s="35"/>
      <c r="O94" s="35"/>
      <c r="P94" s="39"/>
      <c r="Q94" s="35"/>
      <c r="R94" s="35" t="s">
        <v>636</v>
      </c>
      <c r="S94" s="72">
        <v>-8.5492549184932918E-10</v>
      </c>
    </row>
    <row r="95" spans="1:19">
      <c r="A95" s="114">
        <v>39520</v>
      </c>
      <c r="B95" s="115">
        <v>92.24</v>
      </c>
      <c r="C95" s="115" t="s">
        <v>625</v>
      </c>
      <c r="D95" s="115" t="s">
        <v>625</v>
      </c>
      <c r="E95" s="115" t="s">
        <v>625</v>
      </c>
      <c r="F95" s="115" t="s">
        <v>625</v>
      </c>
      <c r="G95" s="121" t="s">
        <v>625</v>
      </c>
      <c r="H95" s="115" t="e">
        <v>#N/A</v>
      </c>
      <c r="I95" s="118" t="s">
        <v>625</v>
      </c>
      <c r="N95" s="35"/>
      <c r="O95" s="35"/>
      <c r="P95" s="152"/>
      <c r="Q95" s="134"/>
      <c r="R95" s="137" t="s">
        <v>640</v>
      </c>
      <c r="S95" s="136">
        <f ca="1">SQRT(SUMSQ(S89:S94)/COUNT(S89:S94))</f>
        <v>8.8830240322994317E-2</v>
      </c>
    </row>
    <row r="96" spans="1:19" ht="15.75" thickBot="1">
      <c r="A96" s="114">
        <v>39521</v>
      </c>
      <c r="B96" s="115">
        <v>92.24</v>
      </c>
      <c r="C96" s="115" t="s">
        <v>625</v>
      </c>
      <c r="D96" s="115" t="s">
        <v>625</v>
      </c>
      <c r="E96" s="115" t="s">
        <v>625</v>
      </c>
      <c r="F96" s="115" t="s">
        <v>625</v>
      </c>
      <c r="G96" s="121" t="s">
        <v>625</v>
      </c>
      <c r="H96" s="115" t="e">
        <v>#N/A</v>
      </c>
      <c r="I96" s="118" t="s">
        <v>625</v>
      </c>
      <c r="N96" s="35"/>
      <c r="O96" s="35"/>
      <c r="P96" s="153"/>
      <c r="Q96" s="132"/>
      <c r="R96" s="132"/>
      <c r="S96" s="132"/>
    </row>
    <row r="97" spans="1:9">
      <c r="A97" s="114">
        <v>39524</v>
      </c>
      <c r="B97" s="115">
        <v>92.24</v>
      </c>
      <c r="C97" s="115" t="s">
        <v>625</v>
      </c>
      <c r="D97" s="115" t="s">
        <v>625</v>
      </c>
      <c r="E97" s="115" t="s">
        <v>625</v>
      </c>
      <c r="F97" s="115" t="s">
        <v>625</v>
      </c>
      <c r="G97" s="121" t="s">
        <v>625</v>
      </c>
      <c r="H97" s="115" t="e">
        <v>#N/A</v>
      </c>
      <c r="I97" s="118" t="s">
        <v>625</v>
      </c>
    </row>
    <row r="98" spans="1:9">
      <c r="A98" s="114">
        <v>39525</v>
      </c>
      <c r="B98" s="115">
        <v>92.24</v>
      </c>
      <c r="C98" s="115" t="s">
        <v>625</v>
      </c>
      <c r="D98" s="115" t="s">
        <v>625</v>
      </c>
      <c r="E98" s="115" t="s">
        <v>625</v>
      </c>
      <c r="F98" s="115" t="s">
        <v>625</v>
      </c>
      <c r="G98" s="121" t="s">
        <v>625</v>
      </c>
      <c r="H98" s="115" t="e">
        <v>#N/A</v>
      </c>
      <c r="I98" s="118" t="s">
        <v>625</v>
      </c>
    </row>
    <row r="99" spans="1:9">
      <c r="A99" s="114">
        <v>39526</v>
      </c>
      <c r="B99" s="115">
        <v>92.24</v>
      </c>
      <c r="C99" s="115" t="s">
        <v>625</v>
      </c>
      <c r="D99" s="115" t="s">
        <v>625</v>
      </c>
      <c r="E99" s="115" t="s">
        <v>625</v>
      </c>
      <c r="F99" s="115" t="s">
        <v>625</v>
      </c>
      <c r="G99" s="121" t="s">
        <v>625</v>
      </c>
      <c r="H99" s="115" t="e">
        <v>#N/A</v>
      </c>
      <c r="I99" s="118" t="s">
        <v>625</v>
      </c>
    </row>
    <row r="100" spans="1:9">
      <c r="A100" s="114">
        <v>39527</v>
      </c>
      <c r="B100" s="115">
        <v>92.24</v>
      </c>
      <c r="C100" s="115" t="s">
        <v>625</v>
      </c>
      <c r="D100" s="115" t="s">
        <v>625</v>
      </c>
      <c r="E100" s="115" t="s">
        <v>625</v>
      </c>
      <c r="F100" s="115" t="s">
        <v>625</v>
      </c>
      <c r="G100" s="121" t="s">
        <v>625</v>
      </c>
      <c r="H100" s="115" t="e">
        <v>#N/A</v>
      </c>
      <c r="I100" s="118" t="s">
        <v>625</v>
      </c>
    </row>
    <row r="101" spans="1:9">
      <c r="A101" s="114">
        <v>39528</v>
      </c>
      <c r="B101" s="115">
        <v>92.24</v>
      </c>
      <c r="C101" s="115" t="s">
        <v>625</v>
      </c>
      <c r="D101" s="115" t="s">
        <v>625</v>
      </c>
      <c r="E101" s="115" t="s">
        <v>625</v>
      </c>
      <c r="F101" s="115" t="s">
        <v>625</v>
      </c>
      <c r="G101" s="121" t="s">
        <v>625</v>
      </c>
      <c r="H101" s="115" t="e">
        <v>#N/A</v>
      </c>
      <c r="I101" s="118" t="s">
        <v>625</v>
      </c>
    </row>
    <row r="102" spans="1:9">
      <c r="A102" s="114">
        <v>39531</v>
      </c>
      <c r="B102" s="115">
        <v>92.24</v>
      </c>
      <c r="C102" s="115" t="s">
        <v>625</v>
      </c>
      <c r="D102" s="115" t="s">
        <v>625</v>
      </c>
      <c r="E102" s="115" t="s">
        <v>625</v>
      </c>
      <c r="F102" s="115" t="s">
        <v>625</v>
      </c>
      <c r="G102" s="121" t="s">
        <v>625</v>
      </c>
      <c r="H102" s="115" t="e">
        <v>#N/A</v>
      </c>
      <c r="I102" s="118" t="s">
        <v>625</v>
      </c>
    </row>
    <row r="103" spans="1:9">
      <c r="A103" s="114">
        <v>39532</v>
      </c>
      <c r="B103" s="115">
        <v>92.24</v>
      </c>
      <c r="C103" s="115" t="s">
        <v>625</v>
      </c>
      <c r="D103" s="115" t="s">
        <v>625</v>
      </c>
      <c r="E103" s="115" t="s">
        <v>625</v>
      </c>
      <c r="F103" s="115" t="s">
        <v>625</v>
      </c>
      <c r="G103" s="121" t="s">
        <v>625</v>
      </c>
      <c r="H103" s="115" t="e">
        <v>#N/A</v>
      </c>
      <c r="I103" s="118" t="s">
        <v>625</v>
      </c>
    </row>
    <row r="104" spans="1:9">
      <c r="A104" s="114">
        <v>39533</v>
      </c>
      <c r="B104" s="115">
        <v>92.24</v>
      </c>
      <c r="C104" s="115" t="s">
        <v>625</v>
      </c>
      <c r="D104" s="115" t="s">
        <v>625</v>
      </c>
      <c r="E104" s="115" t="s">
        <v>625</v>
      </c>
      <c r="F104" s="115" t="s">
        <v>625</v>
      </c>
      <c r="G104" s="121" t="s">
        <v>625</v>
      </c>
      <c r="H104" s="115" t="e">
        <v>#N/A</v>
      </c>
      <c r="I104" s="118" t="s">
        <v>625</v>
      </c>
    </row>
    <row r="105" spans="1:9">
      <c r="A105" s="114">
        <v>39534</v>
      </c>
      <c r="B105" s="115">
        <v>92.24</v>
      </c>
      <c r="C105" s="115" t="s">
        <v>625</v>
      </c>
      <c r="D105" s="115" t="s">
        <v>625</v>
      </c>
      <c r="E105" s="115" t="s">
        <v>625</v>
      </c>
      <c r="F105" s="115" t="s">
        <v>625</v>
      </c>
      <c r="G105" s="121" t="s">
        <v>625</v>
      </c>
      <c r="H105" s="115" t="e">
        <v>#N/A</v>
      </c>
      <c r="I105" s="118" t="s">
        <v>625</v>
      </c>
    </row>
    <row r="106" spans="1:9">
      <c r="A106" s="114">
        <v>39535</v>
      </c>
      <c r="B106" s="115">
        <v>92.24</v>
      </c>
      <c r="C106" s="115" t="s">
        <v>625</v>
      </c>
      <c r="D106" s="115" t="s">
        <v>625</v>
      </c>
      <c r="E106" s="115" t="s">
        <v>625</v>
      </c>
      <c r="F106" s="115" t="s">
        <v>625</v>
      </c>
      <c r="G106" s="121" t="s">
        <v>625</v>
      </c>
      <c r="H106" s="115" t="e">
        <v>#N/A</v>
      </c>
      <c r="I106" s="118" t="s">
        <v>625</v>
      </c>
    </row>
    <row r="107" spans="1:9">
      <c r="A107" s="114">
        <v>39538</v>
      </c>
      <c r="B107" s="115">
        <v>92.24</v>
      </c>
      <c r="C107" s="115" t="s">
        <v>625</v>
      </c>
      <c r="D107" s="115" t="s">
        <v>625</v>
      </c>
      <c r="E107" s="115" t="s">
        <v>625</v>
      </c>
      <c r="F107" s="115" t="s">
        <v>625</v>
      </c>
      <c r="G107" s="121" t="s">
        <v>625</v>
      </c>
      <c r="H107" s="115" t="e">
        <v>#N/A</v>
      </c>
      <c r="I107" s="118" t="s">
        <v>625</v>
      </c>
    </row>
    <row r="108" spans="1:9">
      <c r="A108" s="114">
        <v>39539</v>
      </c>
      <c r="B108" s="115">
        <v>92.24</v>
      </c>
      <c r="C108" s="115" t="s">
        <v>625</v>
      </c>
      <c r="D108" s="115" t="s">
        <v>625</v>
      </c>
      <c r="E108" s="115" t="s">
        <v>625</v>
      </c>
      <c r="F108" s="115" t="s">
        <v>625</v>
      </c>
      <c r="G108" s="121" t="s">
        <v>625</v>
      </c>
      <c r="H108" s="115" t="e">
        <v>#N/A</v>
      </c>
      <c r="I108" s="118" t="s">
        <v>625</v>
      </c>
    </row>
    <row r="109" spans="1:9">
      <c r="A109" s="114">
        <v>39540</v>
      </c>
      <c r="B109" s="115">
        <v>92.24</v>
      </c>
      <c r="C109" s="115" t="s">
        <v>625</v>
      </c>
      <c r="D109" s="115" t="s">
        <v>625</v>
      </c>
      <c r="E109" s="115" t="s">
        <v>625</v>
      </c>
      <c r="F109" s="115" t="s">
        <v>625</v>
      </c>
      <c r="G109" s="121" t="s">
        <v>625</v>
      </c>
      <c r="H109" s="115" t="e">
        <v>#N/A</v>
      </c>
      <c r="I109" s="118" t="s">
        <v>625</v>
      </c>
    </row>
    <row r="110" spans="1:9">
      <c r="A110" s="114">
        <v>39541</v>
      </c>
      <c r="B110" s="115">
        <v>92.24</v>
      </c>
      <c r="C110" s="115" t="s">
        <v>625</v>
      </c>
      <c r="D110" s="115" t="s">
        <v>625</v>
      </c>
      <c r="E110" s="115" t="s">
        <v>625</v>
      </c>
      <c r="F110" s="115" t="s">
        <v>625</v>
      </c>
      <c r="G110" s="121" t="s">
        <v>625</v>
      </c>
      <c r="H110" s="115" t="e">
        <v>#N/A</v>
      </c>
      <c r="I110" s="118" t="s">
        <v>625</v>
      </c>
    </row>
    <row r="111" spans="1:9">
      <c r="A111" s="114">
        <v>39545</v>
      </c>
      <c r="B111" s="115">
        <v>92.24</v>
      </c>
      <c r="C111" s="115" t="s">
        <v>625</v>
      </c>
      <c r="D111" s="115" t="s">
        <v>625</v>
      </c>
      <c r="E111" s="115" t="s">
        <v>625</v>
      </c>
      <c r="F111" s="115" t="s">
        <v>625</v>
      </c>
      <c r="G111" s="121" t="s">
        <v>625</v>
      </c>
      <c r="H111" s="115" t="e">
        <v>#N/A</v>
      </c>
      <c r="I111" s="118" t="s">
        <v>625</v>
      </c>
    </row>
    <row r="112" spans="1:9">
      <c r="A112" s="114">
        <v>39546</v>
      </c>
      <c r="B112" s="115">
        <v>92.24</v>
      </c>
      <c r="C112" s="115" t="s">
        <v>625</v>
      </c>
      <c r="D112" s="115" t="s">
        <v>625</v>
      </c>
      <c r="E112" s="115" t="s">
        <v>625</v>
      </c>
      <c r="F112" s="115" t="s">
        <v>625</v>
      </c>
      <c r="G112" s="121" t="s">
        <v>625</v>
      </c>
      <c r="H112" s="115" t="e">
        <v>#N/A</v>
      </c>
      <c r="I112" s="118" t="s">
        <v>625</v>
      </c>
    </row>
    <row r="113" spans="1:9">
      <c r="A113" s="114">
        <v>39547</v>
      </c>
      <c r="B113" s="115">
        <v>92.24</v>
      </c>
      <c r="C113" s="115" t="s">
        <v>625</v>
      </c>
      <c r="D113" s="115" t="s">
        <v>625</v>
      </c>
      <c r="E113" s="115" t="s">
        <v>625</v>
      </c>
      <c r="F113" s="115" t="s">
        <v>625</v>
      </c>
      <c r="G113" s="121" t="s">
        <v>625</v>
      </c>
      <c r="H113" s="115" t="e">
        <v>#N/A</v>
      </c>
      <c r="I113" s="118" t="s">
        <v>625</v>
      </c>
    </row>
    <row r="114" spans="1:9">
      <c r="A114" s="114">
        <v>39548</v>
      </c>
      <c r="B114" s="115">
        <v>92.24</v>
      </c>
      <c r="C114" s="115" t="s">
        <v>625</v>
      </c>
      <c r="D114" s="115" t="s">
        <v>625</v>
      </c>
      <c r="E114" s="115" t="s">
        <v>625</v>
      </c>
      <c r="F114" s="115" t="s">
        <v>625</v>
      </c>
      <c r="G114" s="121" t="s">
        <v>625</v>
      </c>
      <c r="H114" s="115" t="e">
        <v>#N/A</v>
      </c>
      <c r="I114" s="118" t="s">
        <v>625</v>
      </c>
    </row>
    <row r="115" spans="1:9">
      <c r="A115" s="114">
        <v>39549</v>
      </c>
      <c r="B115" s="115">
        <v>92.24</v>
      </c>
      <c r="C115" s="115" t="s">
        <v>625</v>
      </c>
      <c r="D115" s="115" t="s">
        <v>625</v>
      </c>
      <c r="E115" s="115" t="s">
        <v>625</v>
      </c>
      <c r="F115" s="115" t="s">
        <v>625</v>
      </c>
      <c r="G115" s="121" t="s">
        <v>625</v>
      </c>
      <c r="H115" s="115" t="e">
        <v>#N/A</v>
      </c>
      <c r="I115" s="118" t="s">
        <v>625</v>
      </c>
    </row>
    <row r="116" spans="1:9">
      <c r="A116" s="114">
        <v>39552</v>
      </c>
      <c r="B116" s="115">
        <v>92.24</v>
      </c>
      <c r="C116" s="115" t="s">
        <v>625</v>
      </c>
      <c r="D116" s="115" t="s">
        <v>625</v>
      </c>
      <c r="E116" s="115" t="s">
        <v>625</v>
      </c>
      <c r="F116" s="115" t="s">
        <v>625</v>
      </c>
      <c r="G116" s="121" t="s">
        <v>625</v>
      </c>
      <c r="H116" s="115" t="e">
        <v>#N/A</v>
      </c>
      <c r="I116" s="118" t="s">
        <v>625</v>
      </c>
    </row>
    <row r="117" spans="1:9">
      <c r="A117" s="114">
        <v>39553</v>
      </c>
      <c r="B117" s="115">
        <v>95.16</v>
      </c>
      <c r="C117" s="115" t="s">
        <v>625</v>
      </c>
      <c r="D117" s="115" t="s">
        <v>625</v>
      </c>
      <c r="E117" s="115" t="s">
        <v>625</v>
      </c>
      <c r="F117" s="115" t="s">
        <v>625</v>
      </c>
      <c r="G117" s="121" t="s">
        <v>625</v>
      </c>
      <c r="H117" s="115" t="e">
        <v>#N/A</v>
      </c>
      <c r="I117" s="118" t="s">
        <v>625</v>
      </c>
    </row>
    <row r="118" spans="1:9">
      <c r="A118" s="114">
        <v>39554</v>
      </c>
      <c r="B118" s="115">
        <v>95.16</v>
      </c>
      <c r="C118" s="115" t="s">
        <v>625</v>
      </c>
      <c r="D118" s="115" t="s">
        <v>625</v>
      </c>
      <c r="E118" s="115" t="s">
        <v>625</v>
      </c>
      <c r="F118" s="115" t="s">
        <v>625</v>
      </c>
      <c r="G118" s="121" t="s">
        <v>625</v>
      </c>
      <c r="H118" s="115" t="e">
        <v>#N/A</v>
      </c>
      <c r="I118" s="118" t="s">
        <v>625</v>
      </c>
    </row>
    <row r="119" spans="1:9">
      <c r="A119" s="114">
        <v>39555</v>
      </c>
      <c r="B119" s="115">
        <v>95.16</v>
      </c>
      <c r="C119" s="115" t="s">
        <v>625</v>
      </c>
      <c r="D119" s="115" t="s">
        <v>625</v>
      </c>
      <c r="E119" s="115" t="s">
        <v>625</v>
      </c>
      <c r="F119" s="115" t="s">
        <v>625</v>
      </c>
      <c r="G119" s="121" t="s">
        <v>625</v>
      </c>
      <c r="H119" s="115" t="e">
        <v>#N/A</v>
      </c>
      <c r="I119" s="118" t="s">
        <v>625</v>
      </c>
    </row>
    <row r="120" spans="1:9">
      <c r="A120" s="114">
        <v>39556</v>
      </c>
      <c r="B120" s="115">
        <v>95.53</v>
      </c>
      <c r="C120" s="115" t="s">
        <v>625</v>
      </c>
      <c r="D120" s="115" t="s">
        <v>625</v>
      </c>
      <c r="E120" s="115" t="s">
        <v>625</v>
      </c>
      <c r="F120" s="115" t="s">
        <v>625</v>
      </c>
      <c r="G120" s="121" t="s">
        <v>625</v>
      </c>
      <c r="H120" s="115" t="e">
        <v>#N/A</v>
      </c>
      <c r="I120" s="118" t="s">
        <v>625</v>
      </c>
    </row>
    <row r="121" spans="1:9">
      <c r="A121" s="114">
        <v>39559</v>
      </c>
      <c r="B121" s="115">
        <v>95.53</v>
      </c>
      <c r="C121" s="115" t="s">
        <v>625</v>
      </c>
      <c r="D121" s="115" t="s">
        <v>625</v>
      </c>
      <c r="E121" s="115" t="s">
        <v>625</v>
      </c>
      <c r="F121" s="115" t="s">
        <v>625</v>
      </c>
      <c r="G121" s="121" t="s">
        <v>625</v>
      </c>
      <c r="H121" s="115" t="e">
        <v>#N/A</v>
      </c>
      <c r="I121" s="118" t="s">
        <v>625</v>
      </c>
    </row>
    <row r="122" spans="1:9">
      <c r="A122" s="114">
        <v>39560</v>
      </c>
      <c r="B122" s="115">
        <v>95.53</v>
      </c>
      <c r="C122" s="115" t="s">
        <v>625</v>
      </c>
      <c r="D122" s="115" t="s">
        <v>625</v>
      </c>
      <c r="E122" s="115" t="s">
        <v>625</v>
      </c>
      <c r="F122" s="115" t="s">
        <v>625</v>
      </c>
      <c r="G122" s="121" t="s">
        <v>625</v>
      </c>
      <c r="H122" s="115" t="e">
        <v>#N/A</v>
      </c>
      <c r="I122" s="118" t="s">
        <v>625</v>
      </c>
    </row>
    <row r="123" spans="1:9">
      <c r="A123" s="114">
        <v>39561</v>
      </c>
      <c r="B123" s="115">
        <v>95.53</v>
      </c>
      <c r="C123" s="115" t="s">
        <v>625</v>
      </c>
      <c r="D123" s="115" t="s">
        <v>625</v>
      </c>
      <c r="E123" s="115" t="s">
        <v>625</v>
      </c>
      <c r="F123" s="115" t="s">
        <v>625</v>
      </c>
      <c r="G123" s="121" t="s">
        <v>625</v>
      </c>
      <c r="H123" s="115" t="e">
        <v>#N/A</v>
      </c>
      <c r="I123" s="118" t="s">
        <v>625</v>
      </c>
    </row>
    <row r="124" spans="1:9">
      <c r="A124" s="114">
        <v>39562</v>
      </c>
      <c r="B124" s="115">
        <v>95.53</v>
      </c>
      <c r="C124" s="115" t="s">
        <v>625</v>
      </c>
      <c r="D124" s="115" t="s">
        <v>625</v>
      </c>
      <c r="E124" s="115" t="s">
        <v>625</v>
      </c>
      <c r="F124" s="115" t="s">
        <v>625</v>
      </c>
      <c r="G124" s="121" t="s">
        <v>625</v>
      </c>
      <c r="H124" s="115" t="e">
        <v>#N/A</v>
      </c>
      <c r="I124" s="118" t="s">
        <v>625</v>
      </c>
    </row>
    <row r="125" spans="1:9">
      <c r="A125" s="114">
        <v>39563</v>
      </c>
      <c r="B125" s="115">
        <v>95.53</v>
      </c>
      <c r="C125" s="115" t="s">
        <v>625</v>
      </c>
      <c r="D125" s="115" t="s">
        <v>625</v>
      </c>
      <c r="E125" s="115" t="s">
        <v>625</v>
      </c>
      <c r="F125" s="115" t="s">
        <v>625</v>
      </c>
      <c r="G125" s="121" t="s">
        <v>625</v>
      </c>
      <c r="H125" s="115" t="e">
        <v>#N/A</v>
      </c>
      <c r="I125" s="118" t="s">
        <v>625</v>
      </c>
    </row>
    <row r="126" spans="1:9">
      <c r="A126" s="114">
        <v>39566</v>
      </c>
      <c r="B126" s="115">
        <v>95.53</v>
      </c>
      <c r="C126" s="115" t="s">
        <v>625</v>
      </c>
      <c r="D126" s="115" t="s">
        <v>625</v>
      </c>
      <c r="E126" s="115" t="s">
        <v>625</v>
      </c>
      <c r="F126" s="115" t="s">
        <v>625</v>
      </c>
      <c r="G126" s="121" t="s">
        <v>625</v>
      </c>
      <c r="H126" s="115" t="e">
        <v>#N/A</v>
      </c>
      <c r="I126" s="118" t="s">
        <v>625</v>
      </c>
    </row>
    <row r="127" spans="1:9">
      <c r="A127" s="114">
        <v>39567</v>
      </c>
      <c r="B127" s="115">
        <v>95.53</v>
      </c>
      <c r="C127" s="115" t="s">
        <v>625</v>
      </c>
      <c r="D127" s="115" t="s">
        <v>625</v>
      </c>
      <c r="E127" s="115" t="s">
        <v>625</v>
      </c>
      <c r="F127" s="115" t="s">
        <v>625</v>
      </c>
      <c r="G127" s="121" t="s">
        <v>625</v>
      </c>
      <c r="H127" s="115" t="e">
        <v>#N/A</v>
      </c>
      <c r="I127" s="118" t="s">
        <v>625</v>
      </c>
    </row>
    <row r="128" spans="1:9">
      <c r="A128" s="114">
        <v>39568</v>
      </c>
      <c r="B128" s="115">
        <v>95.53</v>
      </c>
      <c r="C128" s="115" t="s">
        <v>625</v>
      </c>
      <c r="D128" s="115" t="s">
        <v>625</v>
      </c>
      <c r="E128" s="115" t="s">
        <v>625</v>
      </c>
      <c r="F128" s="115" t="s">
        <v>625</v>
      </c>
      <c r="G128" s="121" t="s">
        <v>625</v>
      </c>
      <c r="H128" s="115" t="e">
        <v>#N/A</v>
      </c>
      <c r="I128" s="118" t="s">
        <v>625</v>
      </c>
    </row>
    <row r="129" spans="1:9">
      <c r="A129" s="114">
        <v>39572</v>
      </c>
      <c r="B129" s="115">
        <v>95.53</v>
      </c>
      <c r="C129" s="115" t="s">
        <v>625</v>
      </c>
      <c r="D129" s="115" t="s">
        <v>625</v>
      </c>
      <c r="E129" s="115" t="s">
        <v>625</v>
      </c>
      <c r="F129" s="115" t="s">
        <v>625</v>
      </c>
      <c r="G129" s="121" t="s">
        <v>625</v>
      </c>
      <c r="H129" s="115" t="e">
        <v>#N/A</v>
      </c>
      <c r="I129" s="118" t="s">
        <v>625</v>
      </c>
    </row>
    <row r="130" spans="1:9">
      <c r="A130" s="114">
        <v>39573</v>
      </c>
      <c r="B130" s="115">
        <v>95.53</v>
      </c>
      <c r="C130" s="115" t="s">
        <v>625</v>
      </c>
      <c r="D130" s="115" t="s">
        <v>625</v>
      </c>
      <c r="E130" s="115" t="s">
        <v>625</v>
      </c>
      <c r="F130" s="115" t="s">
        <v>625</v>
      </c>
      <c r="G130" s="121" t="s">
        <v>625</v>
      </c>
      <c r="H130" s="115" t="e">
        <v>#N/A</v>
      </c>
      <c r="I130" s="118" t="s">
        <v>625</v>
      </c>
    </row>
    <row r="131" spans="1:9">
      <c r="A131" s="114">
        <v>39574</v>
      </c>
      <c r="B131" s="115">
        <v>95.53</v>
      </c>
      <c r="C131" s="115" t="s">
        <v>625</v>
      </c>
      <c r="D131" s="115" t="s">
        <v>625</v>
      </c>
      <c r="E131" s="115" t="s">
        <v>625</v>
      </c>
      <c r="F131" s="115" t="s">
        <v>625</v>
      </c>
      <c r="G131" s="121" t="s">
        <v>625</v>
      </c>
      <c r="H131" s="115" t="e">
        <v>#N/A</v>
      </c>
      <c r="I131" s="118" t="s">
        <v>625</v>
      </c>
    </row>
    <row r="132" spans="1:9">
      <c r="A132" s="114">
        <v>39575</v>
      </c>
      <c r="B132" s="115">
        <v>94.83</v>
      </c>
      <c r="C132" s="115" t="s">
        <v>625</v>
      </c>
      <c r="D132" s="115" t="s">
        <v>625</v>
      </c>
      <c r="E132" s="115" t="s">
        <v>625</v>
      </c>
      <c r="F132" s="115" t="s">
        <v>625</v>
      </c>
      <c r="G132" s="121" t="s">
        <v>625</v>
      </c>
      <c r="H132" s="115" t="e">
        <v>#N/A</v>
      </c>
      <c r="I132" s="118" t="s">
        <v>625</v>
      </c>
    </row>
    <row r="133" spans="1:9">
      <c r="A133" s="114">
        <v>39576</v>
      </c>
      <c r="B133" s="115">
        <v>94.83</v>
      </c>
      <c r="C133" s="115" t="s">
        <v>625</v>
      </c>
      <c r="D133" s="115" t="s">
        <v>625</v>
      </c>
      <c r="E133" s="115" t="s">
        <v>625</v>
      </c>
      <c r="F133" s="115" t="s">
        <v>625</v>
      </c>
      <c r="G133" s="121" t="s">
        <v>625</v>
      </c>
      <c r="H133" s="115" t="e">
        <v>#N/A</v>
      </c>
      <c r="I133" s="118" t="s">
        <v>625</v>
      </c>
    </row>
    <row r="134" spans="1:9">
      <c r="A134" s="114">
        <v>39577</v>
      </c>
      <c r="B134" s="115">
        <v>94.84</v>
      </c>
      <c r="C134" s="115" t="s">
        <v>625</v>
      </c>
      <c r="D134" s="115" t="s">
        <v>625</v>
      </c>
      <c r="E134" s="115" t="s">
        <v>625</v>
      </c>
      <c r="F134" s="115" t="s">
        <v>625</v>
      </c>
      <c r="G134" s="121" t="s">
        <v>625</v>
      </c>
      <c r="H134" s="115" t="e">
        <v>#N/A</v>
      </c>
      <c r="I134" s="118" t="s">
        <v>625</v>
      </c>
    </row>
    <row r="135" spans="1:9">
      <c r="A135" s="114">
        <v>39580</v>
      </c>
      <c r="B135" s="115">
        <v>94.84</v>
      </c>
      <c r="C135" s="115" t="s">
        <v>625</v>
      </c>
      <c r="D135" s="115" t="s">
        <v>625</v>
      </c>
      <c r="E135" s="115" t="s">
        <v>625</v>
      </c>
      <c r="F135" s="115" t="s">
        <v>625</v>
      </c>
      <c r="G135" s="121" t="s">
        <v>625</v>
      </c>
      <c r="H135" s="115" t="e">
        <v>#N/A</v>
      </c>
      <c r="I135" s="118" t="s">
        <v>625</v>
      </c>
    </row>
    <row r="136" spans="1:9">
      <c r="A136" s="114">
        <v>39581</v>
      </c>
      <c r="B136" s="115">
        <v>94.84</v>
      </c>
      <c r="C136" s="115" t="s">
        <v>625</v>
      </c>
      <c r="D136" s="115" t="s">
        <v>625</v>
      </c>
      <c r="E136" s="115" t="s">
        <v>625</v>
      </c>
      <c r="F136" s="115" t="s">
        <v>625</v>
      </c>
      <c r="G136" s="121" t="s">
        <v>625</v>
      </c>
      <c r="H136" s="115" t="e">
        <v>#N/A</v>
      </c>
      <c r="I136" s="118" t="s">
        <v>625</v>
      </c>
    </row>
    <row r="137" spans="1:9">
      <c r="A137" s="114">
        <v>39582</v>
      </c>
      <c r="B137" s="115">
        <v>94.84</v>
      </c>
      <c r="C137" s="115" t="s">
        <v>625</v>
      </c>
      <c r="D137" s="115" t="s">
        <v>625</v>
      </c>
      <c r="E137" s="115" t="s">
        <v>625</v>
      </c>
      <c r="F137" s="115" t="s">
        <v>625</v>
      </c>
      <c r="G137" s="121" t="s">
        <v>625</v>
      </c>
      <c r="H137" s="115" t="e">
        <v>#N/A</v>
      </c>
      <c r="I137" s="118" t="s">
        <v>625</v>
      </c>
    </row>
    <row r="138" spans="1:9">
      <c r="A138" s="114">
        <v>39583</v>
      </c>
      <c r="B138" s="115">
        <v>94.84</v>
      </c>
      <c r="C138" s="115" t="s">
        <v>625</v>
      </c>
      <c r="D138" s="115" t="s">
        <v>625</v>
      </c>
      <c r="E138" s="115" t="s">
        <v>625</v>
      </c>
      <c r="F138" s="115" t="s">
        <v>625</v>
      </c>
      <c r="G138" s="121" t="s">
        <v>625</v>
      </c>
      <c r="H138" s="115" t="e">
        <v>#N/A</v>
      </c>
      <c r="I138" s="118" t="s">
        <v>625</v>
      </c>
    </row>
    <row r="139" spans="1:9">
      <c r="A139" s="114">
        <v>39584</v>
      </c>
      <c r="B139" s="115">
        <v>94.84</v>
      </c>
      <c r="C139" s="115" t="s">
        <v>625</v>
      </c>
      <c r="D139" s="115" t="s">
        <v>625</v>
      </c>
      <c r="E139" s="115" t="s">
        <v>625</v>
      </c>
      <c r="F139" s="115" t="s">
        <v>625</v>
      </c>
      <c r="G139" s="121" t="s">
        <v>625</v>
      </c>
      <c r="H139" s="115" t="e">
        <v>#N/A</v>
      </c>
      <c r="I139" s="118" t="s">
        <v>625</v>
      </c>
    </row>
    <row r="140" spans="1:9">
      <c r="A140" s="114">
        <v>39587</v>
      </c>
      <c r="B140" s="115">
        <v>94.84</v>
      </c>
      <c r="C140" s="115" t="s">
        <v>625</v>
      </c>
      <c r="D140" s="115" t="s">
        <v>625</v>
      </c>
      <c r="E140" s="115" t="s">
        <v>625</v>
      </c>
      <c r="F140" s="115" t="s">
        <v>625</v>
      </c>
      <c r="G140" s="121" t="s">
        <v>625</v>
      </c>
      <c r="H140" s="115" t="e">
        <v>#N/A</v>
      </c>
      <c r="I140" s="118" t="s">
        <v>625</v>
      </c>
    </row>
    <row r="141" spans="1:9">
      <c r="A141" s="114">
        <v>39588</v>
      </c>
      <c r="B141" s="115">
        <v>94.84</v>
      </c>
      <c r="C141" s="115" t="s">
        <v>625</v>
      </c>
      <c r="D141" s="115" t="s">
        <v>625</v>
      </c>
      <c r="E141" s="115" t="s">
        <v>625</v>
      </c>
      <c r="F141" s="115" t="s">
        <v>625</v>
      </c>
      <c r="G141" s="121" t="s">
        <v>625</v>
      </c>
      <c r="H141" s="115" t="e">
        <v>#N/A</v>
      </c>
      <c r="I141" s="118" t="s">
        <v>625</v>
      </c>
    </row>
    <row r="142" spans="1:9">
      <c r="A142" s="114">
        <v>39589</v>
      </c>
      <c r="B142" s="115">
        <v>94.84</v>
      </c>
      <c r="C142" s="115" t="s">
        <v>625</v>
      </c>
      <c r="D142" s="115" t="s">
        <v>625</v>
      </c>
      <c r="E142" s="115" t="s">
        <v>625</v>
      </c>
      <c r="F142" s="115" t="s">
        <v>625</v>
      </c>
      <c r="G142" s="121" t="s">
        <v>625</v>
      </c>
      <c r="H142" s="115" t="e">
        <v>#N/A</v>
      </c>
      <c r="I142" s="118" t="s">
        <v>625</v>
      </c>
    </row>
    <row r="143" spans="1:9">
      <c r="A143" s="114">
        <v>39590</v>
      </c>
      <c r="B143" s="115">
        <v>94.84</v>
      </c>
      <c r="C143" s="115" t="s">
        <v>625</v>
      </c>
      <c r="D143" s="115" t="s">
        <v>625</v>
      </c>
      <c r="E143" s="115" t="s">
        <v>625</v>
      </c>
      <c r="F143" s="115" t="s">
        <v>625</v>
      </c>
      <c r="G143" s="121" t="s">
        <v>625</v>
      </c>
      <c r="H143" s="115" t="e">
        <v>#N/A</v>
      </c>
      <c r="I143" s="118" t="s">
        <v>625</v>
      </c>
    </row>
    <row r="144" spans="1:9">
      <c r="A144" s="114">
        <v>39591</v>
      </c>
      <c r="B144" s="115">
        <v>94.84</v>
      </c>
      <c r="C144" s="115" t="s">
        <v>625</v>
      </c>
      <c r="D144" s="115" t="s">
        <v>625</v>
      </c>
      <c r="E144" s="115" t="s">
        <v>625</v>
      </c>
      <c r="F144" s="115" t="s">
        <v>625</v>
      </c>
      <c r="G144" s="121" t="s">
        <v>625</v>
      </c>
      <c r="H144" s="115" t="e">
        <v>#N/A</v>
      </c>
      <c r="I144" s="118" t="s">
        <v>625</v>
      </c>
    </row>
    <row r="145" spans="1:9">
      <c r="A145" s="114">
        <v>39594</v>
      </c>
      <c r="B145" s="115">
        <v>94.84</v>
      </c>
      <c r="C145" s="115" t="s">
        <v>625</v>
      </c>
      <c r="D145" s="115" t="s">
        <v>625</v>
      </c>
      <c r="E145" s="115" t="s">
        <v>625</v>
      </c>
      <c r="F145" s="115" t="s">
        <v>625</v>
      </c>
      <c r="G145" s="121" t="s">
        <v>625</v>
      </c>
      <c r="H145" s="115" t="e">
        <v>#N/A</v>
      </c>
      <c r="I145" s="118" t="s">
        <v>625</v>
      </c>
    </row>
    <row r="146" spans="1:9">
      <c r="A146" s="114">
        <v>39595</v>
      </c>
      <c r="B146" s="115">
        <v>94.84</v>
      </c>
      <c r="C146" s="115" t="s">
        <v>625</v>
      </c>
      <c r="D146" s="115" t="s">
        <v>625</v>
      </c>
      <c r="E146" s="115" t="s">
        <v>625</v>
      </c>
      <c r="F146" s="115" t="s">
        <v>625</v>
      </c>
      <c r="G146" s="121" t="s">
        <v>625</v>
      </c>
      <c r="H146" s="115" t="e">
        <v>#N/A</v>
      </c>
      <c r="I146" s="118" t="s">
        <v>625</v>
      </c>
    </row>
    <row r="147" spans="1:9">
      <c r="A147" s="114">
        <v>39596</v>
      </c>
      <c r="B147" s="115">
        <v>94.84</v>
      </c>
      <c r="C147" s="115" t="s">
        <v>625</v>
      </c>
      <c r="D147" s="115" t="s">
        <v>625</v>
      </c>
      <c r="E147" s="115" t="s">
        <v>625</v>
      </c>
      <c r="F147" s="115" t="s">
        <v>625</v>
      </c>
      <c r="G147" s="121" t="s">
        <v>625</v>
      </c>
      <c r="H147" s="115" t="e">
        <v>#N/A</v>
      </c>
      <c r="I147" s="118" t="s">
        <v>625</v>
      </c>
    </row>
    <row r="148" spans="1:9">
      <c r="A148" s="114">
        <v>39597</v>
      </c>
      <c r="B148" s="115">
        <v>94.84</v>
      </c>
      <c r="C148" s="115" t="s">
        <v>625</v>
      </c>
      <c r="D148" s="115" t="s">
        <v>625</v>
      </c>
      <c r="E148" s="115" t="s">
        <v>625</v>
      </c>
      <c r="F148" s="115" t="s">
        <v>625</v>
      </c>
      <c r="G148" s="121" t="s">
        <v>625</v>
      </c>
      <c r="H148" s="115" t="e">
        <v>#N/A</v>
      </c>
      <c r="I148" s="118" t="s">
        <v>625</v>
      </c>
    </row>
    <row r="149" spans="1:9">
      <c r="A149" s="114">
        <v>39598</v>
      </c>
      <c r="B149" s="115">
        <v>94.84</v>
      </c>
      <c r="C149" s="115" t="s">
        <v>625</v>
      </c>
      <c r="D149" s="115" t="s">
        <v>625</v>
      </c>
      <c r="E149" s="115" t="s">
        <v>625</v>
      </c>
      <c r="F149" s="115" t="s">
        <v>625</v>
      </c>
      <c r="G149" s="121" t="s">
        <v>625</v>
      </c>
      <c r="H149" s="115" t="e">
        <v>#N/A</v>
      </c>
      <c r="I149" s="118" t="s">
        <v>625</v>
      </c>
    </row>
    <row r="150" spans="1:9">
      <c r="A150" s="114">
        <v>39601</v>
      </c>
      <c r="B150" s="115">
        <v>94.84</v>
      </c>
      <c r="C150" s="115" t="s">
        <v>625</v>
      </c>
      <c r="D150" s="115" t="s">
        <v>625</v>
      </c>
      <c r="E150" s="115" t="s">
        <v>625</v>
      </c>
      <c r="F150" s="115" t="s">
        <v>625</v>
      </c>
      <c r="G150" s="121" t="s">
        <v>625</v>
      </c>
      <c r="H150" s="115" t="e">
        <v>#N/A</v>
      </c>
      <c r="I150" s="118" t="s">
        <v>625</v>
      </c>
    </row>
    <row r="151" spans="1:9">
      <c r="A151" s="114">
        <v>39602</v>
      </c>
      <c r="B151" s="115">
        <v>94.84</v>
      </c>
      <c r="C151" s="115" t="s">
        <v>625</v>
      </c>
      <c r="D151" s="115" t="s">
        <v>625</v>
      </c>
      <c r="E151" s="115" t="s">
        <v>625</v>
      </c>
      <c r="F151" s="115" t="s">
        <v>625</v>
      </c>
      <c r="G151" s="121" t="s">
        <v>625</v>
      </c>
      <c r="H151" s="115" t="e">
        <v>#N/A</v>
      </c>
      <c r="I151" s="118" t="s">
        <v>625</v>
      </c>
    </row>
    <row r="152" spans="1:9">
      <c r="A152" s="114">
        <v>39603</v>
      </c>
      <c r="B152" s="115">
        <v>94.84</v>
      </c>
      <c r="C152" s="115" t="s">
        <v>625</v>
      </c>
      <c r="D152" s="115" t="s">
        <v>625</v>
      </c>
      <c r="E152" s="115" t="s">
        <v>625</v>
      </c>
      <c r="F152" s="115" t="s">
        <v>625</v>
      </c>
      <c r="G152" s="121" t="s">
        <v>625</v>
      </c>
      <c r="H152" s="115" t="e">
        <v>#N/A</v>
      </c>
      <c r="I152" s="118" t="s">
        <v>625</v>
      </c>
    </row>
    <row r="153" spans="1:9">
      <c r="A153" s="114">
        <v>39604</v>
      </c>
      <c r="B153" s="115">
        <v>94.84</v>
      </c>
      <c r="C153" s="115" t="s">
        <v>625</v>
      </c>
      <c r="D153" s="115" t="s">
        <v>625</v>
      </c>
      <c r="E153" s="115" t="s">
        <v>625</v>
      </c>
      <c r="F153" s="115" t="s">
        <v>625</v>
      </c>
      <c r="G153" s="121" t="s">
        <v>625</v>
      </c>
      <c r="H153" s="115" t="e">
        <v>#N/A</v>
      </c>
      <c r="I153" s="118" t="s">
        <v>625</v>
      </c>
    </row>
    <row r="154" spans="1:9">
      <c r="A154" s="114">
        <v>39605</v>
      </c>
      <c r="B154" s="115">
        <v>94.84</v>
      </c>
      <c r="C154" s="115" t="s">
        <v>625</v>
      </c>
      <c r="D154" s="115" t="s">
        <v>625</v>
      </c>
      <c r="E154" s="115" t="s">
        <v>625</v>
      </c>
      <c r="F154" s="115" t="s">
        <v>625</v>
      </c>
      <c r="G154" s="121" t="s">
        <v>625</v>
      </c>
      <c r="H154" s="115" t="e">
        <v>#N/A</v>
      </c>
      <c r="I154" s="118" t="s">
        <v>625</v>
      </c>
    </row>
    <row r="155" spans="1:9">
      <c r="A155" s="114">
        <v>39609</v>
      </c>
      <c r="B155" s="115">
        <v>94.84</v>
      </c>
      <c r="C155" s="115" t="s">
        <v>625</v>
      </c>
      <c r="D155" s="115" t="s">
        <v>625</v>
      </c>
      <c r="E155" s="115" t="s">
        <v>625</v>
      </c>
      <c r="F155" s="115" t="s">
        <v>625</v>
      </c>
      <c r="G155" s="121" t="s">
        <v>625</v>
      </c>
      <c r="H155" s="115" t="e">
        <v>#N/A</v>
      </c>
      <c r="I155" s="118" t="s">
        <v>625</v>
      </c>
    </row>
    <row r="156" spans="1:9">
      <c r="A156" s="114">
        <v>39610</v>
      </c>
      <c r="B156" s="115">
        <v>94.84</v>
      </c>
      <c r="C156" s="115" t="s">
        <v>625</v>
      </c>
      <c r="D156" s="115" t="s">
        <v>625</v>
      </c>
      <c r="E156" s="115" t="s">
        <v>625</v>
      </c>
      <c r="F156" s="115" t="s">
        <v>625</v>
      </c>
      <c r="G156" s="121" t="s">
        <v>625</v>
      </c>
      <c r="H156" s="115" t="e">
        <v>#N/A</v>
      </c>
      <c r="I156" s="118" t="s">
        <v>625</v>
      </c>
    </row>
    <row r="157" spans="1:9">
      <c r="A157" s="114">
        <v>39611</v>
      </c>
      <c r="B157" s="115">
        <v>94.84</v>
      </c>
      <c r="C157" s="115" t="s">
        <v>625</v>
      </c>
      <c r="D157" s="115" t="s">
        <v>625</v>
      </c>
      <c r="E157" s="115" t="s">
        <v>625</v>
      </c>
      <c r="F157" s="115" t="s">
        <v>625</v>
      </c>
      <c r="G157" s="121" t="s">
        <v>625</v>
      </c>
      <c r="H157" s="115" t="e">
        <v>#N/A</v>
      </c>
      <c r="I157" s="118" t="s">
        <v>625</v>
      </c>
    </row>
    <row r="158" spans="1:9">
      <c r="A158" s="114">
        <v>39612</v>
      </c>
      <c r="B158" s="115">
        <v>94.84</v>
      </c>
      <c r="C158" s="115" t="s">
        <v>625</v>
      </c>
      <c r="D158" s="115" t="s">
        <v>625</v>
      </c>
      <c r="E158" s="115" t="s">
        <v>625</v>
      </c>
      <c r="F158" s="115" t="s">
        <v>625</v>
      </c>
      <c r="G158" s="121" t="s">
        <v>625</v>
      </c>
      <c r="H158" s="115" t="e">
        <v>#N/A</v>
      </c>
      <c r="I158" s="118" t="s">
        <v>625</v>
      </c>
    </row>
    <row r="159" spans="1:9">
      <c r="A159" s="114">
        <v>39615</v>
      </c>
      <c r="B159" s="115">
        <v>94.84</v>
      </c>
      <c r="C159" s="115" t="s">
        <v>625</v>
      </c>
      <c r="D159" s="115" t="s">
        <v>625</v>
      </c>
      <c r="E159" s="115" t="s">
        <v>625</v>
      </c>
      <c r="F159" s="115" t="s">
        <v>625</v>
      </c>
      <c r="G159" s="121" t="s">
        <v>625</v>
      </c>
      <c r="H159" s="115" t="e">
        <v>#N/A</v>
      </c>
      <c r="I159" s="118" t="s">
        <v>625</v>
      </c>
    </row>
    <row r="160" spans="1:9">
      <c r="A160" s="114">
        <v>39616</v>
      </c>
      <c r="B160" s="115">
        <v>94.84</v>
      </c>
      <c r="C160" s="115" t="s">
        <v>625</v>
      </c>
      <c r="D160" s="115" t="s">
        <v>625</v>
      </c>
      <c r="E160" s="115" t="s">
        <v>625</v>
      </c>
      <c r="F160" s="115" t="s">
        <v>625</v>
      </c>
      <c r="G160" s="121" t="s">
        <v>625</v>
      </c>
      <c r="H160" s="115" t="e">
        <v>#N/A</v>
      </c>
      <c r="I160" s="118" t="s">
        <v>625</v>
      </c>
    </row>
    <row r="161" spans="1:9">
      <c r="A161" s="114">
        <v>39617</v>
      </c>
      <c r="B161" s="115">
        <v>94.84</v>
      </c>
      <c r="C161" s="115" t="s">
        <v>625</v>
      </c>
      <c r="D161" s="115" t="s">
        <v>625</v>
      </c>
      <c r="E161" s="115" t="s">
        <v>625</v>
      </c>
      <c r="F161" s="115" t="s">
        <v>625</v>
      </c>
      <c r="G161" s="121" t="s">
        <v>625</v>
      </c>
      <c r="H161" s="115" t="e">
        <v>#N/A</v>
      </c>
      <c r="I161" s="118" t="s">
        <v>625</v>
      </c>
    </row>
    <row r="162" spans="1:9">
      <c r="A162" s="114">
        <v>39618</v>
      </c>
      <c r="B162" s="115">
        <v>94.84</v>
      </c>
      <c r="C162" s="115" t="s">
        <v>625</v>
      </c>
      <c r="D162" s="115" t="s">
        <v>625</v>
      </c>
      <c r="E162" s="115" t="s">
        <v>625</v>
      </c>
      <c r="F162" s="115" t="s">
        <v>625</v>
      </c>
      <c r="G162" s="121" t="s">
        <v>625</v>
      </c>
      <c r="H162" s="115" t="e">
        <v>#N/A</v>
      </c>
      <c r="I162" s="118" t="s">
        <v>625</v>
      </c>
    </row>
    <row r="163" spans="1:9">
      <c r="A163" s="114">
        <v>39619</v>
      </c>
      <c r="B163" s="115">
        <v>94.84</v>
      </c>
      <c r="C163" s="115" t="s">
        <v>625</v>
      </c>
      <c r="D163" s="115" t="s">
        <v>625</v>
      </c>
      <c r="E163" s="115" t="s">
        <v>625</v>
      </c>
      <c r="F163" s="115" t="s">
        <v>625</v>
      </c>
      <c r="G163" s="121" t="s">
        <v>625</v>
      </c>
      <c r="H163" s="115" t="e">
        <v>#N/A</v>
      </c>
      <c r="I163" s="118" t="s">
        <v>625</v>
      </c>
    </row>
    <row r="164" spans="1:9">
      <c r="A164" s="114">
        <v>39622</v>
      </c>
      <c r="B164" s="115">
        <v>94.84</v>
      </c>
      <c r="C164" s="115" t="s">
        <v>625</v>
      </c>
      <c r="D164" s="115" t="s">
        <v>625</v>
      </c>
      <c r="E164" s="115" t="s">
        <v>625</v>
      </c>
      <c r="F164" s="115" t="s">
        <v>625</v>
      </c>
      <c r="G164" s="121" t="s">
        <v>625</v>
      </c>
      <c r="H164" s="115" t="e">
        <v>#N/A</v>
      </c>
      <c r="I164" s="118" t="s">
        <v>625</v>
      </c>
    </row>
    <row r="165" spans="1:9">
      <c r="A165" s="114">
        <v>39623</v>
      </c>
      <c r="B165" s="115">
        <v>94.84</v>
      </c>
      <c r="C165" s="115" t="s">
        <v>625</v>
      </c>
      <c r="D165" s="115" t="s">
        <v>625</v>
      </c>
      <c r="E165" s="115" t="s">
        <v>625</v>
      </c>
      <c r="F165" s="115" t="s">
        <v>625</v>
      </c>
      <c r="G165" s="121" t="s">
        <v>625</v>
      </c>
      <c r="H165" s="115" t="e">
        <v>#N/A</v>
      </c>
      <c r="I165" s="118" t="s">
        <v>625</v>
      </c>
    </row>
    <row r="166" spans="1:9">
      <c r="A166" s="114">
        <v>39624</v>
      </c>
      <c r="B166" s="115">
        <v>94.84</v>
      </c>
      <c r="C166" s="115" t="s">
        <v>625</v>
      </c>
      <c r="D166" s="115" t="s">
        <v>625</v>
      </c>
      <c r="E166" s="115" t="s">
        <v>625</v>
      </c>
      <c r="F166" s="115" t="s">
        <v>625</v>
      </c>
      <c r="G166" s="121" t="s">
        <v>625</v>
      </c>
      <c r="H166" s="115" t="e">
        <v>#N/A</v>
      </c>
      <c r="I166" s="118" t="s">
        <v>625</v>
      </c>
    </row>
    <row r="167" spans="1:9">
      <c r="A167" s="114">
        <v>39625</v>
      </c>
      <c r="B167" s="115">
        <v>94.84</v>
      </c>
      <c r="C167" s="115" t="s">
        <v>625</v>
      </c>
      <c r="D167" s="115" t="s">
        <v>625</v>
      </c>
      <c r="E167" s="115" t="s">
        <v>625</v>
      </c>
      <c r="F167" s="115" t="s">
        <v>625</v>
      </c>
      <c r="G167" s="121" t="s">
        <v>625</v>
      </c>
      <c r="H167" s="115" t="e">
        <v>#N/A</v>
      </c>
      <c r="I167" s="118" t="s">
        <v>625</v>
      </c>
    </row>
    <row r="168" spans="1:9">
      <c r="A168" s="114">
        <v>39626</v>
      </c>
      <c r="B168" s="115">
        <v>94.84</v>
      </c>
      <c r="C168" s="115" t="s">
        <v>625</v>
      </c>
      <c r="D168" s="115" t="s">
        <v>625</v>
      </c>
      <c r="E168" s="115" t="s">
        <v>625</v>
      </c>
      <c r="F168" s="115" t="s">
        <v>625</v>
      </c>
      <c r="G168" s="121" t="s">
        <v>625</v>
      </c>
      <c r="H168" s="115" t="e">
        <v>#N/A</v>
      </c>
      <c r="I168" s="118" t="s">
        <v>625</v>
      </c>
    </row>
    <row r="169" spans="1:9">
      <c r="A169" s="114">
        <v>39629</v>
      </c>
      <c r="B169" s="115">
        <v>94.84</v>
      </c>
      <c r="C169" s="115" t="s">
        <v>625</v>
      </c>
      <c r="D169" s="115" t="s">
        <v>625</v>
      </c>
      <c r="E169" s="115" t="s">
        <v>625</v>
      </c>
      <c r="F169" s="115" t="s">
        <v>625</v>
      </c>
      <c r="G169" s="121" t="s">
        <v>625</v>
      </c>
      <c r="H169" s="115" t="e">
        <v>#N/A</v>
      </c>
      <c r="I169" s="118" t="s">
        <v>625</v>
      </c>
    </row>
    <row r="170" spans="1:9">
      <c r="A170" s="114">
        <v>39630</v>
      </c>
      <c r="B170" s="115">
        <v>94.84</v>
      </c>
      <c r="C170" s="115" t="s">
        <v>625</v>
      </c>
      <c r="D170" s="115" t="s">
        <v>625</v>
      </c>
      <c r="E170" s="115" t="s">
        <v>625</v>
      </c>
      <c r="F170" s="115" t="s">
        <v>625</v>
      </c>
      <c r="G170" s="121" t="s">
        <v>625</v>
      </c>
      <c r="H170" s="115" t="e">
        <v>#N/A</v>
      </c>
      <c r="I170" s="118" t="s">
        <v>625</v>
      </c>
    </row>
    <row r="171" spans="1:9">
      <c r="A171" s="114">
        <v>39631</v>
      </c>
      <c r="B171" s="115">
        <v>94.84</v>
      </c>
      <c r="C171" s="115" t="s">
        <v>625</v>
      </c>
      <c r="D171" s="115" t="s">
        <v>625</v>
      </c>
      <c r="E171" s="115" t="s">
        <v>625</v>
      </c>
      <c r="F171" s="115" t="s">
        <v>625</v>
      </c>
      <c r="G171" s="121" t="s">
        <v>625</v>
      </c>
      <c r="H171" s="115" t="e">
        <v>#N/A</v>
      </c>
      <c r="I171" s="118" t="s">
        <v>625</v>
      </c>
    </row>
    <row r="172" spans="1:9">
      <c r="A172" s="114">
        <v>39632</v>
      </c>
      <c r="B172" s="115">
        <v>94.84</v>
      </c>
      <c r="C172" s="115" t="s">
        <v>625</v>
      </c>
      <c r="D172" s="115" t="s">
        <v>625</v>
      </c>
      <c r="E172" s="115" t="s">
        <v>625</v>
      </c>
      <c r="F172" s="115" t="s">
        <v>625</v>
      </c>
      <c r="G172" s="121" t="s">
        <v>625</v>
      </c>
      <c r="H172" s="115" t="e">
        <v>#N/A</v>
      </c>
      <c r="I172" s="118" t="s">
        <v>625</v>
      </c>
    </row>
    <row r="173" spans="1:9">
      <c r="A173" s="114">
        <v>39633</v>
      </c>
      <c r="B173" s="115">
        <v>94.84</v>
      </c>
      <c r="C173" s="115" t="s">
        <v>625</v>
      </c>
      <c r="D173" s="115" t="s">
        <v>625</v>
      </c>
      <c r="E173" s="115" t="s">
        <v>625</v>
      </c>
      <c r="F173" s="115" t="s">
        <v>625</v>
      </c>
      <c r="G173" s="121" t="s">
        <v>625</v>
      </c>
      <c r="H173" s="115" t="e">
        <v>#N/A</v>
      </c>
      <c r="I173" s="118" t="s">
        <v>625</v>
      </c>
    </row>
    <row r="174" spans="1:9">
      <c r="A174" s="114">
        <v>39636</v>
      </c>
      <c r="B174" s="115">
        <v>94.84</v>
      </c>
      <c r="C174" s="115" t="s">
        <v>625</v>
      </c>
      <c r="D174" s="115" t="s">
        <v>625</v>
      </c>
      <c r="E174" s="115" t="s">
        <v>625</v>
      </c>
      <c r="F174" s="115" t="s">
        <v>625</v>
      </c>
      <c r="G174" s="121" t="s">
        <v>625</v>
      </c>
      <c r="H174" s="115" t="e">
        <v>#N/A</v>
      </c>
      <c r="I174" s="118" t="s">
        <v>625</v>
      </c>
    </row>
    <row r="175" spans="1:9">
      <c r="A175" s="114">
        <v>39637</v>
      </c>
      <c r="B175" s="115">
        <v>94.84</v>
      </c>
      <c r="C175" s="115" t="s">
        <v>625</v>
      </c>
      <c r="D175" s="115" t="s">
        <v>625</v>
      </c>
      <c r="E175" s="115" t="s">
        <v>625</v>
      </c>
      <c r="F175" s="115" t="s">
        <v>625</v>
      </c>
      <c r="G175" s="121" t="s">
        <v>625</v>
      </c>
      <c r="H175" s="115" t="e">
        <v>#N/A</v>
      </c>
      <c r="I175" s="118" t="s">
        <v>625</v>
      </c>
    </row>
    <row r="176" spans="1:9">
      <c r="A176" s="114">
        <v>39638</v>
      </c>
      <c r="B176" s="115">
        <v>94.84</v>
      </c>
      <c r="C176" s="115" t="s">
        <v>625</v>
      </c>
      <c r="D176" s="115" t="s">
        <v>625</v>
      </c>
      <c r="E176" s="115" t="s">
        <v>625</v>
      </c>
      <c r="F176" s="115" t="s">
        <v>625</v>
      </c>
      <c r="G176" s="121" t="s">
        <v>625</v>
      </c>
      <c r="H176" s="115" t="e">
        <v>#N/A</v>
      </c>
      <c r="I176" s="118" t="s">
        <v>625</v>
      </c>
    </row>
    <row r="177" spans="1:9">
      <c r="A177" s="114">
        <v>39639</v>
      </c>
      <c r="B177" s="115">
        <v>94.84</v>
      </c>
      <c r="C177" s="115" t="s">
        <v>625</v>
      </c>
      <c r="D177" s="115" t="s">
        <v>625</v>
      </c>
      <c r="E177" s="115" t="s">
        <v>625</v>
      </c>
      <c r="F177" s="115" t="s">
        <v>625</v>
      </c>
      <c r="G177" s="121" t="s">
        <v>625</v>
      </c>
      <c r="H177" s="115" t="e">
        <v>#N/A</v>
      </c>
      <c r="I177" s="118" t="s">
        <v>625</v>
      </c>
    </row>
    <row r="178" spans="1:9">
      <c r="A178" s="114">
        <v>39640</v>
      </c>
      <c r="B178" s="115">
        <v>94.84</v>
      </c>
      <c r="C178" s="115" t="s">
        <v>625</v>
      </c>
      <c r="D178" s="115" t="s">
        <v>625</v>
      </c>
      <c r="E178" s="115" t="s">
        <v>625</v>
      </c>
      <c r="F178" s="115" t="s">
        <v>625</v>
      </c>
      <c r="G178" s="121" t="s">
        <v>625</v>
      </c>
      <c r="H178" s="115" t="e">
        <v>#N/A</v>
      </c>
      <c r="I178" s="118" t="s">
        <v>625</v>
      </c>
    </row>
    <row r="179" spans="1:9">
      <c r="A179" s="114">
        <v>39643</v>
      </c>
      <c r="B179" s="115">
        <v>94.84</v>
      </c>
      <c r="C179" s="115" t="s">
        <v>625</v>
      </c>
      <c r="D179" s="115" t="s">
        <v>625</v>
      </c>
      <c r="E179" s="115" t="s">
        <v>625</v>
      </c>
      <c r="F179" s="115" t="s">
        <v>625</v>
      </c>
      <c r="G179" s="121" t="s">
        <v>625</v>
      </c>
      <c r="H179" s="115" t="e">
        <v>#N/A</v>
      </c>
      <c r="I179" s="118" t="s">
        <v>625</v>
      </c>
    </row>
    <row r="180" spans="1:9">
      <c r="A180" s="114">
        <v>39644</v>
      </c>
      <c r="B180" s="115">
        <v>94.84</v>
      </c>
      <c r="C180" s="115" t="s">
        <v>625</v>
      </c>
      <c r="D180" s="115" t="s">
        <v>625</v>
      </c>
      <c r="E180" s="115" t="s">
        <v>625</v>
      </c>
      <c r="F180" s="115" t="s">
        <v>625</v>
      </c>
      <c r="G180" s="121" t="s">
        <v>625</v>
      </c>
      <c r="H180" s="115" t="e">
        <v>#N/A</v>
      </c>
      <c r="I180" s="118" t="s">
        <v>625</v>
      </c>
    </row>
    <row r="181" spans="1:9">
      <c r="A181" s="114">
        <v>39645</v>
      </c>
      <c r="B181" s="115">
        <v>94.84</v>
      </c>
      <c r="C181" s="115" t="s">
        <v>625</v>
      </c>
      <c r="D181" s="115" t="s">
        <v>625</v>
      </c>
      <c r="E181" s="115" t="s">
        <v>625</v>
      </c>
      <c r="F181" s="115" t="s">
        <v>625</v>
      </c>
      <c r="G181" s="121" t="s">
        <v>625</v>
      </c>
      <c r="H181" s="115" t="e">
        <v>#N/A</v>
      </c>
      <c r="I181" s="118" t="s">
        <v>625</v>
      </c>
    </row>
    <row r="182" spans="1:9">
      <c r="A182" s="114">
        <v>39646</v>
      </c>
      <c r="B182" s="115">
        <v>94.84</v>
      </c>
      <c r="C182" s="115" t="s">
        <v>625</v>
      </c>
      <c r="D182" s="115" t="s">
        <v>625</v>
      </c>
      <c r="E182" s="115" t="s">
        <v>625</v>
      </c>
      <c r="F182" s="115" t="s">
        <v>625</v>
      </c>
      <c r="G182" s="121" t="s">
        <v>625</v>
      </c>
      <c r="H182" s="115" t="e">
        <v>#N/A</v>
      </c>
      <c r="I182" s="118" t="s">
        <v>625</v>
      </c>
    </row>
    <row r="183" spans="1:9">
      <c r="A183" s="114">
        <v>39647</v>
      </c>
      <c r="B183" s="115">
        <v>94.84</v>
      </c>
      <c r="C183" s="115" t="s">
        <v>625</v>
      </c>
      <c r="D183" s="115" t="s">
        <v>625</v>
      </c>
      <c r="E183" s="115" t="s">
        <v>625</v>
      </c>
      <c r="F183" s="115" t="s">
        <v>625</v>
      </c>
      <c r="G183" s="121" t="s">
        <v>625</v>
      </c>
      <c r="H183" s="115" t="e">
        <v>#N/A</v>
      </c>
      <c r="I183" s="118" t="s">
        <v>625</v>
      </c>
    </row>
    <row r="184" spans="1:9">
      <c r="A184" s="114">
        <v>39650</v>
      </c>
      <c r="B184" s="115">
        <v>94.84</v>
      </c>
      <c r="C184" s="115" t="s">
        <v>625</v>
      </c>
      <c r="D184" s="115" t="s">
        <v>625</v>
      </c>
      <c r="E184" s="115" t="s">
        <v>625</v>
      </c>
      <c r="F184" s="115" t="s">
        <v>625</v>
      </c>
      <c r="G184" s="121" t="s">
        <v>625</v>
      </c>
      <c r="H184" s="115" t="e">
        <v>#N/A</v>
      </c>
      <c r="I184" s="118" t="s">
        <v>625</v>
      </c>
    </row>
    <row r="185" spans="1:9">
      <c r="A185" s="114">
        <v>39651</v>
      </c>
      <c r="B185" s="115">
        <v>94.84</v>
      </c>
      <c r="C185" s="115" t="s">
        <v>625</v>
      </c>
      <c r="D185" s="115" t="s">
        <v>625</v>
      </c>
      <c r="E185" s="115" t="s">
        <v>625</v>
      </c>
      <c r="F185" s="115" t="s">
        <v>625</v>
      </c>
      <c r="G185" s="121" t="s">
        <v>625</v>
      </c>
      <c r="H185" s="115" t="e">
        <v>#N/A</v>
      </c>
      <c r="I185" s="118" t="s">
        <v>625</v>
      </c>
    </row>
    <row r="186" spans="1:9">
      <c r="A186" s="114">
        <v>39652</v>
      </c>
      <c r="B186" s="115">
        <v>94.84</v>
      </c>
      <c r="C186" s="115" t="s">
        <v>625</v>
      </c>
      <c r="D186" s="115" t="s">
        <v>625</v>
      </c>
      <c r="E186" s="115" t="s">
        <v>625</v>
      </c>
      <c r="F186" s="115" t="s">
        <v>625</v>
      </c>
      <c r="G186" s="121" t="s">
        <v>625</v>
      </c>
      <c r="H186" s="115" t="e">
        <v>#N/A</v>
      </c>
      <c r="I186" s="118" t="s">
        <v>625</v>
      </c>
    </row>
    <row r="187" spans="1:9">
      <c r="A187" s="114">
        <v>39653</v>
      </c>
      <c r="B187" s="115">
        <v>94.84</v>
      </c>
      <c r="C187" s="115" t="s">
        <v>625</v>
      </c>
      <c r="D187" s="115" t="s">
        <v>625</v>
      </c>
      <c r="E187" s="115" t="s">
        <v>625</v>
      </c>
      <c r="F187" s="115" t="s">
        <v>625</v>
      </c>
      <c r="G187" s="121" t="s">
        <v>625</v>
      </c>
      <c r="H187" s="115" t="e">
        <v>#N/A</v>
      </c>
      <c r="I187" s="118" t="s">
        <v>625</v>
      </c>
    </row>
    <row r="188" spans="1:9">
      <c r="A188" s="114">
        <v>39654</v>
      </c>
      <c r="B188" s="115">
        <v>94.84</v>
      </c>
      <c r="C188" s="115" t="s">
        <v>625</v>
      </c>
      <c r="D188" s="115" t="s">
        <v>625</v>
      </c>
      <c r="E188" s="115" t="s">
        <v>625</v>
      </c>
      <c r="F188" s="115" t="s">
        <v>625</v>
      </c>
      <c r="G188" s="121" t="s">
        <v>625</v>
      </c>
      <c r="H188" s="115" t="e">
        <v>#N/A</v>
      </c>
      <c r="I188" s="118" t="s">
        <v>625</v>
      </c>
    </row>
    <row r="189" spans="1:9">
      <c r="A189" s="114">
        <v>39657</v>
      </c>
      <c r="B189" s="115">
        <v>94.84</v>
      </c>
      <c r="C189" s="115" t="s">
        <v>625</v>
      </c>
      <c r="D189" s="115" t="s">
        <v>625</v>
      </c>
      <c r="E189" s="115" t="s">
        <v>625</v>
      </c>
      <c r="F189" s="115" t="s">
        <v>625</v>
      </c>
      <c r="G189" s="121" t="s">
        <v>625</v>
      </c>
      <c r="H189" s="115" t="e">
        <v>#N/A</v>
      </c>
      <c r="I189" s="118" t="s">
        <v>625</v>
      </c>
    </row>
    <row r="190" spans="1:9">
      <c r="A190" s="114">
        <v>39658</v>
      </c>
      <c r="B190" s="115">
        <v>94.84</v>
      </c>
      <c r="C190" s="115" t="s">
        <v>625</v>
      </c>
      <c r="D190" s="115" t="s">
        <v>625</v>
      </c>
      <c r="E190" s="115" t="s">
        <v>625</v>
      </c>
      <c r="F190" s="115" t="s">
        <v>625</v>
      </c>
      <c r="G190" s="121" t="s">
        <v>625</v>
      </c>
      <c r="H190" s="115" t="e">
        <v>#N/A</v>
      </c>
      <c r="I190" s="118" t="s">
        <v>625</v>
      </c>
    </row>
    <row r="191" spans="1:9">
      <c r="A191" s="114">
        <v>39659</v>
      </c>
      <c r="B191" s="115">
        <v>94.84</v>
      </c>
      <c r="C191" s="115" t="s">
        <v>625</v>
      </c>
      <c r="D191" s="115" t="s">
        <v>625</v>
      </c>
      <c r="E191" s="115" t="s">
        <v>625</v>
      </c>
      <c r="F191" s="115" t="s">
        <v>625</v>
      </c>
      <c r="G191" s="121" t="s">
        <v>625</v>
      </c>
      <c r="H191" s="115" t="e">
        <v>#N/A</v>
      </c>
      <c r="I191" s="118" t="s">
        <v>625</v>
      </c>
    </row>
    <row r="192" spans="1:9">
      <c r="A192" s="114">
        <v>39660</v>
      </c>
      <c r="B192" s="115">
        <v>94.84</v>
      </c>
      <c r="C192" s="115" t="s">
        <v>625</v>
      </c>
      <c r="D192" s="115" t="s">
        <v>625</v>
      </c>
      <c r="E192" s="115" t="s">
        <v>625</v>
      </c>
      <c r="F192" s="115" t="s">
        <v>625</v>
      </c>
      <c r="G192" s="121" t="s">
        <v>625</v>
      </c>
      <c r="H192" s="115" t="e">
        <v>#N/A</v>
      </c>
      <c r="I192" s="118" t="s">
        <v>625</v>
      </c>
    </row>
    <row r="193" spans="1:9">
      <c r="A193" s="114">
        <v>39661</v>
      </c>
      <c r="B193" s="115">
        <v>94.84</v>
      </c>
      <c r="C193" s="115" t="s">
        <v>625</v>
      </c>
      <c r="D193" s="115" t="s">
        <v>625</v>
      </c>
      <c r="E193" s="115" t="s">
        <v>625</v>
      </c>
      <c r="F193" s="115" t="s">
        <v>625</v>
      </c>
      <c r="G193" s="121" t="s">
        <v>625</v>
      </c>
      <c r="H193" s="115" t="e">
        <v>#N/A</v>
      </c>
      <c r="I193" s="118" t="s">
        <v>625</v>
      </c>
    </row>
    <row r="194" spans="1:9">
      <c r="A194" s="114">
        <v>39664</v>
      </c>
      <c r="B194" s="115">
        <v>94.84</v>
      </c>
      <c r="C194" s="115" t="s">
        <v>625</v>
      </c>
      <c r="D194" s="115" t="s">
        <v>625</v>
      </c>
      <c r="E194" s="115" t="s">
        <v>625</v>
      </c>
      <c r="F194" s="115" t="s">
        <v>625</v>
      </c>
      <c r="G194" s="121" t="s">
        <v>625</v>
      </c>
      <c r="H194" s="115" t="e">
        <v>#N/A</v>
      </c>
      <c r="I194" s="118" t="s">
        <v>625</v>
      </c>
    </row>
    <row r="195" spans="1:9">
      <c r="A195" s="114">
        <v>39665</v>
      </c>
      <c r="B195" s="115">
        <v>94.84</v>
      </c>
      <c r="C195" s="115" t="s">
        <v>625</v>
      </c>
      <c r="D195" s="115" t="s">
        <v>625</v>
      </c>
      <c r="E195" s="115" t="s">
        <v>625</v>
      </c>
      <c r="F195" s="115" t="s">
        <v>625</v>
      </c>
      <c r="G195" s="121" t="s">
        <v>625</v>
      </c>
      <c r="H195" s="115" t="e">
        <v>#N/A</v>
      </c>
      <c r="I195" s="118" t="s">
        <v>625</v>
      </c>
    </row>
    <row r="196" spans="1:9">
      <c r="A196" s="114">
        <v>39666</v>
      </c>
      <c r="B196" s="115">
        <v>94.84</v>
      </c>
      <c r="C196" s="115" t="s">
        <v>625</v>
      </c>
      <c r="D196" s="115" t="s">
        <v>625</v>
      </c>
      <c r="E196" s="115" t="s">
        <v>625</v>
      </c>
      <c r="F196" s="115" t="s">
        <v>625</v>
      </c>
      <c r="G196" s="121" t="s">
        <v>625</v>
      </c>
      <c r="H196" s="115" t="e">
        <v>#N/A</v>
      </c>
      <c r="I196" s="118" t="s">
        <v>625</v>
      </c>
    </row>
    <row r="197" spans="1:9">
      <c r="A197" s="114">
        <v>39667</v>
      </c>
      <c r="B197" s="115">
        <v>94.84</v>
      </c>
      <c r="C197" s="115" t="s">
        <v>625</v>
      </c>
      <c r="D197" s="115" t="s">
        <v>625</v>
      </c>
      <c r="E197" s="115" t="s">
        <v>625</v>
      </c>
      <c r="F197" s="115" t="s">
        <v>625</v>
      </c>
      <c r="G197" s="121" t="s">
        <v>625</v>
      </c>
      <c r="H197" s="115" t="e">
        <v>#N/A</v>
      </c>
      <c r="I197" s="118" t="s">
        <v>625</v>
      </c>
    </row>
    <row r="198" spans="1:9">
      <c r="A198" s="114">
        <v>39668</v>
      </c>
      <c r="B198" s="115">
        <v>94.84</v>
      </c>
      <c r="C198" s="115" t="s">
        <v>625</v>
      </c>
      <c r="D198" s="115" t="s">
        <v>625</v>
      </c>
      <c r="E198" s="115" t="s">
        <v>625</v>
      </c>
      <c r="F198" s="115" t="s">
        <v>625</v>
      </c>
      <c r="G198" s="121" t="s">
        <v>625</v>
      </c>
      <c r="H198" s="115" t="e">
        <v>#N/A</v>
      </c>
      <c r="I198" s="118" t="s">
        <v>625</v>
      </c>
    </row>
    <row r="199" spans="1:9">
      <c r="A199" s="114">
        <v>39671</v>
      </c>
      <c r="B199" s="115">
        <v>94.84</v>
      </c>
      <c r="C199" s="115" t="s">
        <v>625</v>
      </c>
      <c r="D199" s="115" t="s">
        <v>625</v>
      </c>
      <c r="E199" s="115" t="s">
        <v>625</v>
      </c>
      <c r="F199" s="115" t="s">
        <v>625</v>
      </c>
      <c r="G199" s="121" t="s">
        <v>625</v>
      </c>
      <c r="H199" s="115" t="e">
        <v>#N/A</v>
      </c>
      <c r="I199" s="118" t="s">
        <v>625</v>
      </c>
    </row>
    <row r="200" spans="1:9">
      <c r="A200" s="114">
        <v>39672</v>
      </c>
      <c r="B200" s="115">
        <v>94.84</v>
      </c>
      <c r="C200" s="115" t="s">
        <v>625</v>
      </c>
      <c r="D200" s="115" t="s">
        <v>625</v>
      </c>
      <c r="E200" s="115" t="s">
        <v>625</v>
      </c>
      <c r="F200" s="115" t="s">
        <v>625</v>
      </c>
      <c r="G200" s="121" t="s">
        <v>625</v>
      </c>
      <c r="H200" s="115" t="e">
        <v>#N/A</v>
      </c>
      <c r="I200" s="118" t="s">
        <v>625</v>
      </c>
    </row>
    <row r="201" spans="1:9">
      <c r="A201" s="114">
        <v>39673</v>
      </c>
      <c r="B201" s="115">
        <v>94.84</v>
      </c>
      <c r="C201" s="115" t="s">
        <v>625</v>
      </c>
      <c r="D201" s="115" t="s">
        <v>625</v>
      </c>
      <c r="E201" s="115" t="s">
        <v>625</v>
      </c>
      <c r="F201" s="115" t="s">
        <v>625</v>
      </c>
      <c r="G201" s="121" t="s">
        <v>625</v>
      </c>
      <c r="H201" s="115" t="e">
        <v>#N/A</v>
      </c>
      <c r="I201" s="118" t="s">
        <v>625</v>
      </c>
    </row>
    <row r="202" spans="1:9">
      <c r="A202" s="114">
        <v>39674</v>
      </c>
      <c r="B202" s="115">
        <v>94.84</v>
      </c>
      <c r="C202" s="115" t="s">
        <v>625</v>
      </c>
      <c r="D202" s="115" t="s">
        <v>625</v>
      </c>
      <c r="E202" s="115" t="s">
        <v>625</v>
      </c>
      <c r="F202" s="115" t="s">
        <v>625</v>
      </c>
      <c r="G202" s="121" t="s">
        <v>625</v>
      </c>
      <c r="H202" s="115" t="e">
        <v>#N/A</v>
      </c>
      <c r="I202" s="118" t="s">
        <v>625</v>
      </c>
    </row>
    <row r="203" spans="1:9">
      <c r="A203" s="114">
        <v>39675</v>
      </c>
      <c r="B203" s="115">
        <v>94.84</v>
      </c>
      <c r="C203" s="115" t="s">
        <v>625</v>
      </c>
      <c r="D203" s="115" t="s">
        <v>625</v>
      </c>
      <c r="E203" s="115" t="s">
        <v>625</v>
      </c>
      <c r="F203" s="115" t="s">
        <v>625</v>
      </c>
      <c r="G203" s="121" t="s">
        <v>625</v>
      </c>
      <c r="H203" s="115" t="e">
        <v>#N/A</v>
      </c>
      <c r="I203" s="118" t="s">
        <v>625</v>
      </c>
    </row>
    <row r="204" spans="1:9">
      <c r="A204" s="114">
        <v>39678</v>
      </c>
      <c r="B204" s="115">
        <v>94.84</v>
      </c>
      <c r="C204" s="115" t="s">
        <v>625</v>
      </c>
      <c r="D204" s="115" t="s">
        <v>625</v>
      </c>
      <c r="E204" s="115" t="s">
        <v>625</v>
      </c>
      <c r="F204" s="115" t="s">
        <v>625</v>
      </c>
      <c r="G204" s="121" t="s">
        <v>625</v>
      </c>
      <c r="H204" s="115" t="e">
        <v>#N/A</v>
      </c>
      <c r="I204" s="118" t="s">
        <v>625</v>
      </c>
    </row>
    <row r="205" spans="1:9">
      <c r="A205" s="114">
        <v>39679</v>
      </c>
      <c r="B205" s="115">
        <v>94.84</v>
      </c>
      <c r="C205" s="115" t="s">
        <v>625</v>
      </c>
      <c r="D205" s="115" t="s">
        <v>625</v>
      </c>
      <c r="E205" s="115" t="s">
        <v>625</v>
      </c>
      <c r="F205" s="115" t="s">
        <v>625</v>
      </c>
      <c r="G205" s="121" t="s">
        <v>625</v>
      </c>
      <c r="H205" s="115" t="e">
        <v>#N/A</v>
      </c>
      <c r="I205" s="118" t="s">
        <v>625</v>
      </c>
    </row>
    <row r="206" spans="1:9">
      <c r="A206" s="114">
        <v>39680</v>
      </c>
      <c r="B206" s="115">
        <v>94.84</v>
      </c>
      <c r="C206" s="115" t="s">
        <v>625</v>
      </c>
      <c r="D206" s="115" t="s">
        <v>625</v>
      </c>
      <c r="E206" s="115" t="s">
        <v>625</v>
      </c>
      <c r="F206" s="115" t="s">
        <v>625</v>
      </c>
      <c r="G206" s="121" t="s">
        <v>625</v>
      </c>
      <c r="H206" s="115" t="e">
        <v>#N/A</v>
      </c>
      <c r="I206" s="118" t="s">
        <v>625</v>
      </c>
    </row>
    <row r="207" spans="1:9">
      <c r="A207" s="114">
        <v>39681</v>
      </c>
      <c r="B207" s="115">
        <v>94.84</v>
      </c>
      <c r="C207" s="115" t="s">
        <v>625</v>
      </c>
      <c r="D207" s="115" t="s">
        <v>625</v>
      </c>
      <c r="E207" s="115" t="s">
        <v>625</v>
      </c>
      <c r="F207" s="115" t="s">
        <v>625</v>
      </c>
      <c r="G207" s="121" t="s">
        <v>625</v>
      </c>
      <c r="H207" s="115" t="e">
        <v>#N/A</v>
      </c>
      <c r="I207" s="118" t="s">
        <v>625</v>
      </c>
    </row>
    <row r="208" spans="1:9">
      <c r="A208" s="114">
        <v>39682</v>
      </c>
      <c r="B208" s="115">
        <v>94.84</v>
      </c>
      <c r="C208" s="115" t="s">
        <v>625</v>
      </c>
      <c r="D208" s="115" t="s">
        <v>625</v>
      </c>
      <c r="E208" s="115" t="s">
        <v>625</v>
      </c>
      <c r="F208" s="115" t="s">
        <v>625</v>
      </c>
      <c r="G208" s="121" t="s">
        <v>625</v>
      </c>
      <c r="H208" s="115" t="e">
        <v>#N/A</v>
      </c>
      <c r="I208" s="118" t="s">
        <v>625</v>
      </c>
    </row>
    <row r="209" spans="1:9">
      <c r="A209" s="114">
        <v>39685</v>
      </c>
      <c r="B209" s="115">
        <v>94.84</v>
      </c>
      <c r="C209" s="115" t="s">
        <v>625</v>
      </c>
      <c r="D209" s="115" t="s">
        <v>625</v>
      </c>
      <c r="E209" s="115" t="s">
        <v>625</v>
      </c>
      <c r="F209" s="115" t="s">
        <v>625</v>
      </c>
      <c r="G209" s="121" t="s">
        <v>625</v>
      </c>
      <c r="H209" s="115" t="e">
        <v>#N/A</v>
      </c>
      <c r="I209" s="118" t="s">
        <v>625</v>
      </c>
    </row>
    <row r="210" spans="1:9">
      <c r="A210" s="114">
        <v>39686</v>
      </c>
      <c r="B210" s="115">
        <v>94.84</v>
      </c>
      <c r="C210" s="115" t="s">
        <v>625</v>
      </c>
      <c r="D210" s="115" t="s">
        <v>625</v>
      </c>
      <c r="E210" s="115" t="s">
        <v>625</v>
      </c>
      <c r="F210" s="115" t="s">
        <v>625</v>
      </c>
      <c r="G210" s="121" t="s">
        <v>625</v>
      </c>
      <c r="H210" s="115" t="e">
        <v>#N/A</v>
      </c>
      <c r="I210" s="118" t="s">
        <v>625</v>
      </c>
    </row>
    <row r="211" spans="1:9">
      <c r="A211" s="114">
        <v>39687</v>
      </c>
      <c r="B211" s="115">
        <v>94.84</v>
      </c>
      <c r="C211" s="115" t="s">
        <v>625</v>
      </c>
      <c r="D211" s="115" t="s">
        <v>625</v>
      </c>
      <c r="E211" s="115" t="s">
        <v>625</v>
      </c>
      <c r="F211" s="115" t="s">
        <v>625</v>
      </c>
      <c r="G211" s="121" t="s">
        <v>625</v>
      </c>
      <c r="H211" s="115" t="e">
        <v>#N/A</v>
      </c>
      <c r="I211" s="118" t="s">
        <v>625</v>
      </c>
    </row>
    <row r="212" spans="1:9">
      <c r="A212" s="114">
        <v>39688</v>
      </c>
      <c r="B212" s="115">
        <v>94.84</v>
      </c>
      <c r="C212" s="115" t="s">
        <v>625</v>
      </c>
      <c r="D212" s="115" t="s">
        <v>625</v>
      </c>
      <c r="E212" s="115" t="s">
        <v>625</v>
      </c>
      <c r="F212" s="115" t="s">
        <v>625</v>
      </c>
      <c r="G212" s="121" t="s">
        <v>625</v>
      </c>
      <c r="H212" s="115" t="e">
        <v>#N/A</v>
      </c>
      <c r="I212" s="118" t="s">
        <v>625</v>
      </c>
    </row>
    <row r="213" spans="1:9">
      <c r="A213" s="114">
        <v>39689</v>
      </c>
      <c r="B213" s="115">
        <v>94.84</v>
      </c>
      <c r="C213" s="115" t="s">
        <v>625</v>
      </c>
      <c r="D213" s="115" t="s">
        <v>625</v>
      </c>
      <c r="E213" s="115" t="s">
        <v>625</v>
      </c>
      <c r="F213" s="115" t="s">
        <v>625</v>
      </c>
      <c r="G213" s="121" t="s">
        <v>625</v>
      </c>
      <c r="H213" s="115" t="e">
        <v>#N/A</v>
      </c>
      <c r="I213" s="118" t="s">
        <v>625</v>
      </c>
    </row>
    <row r="214" spans="1:9">
      <c r="A214" s="114">
        <v>39692</v>
      </c>
      <c r="B214" s="115">
        <v>94.84</v>
      </c>
      <c r="C214" s="115" t="s">
        <v>625</v>
      </c>
      <c r="D214" s="115" t="s">
        <v>625</v>
      </c>
      <c r="E214" s="115" t="s">
        <v>625</v>
      </c>
      <c r="F214" s="115" t="s">
        <v>625</v>
      </c>
      <c r="G214" s="121" t="s">
        <v>625</v>
      </c>
      <c r="H214" s="115" t="e">
        <v>#N/A</v>
      </c>
      <c r="I214" s="118" t="s">
        <v>625</v>
      </c>
    </row>
    <row r="215" spans="1:9">
      <c r="A215" s="114">
        <v>39693</v>
      </c>
      <c r="B215" s="115">
        <v>94.84</v>
      </c>
      <c r="C215" s="115" t="s">
        <v>625</v>
      </c>
      <c r="D215" s="115" t="s">
        <v>625</v>
      </c>
      <c r="E215" s="115" t="s">
        <v>625</v>
      </c>
      <c r="F215" s="115" t="s">
        <v>625</v>
      </c>
      <c r="G215" s="121" t="s">
        <v>625</v>
      </c>
      <c r="H215" s="115" t="e">
        <v>#N/A</v>
      </c>
      <c r="I215" s="118" t="s">
        <v>625</v>
      </c>
    </row>
    <row r="216" spans="1:9">
      <c r="A216" s="114">
        <v>39694</v>
      </c>
      <c r="B216" s="115">
        <v>94.84</v>
      </c>
      <c r="C216" s="115" t="s">
        <v>625</v>
      </c>
      <c r="D216" s="115" t="s">
        <v>625</v>
      </c>
      <c r="E216" s="115" t="s">
        <v>625</v>
      </c>
      <c r="F216" s="115" t="s">
        <v>625</v>
      </c>
      <c r="G216" s="121" t="s">
        <v>625</v>
      </c>
      <c r="H216" s="115" t="e">
        <v>#N/A</v>
      </c>
      <c r="I216" s="118" t="s">
        <v>625</v>
      </c>
    </row>
    <row r="217" spans="1:9">
      <c r="A217" s="114">
        <v>39695</v>
      </c>
      <c r="B217" s="115">
        <v>94.84</v>
      </c>
      <c r="C217" s="115" t="s">
        <v>625</v>
      </c>
      <c r="D217" s="115" t="s">
        <v>625</v>
      </c>
      <c r="E217" s="115" t="s">
        <v>625</v>
      </c>
      <c r="F217" s="115" t="s">
        <v>625</v>
      </c>
      <c r="G217" s="121" t="s">
        <v>625</v>
      </c>
      <c r="H217" s="115" t="e">
        <v>#N/A</v>
      </c>
      <c r="I217" s="118" t="s">
        <v>625</v>
      </c>
    </row>
    <row r="218" spans="1:9">
      <c r="A218" s="114">
        <v>39696</v>
      </c>
      <c r="B218" s="115">
        <v>94.84</v>
      </c>
      <c r="C218" s="115" t="s">
        <v>625</v>
      </c>
      <c r="D218" s="115" t="s">
        <v>625</v>
      </c>
      <c r="E218" s="115" t="s">
        <v>625</v>
      </c>
      <c r="F218" s="115" t="s">
        <v>625</v>
      </c>
      <c r="G218" s="121" t="s">
        <v>625</v>
      </c>
      <c r="H218" s="115" t="e">
        <v>#N/A</v>
      </c>
      <c r="I218" s="118" t="s">
        <v>625</v>
      </c>
    </row>
    <row r="219" spans="1:9">
      <c r="A219" s="114">
        <v>39699</v>
      </c>
      <c r="B219" s="115">
        <v>94.84</v>
      </c>
      <c r="C219" s="115" t="s">
        <v>625</v>
      </c>
      <c r="D219" s="115" t="s">
        <v>625</v>
      </c>
      <c r="E219" s="115" t="s">
        <v>625</v>
      </c>
      <c r="F219" s="115" t="s">
        <v>625</v>
      </c>
      <c r="G219" s="121" t="s">
        <v>625</v>
      </c>
      <c r="H219" s="115" t="e">
        <v>#N/A</v>
      </c>
      <c r="I219" s="118" t="s">
        <v>625</v>
      </c>
    </row>
    <row r="220" spans="1:9">
      <c r="A220" s="114">
        <v>39700</v>
      </c>
      <c r="B220" s="115">
        <v>94.84</v>
      </c>
      <c r="C220" s="115" t="s">
        <v>625</v>
      </c>
      <c r="D220" s="115" t="s">
        <v>625</v>
      </c>
      <c r="E220" s="115" t="s">
        <v>625</v>
      </c>
      <c r="F220" s="115" t="s">
        <v>625</v>
      </c>
      <c r="G220" s="121" t="s">
        <v>625</v>
      </c>
      <c r="H220" s="115" t="e">
        <v>#N/A</v>
      </c>
      <c r="I220" s="118" t="s">
        <v>625</v>
      </c>
    </row>
    <row r="221" spans="1:9">
      <c r="A221" s="114">
        <v>39701</v>
      </c>
      <c r="B221" s="115">
        <v>94.84</v>
      </c>
      <c r="C221" s="115" t="s">
        <v>625</v>
      </c>
      <c r="D221" s="115" t="s">
        <v>625</v>
      </c>
      <c r="E221" s="115" t="s">
        <v>625</v>
      </c>
      <c r="F221" s="115" t="s">
        <v>625</v>
      </c>
      <c r="G221" s="121" t="s">
        <v>625</v>
      </c>
      <c r="H221" s="115" t="e">
        <v>#N/A</v>
      </c>
      <c r="I221" s="118" t="s">
        <v>625</v>
      </c>
    </row>
    <row r="222" spans="1:9">
      <c r="A222" s="114">
        <v>39702</v>
      </c>
      <c r="B222" s="115">
        <v>94.84</v>
      </c>
      <c r="C222" s="115" t="s">
        <v>625</v>
      </c>
      <c r="D222" s="115" t="s">
        <v>625</v>
      </c>
      <c r="E222" s="115" t="s">
        <v>625</v>
      </c>
      <c r="F222" s="115" t="s">
        <v>625</v>
      </c>
      <c r="G222" s="121" t="s">
        <v>625</v>
      </c>
      <c r="H222" s="115" t="e">
        <v>#N/A</v>
      </c>
      <c r="I222" s="118" t="s">
        <v>625</v>
      </c>
    </row>
    <row r="223" spans="1:9">
      <c r="A223" s="114">
        <v>39703</v>
      </c>
      <c r="B223" s="115">
        <v>94.84</v>
      </c>
      <c r="C223" s="115" t="s">
        <v>625</v>
      </c>
      <c r="D223" s="115" t="s">
        <v>625</v>
      </c>
      <c r="E223" s="115" t="s">
        <v>625</v>
      </c>
      <c r="F223" s="115" t="s">
        <v>625</v>
      </c>
      <c r="G223" s="121" t="s">
        <v>625</v>
      </c>
      <c r="H223" s="115" t="e">
        <v>#N/A</v>
      </c>
      <c r="I223" s="118" t="s">
        <v>625</v>
      </c>
    </row>
    <row r="224" spans="1:9">
      <c r="A224" s="114">
        <v>39707</v>
      </c>
      <c r="B224" s="115">
        <v>94.84</v>
      </c>
      <c r="C224" s="115" t="s">
        <v>625</v>
      </c>
      <c r="D224" s="115" t="s">
        <v>625</v>
      </c>
      <c r="E224" s="115" t="s">
        <v>625</v>
      </c>
      <c r="F224" s="115" t="s">
        <v>625</v>
      </c>
      <c r="G224" s="121" t="s">
        <v>625</v>
      </c>
      <c r="H224" s="115" t="e">
        <v>#N/A</v>
      </c>
      <c r="I224" s="118" t="s">
        <v>625</v>
      </c>
    </row>
    <row r="225" spans="1:9">
      <c r="A225" s="114">
        <v>39708</v>
      </c>
      <c r="B225" s="115">
        <v>94.84</v>
      </c>
      <c r="C225" s="115" t="s">
        <v>625</v>
      </c>
      <c r="D225" s="115" t="s">
        <v>625</v>
      </c>
      <c r="E225" s="115" t="s">
        <v>625</v>
      </c>
      <c r="F225" s="115" t="s">
        <v>625</v>
      </c>
      <c r="G225" s="121" t="s">
        <v>625</v>
      </c>
      <c r="H225" s="115" t="e">
        <v>#N/A</v>
      </c>
      <c r="I225" s="118" t="s">
        <v>625</v>
      </c>
    </row>
    <row r="226" spans="1:9">
      <c r="A226" s="114">
        <v>39709</v>
      </c>
      <c r="B226" s="115">
        <v>94.84</v>
      </c>
      <c r="C226" s="115" t="s">
        <v>625</v>
      </c>
      <c r="D226" s="115" t="s">
        <v>625</v>
      </c>
      <c r="E226" s="115" t="s">
        <v>625</v>
      </c>
      <c r="F226" s="115" t="s">
        <v>625</v>
      </c>
      <c r="G226" s="121" t="s">
        <v>625</v>
      </c>
      <c r="H226" s="115" t="e">
        <v>#N/A</v>
      </c>
      <c r="I226" s="118" t="s">
        <v>625</v>
      </c>
    </row>
    <row r="227" spans="1:9">
      <c r="A227" s="114">
        <v>39710</v>
      </c>
      <c r="B227" s="115">
        <v>94.84</v>
      </c>
      <c r="C227" s="115" t="s">
        <v>625</v>
      </c>
      <c r="D227" s="115" t="s">
        <v>625</v>
      </c>
      <c r="E227" s="115" t="s">
        <v>625</v>
      </c>
      <c r="F227" s="115" t="s">
        <v>625</v>
      </c>
      <c r="G227" s="121" t="s">
        <v>625</v>
      </c>
      <c r="H227" s="115" t="e">
        <v>#N/A</v>
      </c>
      <c r="I227" s="118" t="s">
        <v>625</v>
      </c>
    </row>
    <row r="228" spans="1:9">
      <c r="A228" s="114">
        <v>39713</v>
      </c>
      <c r="B228" s="115">
        <v>94.84</v>
      </c>
      <c r="C228" s="115" t="s">
        <v>625</v>
      </c>
      <c r="D228" s="115" t="s">
        <v>625</v>
      </c>
      <c r="E228" s="115" t="s">
        <v>625</v>
      </c>
      <c r="F228" s="115" t="s">
        <v>625</v>
      </c>
      <c r="G228" s="121" t="s">
        <v>625</v>
      </c>
      <c r="H228" s="115" t="e">
        <v>#N/A</v>
      </c>
      <c r="I228" s="118" t="s">
        <v>625</v>
      </c>
    </row>
    <row r="229" spans="1:9">
      <c r="A229" s="114">
        <v>39714</v>
      </c>
      <c r="B229" s="115">
        <v>94.84</v>
      </c>
      <c r="C229" s="115" t="s">
        <v>625</v>
      </c>
      <c r="D229" s="115" t="s">
        <v>625</v>
      </c>
      <c r="E229" s="115" t="s">
        <v>625</v>
      </c>
      <c r="F229" s="115" t="s">
        <v>625</v>
      </c>
      <c r="G229" s="121" t="s">
        <v>625</v>
      </c>
      <c r="H229" s="115" t="e">
        <v>#N/A</v>
      </c>
      <c r="I229" s="118" t="s">
        <v>625</v>
      </c>
    </row>
    <row r="230" spans="1:9">
      <c r="A230" s="114">
        <v>39715</v>
      </c>
      <c r="B230" s="115">
        <v>94.84</v>
      </c>
      <c r="C230" s="115" t="s">
        <v>625</v>
      </c>
      <c r="D230" s="115" t="s">
        <v>625</v>
      </c>
      <c r="E230" s="115" t="s">
        <v>625</v>
      </c>
      <c r="F230" s="115" t="s">
        <v>625</v>
      </c>
      <c r="G230" s="121" t="s">
        <v>625</v>
      </c>
      <c r="H230" s="115" t="e">
        <v>#N/A</v>
      </c>
      <c r="I230" s="118" t="s">
        <v>625</v>
      </c>
    </row>
    <row r="231" spans="1:9">
      <c r="A231" s="114">
        <v>39716</v>
      </c>
      <c r="B231" s="115">
        <v>94.84</v>
      </c>
      <c r="C231" s="115" t="s">
        <v>625</v>
      </c>
      <c r="D231" s="115" t="s">
        <v>625</v>
      </c>
      <c r="E231" s="115" t="s">
        <v>625</v>
      </c>
      <c r="F231" s="115" t="s">
        <v>625</v>
      </c>
      <c r="G231" s="121" t="s">
        <v>625</v>
      </c>
      <c r="H231" s="115" t="e">
        <v>#N/A</v>
      </c>
      <c r="I231" s="118" t="s">
        <v>625</v>
      </c>
    </row>
    <row r="232" spans="1:9">
      <c r="A232" s="114">
        <v>39717</v>
      </c>
      <c r="B232" s="115">
        <v>94.84</v>
      </c>
      <c r="C232" s="115" t="s">
        <v>625</v>
      </c>
      <c r="D232" s="115" t="s">
        <v>625</v>
      </c>
      <c r="E232" s="115" t="s">
        <v>625</v>
      </c>
      <c r="F232" s="115" t="s">
        <v>625</v>
      </c>
      <c r="G232" s="121" t="s">
        <v>625</v>
      </c>
      <c r="H232" s="115" t="e">
        <v>#N/A</v>
      </c>
      <c r="I232" s="118" t="s">
        <v>625</v>
      </c>
    </row>
    <row r="233" spans="1:9">
      <c r="A233" s="114">
        <v>39718</v>
      </c>
      <c r="B233" s="115">
        <v>94.84</v>
      </c>
      <c r="C233" s="115" t="s">
        <v>625</v>
      </c>
      <c r="D233" s="115" t="s">
        <v>625</v>
      </c>
      <c r="E233" s="115" t="s">
        <v>625</v>
      </c>
      <c r="F233" s="115" t="s">
        <v>625</v>
      </c>
      <c r="G233" s="121" t="s">
        <v>625</v>
      </c>
      <c r="H233" s="115" t="e">
        <v>#N/A</v>
      </c>
      <c r="I233" s="118" t="s">
        <v>625</v>
      </c>
    </row>
    <row r="234" spans="1:9">
      <c r="A234" s="114">
        <v>39719</v>
      </c>
      <c r="B234" s="115">
        <v>94.84</v>
      </c>
      <c r="C234" s="115" t="s">
        <v>625</v>
      </c>
      <c r="D234" s="115" t="s">
        <v>625</v>
      </c>
      <c r="E234" s="115" t="s">
        <v>625</v>
      </c>
      <c r="F234" s="115" t="s">
        <v>625</v>
      </c>
      <c r="G234" s="121" t="s">
        <v>625</v>
      </c>
      <c r="H234" s="115" t="e">
        <v>#N/A</v>
      </c>
      <c r="I234" s="118" t="s">
        <v>625</v>
      </c>
    </row>
    <row r="235" spans="1:9">
      <c r="A235" s="114">
        <v>39727</v>
      </c>
      <c r="B235" s="115">
        <v>94.84</v>
      </c>
      <c r="C235" s="115" t="s">
        <v>625</v>
      </c>
      <c r="D235" s="115" t="s">
        <v>625</v>
      </c>
      <c r="E235" s="115" t="s">
        <v>625</v>
      </c>
      <c r="F235" s="115" t="s">
        <v>625</v>
      </c>
      <c r="G235" s="121" t="s">
        <v>625</v>
      </c>
      <c r="H235" s="115" t="e">
        <v>#N/A</v>
      </c>
      <c r="I235" s="118" t="s">
        <v>625</v>
      </c>
    </row>
    <row r="236" spans="1:9">
      <c r="A236" s="114">
        <v>39728</v>
      </c>
      <c r="B236" s="115">
        <v>94.84</v>
      </c>
      <c r="C236" s="115" t="s">
        <v>625</v>
      </c>
      <c r="D236" s="115" t="s">
        <v>625</v>
      </c>
      <c r="E236" s="115" t="s">
        <v>625</v>
      </c>
      <c r="F236" s="115" t="s">
        <v>625</v>
      </c>
      <c r="G236" s="121" t="s">
        <v>625</v>
      </c>
      <c r="H236" s="115" t="e">
        <v>#N/A</v>
      </c>
      <c r="I236" s="118" t="s">
        <v>625</v>
      </c>
    </row>
    <row r="237" spans="1:9">
      <c r="A237" s="114">
        <v>39729</v>
      </c>
      <c r="B237" s="115">
        <v>94.84</v>
      </c>
      <c r="C237" s="115" t="s">
        <v>625</v>
      </c>
      <c r="D237" s="115" t="s">
        <v>625</v>
      </c>
      <c r="E237" s="115" t="s">
        <v>625</v>
      </c>
      <c r="F237" s="115" t="s">
        <v>625</v>
      </c>
      <c r="G237" s="121" t="s">
        <v>625</v>
      </c>
      <c r="H237" s="115" t="e">
        <v>#N/A</v>
      </c>
      <c r="I237" s="118" t="s">
        <v>625</v>
      </c>
    </row>
    <row r="238" spans="1:9">
      <c r="A238" s="114">
        <v>39730</v>
      </c>
      <c r="B238" s="115">
        <v>94.84</v>
      </c>
      <c r="C238" s="115" t="s">
        <v>625</v>
      </c>
      <c r="D238" s="115" t="s">
        <v>625</v>
      </c>
      <c r="E238" s="115" t="s">
        <v>625</v>
      </c>
      <c r="F238" s="115" t="s">
        <v>625</v>
      </c>
      <c r="G238" s="121" t="s">
        <v>625</v>
      </c>
      <c r="H238" s="115" t="e">
        <v>#N/A</v>
      </c>
      <c r="I238" s="118" t="s">
        <v>625</v>
      </c>
    </row>
    <row r="239" spans="1:9">
      <c r="A239" s="114">
        <v>39731</v>
      </c>
      <c r="B239" s="115">
        <v>94.84</v>
      </c>
      <c r="C239" s="115" t="s">
        <v>625</v>
      </c>
      <c r="D239" s="115" t="s">
        <v>625</v>
      </c>
      <c r="E239" s="115" t="s">
        <v>625</v>
      </c>
      <c r="F239" s="115" t="s">
        <v>625</v>
      </c>
      <c r="G239" s="121" t="s">
        <v>625</v>
      </c>
      <c r="H239" s="115" t="e">
        <v>#N/A</v>
      </c>
      <c r="I239" s="118" t="s">
        <v>625</v>
      </c>
    </row>
    <row r="240" spans="1:9">
      <c r="A240" s="114">
        <v>39734</v>
      </c>
      <c r="B240" s="115">
        <v>94.84</v>
      </c>
      <c r="C240" s="115" t="s">
        <v>625</v>
      </c>
      <c r="D240" s="115" t="s">
        <v>625</v>
      </c>
      <c r="E240" s="115" t="s">
        <v>625</v>
      </c>
      <c r="F240" s="115" t="s">
        <v>625</v>
      </c>
      <c r="G240" s="121" t="s">
        <v>625</v>
      </c>
      <c r="H240" s="115" t="e">
        <v>#N/A</v>
      </c>
      <c r="I240" s="118" t="s">
        <v>625</v>
      </c>
    </row>
    <row r="241" spans="1:9">
      <c r="A241" s="114">
        <v>39735</v>
      </c>
      <c r="B241" s="115">
        <v>94.84</v>
      </c>
      <c r="C241" s="115" t="s">
        <v>625</v>
      </c>
      <c r="D241" s="115" t="s">
        <v>625</v>
      </c>
      <c r="E241" s="115" t="s">
        <v>625</v>
      </c>
      <c r="F241" s="115" t="s">
        <v>625</v>
      </c>
      <c r="G241" s="121" t="s">
        <v>625</v>
      </c>
      <c r="H241" s="115" t="e">
        <v>#N/A</v>
      </c>
      <c r="I241" s="118" t="s">
        <v>625</v>
      </c>
    </row>
    <row r="242" spans="1:9">
      <c r="A242" s="114">
        <v>39736</v>
      </c>
      <c r="B242" s="115">
        <v>94.84</v>
      </c>
      <c r="C242" s="115" t="s">
        <v>625</v>
      </c>
      <c r="D242" s="115" t="s">
        <v>625</v>
      </c>
      <c r="E242" s="115" t="s">
        <v>625</v>
      </c>
      <c r="F242" s="115" t="s">
        <v>625</v>
      </c>
      <c r="G242" s="121" t="s">
        <v>625</v>
      </c>
      <c r="H242" s="115" t="e">
        <v>#N/A</v>
      </c>
      <c r="I242" s="118" t="s">
        <v>625</v>
      </c>
    </row>
    <row r="243" spans="1:9">
      <c r="A243" s="114">
        <v>39737</v>
      </c>
      <c r="B243" s="115">
        <v>94.84</v>
      </c>
      <c r="C243" s="115" t="s">
        <v>625</v>
      </c>
      <c r="D243" s="115" t="s">
        <v>625</v>
      </c>
      <c r="E243" s="115" t="s">
        <v>625</v>
      </c>
      <c r="F243" s="115" t="s">
        <v>625</v>
      </c>
      <c r="G243" s="121" t="s">
        <v>625</v>
      </c>
      <c r="H243" s="115" t="e">
        <v>#N/A</v>
      </c>
      <c r="I243" s="118" t="s">
        <v>625</v>
      </c>
    </row>
    <row r="244" spans="1:9">
      <c r="A244" s="114">
        <v>39738</v>
      </c>
      <c r="B244" s="115">
        <v>94.84</v>
      </c>
      <c r="C244" s="115" t="s">
        <v>625</v>
      </c>
      <c r="D244" s="115" t="s">
        <v>625</v>
      </c>
      <c r="E244" s="115" t="s">
        <v>625</v>
      </c>
      <c r="F244" s="115" t="s">
        <v>625</v>
      </c>
      <c r="G244" s="121" t="s">
        <v>625</v>
      </c>
      <c r="H244" s="115" t="e">
        <v>#N/A</v>
      </c>
      <c r="I244" s="118" t="s">
        <v>625</v>
      </c>
    </row>
    <row r="245" spans="1:9">
      <c r="A245" s="114">
        <v>39741</v>
      </c>
      <c r="B245" s="115">
        <v>94.84</v>
      </c>
      <c r="C245" s="115" t="s">
        <v>625</v>
      </c>
      <c r="D245" s="115" t="s">
        <v>625</v>
      </c>
      <c r="E245" s="115" t="s">
        <v>625</v>
      </c>
      <c r="F245" s="115" t="s">
        <v>625</v>
      </c>
      <c r="G245" s="121" t="s">
        <v>625</v>
      </c>
      <c r="H245" s="115" t="e">
        <v>#N/A</v>
      </c>
      <c r="I245" s="118" t="s">
        <v>625</v>
      </c>
    </row>
    <row r="246" spans="1:9">
      <c r="A246" s="114">
        <v>39742</v>
      </c>
      <c r="B246" s="115">
        <v>94.84</v>
      </c>
      <c r="C246" s="115" t="s">
        <v>625</v>
      </c>
      <c r="D246" s="115" t="s">
        <v>625</v>
      </c>
      <c r="E246" s="115" t="s">
        <v>625</v>
      </c>
      <c r="F246" s="115" t="s">
        <v>625</v>
      </c>
      <c r="G246" s="121" t="s">
        <v>625</v>
      </c>
      <c r="H246" s="115" t="e">
        <v>#N/A</v>
      </c>
      <c r="I246" s="118" t="s">
        <v>625</v>
      </c>
    </row>
    <row r="247" spans="1:9">
      <c r="A247" s="114">
        <v>39743</v>
      </c>
      <c r="B247" s="115">
        <v>94.84</v>
      </c>
      <c r="C247" s="115" t="s">
        <v>625</v>
      </c>
      <c r="D247" s="115" t="s">
        <v>625</v>
      </c>
      <c r="E247" s="115" t="s">
        <v>625</v>
      </c>
      <c r="F247" s="115" t="s">
        <v>625</v>
      </c>
      <c r="G247" s="121" t="s">
        <v>625</v>
      </c>
      <c r="H247" s="115" t="e">
        <v>#N/A</v>
      </c>
      <c r="I247" s="118" t="s">
        <v>625</v>
      </c>
    </row>
    <row r="248" spans="1:9">
      <c r="A248" s="114">
        <v>39744</v>
      </c>
      <c r="B248" s="115">
        <v>94.84</v>
      </c>
      <c r="C248" s="115" t="s">
        <v>625</v>
      </c>
      <c r="D248" s="115" t="s">
        <v>625</v>
      </c>
      <c r="E248" s="115" t="s">
        <v>625</v>
      </c>
      <c r="F248" s="115" t="s">
        <v>625</v>
      </c>
      <c r="G248" s="121" t="s">
        <v>625</v>
      </c>
      <c r="H248" s="115" t="e">
        <v>#N/A</v>
      </c>
      <c r="I248" s="118" t="s">
        <v>625</v>
      </c>
    </row>
    <row r="249" spans="1:9">
      <c r="A249" s="114">
        <v>39745</v>
      </c>
      <c r="B249" s="115">
        <v>94.84</v>
      </c>
      <c r="C249" s="115" t="s">
        <v>625</v>
      </c>
      <c r="D249" s="115" t="s">
        <v>625</v>
      </c>
      <c r="E249" s="115" t="s">
        <v>625</v>
      </c>
      <c r="F249" s="115" t="s">
        <v>625</v>
      </c>
      <c r="G249" s="121" t="s">
        <v>625</v>
      </c>
      <c r="H249" s="115" t="e">
        <v>#N/A</v>
      </c>
      <c r="I249" s="118" t="s">
        <v>625</v>
      </c>
    </row>
    <row r="250" spans="1:9">
      <c r="A250" s="114">
        <v>39748</v>
      </c>
      <c r="B250" s="115">
        <v>94.84</v>
      </c>
      <c r="C250" s="115" t="s">
        <v>625</v>
      </c>
      <c r="D250" s="115" t="s">
        <v>625</v>
      </c>
      <c r="E250" s="115" t="s">
        <v>625</v>
      </c>
      <c r="F250" s="115" t="s">
        <v>625</v>
      </c>
      <c r="G250" s="121" t="s">
        <v>625</v>
      </c>
      <c r="H250" s="115" t="e">
        <v>#N/A</v>
      </c>
      <c r="I250" s="118" t="s">
        <v>625</v>
      </c>
    </row>
    <row r="251" spans="1:9">
      <c r="A251" s="114">
        <v>39749</v>
      </c>
      <c r="B251" s="115">
        <v>94.84</v>
      </c>
      <c r="C251" s="115" t="s">
        <v>625</v>
      </c>
      <c r="D251" s="115" t="s">
        <v>625</v>
      </c>
      <c r="E251" s="115" t="s">
        <v>625</v>
      </c>
      <c r="F251" s="115" t="s">
        <v>625</v>
      </c>
      <c r="G251" s="121" t="s">
        <v>625</v>
      </c>
      <c r="H251" s="115" t="e">
        <v>#N/A</v>
      </c>
      <c r="I251" s="118" t="s">
        <v>625</v>
      </c>
    </row>
    <row r="252" spans="1:9">
      <c r="A252" s="114">
        <v>39750</v>
      </c>
      <c r="B252" s="115">
        <v>94.84</v>
      </c>
      <c r="C252" s="115" t="s">
        <v>625</v>
      </c>
      <c r="D252" s="115" t="s">
        <v>625</v>
      </c>
      <c r="E252" s="115" t="s">
        <v>625</v>
      </c>
      <c r="F252" s="115" t="s">
        <v>625</v>
      </c>
      <c r="G252" s="121" t="s">
        <v>625</v>
      </c>
      <c r="H252" s="115" t="e">
        <v>#N/A</v>
      </c>
      <c r="I252" s="118" t="s">
        <v>625</v>
      </c>
    </row>
    <row r="253" spans="1:9">
      <c r="A253" s="114">
        <v>39751</v>
      </c>
      <c r="B253" s="115">
        <v>94.84</v>
      </c>
      <c r="C253" s="115" t="s">
        <v>625</v>
      </c>
      <c r="D253" s="115" t="s">
        <v>625</v>
      </c>
      <c r="E253" s="115" t="s">
        <v>625</v>
      </c>
      <c r="F253" s="115" t="s">
        <v>625</v>
      </c>
      <c r="G253" s="121" t="s">
        <v>625</v>
      </c>
      <c r="H253" s="115" t="e">
        <v>#N/A</v>
      </c>
      <c r="I253" s="118" t="s">
        <v>625</v>
      </c>
    </row>
    <row r="254" spans="1:9">
      <c r="A254" s="114">
        <v>39752</v>
      </c>
      <c r="B254" s="115">
        <v>94.84</v>
      </c>
      <c r="C254" s="115" t="s">
        <v>625</v>
      </c>
      <c r="D254" s="115" t="s">
        <v>625</v>
      </c>
      <c r="E254" s="115" t="s">
        <v>625</v>
      </c>
      <c r="F254" s="115" t="s">
        <v>625</v>
      </c>
      <c r="G254" s="121" t="s">
        <v>625</v>
      </c>
      <c r="H254" s="115" t="e">
        <v>#N/A</v>
      </c>
      <c r="I254" s="118" t="s">
        <v>625</v>
      </c>
    </row>
    <row r="255" spans="1:9">
      <c r="A255" s="114">
        <v>39755</v>
      </c>
      <c r="B255" s="115">
        <v>94.84</v>
      </c>
      <c r="C255" s="115" t="s">
        <v>625</v>
      </c>
      <c r="D255" s="115" t="s">
        <v>625</v>
      </c>
      <c r="E255" s="115" t="s">
        <v>625</v>
      </c>
      <c r="F255" s="115" t="s">
        <v>625</v>
      </c>
      <c r="G255" s="121" t="s">
        <v>625</v>
      </c>
      <c r="H255" s="115" t="e">
        <v>#N/A</v>
      </c>
      <c r="I255" s="118" t="s">
        <v>625</v>
      </c>
    </row>
    <row r="256" spans="1:9">
      <c r="A256" s="114">
        <v>39756</v>
      </c>
      <c r="B256" s="115">
        <v>94.84</v>
      </c>
      <c r="C256" s="115" t="s">
        <v>625</v>
      </c>
      <c r="D256" s="115" t="s">
        <v>625</v>
      </c>
      <c r="E256" s="115" t="s">
        <v>625</v>
      </c>
      <c r="F256" s="115" t="s">
        <v>625</v>
      </c>
      <c r="G256" s="121" t="s">
        <v>625</v>
      </c>
      <c r="H256" s="115" t="e">
        <v>#N/A</v>
      </c>
      <c r="I256" s="118" t="s">
        <v>625</v>
      </c>
    </row>
    <row r="257" spans="1:9">
      <c r="A257" s="114">
        <v>39757</v>
      </c>
      <c r="B257" s="115">
        <v>94.84</v>
      </c>
      <c r="C257" s="115" t="s">
        <v>625</v>
      </c>
      <c r="D257" s="115" t="s">
        <v>625</v>
      </c>
      <c r="E257" s="115" t="s">
        <v>625</v>
      </c>
      <c r="F257" s="115" t="s">
        <v>625</v>
      </c>
      <c r="G257" s="121" t="s">
        <v>625</v>
      </c>
      <c r="H257" s="115" t="e">
        <v>#N/A</v>
      </c>
      <c r="I257" s="118" t="s">
        <v>625</v>
      </c>
    </row>
    <row r="258" spans="1:9">
      <c r="A258" s="114">
        <v>39758</v>
      </c>
      <c r="B258" s="115">
        <v>94.84</v>
      </c>
      <c r="C258" s="115" t="s">
        <v>625</v>
      </c>
      <c r="D258" s="115" t="s">
        <v>625</v>
      </c>
      <c r="E258" s="115" t="s">
        <v>625</v>
      </c>
      <c r="F258" s="115" t="s">
        <v>625</v>
      </c>
      <c r="G258" s="121" t="s">
        <v>625</v>
      </c>
      <c r="H258" s="115" t="e">
        <v>#N/A</v>
      </c>
      <c r="I258" s="118" t="s">
        <v>625</v>
      </c>
    </row>
    <row r="259" spans="1:9">
      <c r="A259" s="114">
        <v>39759</v>
      </c>
      <c r="B259" s="115">
        <v>94.84</v>
      </c>
      <c r="C259" s="115" t="s">
        <v>625</v>
      </c>
      <c r="D259" s="115" t="s">
        <v>625</v>
      </c>
      <c r="E259" s="115" t="s">
        <v>625</v>
      </c>
      <c r="F259" s="115" t="s">
        <v>625</v>
      </c>
      <c r="G259" s="121" t="s">
        <v>625</v>
      </c>
      <c r="H259" s="115" t="e">
        <v>#N/A</v>
      </c>
      <c r="I259" s="118" t="s">
        <v>625</v>
      </c>
    </row>
    <row r="260" spans="1:9">
      <c r="A260" s="114">
        <v>39762</v>
      </c>
      <c r="B260" s="115">
        <v>94.84</v>
      </c>
      <c r="C260" s="115" t="s">
        <v>625</v>
      </c>
      <c r="D260" s="115" t="s">
        <v>625</v>
      </c>
      <c r="E260" s="115" t="s">
        <v>625</v>
      </c>
      <c r="F260" s="115" t="s">
        <v>625</v>
      </c>
      <c r="G260" s="121" t="s">
        <v>625</v>
      </c>
      <c r="H260" s="115" t="e">
        <v>#N/A</v>
      </c>
      <c r="I260" s="118" t="s">
        <v>625</v>
      </c>
    </row>
    <row r="261" spans="1:9">
      <c r="A261" s="114">
        <v>39763</v>
      </c>
      <c r="B261" s="115">
        <v>94.84</v>
      </c>
      <c r="C261" s="115" t="s">
        <v>625</v>
      </c>
      <c r="D261" s="115" t="s">
        <v>625</v>
      </c>
      <c r="E261" s="115" t="s">
        <v>625</v>
      </c>
      <c r="F261" s="115" t="s">
        <v>625</v>
      </c>
      <c r="G261" s="121" t="s">
        <v>625</v>
      </c>
      <c r="H261" s="115" t="e">
        <v>#N/A</v>
      </c>
      <c r="I261" s="118" t="s">
        <v>625</v>
      </c>
    </row>
    <row r="262" spans="1:9">
      <c r="A262" s="114">
        <v>39764</v>
      </c>
      <c r="B262" s="115">
        <v>94.84</v>
      </c>
      <c r="C262" s="115" t="s">
        <v>625</v>
      </c>
      <c r="D262" s="115" t="s">
        <v>625</v>
      </c>
      <c r="E262" s="115" t="s">
        <v>625</v>
      </c>
      <c r="F262" s="115" t="s">
        <v>625</v>
      </c>
      <c r="G262" s="121" t="s">
        <v>625</v>
      </c>
      <c r="H262" s="115" t="e">
        <v>#N/A</v>
      </c>
      <c r="I262" s="118" t="s">
        <v>625</v>
      </c>
    </row>
    <row r="263" spans="1:9">
      <c r="A263" s="114">
        <v>39765</v>
      </c>
      <c r="B263" s="115">
        <v>94.84</v>
      </c>
      <c r="C263" s="115" t="s">
        <v>625</v>
      </c>
      <c r="D263" s="115" t="s">
        <v>625</v>
      </c>
      <c r="E263" s="115" t="s">
        <v>625</v>
      </c>
      <c r="F263" s="115" t="s">
        <v>625</v>
      </c>
      <c r="G263" s="121" t="s">
        <v>625</v>
      </c>
      <c r="H263" s="115" t="e">
        <v>#N/A</v>
      </c>
      <c r="I263" s="118" t="s">
        <v>625</v>
      </c>
    </row>
    <row r="264" spans="1:9">
      <c r="A264" s="114">
        <v>39766</v>
      </c>
      <c r="B264" s="115">
        <v>94.84</v>
      </c>
      <c r="C264" s="115" t="s">
        <v>625</v>
      </c>
      <c r="D264" s="115" t="s">
        <v>625</v>
      </c>
      <c r="E264" s="115" t="s">
        <v>625</v>
      </c>
      <c r="F264" s="115" t="s">
        <v>625</v>
      </c>
      <c r="G264" s="121" t="s">
        <v>625</v>
      </c>
      <c r="H264" s="115" t="e">
        <v>#N/A</v>
      </c>
      <c r="I264" s="118" t="s">
        <v>625</v>
      </c>
    </row>
    <row r="265" spans="1:9">
      <c r="A265" s="114">
        <v>39769</v>
      </c>
      <c r="B265" s="115">
        <v>94.84</v>
      </c>
      <c r="C265" s="115" t="s">
        <v>625</v>
      </c>
      <c r="D265" s="115" t="s">
        <v>625</v>
      </c>
      <c r="E265" s="115" t="s">
        <v>625</v>
      </c>
      <c r="F265" s="115" t="s">
        <v>625</v>
      </c>
      <c r="G265" s="121" t="s">
        <v>625</v>
      </c>
      <c r="H265" s="115" t="e">
        <v>#N/A</v>
      </c>
      <c r="I265" s="118" t="s">
        <v>625</v>
      </c>
    </row>
    <row r="266" spans="1:9">
      <c r="A266" s="114">
        <v>39770</v>
      </c>
      <c r="B266" s="115">
        <v>94.84</v>
      </c>
      <c r="C266" s="115" t="s">
        <v>625</v>
      </c>
      <c r="D266" s="115" t="s">
        <v>625</v>
      </c>
      <c r="E266" s="115" t="s">
        <v>625</v>
      </c>
      <c r="F266" s="115" t="s">
        <v>625</v>
      </c>
      <c r="G266" s="121" t="s">
        <v>625</v>
      </c>
      <c r="H266" s="115" t="e">
        <v>#N/A</v>
      </c>
      <c r="I266" s="118" t="s">
        <v>625</v>
      </c>
    </row>
    <row r="267" spans="1:9">
      <c r="A267" s="114">
        <v>39771</v>
      </c>
      <c r="B267" s="115">
        <v>94.84</v>
      </c>
      <c r="C267" s="115" t="s">
        <v>625</v>
      </c>
      <c r="D267" s="115" t="s">
        <v>625</v>
      </c>
      <c r="E267" s="115" t="s">
        <v>625</v>
      </c>
      <c r="F267" s="115" t="s">
        <v>625</v>
      </c>
      <c r="G267" s="121" t="s">
        <v>625</v>
      </c>
      <c r="H267" s="115" t="e">
        <v>#N/A</v>
      </c>
      <c r="I267" s="118" t="s">
        <v>625</v>
      </c>
    </row>
    <row r="268" spans="1:9">
      <c r="A268" s="114">
        <v>39772</v>
      </c>
      <c r="B268" s="115">
        <v>94.84</v>
      </c>
      <c r="C268" s="115" t="s">
        <v>625</v>
      </c>
      <c r="D268" s="115" t="s">
        <v>625</v>
      </c>
      <c r="E268" s="115" t="s">
        <v>625</v>
      </c>
      <c r="F268" s="115" t="s">
        <v>625</v>
      </c>
      <c r="G268" s="121" t="s">
        <v>625</v>
      </c>
      <c r="H268" s="115" t="e">
        <v>#N/A</v>
      </c>
      <c r="I268" s="118" t="s">
        <v>625</v>
      </c>
    </row>
    <row r="269" spans="1:9">
      <c r="A269" s="114">
        <v>39773</v>
      </c>
      <c r="B269" s="115">
        <v>94.84</v>
      </c>
      <c r="C269" s="115" t="s">
        <v>625</v>
      </c>
      <c r="D269" s="115" t="s">
        <v>625</v>
      </c>
      <c r="E269" s="115" t="s">
        <v>625</v>
      </c>
      <c r="F269" s="115" t="s">
        <v>625</v>
      </c>
      <c r="G269" s="121" t="s">
        <v>625</v>
      </c>
      <c r="H269" s="115" t="e">
        <v>#N/A</v>
      </c>
      <c r="I269" s="118" t="s">
        <v>625</v>
      </c>
    </row>
    <row r="270" spans="1:9">
      <c r="A270" s="114">
        <v>39776</v>
      </c>
      <c r="B270" s="115">
        <v>94.84</v>
      </c>
      <c r="C270" s="115" t="s">
        <v>625</v>
      </c>
      <c r="D270" s="115" t="s">
        <v>625</v>
      </c>
      <c r="E270" s="115" t="s">
        <v>625</v>
      </c>
      <c r="F270" s="115" t="s">
        <v>625</v>
      </c>
      <c r="G270" s="121" t="s">
        <v>625</v>
      </c>
      <c r="H270" s="115" t="e">
        <v>#N/A</v>
      </c>
      <c r="I270" s="118" t="s">
        <v>625</v>
      </c>
    </row>
    <row r="271" spans="1:9">
      <c r="A271" s="114">
        <v>39777</v>
      </c>
      <c r="B271" s="115">
        <v>94.84</v>
      </c>
      <c r="C271" s="115" t="s">
        <v>625</v>
      </c>
      <c r="D271" s="115" t="s">
        <v>625</v>
      </c>
      <c r="E271" s="115" t="s">
        <v>625</v>
      </c>
      <c r="F271" s="115" t="s">
        <v>625</v>
      </c>
      <c r="G271" s="121" t="s">
        <v>625</v>
      </c>
      <c r="H271" s="115" t="e">
        <v>#N/A</v>
      </c>
      <c r="I271" s="118" t="s">
        <v>625</v>
      </c>
    </row>
    <row r="272" spans="1:9">
      <c r="A272" s="114">
        <v>39778</v>
      </c>
      <c r="B272" s="115">
        <v>94.84</v>
      </c>
      <c r="C272" s="115" t="s">
        <v>625</v>
      </c>
      <c r="D272" s="115" t="s">
        <v>625</v>
      </c>
      <c r="E272" s="115" t="s">
        <v>625</v>
      </c>
      <c r="F272" s="115" t="s">
        <v>625</v>
      </c>
      <c r="G272" s="121" t="s">
        <v>625</v>
      </c>
      <c r="H272" s="115" t="e">
        <v>#N/A</v>
      </c>
      <c r="I272" s="118" t="s">
        <v>625</v>
      </c>
    </row>
    <row r="273" spans="1:9">
      <c r="A273" s="114">
        <v>39779</v>
      </c>
      <c r="B273" s="115">
        <v>94.84</v>
      </c>
      <c r="C273" s="115" t="s">
        <v>625</v>
      </c>
      <c r="D273" s="115" t="s">
        <v>625</v>
      </c>
      <c r="E273" s="115" t="s">
        <v>625</v>
      </c>
      <c r="F273" s="115" t="s">
        <v>625</v>
      </c>
      <c r="G273" s="121" t="s">
        <v>625</v>
      </c>
      <c r="H273" s="115" t="e">
        <v>#N/A</v>
      </c>
      <c r="I273" s="118" t="s">
        <v>625</v>
      </c>
    </row>
    <row r="274" spans="1:9">
      <c r="A274" s="114">
        <v>39780</v>
      </c>
      <c r="B274" s="115">
        <v>94.84</v>
      </c>
      <c r="C274" s="115" t="s">
        <v>625</v>
      </c>
      <c r="D274" s="115" t="s">
        <v>625</v>
      </c>
      <c r="E274" s="115" t="s">
        <v>625</v>
      </c>
      <c r="F274" s="115" t="s">
        <v>625</v>
      </c>
      <c r="G274" s="121" t="s">
        <v>625</v>
      </c>
      <c r="H274" s="115" t="e">
        <v>#N/A</v>
      </c>
      <c r="I274" s="118" t="s">
        <v>625</v>
      </c>
    </row>
    <row r="275" spans="1:9">
      <c r="A275" s="114">
        <v>39783</v>
      </c>
      <c r="B275" s="115">
        <v>94.84</v>
      </c>
      <c r="C275" s="115" t="s">
        <v>625</v>
      </c>
      <c r="D275" s="115" t="s">
        <v>625</v>
      </c>
      <c r="E275" s="115" t="s">
        <v>625</v>
      </c>
      <c r="F275" s="115" t="s">
        <v>625</v>
      </c>
      <c r="G275" s="121" t="s">
        <v>625</v>
      </c>
      <c r="H275" s="115" t="e">
        <v>#N/A</v>
      </c>
      <c r="I275" s="118" t="s">
        <v>625</v>
      </c>
    </row>
    <row r="276" spans="1:9">
      <c r="A276" s="114">
        <v>39784</v>
      </c>
      <c r="B276" s="115">
        <v>94.84</v>
      </c>
      <c r="C276" s="115" t="s">
        <v>625</v>
      </c>
      <c r="D276" s="115" t="s">
        <v>625</v>
      </c>
      <c r="E276" s="115" t="s">
        <v>625</v>
      </c>
      <c r="F276" s="115" t="s">
        <v>625</v>
      </c>
      <c r="G276" s="121" t="s">
        <v>625</v>
      </c>
      <c r="H276" s="115" t="e">
        <v>#N/A</v>
      </c>
      <c r="I276" s="118" t="s">
        <v>625</v>
      </c>
    </row>
    <row r="277" spans="1:9">
      <c r="A277" s="114">
        <v>39785</v>
      </c>
      <c r="B277" s="115">
        <v>103.66</v>
      </c>
      <c r="C277" s="115" t="s">
        <v>625</v>
      </c>
      <c r="D277" s="115" t="s">
        <v>625</v>
      </c>
      <c r="E277" s="115" t="s">
        <v>625</v>
      </c>
      <c r="F277" s="115" t="s">
        <v>625</v>
      </c>
      <c r="G277" s="121" t="s">
        <v>625</v>
      </c>
      <c r="H277" s="115" t="e">
        <v>#N/A</v>
      </c>
      <c r="I277" s="118" t="s">
        <v>625</v>
      </c>
    </row>
    <row r="278" spans="1:9">
      <c r="A278" s="114">
        <v>39786</v>
      </c>
      <c r="B278" s="115">
        <v>103.66</v>
      </c>
      <c r="C278" s="115" t="s">
        <v>625</v>
      </c>
      <c r="D278" s="115" t="s">
        <v>625</v>
      </c>
      <c r="E278" s="115" t="s">
        <v>625</v>
      </c>
      <c r="F278" s="115" t="s">
        <v>625</v>
      </c>
      <c r="G278" s="121" t="s">
        <v>625</v>
      </c>
      <c r="H278" s="115" t="e">
        <v>#N/A</v>
      </c>
      <c r="I278" s="118" t="s">
        <v>625</v>
      </c>
    </row>
    <row r="279" spans="1:9">
      <c r="A279" s="114">
        <v>39787</v>
      </c>
      <c r="B279" s="115">
        <v>103.66</v>
      </c>
      <c r="C279" s="115" t="s">
        <v>625</v>
      </c>
      <c r="D279" s="115" t="s">
        <v>625</v>
      </c>
      <c r="E279" s="115" t="s">
        <v>625</v>
      </c>
      <c r="F279" s="115" t="s">
        <v>625</v>
      </c>
      <c r="G279" s="121" t="s">
        <v>625</v>
      </c>
      <c r="H279" s="115" t="e">
        <v>#N/A</v>
      </c>
      <c r="I279" s="118" t="s">
        <v>625</v>
      </c>
    </row>
    <row r="280" spans="1:9">
      <c r="A280" s="114">
        <v>39790</v>
      </c>
      <c r="B280" s="115">
        <v>103.66</v>
      </c>
      <c r="C280" s="115" t="s">
        <v>625</v>
      </c>
      <c r="D280" s="115" t="s">
        <v>625</v>
      </c>
      <c r="E280" s="115" t="s">
        <v>625</v>
      </c>
      <c r="F280" s="115" t="s">
        <v>625</v>
      </c>
      <c r="G280" s="121" t="s">
        <v>625</v>
      </c>
      <c r="H280" s="115" t="e">
        <v>#N/A</v>
      </c>
      <c r="I280" s="118" t="s">
        <v>625</v>
      </c>
    </row>
    <row r="281" spans="1:9">
      <c r="A281" s="114">
        <v>39791</v>
      </c>
      <c r="B281" s="115">
        <v>103.66</v>
      </c>
      <c r="C281" s="115" t="s">
        <v>625</v>
      </c>
      <c r="D281" s="115" t="s">
        <v>625</v>
      </c>
      <c r="E281" s="115" t="s">
        <v>625</v>
      </c>
      <c r="F281" s="115" t="s">
        <v>625</v>
      </c>
      <c r="G281" s="121" t="s">
        <v>625</v>
      </c>
      <c r="H281" s="115" t="e">
        <v>#N/A</v>
      </c>
      <c r="I281" s="118" t="s">
        <v>625</v>
      </c>
    </row>
    <row r="282" spans="1:9">
      <c r="A282" s="114">
        <v>39792</v>
      </c>
      <c r="B282" s="115">
        <v>103.66</v>
      </c>
      <c r="C282" s="115" t="s">
        <v>625</v>
      </c>
      <c r="D282" s="115" t="s">
        <v>625</v>
      </c>
      <c r="E282" s="115" t="s">
        <v>625</v>
      </c>
      <c r="F282" s="115" t="s">
        <v>625</v>
      </c>
      <c r="G282" s="121" t="s">
        <v>625</v>
      </c>
      <c r="H282" s="115" t="e">
        <v>#N/A</v>
      </c>
      <c r="I282" s="118" t="s">
        <v>625</v>
      </c>
    </row>
    <row r="283" spans="1:9">
      <c r="A283" s="114">
        <v>39793</v>
      </c>
      <c r="B283" s="115">
        <v>103.66</v>
      </c>
      <c r="C283" s="115" t="s">
        <v>625</v>
      </c>
      <c r="D283" s="115" t="s">
        <v>625</v>
      </c>
      <c r="E283" s="115" t="s">
        <v>625</v>
      </c>
      <c r="F283" s="115" t="s">
        <v>625</v>
      </c>
      <c r="G283" s="121" t="s">
        <v>625</v>
      </c>
      <c r="H283" s="115" t="e">
        <v>#N/A</v>
      </c>
      <c r="I283" s="118" t="s">
        <v>625</v>
      </c>
    </row>
    <row r="284" spans="1:9">
      <c r="A284" s="114">
        <v>39794</v>
      </c>
      <c r="B284" s="115">
        <v>103.66</v>
      </c>
      <c r="C284" s="115" t="s">
        <v>625</v>
      </c>
      <c r="D284" s="115" t="s">
        <v>625</v>
      </c>
      <c r="E284" s="115" t="s">
        <v>625</v>
      </c>
      <c r="F284" s="115" t="s">
        <v>625</v>
      </c>
      <c r="G284" s="121" t="s">
        <v>625</v>
      </c>
      <c r="H284" s="115" t="e">
        <v>#N/A</v>
      </c>
      <c r="I284" s="118" t="s">
        <v>625</v>
      </c>
    </row>
    <row r="285" spans="1:9">
      <c r="A285" s="114">
        <v>39797</v>
      </c>
      <c r="B285" s="115">
        <v>103.66</v>
      </c>
      <c r="C285" s="115" t="s">
        <v>625</v>
      </c>
      <c r="D285" s="115" t="s">
        <v>625</v>
      </c>
      <c r="E285" s="115" t="s">
        <v>625</v>
      </c>
      <c r="F285" s="115" t="s">
        <v>625</v>
      </c>
      <c r="G285" s="121" t="s">
        <v>625</v>
      </c>
      <c r="H285" s="115" t="e">
        <v>#N/A</v>
      </c>
      <c r="I285" s="118" t="s">
        <v>625</v>
      </c>
    </row>
    <row r="286" spans="1:9">
      <c r="A286" s="114">
        <v>39798</v>
      </c>
      <c r="B286" s="115">
        <v>103.66</v>
      </c>
      <c r="C286" s="115" t="s">
        <v>625</v>
      </c>
      <c r="D286" s="115" t="s">
        <v>625</v>
      </c>
      <c r="E286" s="115" t="s">
        <v>625</v>
      </c>
      <c r="F286" s="115" t="s">
        <v>625</v>
      </c>
      <c r="G286" s="121" t="s">
        <v>625</v>
      </c>
      <c r="H286" s="115" t="e">
        <v>#N/A</v>
      </c>
      <c r="I286" s="118" t="s">
        <v>625</v>
      </c>
    </row>
    <row r="287" spans="1:9">
      <c r="A287" s="114">
        <v>39799</v>
      </c>
      <c r="B287" s="115">
        <v>103.66</v>
      </c>
      <c r="C287" s="115" t="s">
        <v>625</v>
      </c>
      <c r="D287" s="115" t="s">
        <v>625</v>
      </c>
      <c r="E287" s="115" t="s">
        <v>625</v>
      </c>
      <c r="F287" s="115" t="s">
        <v>625</v>
      </c>
      <c r="G287" s="121" t="s">
        <v>625</v>
      </c>
      <c r="H287" s="115" t="e">
        <v>#N/A</v>
      </c>
      <c r="I287" s="118" t="s">
        <v>625</v>
      </c>
    </row>
    <row r="288" spans="1:9">
      <c r="A288" s="114">
        <v>39800</v>
      </c>
      <c r="B288" s="115">
        <v>103.66</v>
      </c>
      <c r="C288" s="115" t="s">
        <v>625</v>
      </c>
      <c r="D288" s="115" t="s">
        <v>625</v>
      </c>
      <c r="E288" s="115" t="s">
        <v>625</v>
      </c>
      <c r="F288" s="115" t="s">
        <v>625</v>
      </c>
      <c r="G288" s="121" t="s">
        <v>625</v>
      </c>
      <c r="H288" s="115" t="e">
        <v>#N/A</v>
      </c>
      <c r="I288" s="118" t="s">
        <v>625</v>
      </c>
    </row>
    <row r="289" spans="1:9">
      <c r="A289" s="114">
        <v>39801</v>
      </c>
      <c r="B289" s="115">
        <v>103.66</v>
      </c>
      <c r="C289" s="115" t="s">
        <v>625</v>
      </c>
      <c r="D289" s="115" t="s">
        <v>625</v>
      </c>
      <c r="E289" s="115" t="s">
        <v>625</v>
      </c>
      <c r="F289" s="115" t="s">
        <v>625</v>
      </c>
      <c r="G289" s="121" t="s">
        <v>625</v>
      </c>
      <c r="H289" s="115" t="e">
        <v>#N/A</v>
      </c>
      <c r="I289" s="118" t="s">
        <v>625</v>
      </c>
    </row>
    <row r="290" spans="1:9">
      <c r="A290" s="114">
        <v>39804</v>
      </c>
      <c r="B290" s="115">
        <v>107.59</v>
      </c>
      <c r="C290" s="115" t="s">
        <v>625</v>
      </c>
      <c r="D290" s="115" t="s">
        <v>625</v>
      </c>
      <c r="E290" s="115" t="s">
        <v>625</v>
      </c>
      <c r="F290" s="115" t="s">
        <v>625</v>
      </c>
      <c r="G290" s="121" t="s">
        <v>625</v>
      </c>
      <c r="H290" s="115" t="e">
        <v>#N/A</v>
      </c>
      <c r="I290" s="118" t="s">
        <v>625</v>
      </c>
    </row>
    <row r="291" spans="1:9">
      <c r="A291" s="114">
        <v>39805</v>
      </c>
      <c r="B291" s="115">
        <v>99.79</v>
      </c>
      <c r="C291" s="115" t="s">
        <v>625</v>
      </c>
      <c r="D291" s="115" t="s">
        <v>625</v>
      </c>
      <c r="E291" s="115" t="s">
        <v>625</v>
      </c>
      <c r="F291" s="115" t="s">
        <v>625</v>
      </c>
      <c r="G291" s="121" t="s">
        <v>625</v>
      </c>
      <c r="H291" s="115" t="e">
        <v>#N/A</v>
      </c>
      <c r="I291" s="118" t="s">
        <v>625</v>
      </c>
    </row>
    <row r="292" spans="1:9">
      <c r="A292" s="114">
        <v>39806</v>
      </c>
      <c r="B292" s="115">
        <v>99.79</v>
      </c>
      <c r="C292" s="115" t="s">
        <v>625</v>
      </c>
      <c r="D292" s="115" t="s">
        <v>625</v>
      </c>
      <c r="E292" s="115" t="s">
        <v>625</v>
      </c>
      <c r="F292" s="115" t="s">
        <v>625</v>
      </c>
      <c r="G292" s="121" t="s">
        <v>625</v>
      </c>
      <c r="H292" s="115" t="e">
        <v>#N/A</v>
      </c>
      <c r="I292" s="118" t="s">
        <v>625</v>
      </c>
    </row>
    <row r="293" spans="1:9">
      <c r="A293" s="114">
        <v>39807</v>
      </c>
      <c r="B293" s="115">
        <v>99.79</v>
      </c>
      <c r="C293" s="115" t="s">
        <v>625</v>
      </c>
      <c r="D293" s="115" t="s">
        <v>625</v>
      </c>
      <c r="E293" s="115" t="s">
        <v>625</v>
      </c>
      <c r="F293" s="115" t="s">
        <v>625</v>
      </c>
      <c r="G293" s="121" t="s">
        <v>625</v>
      </c>
      <c r="H293" s="115" t="e">
        <v>#N/A</v>
      </c>
      <c r="I293" s="118" t="s">
        <v>625</v>
      </c>
    </row>
    <row r="294" spans="1:9">
      <c r="A294" s="114">
        <v>39808</v>
      </c>
      <c r="B294" s="115">
        <v>99.79</v>
      </c>
      <c r="C294" s="115" t="s">
        <v>625</v>
      </c>
      <c r="D294" s="115" t="s">
        <v>625</v>
      </c>
      <c r="E294" s="115" t="s">
        <v>625</v>
      </c>
      <c r="F294" s="115" t="s">
        <v>625</v>
      </c>
      <c r="G294" s="121" t="s">
        <v>625</v>
      </c>
      <c r="H294" s="115" t="e">
        <v>#N/A</v>
      </c>
      <c r="I294" s="118" t="s">
        <v>625</v>
      </c>
    </row>
    <row r="295" spans="1:9">
      <c r="A295" s="114">
        <v>39811</v>
      </c>
      <c r="B295" s="115">
        <v>120</v>
      </c>
      <c r="C295" s="115" t="s">
        <v>625</v>
      </c>
      <c r="D295" s="115" t="s">
        <v>625</v>
      </c>
      <c r="E295" s="115" t="s">
        <v>625</v>
      </c>
      <c r="F295" s="115" t="s">
        <v>625</v>
      </c>
      <c r="G295" s="121" t="s">
        <v>625</v>
      </c>
      <c r="H295" s="115" t="e">
        <v>#N/A</v>
      </c>
      <c r="I295" s="118" t="s">
        <v>625</v>
      </c>
    </row>
    <row r="296" spans="1:9">
      <c r="A296" s="114">
        <v>39812</v>
      </c>
      <c r="B296" s="115">
        <v>120</v>
      </c>
      <c r="C296" s="115" t="s">
        <v>625</v>
      </c>
      <c r="D296" s="115" t="s">
        <v>625</v>
      </c>
      <c r="E296" s="115" t="s">
        <v>625</v>
      </c>
      <c r="F296" s="115" t="s">
        <v>625</v>
      </c>
      <c r="G296" s="121" t="s">
        <v>625</v>
      </c>
      <c r="H296" s="115" t="e">
        <v>#N/A</v>
      </c>
      <c r="I296" s="118" t="s">
        <v>625</v>
      </c>
    </row>
    <row r="297" spans="1:9">
      <c r="A297" s="114">
        <v>39813</v>
      </c>
      <c r="B297" s="115">
        <v>120</v>
      </c>
      <c r="C297" s="115" t="s">
        <v>625</v>
      </c>
      <c r="D297" s="115" t="s">
        <v>625</v>
      </c>
      <c r="E297" s="115" t="s">
        <v>625</v>
      </c>
      <c r="F297" s="115" t="s">
        <v>625</v>
      </c>
      <c r="G297" s="121" t="s">
        <v>625</v>
      </c>
      <c r="H297" s="115" t="e">
        <v>#N/A</v>
      </c>
      <c r="I297" s="118" t="s">
        <v>625</v>
      </c>
    </row>
    <row r="298" spans="1:9">
      <c r="A298" s="114">
        <v>39817</v>
      </c>
      <c r="B298" s="115">
        <v>120</v>
      </c>
      <c r="C298" s="115" t="s">
        <v>625</v>
      </c>
      <c r="D298" s="115" t="s">
        <v>625</v>
      </c>
      <c r="E298" s="115" t="s">
        <v>625</v>
      </c>
      <c r="F298" s="115" t="s">
        <v>625</v>
      </c>
      <c r="G298" s="121" t="s">
        <v>625</v>
      </c>
      <c r="H298" s="115" t="e">
        <v>#N/A</v>
      </c>
      <c r="I298" s="118" t="s">
        <v>625</v>
      </c>
    </row>
    <row r="299" spans="1:9">
      <c r="A299" s="114">
        <v>39818</v>
      </c>
      <c r="B299" s="115">
        <v>120</v>
      </c>
      <c r="C299" s="115" t="s">
        <v>625</v>
      </c>
      <c r="D299" s="115" t="s">
        <v>625</v>
      </c>
      <c r="E299" s="115" t="s">
        <v>625</v>
      </c>
      <c r="F299" s="115" t="s">
        <v>625</v>
      </c>
      <c r="G299" s="121" t="s">
        <v>625</v>
      </c>
      <c r="H299" s="115" t="e">
        <v>#N/A</v>
      </c>
      <c r="I299" s="118" t="s">
        <v>625</v>
      </c>
    </row>
    <row r="300" spans="1:9">
      <c r="A300" s="114">
        <v>39819</v>
      </c>
      <c r="B300" s="115">
        <v>99.71</v>
      </c>
      <c r="C300" s="115" t="s">
        <v>625</v>
      </c>
      <c r="D300" s="115" t="s">
        <v>625</v>
      </c>
      <c r="E300" s="115" t="s">
        <v>625</v>
      </c>
      <c r="F300" s="115" t="s">
        <v>625</v>
      </c>
      <c r="G300" s="121" t="s">
        <v>625</v>
      </c>
      <c r="H300" s="115" t="e">
        <v>#N/A</v>
      </c>
      <c r="I300" s="118" t="s">
        <v>625</v>
      </c>
    </row>
    <row r="301" spans="1:9">
      <c r="A301" s="114">
        <v>39820</v>
      </c>
      <c r="B301" s="115">
        <v>105.57</v>
      </c>
      <c r="C301" s="115" t="s">
        <v>625</v>
      </c>
      <c r="D301" s="115" t="s">
        <v>625</v>
      </c>
      <c r="E301" s="115" t="s">
        <v>625</v>
      </c>
      <c r="F301" s="115" t="s">
        <v>625</v>
      </c>
      <c r="G301" s="121" t="s">
        <v>625</v>
      </c>
      <c r="H301" s="115" t="e">
        <v>#N/A</v>
      </c>
      <c r="I301" s="118" t="s">
        <v>625</v>
      </c>
    </row>
    <row r="302" spans="1:9">
      <c r="A302" s="114">
        <v>39821</v>
      </c>
      <c r="B302" s="115">
        <v>92.47</v>
      </c>
      <c r="C302" s="115" t="s">
        <v>625</v>
      </c>
      <c r="D302" s="115" t="s">
        <v>625</v>
      </c>
      <c r="E302" s="115" t="s">
        <v>625</v>
      </c>
      <c r="F302" s="115" t="s">
        <v>625</v>
      </c>
      <c r="G302" s="121" t="s">
        <v>625</v>
      </c>
      <c r="H302" s="115" t="e">
        <v>#N/A</v>
      </c>
      <c r="I302" s="118" t="s">
        <v>625</v>
      </c>
    </row>
    <row r="303" spans="1:9">
      <c r="A303" s="114">
        <v>39822</v>
      </c>
      <c r="B303" s="115">
        <v>92.47</v>
      </c>
      <c r="C303" s="115" t="s">
        <v>625</v>
      </c>
      <c r="D303" s="115" t="s">
        <v>625</v>
      </c>
      <c r="E303" s="115" t="s">
        <v>625</v>
      </c>
      <c r="F303" s="115" t="s">
        <v>625</v>
      </c>
      <c r="G303" s="121" t="s">
        <v>625</v>
      </c>
      <c r="H303" s="115" t="e">
        <v>#N/A</v>
      </c>
      <c r="I303" s="118" t="s">
        <v>625</v>
      </c>
    </row>
    <row r="304" spans="1:9">
      <c r="A304" s="114">
        <v>39825</v>
      </c>
      <c r="B304" s="115">
        <v>92.47</v>
      </c>
      <c r="C304" s="115" t="s">
        <v>625</v>
      </c>
      <c r="D304" s="115" t="s">
        <v>625</v>
      </c>
      <c r="E304" s="115" t="s">
        <v>625</v>
      </c>
      <c r="F304" s="115" t="s">
        <v>625</v>
      </c>
      <c r="G304" s="121" t="s">
        <v>625</v>
      </c>
      <c r="H304" s="115" t="e">
        <v>#N/A</v>
      </c>
      <c r="I304" s="118" t="s">
        <v>625</v>
      </c>
    </row>
    <row r="305" spans="1:9">
      <c r="A305" s="114">
        <v>39826</v>
      </c>
      <c r="B305" s="115">
        <v>88.81</v>
      </c>
      <c r="C305" s="115" t="s">
        <v>625</v>
      </c>
      <c r="D305" s="115" t="s">
        <v>625</v>
      </c>
      <c r="E305" s="115" t="s">
        <v>625</v>
      </c>
      <c r="F305" s="115" t="s">
        <v>625</v>
      </c>
      <c r="G305" s="121" t="s">
        <v>625</v>
      </c>
      <c r="H305" s="115" t="e">
        <v>#N/A</v>
      </c>
      <c r="I305" s="118" t="s">
        <v>625</v>
      </c>
    </row>
    <row r="306" spans="1:9">
      <c r="A306" s="114">
        <v>39827</v>
      </c>
      <c r="B306" s="115">
        <v>88.81</v>
      </c>
      <c r="C306" s="115" t="s">
        <v>625</v>
      </c>
      <c r="D306" s="115" t="s">
        <v>625</v>
      </c>
      <c r="E306" s="115" t="s">
        <v>625</v>
      </c>
      <c r="F306" s="115" t="s">
        <v>625</v>
      </c>
      <c r="G306" s="121" t="s">
        <v>625</v>
      </c>
      <c r="H306" s="115" t="e">
        <v>#N/A</v>
      </c>
      <c r="I306" s="118" t="s">
        <v>625</v>
      </c>
    </row>
    <row r="307" spans="1:9">
      <c r="A307" s="114">
        <v>39828</v>
      </c>
      <c r="B307" s="115">
        <v>88.81</v>
      </c>
      <c r="C307" s="115" t="s">
        <v>625</v>
      </c>
      <c r="D307" s="115" t="s">
        <v>625</v>
      </c>
      <c r="E307" s="115" t="s">
        <v>625</v>
      </c>
      <c r="F307" s="115" t="s">
        <v>625</v>
      </c>
      <c r="G307" s="121" t="s">
        <v>625</v>
      </c>
      <c r="H307" s="115" t="e">
        <v>#N/A</v>
      </c>
      <c r="I307" s="118" t="s">
        <v>625</v>
      </c>
    </row>
    <row r="308" spans="1:9">
      <c r="A308" s="114">
        <v>39829</v>
      </c>
      <c r="B308" s="115">
        <v>88.81</v>
      </c>
      <c r="C308" s="115" t="s">
        <v>625</v>
      </c>
      <c r="D308" s="115" t="s">
        <v>625</v>
      </c>
      <c r="E308" s="115" t="s">
        <v>625</v>
      </c>
      <c r="F308" s="115" t="s">
        <v>625</v>
      </c>
      <c r="G308" s="121" t="s">
        <v>625</v>
      </c>
      <c r="H308" s="115" t="e">
        <v>#N/A</v>
      </c>
      <c r="I308" s="118" t="s">
        <v>625</v>
      </c>
    </row>
    <row r="309" spans="1:9">
      <c r="A309" s="114">
        <v>39832</v>
      </c>
      <c r="B309" s="115">
        <v>120</v>
      </c>
      <c r="C309" s="115" t="s">
        <v>625</v>
      </c>
      <c r="D309" s="115" t="s">
        <v>625</v>
      </c>
      <c r="E309" s="115" t="s">
        <v>625</v>
      </c>
      <c r="F309" s="115" t="s">
        <v>625</v>
      </c>
      <c r="G309" s="121" t="s">
        <v>625</v>
      </c>
      <c r="H309" s="115" t="e">
        <v>#N/A</v>
      </c>
      <c r="I309" s="118" t="s">
        <v>625</v>
      </c>
    </row>
    <row r="310" spans="1:9">
      <c r="A310" s="114">
        <v>39833</v>
      </c>
      <c r="B310" s="115">
        <v>120</v>
      </c>
      <c r="C310" s="115" t="s">
        <v>625</v>
      </c>
      <c r="D310" s="115" t="s">
        <v>625</v>
      </c>
      <c r="E310" s="115" t="s">
        <v>625</v>
      </c>
      <c r="F310" s="115" t="s">
        <v>625</v>
      </c>
      <c r="G310" s="121" t="s">
        <v>625</v>
      </c>
      <c r="H310" s="115" t="e">
        <v>#N/A</v>
      </c>
      <c r="I310" s="118" t="s">
        <v>625</v>
      </c>
    </row>
    <row r="311" spans="1:9">
      <c r="A311" s="114">
        <v>39834</v>
      </c>
      <c r="B311" s="115">
        <v>120</v>
      </c>
      <c r="C311" s="115" t="s">
        <v>625</v>
      </c>
      <c r="D311" s="115" t="s">
        <v>625</v>
      </c>
      <c r="E311" s="115" t="s">
        <v>625</v>
      </c>
      <c r="F311" s="115" t="s">
        <v>625</v>
      </c>
      <c r="G311" s="121" t="s">
        <v>625</v>
      </c>
      <c r="H311" s="115" t="e">
        <v>#N/A</v>
      </c>
      <c r="I311" s="118" t="s">
        <v>625</v>
      </c>
    </row>
    <row r="312" spans="1:9">
      <c r="A312" s="114">
        <v>39835</v>
      </c>
      <c r="B312" s="115">
        <v>120</v>
      </c>
      <c r="C312" s="115" t="s">
        <v>625</v>
      </c>
      <c r="D312" s="115" t="s">
        <v>625</v>
      </c>
      <c r="E312" s="115" t="s">
        <v>625</v>
      </c>
      <c r="F312" s="115" t="s">
        <v>625</v>
      </c>
      <c r="G312" s="121" t="s">
        <v>625</v>
      </c>
      <c r="H312" s="115" t="e">
        <v>#N/A</v>
      </c>
      <c r="I312" s="118" t="s">
        <v>625</v>
      </c>
    </row>
    <row r="313" spans="1:9">
      <c r="A313" s="114">
        <v>39836</v>
      </c>
      <c r="B313" s="115">
        <v>120</v>
      </c>
      <c r="C313" s="115" t="s">
        <v>625</v>
      </c>
      <c r="D313" s="115" t="s">
        <v>625</v>
      </c>
      <c r="E313" s="115" t="s">
        <v>625</v>
      </c>
      <c r="F313" s="115" t="s">
        <v>625</v>
      </c>
      <c r="G313" s="121" t="s">
        <v>625</v>
      </c>
      <c r="H313" s="115" t="e">
        <v>#N/A</v>
      </c>
      <c r="I313" s="118" t="s">
        <v>625</v>
      </c>
    </row>
    <row r="314" spans="1:9">
      <c r="A314" s="114">
        <v>39837</v>
      </c>
      <c r="B314" s="115">
        <v>120</v>
      </c>
      <c r="C314" s="115" t="s">
        <v>625</v>
      </c>
      <c r="D314" s="115" t="s">
        <v>625</v>
      </c>
      <c r="E314" s="115" t="s">
        <v>625</v>
      </c>
      <c r="F314" s="115" t="s">
        <v>625</v>
      </c>
      <c r="G314" s="121" t="s">
        <v>625</v>
      </c>
      <c r="H314" s="115" t="e">
        <v>#N/A</v>
      </c>
      <c r="I314" s="118" t="s">
        <v>625</v>
      </c>
    </row>
    <row r="315" spans="1:9">
      <c r="A315" s="114">
        <v>39845</v>
      </c>
      <c r="B315" s="115">
        <v>89.93</v>
      </c>
      <c r="C315" s="115" t="s">
        <v>625</v>
      </c>
      <c r="D315" s="115" t="s">
        <v>625</v>
      </c>
      <c r="E315" s="115" t="s">
        <v>625</v>
      </c>
      <c r="F315" s="115" t="s">
        <v>625</v>
      </c>
      <c r="G315" s="121" t="s">
        <v>625</v>
      </c>
      <c r="H315" s="115" t="e">
        <v>#N/A</v>
      </c>
      <c r="I315" s="118" t="s">
        <v>625</v>
      </c>
    </row>
    <row r="316" spans="1:9">
      <c r="A316" s="114">
        <v>39846</v>
      </c>
      <c r="B316" s="115">
        <v>89.93</v>
      </c>
      <c r="C316" s="115" t="s">
        <v>625</v>
      </c>
      <c r="D316" s="115" t="s">
        <v>625</v>
      </c>
      <c r="E316" s="115" t="s">
        <v>625</v>
      </c>
      <c r="F316" s="115" t="s">
        <v>625</v>
      </c>
      <c r="G316" s="121" t="s">
        <v>625</v>
      </c>
      <c r="H316" s="115" t="e">
        <v>#N/A</v>
      </c>
      <c r="I316" s="118" t="s">
        <v>625</v>
      </c>
    </row>
    <row r="317" spans="1:9">
      <c r="A317" s="114">
        <v>39847</v>
      </c>
      <c r="B317" s="115">
        <v>89.93</v>
      </c>
      <c r="C317" s="115" t="s">
        <v>625</v>
      </c>
      <c r="D317" s="115" t="s">
        <v>625</v>
      </c>
      <c r="E317" s="115" t="s">
        <v>625</v>
      </c>
      <c r="F317" s="115" t="s">
        <v>625</v>
      </c>
      <c r="G317" s="121" t="s">
        <v>625</v>
      </c>
      <c r="H317" s="115" t="e">
        <v>#N/A</v>
      </c>
      <c r="I317" s="118" t="s">
        <v>625</v>
      </c>
    </row>
    <row r="318" spans="1:9">
      <c r="A318" s="114">
        <v>39848</v>
      </c>
      <c r="B318" s="115">
        <v>89.93</v>
      </c>
      <c r="C318" s="115" t="s">
        <v>625</v>
      </c>
      <c r="D318" s="115" t="s">
        <v>625</v>
      </c>
      <c r="E318" s="115" t="s">
        <v>625</v>
      </c>
      <c r="F318" s="115" t="s">
        <v>625</v>
      </c>
      <c r="G318" s="121" t="s">
        <v>625</v>
      </c>
      <c r="H318" s="115" t="e">
        <v>#N/A</v>
      </c>
      <c r="I318" s="118" t="s">
        <v>625</v>
      </c>
    </row>
    <row r="319" spans="1:9">
      <c r="A319" s="114">
        <v>39849</v>
      </c>
      <c r="B319" s="115">
        <v>89.93</v>
      </c>
      <c r="C319" s="115" t="s">
        <v>625</v>
      </c>
      <c r="D319" s="115" t="s">
        <v>625</v>
      </c>
      <c r="E319" s="115" t="s">
        <v>625</v>
      </c>
      <c r="F319" s="115" t="s">
        <v>625</v>
      </c>
      <c r="G319" s="121" t="s">
        <v>625</v>
      </c>
      <c r="H319" s="115" t="e">
        <v>#N/A</v>
      </c>
      <c r="I319" s="118" t="s">
        <v>625</v>
      </c>
    </row>
    <row r="320" spans="1:9">
      <c r="A320" s="114">
        <v>39850</v>
      </c>
      <c r="B320" s="115">
        <v>101.4</v>
      </c>
      <c r="C320" s="115" t="s">
        <v>625</v>
      </c>
      <c r="D320" s="115" t="s">
        <v>625</v>
      </c>
      <c r="E320" s="115" t="s">
        <v>625</v>
      </c>
      <c r="F320" s="115" t="s">
        <v>625</v>
      </c>
      <c r="G320" s="121" t="s">
        <v>625</v>
      </c>
      <c r="H320" s="115" t="e">
        <v>#N/A</v>
      </c>
      <c r="I320" s="118" t="s">
        <v>625</v>
      </c>
    </row>
    <row r="321" spans="1:9">
      <c r="A321" s="114">
        <v>39853</v>
      </c>
      <c r="B321" s="115">
        <v>101.4</v>
      </c>
      <c r="C321" s="115" t="s">
        <v>625</v>
      </c>
      <c r="D321" s="115" t="s">
        <v>625</v>
      </c>
      <c r="E321" s="115" t="s">
        <v>625</v>
      </c>
      <c r="F321" s="115" t="s">
        <v>625</v>
      </c>
      <c r="G321" s="121" t="s">
        <v>625</v>
      </c>
      <c r="H321" s="115" t="e">
        <v>#N/A</v>
      </c>
      <c r="I321" s="118" t="s">
        <v>625</v>
      </c>
    </row>
    <row r="322" spans="1:9">
      <c r="A322" s="114">
        <v>39854</v>
      </c>
      <c r="B322" s="115">
        <v>101.4</v>
      </c>
      <c r="C322" s="115" t="s">
        <v>625</v>
      </c>
      <c r="D322" s="115" t="s">
        <v>625</v>
      </c>
      <c r="E322" s="115" t="s">
        <v>625</v>
      </c>
      <c r="F322" s="115" t="s">
        <v>625</v>
      </c>
      <c r="G322" s="121" t="s">
        <v>625</v>
      </c>
      <c r="H322" s="115" t="e">
        <v>#N/A</v>
      </c>
      <c r="I322" s="118" t="s">
        <v>625</v>
      </c>
    </row>
    <row r="323" spans="1:9">
      <c r="A323" s="114">
        <v>39855</v>
      </c>
      <c r="B323" s="115">
        <v>101.4</v>
      </c>
      <c r="C323" s="115" t="s">
        <v>625</v>
      </c>
      <c r="D323" s="115" t="s">
        <v>625</v>
      </c>
      <c r="E323" s="115" t="s">
        <v>625</v>
      </c>
      <c r="F323" s="115" t="s">
        <v>625</v>
      </c>
      <c r="G323" s="121" t="s">
        <v>625</v>
      </c>
      <c r="H323" s="115" t="e">
        <v>#N/A</v>
      </c>
      <c r="I323" s="118" t="s">
        <v>625</v>
      </c>
    </row>
    <row r="324" spans="1:9">
      <c r="A324" s="114">
        <v>39856</v>
      </c>
      <c r="B324" s="115">
        <v>101.4</v>
      </c>
      <c r="C324" s="115" t="s">
        <v>625</v>
      </c>
      <c r="D324" s="115" t="s">
        <v>625</v>
      </c>
      <c r="E324" s="115" t="s">
        <v>625</v>
      </c>
      <c r="F324" s="115" t="s">
        <v>625</v>
      </c>
      <c r="G324" s="121" t="s">
        <v>625</v>
      </c>
      <c r="H324" s="115" t="e">
        <v>#N/A</v>
      </c>
      <c r="I324" s="118" t="s">
        <v>625</v>
      </c>
    </row>
    <row r="325" spans="1:9">
      <c r="A325" s="114">
        <v>39857</v>
      </c>
      <c r="B325" s="115">
        <v>101.7</v>
      </c>
      <c r="C325" s="115" t="s">
        <v>625</v>
      </c>
      <c r="D325" s="115" t="s">
        <v>625</v>
      </c>
      <c r="E325" s="115" t="s">
        <v>625</v>
      </c>
      <c r="F325" s="115" t="s">
        <v>625</v>
      </c>
      <c r="G325" s="121" t="s">
        <v>625</v>
      </c>
      <c r="H325" s="115" t="e">
        <v>#N/A</v>
      </c>
      <c r="I325" s="118" t="s">
        <v>625</v>
      </c>
    </row>
    <row r="326" spans="1:9">
      <c r="A326" s="114">
        <v>39860</v>
      </c>
      <c r="B326" s="115">
        <v>101.7</v>
      </c>
      <c r="C326" s="115" t="s">
        <v>625</v>
      </c>
      <c r="D326" s="115" t="s">
        <v>625</v>
      </c>
      <c r="E326" s="115" t="s">
        <v>625</v>
      </c>
      <c r="F326" s="115" t="s">
        <v>625</v>
      </c>
      <c r="G326" s="121" t="s">
        <v>625</v>
      </c>
      <c r="H326" s="115" t="e">
        <v>#N/A</v>
      </c>
      <c r="I326" s="118" t="s">
        <v>625</v>
      </c>
    </row>
    <row r="327" spans="1:9">
      <c r="A327" s="114">
        <v>39861</v>
      </c>
      <c r="B327" s="115">
        <v>101.77</v>
      </c>
      <c r="C327" s="115" t="s">
        <v>625</v>
      </c>
      <c r="D327" s="115" t="s">
        <v>625</v>
      </c>
      <c r="E327" s="115" t="s">
        <v>625</v>
      </c>
      <c r="F327" s="115" t="s">
        <v>625</v>
      </c>
      <c r="G327" s="121" t="s">
        <v>625</v>
      </c>
      <c r="H327" s="115" t="e">
        <v>#N/A</v>
      </c>
      <c r="I327" s="118" t="s">
        <v>625</v>
      </c>
    </row>
    <row r="328" spans="1:9">
      <c r="A328" s="114">
        <v>39862</v>
      </c>
      <c r="B328" s="115">
        <v>101.77</v>
      </c>
      <c r="C328" s="115" t="s">
        <v>625</v>
      </c>
      <c r="D328" s="115" t="s">
        <v>625</v>
      </c>
      <c r="E328" s="115" t="s">
        <v>625</v>
      </c>
      <c r="F328" s="115" t="s">
        <v>625</v>
      </c>
      <c r="G328" s="121" t="s">
        <v>625</v>
      </c>
      <c r="H328" s="115" t="e">
        <v>#N/A</v>
      </c>
      <c r="I328" s="118" t="s">
        <v>625</v>
      </c>
    </row>
    <row r="329" spans="1:9">
      <c r="A329" s="114">
        <v>39863</v>
      </c>
      <c r="B329" s="115">
        <v>101.77</v>
      </c>
      <c r="C329" s="115" t="s">
        <v>625</v>
      </c>
      <c r="D329" s="115" t="s">
        <v>625</v>
      </c>
      <c r="E329" s="115" t="s">
        <v>625</v>
      </c>
      <c r="F329" s="115" t="s">
        <v>625</v>
      </c>
      <c r="G329" s="121" t="s">
        <v>625</v>
      </c>
      <c r="H329" s="115" t="e">
        <v>#N/A</v>
      </c>
      <c r="I329" s="118" t="s">
        <v>625</v>
      </c>
    </row>
    <row r="330" spans="1:9">
      <c r="A330" s="114">
        <v>39864</v>
      </c>
      <c r="B330" s="115">
        <v>101.77</v>
      </c>
      <c r="C330" s="115" t="s">
        <v>625</v>
      </c>
      <c r="D330" s="115" t="s">
        <v>625</v>
      </c>
      <c r="E330" s="115" t="s">
        <v>625</v>
      </c>
      <c r="F330" s="115" t="s">
        <v>625</v>
      </c>
      <c r="G330" s="121" t="s">
        <v>625</v>
      </c>
      <c r="H330" s="115" t="e">
        <v>#N/A</v>
      </c>
      <c r="I330" s="118" t="s">
        <v>625</v>
      </c>
    </row>
    <row r="331" spans="1:9">
      <c r="A331" s="114">
        <v>39867</v>
      </c>
      <c r="B331" s="115">
        <v>101.77</v>
      </c>
      <c r="C331" s="115" t="s">
        <v>625</v>
      </c>
      <c r="D331" s="115" t="s">
        <v>625</v>
      </c>
      <c r="E331" s="115" t="s">
        <v>625</v>
      </c>
      <c r="F331" s="115" t="s">
        <v>625</v>
      </c>
      <c r="G331" s="121" t="s">
        <v>625</v>
      </c>
      <c r="H331" s="115" t="e">
        <v>#N/A</v>
      </c>
      <c r="I331" s="118" t="s">
        <v>625</v>
      </c>
    </row>
    <row r="332" spans="1:9">
      <c r="A332" s="114">
        <v>39868</v>
      </c>
      <c r="B332" s="115">
        <v>101.77</v>
      </c>
      <c r="C332" s="115" t="s">
        <v>625</v>
      </c>
      <c r="D332" s="115" t="s">
        <v>625</v>
      </c>
      <c r="E332" s="115" t="s">
        <v>625</v>
      </c>
      <c r="F332" s="115" t="s">
        <v>625</v>
      </c>
      <c r="G332" s="121" t="s">
        <v>625</v>
      </c>
      <c r="H332" s="115" t="e">
        <v>#N/A</v>
      </c>
      <c r="I332" s="118" t="s">
        <v>625</v>
      </c>
    </row>
    <row r="333" spans="1:9">
      <c r="A333" s="114">
        <v>39869</v>
      </c>
      <c r="B333" s="115">
        <v>101.77</v>
      </c>
      <c r="C333" s="115" t="s">
        <v>625</v>
      </c>
      <c r="D333" s="115" t="s">
        <v>625</v>
      </c>
      <c r="E333" s="115" t="s">
        <v>625</v>
      </c>
      <c r="F333" s="115" t="s">
        <v>625</v>
      </c>
      <c r="G333" s="121" t="s">
        <v>625</v>
      </c>
      <c r="H333" s="115" t="e">
        <v>#N/A</v>
      </c>
      <c r="I333" s="118" t="s">
        <v>625</v>
      </c>
    </row>
    <row r="334" spans="1:9">
      <c r="A334" s="114">
        <v>39870</v>
      </c>
      <c r="B334" s="115">
        <v>101.77</v>
      </c>
      <c r="C334" s="115" t="s">
        <v>625</v>
      </c>
      <c r="D334" s="115" t="s">
        <v>625</v>
      </c>
      <c r="E334" s="115" t="s">
        <v>625</v>
      </c>
      <c r="F334" s="115" t="s">
        <v>625</v>
      </c>
      <c r="G334" s="121" t="s">
        <v>625</v>
      </c>
      <c r="H334" s="115" t="e">
        <v>#N/A</v>
      </c>
      <c r="I334" s="118" t="s">
        <v>625</v>
      </c>
    </row>
    <row r="335" spans="1:9">
      <c r="A335" s="114">
        <v>39871</v>
      </c>
      <c r="B335" s="115">
        <v>101.77</v>
      </c>
      <c r="C335" s="115" t="s">
        <v>625</v>
      </c>
      <c r="D335" s="115" t="s">
        <v>625</v>
      </c>
      <c r="E335" s="115" t="s">
        <v>625</v>
      </c>
      <c r="F335" s="115" t="s">
        <v>625</v>
      </c>
      <c r="G335" s="121" t="s">
        <v>625</v>
      </c>
      <c r="H335" s="115" t="e">
        <v>#N/A</v>
      </c>
      <c r="I335" s="118" t="s">
        <v>625</v>
      </c>
    </row>
    <row r="336" spans="1:9">
      <c r="A336" s="114">
        <v>39874</v>
      </c>
      <c r="B336" s="115">
        <v>101.77</v>
      </c>
      <c r="C336" s="115" t="s">
        <v>625</v>
      </c>
      <c r="D336" s="115" t="s">
        <v>625</v>
      </c>
      <c r="E336" s="115" t="s">
        <v>625</v>
      </c>
      <c r="F336" s="115" t="s">
        <v>625</v>
      </c>
      <c r="G336" s="121" t="s">
        <v>625</v>
      </c>
      <c r="H336" s="115" t="e">
        <v>#N/A</v>
      </c>
      <c r="I336" s="118" t="s">
        <v>625</v>
      </c>
    </row>
    <row r="337" spans="1:9">
      <c r="A337" s="114">
        <v>39875</v>
      </c>
      <c r="B337" s="115">
        <v>103.42</v>
      </c>
      <c r="C337" s="115" t="s">
        <v>625</v>
      </c>
      <c r="D337" s="115" t="s">
        <v>625</v>
      </c>
      <c r="E337" s="115" t="s">
        <v>625</v>
      </c>
      <c r="F337" s="115" t="s">
        <v>625</v>
      </c>
      <c r="G337" s="121" t="s">
        <v>625</v>
      </c>
      <c r="H337" s="115" t="e">
        <v>#N/A</v>
      </c>
      <c r="I337" s="118" t="s">
        <v>625</v>
      </c>
    </row>
    <row r="338" spans="1:9">
      <c r="A338" s="114">
        <v>39876</v>
      </c>
      <c r="B338" s="115">
        <v>103.42</v>
      </c>
      <c r="C338" s="115" t="s">
        <v>625</v>
      </c>
      <c r="D338" s="115" t="s">
        <v>625</v>
      </c>
      <c r="E338" s="115" t="s">
        <v>625</v>
      </c>
      <c r="F338" s="115" t="s">
        <v>625</v>
      </c>
      <c r="G338" s="121" t="s">
        <v>625</v>
      </c>
      <c r="H338" s="115" t="e">
        <v>#N/A</v>
      </c>
      <c r="I338" s="118" t="s">
        <v>625</v>
      </c>
    </row>
    <row r="339" spans="1:9">
      <c r="A339" s="114">
        <v>39877</v>
      </c>
      <c r="B339" s="115">
        <v>103.42</v>
      </c>
      <c r="C339" s="115" t="s">
        <v>625</v>
      </c>
      <c r="D339" s="115" t="s">
        <v>625</v>
      </c>
      <c r="E339" s="115" t="s">
        <v>625</v>
      </c>
      <c r="F339" s="115" t="s">
        <v>625</v>
      </c>
      <c r="G339" s="121" t="s">
        <v>625</v>
      </c>
      <c r="H339" s="115" t="e">
        <v>#N/A</v>
      </c>
      <c r="I339" s="118" t="s">
        <v>625</v>
      </c>
    </row>
    <row r="340" spans="1:9">
      <c r="A340" s="114">
        <v>39878</v>
      </c>
      <c r="B340" s="115">
        <v>103.42</v>
      </c>
      <c r="C340" s="115" t="s">
        <v>625</v>
      </c>
      <c r="D340" s="115" t="s">
        <v>625</v>
      </c>
      <c r="E340" s="115" t="s">
        <v>625</v>
      </c>
      <c r="F340" s="115" t="s">
        <v>625</v>
      </c>
      <c r="G340" s="121" t="s">
        <v>625</v>
      </c>
      <c r="H340" s="115" t="e">
        <v>#N/A</v>
      </c>
      <c r="I340" s="118" t="s">
        <v>625</v>
      </c>
    </row>
    <row r="341" spans="1:9">
      <c r="A341" s="114">
        <v>39881</v>
      </c>
      <c r="B341" s="115">
        <v>102.43</v>
      </c>
      <c r="C341" s="115" t="s">
        <v>625</v>
      </c>
      <c r="D341" s="115" t="s">
        <v>625</v>
      </c>
      <c r="E341" s="115" t="s">
        <v>625</v>
      </c>
      <c r="F341" s="115" t="s">
        <v>625</v>
      </c>
      <c r="G341" s="121" t="s">
        <v>625</v>
      </c>
      <c r="H341" s="115" t="e">
        <v>#N/A</v>
      </c>
      <c r="I341" s="118" t="s">
        <v>625</v>
      </c>
    </row>
    <row r="342" spans="1:9">
      <c r="A342" s="114">
        <v>39882</v>
      </c>
      <c r="B342" s="115">
        <v>102.43</v>
      </c>
      <c r="C342" s="115" t="s">
        <v>625</v>
      </c>
      <c r="D342" s="115" t="s">
        <v>625</v>
      </c>
      <c r="E342" s="115" t="s">
        <v>625</v>
      </c>
      <c r="F342" s="115" t="s">
        <v>625</v>
      </c>
      <c r="G342" s="121" t="s">
        <v>625</v>
      </c>
      <c r="H342" s="115" t="e">
        <v>#N/A</v>
      </c>
      <c r="I342" s="118" t="s">
        <v>625</v>
      </c>
    </row>
    <row r="343" spans="1:9">
      <c r="A343" s="114">
        <v>39883</v>
      </c>
      <c r="B343" s="115">
        <v>102.43</v>
      </c>
      <c r="C343" s="115" t="s">
        <v>625</v>
      </c>
      <c r="D343" s="115" t="s">
        <v>625</v>
      </c>
      <c r="E343" s="115" t="s">
        <v>625</v>
      </c>
      <c r="F343" s="115" t="s">
        <v>625</v>
      </c>
      <c r="G343" s="121" t="s">
        <v>625</v>
      </c>
      <c r="H343" s="115" t="e">
        <v>#N/A</v>
      </c>
      <c r="I343" s="118" t="s">
        <v>625</v>
      </c>
    </row>
    <row r="344" spans="1:9">
      <c r="A344" s="114">
        <v>39884</v>
      </c>
      <c r="B344" s="115">
        <v>102.43</v>
      </c>
      <c r="C344" s="115" t="s">
        <v>625</v>
      </c>
      <c r="D344" s="115" t="s">
        <v>625</v>
      </c>
      <c r="E344" s="115" t="s">
        <v>625</v>
      </c>
      <c r="F344" s="115" t="s">
        <v>625</v>
      </c>
      <c r="G344" s="121" t="s">
        <v>625</v>
      </c>
      <c r="H344" s="115" t="e">
        <v>#N/A</v>
      </c>
      <c r="I344" s="118" t="s">
        <v>625</v>
      </c>
    </row>
    <row r="345" spans="1:9">
      <c r="A345" s="114">
        <v>39885</v>
      </c>
      <c r="B345" s="115">
        <v>102.43</v>
      </c>
      <c r="C345" s="115" t="s">
        <v>625</v>
      </c>
      <c r="D345" s="115" t="s">
        <v>625</v>
      </c>
      <c r="E345" s="115" t="s">
        <v>625</v>
      </c>
      <c r="F345" s="115" t="s">
        <v>625</v>
      </c>
      <c r="G345" s="121" t="s">
        <v>625</v>
      </c>
      <c r="H345" s="115" t="e">
        <v>#N/A</v>
      </c>
      <c r="I345" s="118" t="s">
        <v>625</v>
      </c>
    </row>
    <row r="346" spans="1:9">
      <c r="A346" s="114">
        <v>39888</v>
      </c>
      <c r="B346" s="115">
        <v>102.43</v>
      </c>
      <c r="C346" s="115" t="s">
        <v>625</v>
      </c>
      <c r="D346" s="115" t="s">
        <v>625</v>
      </c>
      <c r="E346" s="115" t="s">
        <v>625</v>
      </c>
      <c r="F346" s="115" t="s">
        <v>625</v>
      </c>
      <c r="G346" s="121" t="s">
        <v>625</v>
      </c>
      <c r="H346" s="115" t="e">
        <v>#N/A</v>
      </c>
      <c r="I346" s="118" t="s">
        <v>625</v>
      </c>
    </row>
    <row r="347" spans="1:9">
      <c r="A347" s="114">
        <v>39889</v>
      </c>
      <c r="B347" s="115">
        <v>103.15</v>
      </c>
      <c r="C347" s="115" t="s">
        <v>625</v>
      </c>
      <c r="D347" s="115" t="s">
        <v>625</v>
      </c>
      <c r="E347" s="115" t="s">
        <v>625</v>
      </c>
      <c r="F347" s="115" t="s">
        <v>625</v>
      </c>
      <c r="G347" s="121" t="s">
        <v>625</v>
      </c>
      <c r="H347" s="115" t="e">
        <v>#N/A</v>
      </c>
      <c r="I347" s="118" t="s">
        <v>625</v>
      </c>
    </row>
    <row r="348" spans="1:9">
      <c r="A348" s="114">
        <v>39890</v>
      </c>
      <c r="B348" s="115">
        <v>103.15</v>
      </c>
      <c r="C348" s="115" t="s">
        <v>625</v>
      </c>
      <c r="D348" s="115" t="s">
        <v>625</v>
      </c>
      <c r="E348" s="115" t="s">
        <v>625</v>
      </c>
      <c r="F348" s="115" t="s">
        <v>625</v>
      </c>
      <c r="G348" s="121" t="s">
        <v>625</v>
      </c>
      <c r="H348" s="115" t="e">
        <v>#N/A</v>
      </c>
      <c r="I348" s="118" t="s">
        <v>625</v>
      </c>
    </row>
    <row r="349" spans="1:9">
      <c r="A349" s="114">
        <v>39891</v>
      </c>
      <c r="B349" s="115">
        <v>103.19</v>
      </c>
      <c r="C349" s="115" t="s">
        <v>625</v>
      </c>
      <c r="D349" s="115" t="s">
        <v>625</v>
      </c>
      <c r="E349" s="115" t="s">
        <v>625</v>
      </c>
      <c r="F349" s="115" t="s">
        <v>625</v>
      </c>
      <c r="G349" s="121" t="s">
        <v>625</v>
      </c>
      <c r="H349" s="115" t="e">
        <v>#N/A</v>
      </c>
      <c r="I349" s="118" t="s">
        <v>625</v>
      </c>
    </row>
    <row r="350" spans="1:9">
      <c r="A350" s="114">
        <v>39892</v>
      </c>
      <c r="B350" s="115">
        <v>103.04</v>
      </c>
      <c r="C350" s="115" t="s">
        <v>625</v>
      </c>
      <c r="D350" s="115" t="s">
        <v>625</v>
      </c>
      <c r="E350" s="115" t="s">
        <v>625</v>
      </c>
      <c r="F350" s="115" t="s">
        <v>625</v>
      </c>
      <c r="G350" s="121" t="s">
        <v>625</v>
      </c>
      <c r="H350" s="115" t="e">
        <v>#N/A</v>
      </c>
      <c r="I350" s="118" t="s">
        <v>625</v>
      </c>
    </row>
    <row r="351" spans="1:9">
      <c r="A351" s="114">
        <v>39895</v>
      </c>
      <c r="B351" s="115">
        <v>103.05</v>
      </c>
      <c r="C351" s="115" t="s">
        <v>625</v>
      </c>
      <c r="D351" s="115" t="s">
        <v>625</v>
      </c>
      <c r="E351" s="115" t="s">
        <v>625</v>
      </c>
      <c r="F351" s="115" t="s">
        <v>625</v>
      </c>
      <c r="G351" s="121" t="s">
        <v>625</v>
      </c>
      <c r="H351" s="115" t="e">
        <v>#N/A</v>
      </c>
      <c r="I351" s="118" t="s">
        <v>625</v>
      </c>
    </row>
    <row r="352" spans="1:9">
      <c r="A352" s="114">
        <v>39896</v>
      </c>
      <c r="B352" s="115">
        <v>103.05</v>
      </c>
      <c r="C352" s="115" t="s">
        <v>625</v>
      </c>
      <c r="D352" s="115" t="s">
        <v>625</v>
      </c>
      <c r="E352" s="115" t="s">
        <v>625</v>
      </c>
      <c r="F352" s="115" t="s">
        <v>625</v>
      </c>
      <c r="G352" s="121" t="s">
        <v>625</v>
      </c>
      <c r="H352" s="115" t="e">
        <v>#N/A</v>
      </c>
      <c r="I352" s="118" t="s">
        <v>625</v>
      </c>
    </row>
    <row r="353" spans="1:9">
      <c r="A353" s="114">
        <v>39897</v>
      </c>
      <c r="B353" s="115">
        <v>103.05</v>
      </c>
      <c r="C353" s="115" t="s">
        <v>625</v>
      </c>
      <c r="D353" s="115" t="s">
        <v>625</v>
      </c>
      <c r="E353" s="115" t="s">
        <v>625</v>
      </c>
      <c r="F353" s="115" t="s">
        <v>625</v>
      </c>
      <c r="G353" s="121" t="s">
        <v>625</v>
      </c>
      <c r="H353" s="115" t="e">
        <v>#N/A</v>
      </c>
      <c r="I353" s="118" t="s">
        <v>625</v>
      </c>
    </row>
    <row r="354" spans="1:9">
      <c r="A354" s="114">
        <v>39898</v>
      </c>
      <c r="B354" s="115">
        <v>103.05</v>
      </c>
      <c r="C354" s="115" t="s">
        <v>625</v>
      </c>
      <c r="D354" s="115" t="s">
        <v>625</v>
      </c>
      <c r="E354" s="115" t="s">
        <v>625</v>
      </c>
      <c r="F354" s="115" t="s">
        <v>625</v>
      </c>
      <c r="G354" s="121" t="s">
        <v>625</v>
      </c>
      <c r="H354" s="115" t="e">
        <v>#N/A</v>
      </c>
      <c r="I354" s="118" t="s">
        <v>625</v>
      </c>
    </row>
    <row r="355" spans="1:9">
      <c r="A355" s="114">
        <v>39899</v>
      </c>
      <c r="B355" s="115">
        <v>103.05</v>
      </c>
      <c r="C355" s="115" t="s">
        <v>625</v>
      </c>
      <c r="D355" s="115" t="s">
        <v>625</v>
      </c>
      <c r="E355" s="115" t="s">
        <v>625</v>
      </c>
      <c r="F355" s="115" t="s">
        <v>625</v>
      </c>
      <c r="G355" s="121" t="s">
        <v>625</v>
      </c>
      <c r="H355" s="115" t="e">
        <v>#N/A</v>
      </c>
      <c r="I355" s="118" t="s">
        <v>625</v>
      </c>
    </row>
    <row r="356" spans="1:9">
      <c r="A356" s="114">
        <v>39902</v>
      </c>
      <c r="B356" s="115">
        <v>103.05</v>
      </c>
      <c r="C356" s="115" t="s">
        <v>625</v>
      </c>
      <c r="D356" s="115" t="s">
        <v>625</v>
      </c>
      <c r="E356" s="115" t="s">
        <v>625</v>
      </c>
      <c r="F356" s="115" t="s">
        <v>625</v>
      </c>
      <c r="G356" s="121" t="s">
        <v>625</v>
      </c>
      <c r="H356" s="115" t="e">
        <v>#N/A</v>
      </c>
      <c r="I356" s="118" t="s">
        <v>625</v>
      </c>
    </row>
    <row r="357" spans="1:9">
      <c r="A357" s="114">
        <v>39903</v>
      </c>
      <c r="B357" s="115">
        <v>103.05</v>
      </c>
      <c r="C357" s="115" t="s">
        <v>625</v>
      </c>
      <c r="D357" s="115" t="s">
        <v>625</v>
      </c>
      <c r="E357" s="115" t="s">
        <v>625</v>
      </c>
      <c r="F357" s="115" t="s">
        <v>625</v>
      </c>
      <c r="G357" s="121" t="s">
        <v>625</v>
      </c>
      <c r="H357" s="115" t="e">
        <v>#N/A</v>
      </c>
      <c r="I357" s="118" t="s">
        <v>625</v>
      </c>
    </row>
    <row r="358" spans="1:9">
      <c r="A358" s="114">
        <v>39904</v>
      </c>
      <c r="B358" s="115">
        <v>103.05</v>
      </c>
      <c r="C358" s="115" t="s">
        <v>625</v>
      </c>
      <c r="D358" s="115" t="s">
        <v>625</v>
      </c>
      <c r="E358" s="115" t="s">
        <v>625</v>
      </c>
      <c r="F358" s="115" t="s">
        <v>625</v>
      </c>
      <c r="G358" s="121" t="s">
        <v>625</v>
      </c>
      <c r="H358" s="115" t="e">
        <v>#N/A</v>
      </c>
      <c r="I358" s="118" t="s">
        <v>625</v>
      </c>
    </row>
    <row r="359" spans="1:9">
      <c r="A359" s="114">
        <v>39905</v>
      </c>
      <c r="B359" s="115">
        <v>102.72</v>
      </c>
      <c r="C359" s="115" t="s">
        <v>625</v>
      </c>
      <c r="D359" s="115" t="s">
        <v>625</v>
      </c>
      <c r="E359" s="115" t="s">
        <v>625</v>
      </c>
      <c r="F359" s="115" t="s">
        <v>625</v>
      </c>
      <c r="G359" s="121" t="s">
        <v>625</v>
      </c>
      <c r="H359" s="115" t="e">
        <v>#N/A</v>
      </c>
      <c r="I359" s="118" t="s">
        <v>625</v>
      </c>
    </row>
    <row r="360" spans="1:9">
      <c r="A360" s="114">
        <v>39906</v>
      </c>
      <c r="B360" s="115">
        <v>102.72</v>
      </c>
      <c r="C360" s="115" t="s">
        <v>625</v>
      </c>
      <c r="D360" s="115" t="s">
        <v>625</v>
      </c>
      <c r="E360" s="115" t="s">
        <v>625</v>
      </c>
      <c r="F360" s="115" t="s">
        <v>625</v>
      </c>
      <c r="G360" s="121" t="s">
        <v>625</v>
      </c>
      <c r="H360" s="115" t="e">
        <v>#N/A</v>
      </c>
      <c r="I360" s="118" t="s">
        <v>625</v>
      </c>
    </row>
    <row r="361" spans="1:9">
      <c r="A361" s="114">
        <v>39910</v>
      </c>
      <c r="B361" s="115">
        <v>102.72</v>
      </c>
      <c r="C361" s="115" t="s">
        <v>625</v>
      </c>
      <c r="D361" s="115" t="s">
        <v>625</v>
      </c>
      <c r="E361" s="115" t="s">
        <v>625</v>
      </c>
      <c r="F361" s="115" t="s">
        <v>625</v>
      </c>
      <c r="G361" s="121" t="s">
        <v>625</v>
      </c>
      <c r="H361" s="115" t="e">
        <v>#N/A</v>
      </c>
      <c r="I361" s="118" t="s">
        <v>625</v>
      </c>
    </row>
    <row r="362" spans="1:9">
      <c r="A362" s="114">
        <v>39911</v>
      </c>
      <c r="B362" s="115">
        <v>102.72</v>
      </c>
      <c r="C362" s="115" t="s">
        <v>625</v>
      </c>
      <c r="D362" s="115" t="s">
        <v>625</v>
      </c>
      <c r="E362" s="115" t="s">
        <v>625</v>
      </c>
      <c r="F362" s="115" t="s">
        <v>625</v>
      </c>
      <c r="G362" s="121" t="s">
        <v>625</v>
      </c>
      <c r="H362" s="115" t="e">
        <v>#N/A</v>
      </c>
      <c r="I362" s="118" t="s">
        <v>625</v>
      </c>
    </row>
    <row r="363" spans="1:9">
      <c r="A363" s="114">
        <v>39912</v>
      </c>
      <c r="B363" s="115">
        <v>102.72</v>
      </c>
      <c r="C363" s="115" t="s">
        <v>625</v>
      </c>
      <c r="D363" s="115" t="s">
        <v>625</v>
      </c>
      <c r="E363" s="115" t="s">
        <v>625</v>
      </c>
      <c r="F363" s="115" t="s">
        <v>625</v>
      </c>
      <c r="G363" s="121" t="s">
        <v>625</v>
      </c>
      <c r="H363" s="115" t="e">
        <v>#N/A</v>
      </c>
      <c r="I363" s="118" t="s">
        <v>625</v>
      </c>
    </row>
    <row r="364" spans="1:9">
      <c r="A364" s="114">
        <v>39913</v>
      </c>
      <c r="B364" s="115">
        <v>102.72</v>
      </c>
      <c r="C364" s="115" t="s">
        <v>625</v>
      </c>
      <c r="D364" s="115" t="s">
        <v>625</v>
      </c>
      <c r="E364" s="115" t="s">
        <v>625</v>
      </c>
      <c r="F364" s="115" t="s">
        <v>625</v>
      </c>
      <c r="G364" s="121" t="s">
        <v>625</v>
      </c>
      <c r="H364" s="115" t="e">
        <v>#N/A</v>
      </c>
      <c r="I364" s="118" t="s">
        <v>625</v>
      </c>
    </row>
    <row r="365" spans="1:9">
      <c r="A365" s="114">
        <v>39916</v>
      </c>
      <c r="B365" s="115">
        <v>102.72</v>
      </c>
      <c r="C365" s="115" t="s">
        <v>625</v>
      </c>
      <c r="D365" s="115" t="s">
        <v>625</v>
      </c>
      <c r="E365" s="115" t="s">
        <v>625</v>
      </c>
      <c r="F365" s="115" t="s">
        <v>625</v>
      </c>
      <c r="G365" s="121" t="s">
        <v>625</v>
      </c>
      <c r="H365" s="115" t="e">
        <v>#N/A</v>
      </c>
      <c r="I365" s="118" t="s">
        <v>625</v>
      </c>
    </row>
    <row r="366" spans="1:9">
      <c r="A366" s="114">
        <v>39917</v>
      </c>
      <c r="B366" s="115">
        <v>102.72</v>
      </c>
      <c r="C366" s="115" t="s">
        <v>625</v>
      </c>
      <c r="D366" s="115" t="s">
        <v>625</v>
      </c>
      <c r="E366" s="115" t="s">
        <v>625</v>
      </c>
      <c r="F366" s="115" t="s">
        <v>625</v>
      </c>
      <c r="G366" s="121" t="s">
        <v>625</v>
      </c>
      <c r="H366" s="115" t="e">
        <v>#N/A</v>
      </c>
      <c r="I366" s="118" t="s">
        <v>625</v>
      </c>
    </row>
    <row r="367" spans="1:9">
      <c r="A367" s="114">
        <v>39918</v>
      </c>
      <c r="B367" s="115">
        <v>102.72</v>
      </c>
      <c r="C367" s="115" t="s">
        <v>625</v>
      </c>
      <c r="D367" s="115" t="s">
        <v>625</v>
      </c>
      <c r="E367" s="115" t="s">
        <v>625</v>
      </c>
      <c r="F367" s="115" t="s">
        <v>625</v>
      </c>
      <c r="G367" s="121" t="s">
        <v>625</v>
      </c>
      <c r="H367" s="115" t="e">
        <v>#N/A</v>
      </c>
      <c r="I367" s="118" t="s">
        <v>625</v>
      </c>
    </row>
    <row r="368" spans="1:9">
      <c r="A368" s="114">
        <v>39919</v>
      </c>
      <c r="B368" s="115">
        <v>102.72</v>
      </c>
      <c r="C368" s="115" t="s">
        <v>625</v>
      </c>
      <c r="D368" s="115" t="s">
        <v>625</v>
      </c>
      <c r="E368" s="115" t="s">
        <v>625</v>
      </c>
      <c r="F368" s="115" t="s">
        <v>625</v>
      </c>
      <c r="G368" s="121" t="s">
        <v>625</v>
      </c>
      <c r="H368" s="115" t="e">
        <v>#N/A</v>
      </c>
      <c r="I368" s="118" t="s">
        <v>625</v>
      </c>
    </row>
    <row r="369" spans="1:9">
      <c r="A369" s="114">
        <v>39920</v>
      </c>
      <c r="B369" s="115">
        <v>102.72</v>
      </c>
      <c r="C369" s="115" t="s">
        <v>625</v>
      </c>
      <c r="D369" s="115" t="s">
        <v>625</v>
      </c>
      <c r="E369" s="115" t="s">
        <v>625</v>
      </c>
      <c r="F369" s="115" t="s">
        <v>625</v>
      </c>
      <c r="G369" s="121" t="s">
        <v>625</v>
      </c>
      <c r="H369" s="115" t="e">
        <v>#N/A</v>
      </c>
      <c r="I369" s="118" t="s">
        <v>625</v>
      </c>
    </row>
    <row r="370" spans="1:9">
      <c r="A370" s="114">
        <v>39923</v>
      </c>
      <c r="B370" s="115">
        <v>102.72</v>
      </c>
      <c r="C370" s="115" t="s">
        <v>625</v>
      </c>
      <c r="D370" s="115" t="s">
        <v>625</v>
      </c>
      <c r="E370" s="115" t="s">
        <v>625</v>
      </c>
      <c r="F370" s="115" t="s">
        <v>625</v>
      </c>
      <c r="G370" s="121" t="s">
        <v>625</v>
      </c>
      <c r="H370" s="115" t="e">
        <v>#N/A</v>
      </c>
      <c r="I370" s="118" t="s">
        <v>625</v>
      </c>
    </row>
    <row r="371" spans="1:9">
      <c r="A371" s="114">
        <v>39924</v>
      </c>
      <c r="B371" s="115">
        <v>102.72</v>
      </c>
      <c r="C371" s="115" t="s">
        <v>625</v>
      </c>
      <c r="D371" s="115" t="s">
        <v>625</v>
      </c>
      <c r="E371" s="115" t="s">
        <v>625</v>
      </c>
      <c r="F371" s="115" t="s">
        <v>625</v>
      </c>
      <c r="G371" s="121" t="s">
        <v>625</v>
      </c>
      <c r="H371" s="115" t="e">
        <v>#N/A</v>
      </c>
      <c r="I371" s="118" t="s">
        <v>625</v>
      </c>
    </row>
    <row r="372" spans="1:9">
      <c r="A372" s="114">
        <v>39925</v>
      </c>
      <c r="B372" s="115">
        <v>102.44</v>
      </c>
      <c r="C372" s="115" t="s">
        <v>625</v>
      </c>
      <c r="D372" s="115" t="s">
        <v>625</v>
      </c>
      <c r="E372" s="115" t="s">
        <v>625</v>
      </c>
      <c r="F372" s="115" t="s">
        <v>625</v>
      </c>
      <c r="G372" s="121" t="s">
        <v>625</v>
      </c>
      <c r="H372" s="115" t="e">
        <v>#N/A</v>
      </c>
      <c r="I372" s="118" t="s">
        <v>625</v>
      </c>
    </row>
    <row r="373" spans="1:9">
      <c r="A373" s="114">
        <v>39926</v>
      </c>
      <c r="B373" s="115">
        <v>102.44</v>
      </c>
      <c r="C373" s="115" t="s">
        <v>625</v>
      </c>
      <c r="D373" s="115" t="s">
        <v>625</v>
      </c>
      <c r="E373" s="115" t="s">
        <v>625</v>
      </c>
      <c r="F373" s="115" t="s">
        <v>625</v>
      </c>
      <c r="G373" s="121" t="s">
        <v>625</v>
      </c>
      <c r="H373" s="115" t="e">
        <v>#N/A</v>
      </c>
      <c r="I373" s="118" t="s">
        <v>625</v>
      </c>
    </row>
    <row r="374" spans="1:9">
      <c r="A374" s="114">
        <v>39927</v>
      </c>
      <c r="B374" s="115">
        <v>102.44</v>
      </c>
      <c r="C374" s="115" t="s">
        <v>625</v>
      </c>
      <c r="D374" s="115" t="s">
        <v>625</v>
      </c>
      <c r="E374" s="115" t="s">
        <v>625</v>
      </c>
      <c r="F374" s="115" t="s">
        <v>625</v>
      </c>
      <c r="G374" s="121" t="s">
        <v>625</v>
      </c>
      <c r="H374" s="115" t="e">
        <v>#N/A</v>
      </c>
      <c r="I374" s="118" t="s">
        <v>625</v>
      </c>
    </row>
    <row r="375" spans="1:9">
      <c r="A375" s="114">
        <v>39930</v>
      </c>
      <c r="B375" s="115">
        <v>102.44</v>
      </c>
      <c r="C375" s="115" t="s">
        <v>625</v>
      </c>
      <c r="D375" s="115" t="s">
        <v>625</v>
      </c>
      <c r="E375" s="115" t="s">
        <v>625</v>
      </c>
      <c r="F375" s="115" t="s">
        <v>625</v>
      </c>
      <c r="G375" s="121" t="s">
        <v>625</v>
      </c>
      <c r="H375" s="115" t="e">
        <v>#N/A</v>
      </c>
      <c r="I375" s="118" t="s">
        <v>625</v>
      </c>
    </row>
    <row r="376" spans="1:9">
      <c r="A376" s="114">
        <v>39931</v>
      </c>
      <c r="B376" s="115">
        <v>102.44</v>
      </c>
      <c r="C376" s="115" t="s">
        <v>625</v>
      </c>
      <c r="D376" s="115" t="s">
        <v>625</v>
      </c>
      <c r="E376" s="115" t="s">
        <v>625</v>
      </c>
      <c r="F376" s="115" t="s">
        <v>625</v>
      </c>
      <c r="G376" s="121" t="s">
        <v>625</v>
      </c>
      <c r="H376" s="115" t="e">
        <v>#N/A</v>
      </c>
      <c r="I376" s="118" t="s">
        <v>625</v>
      </c>
    </row>
    <row r="377" spans="1:9">
      <c r="A377" s="114">
        <v>39932</v>
      </c>
      <c r="B377" s="115">
        <v>103.15</v>
      </c>
      <c r="C377" s="115" t="s">
        <v>625</v>
      </c>
      <c r="D377" s="115" t="s">
        <v>625</v>
      </c>
      <c r="E377" s="115" t="s">
        <v>625</v>
      </c>
      <c r="F377" s="115" t="s">
        <v>625</v>
      </c>
      <c r="G377" s="121" t="s">
        <v>625</v>
      </c>
      <c r="H377" s="115" t="e">
        <v>#N/A</v>
      </c>
      <c r="I377" s="118" t="s">
        <v>625</v>
      </c>
    </row>
    <row r="378" spans="1:9">
      <c r="A378" s="114">
        <v>39933</v>
      </c>
      <c r="B378" s="115">
        <v>103.15</v>
      </c>
      <c r="C378" s="115" t="s">
        <v>625</v>
      </c>
      <c r="D378" s="115" t="s">
        <v>625</v>
      </c>
      <c r="E378" s="115" t="s">
        <v>625</v>
      </c>
      <c r="F378" s="115" t="s">
        <v>625</v>
      </c>
      <c r="G378" s="121" t="s">
        <v>625</v>
      </c>
      <c r="H378" s="115" t="e">
        <v>#N/A</v>
      </c>
      <c r="I378" s="118" t="s">
        <v>625</v>
      </c>
    </row>
    <row r="379" spans="1:9">
      <c r="A379" s="114">
        <v>39937</v>
      </c>
      <c r="B379" s="115">
        <v>103.15</v>
      </c>
      <c r="C379" s="115" t="s">
        <v>625</v>
      </c>
      <c r="D379" s="115" t="s">
        <v>625</v>
      </c>
      <c r="E379" s="115" t="s">
        <v>625</v>
      </c>
      <c r="F379" s="115" t="s">
        <v>625</v>
      </c>
      <c r="G379" s="121" t="s">
        <v>625</v>
      </c>
      <c r="H379" s="115" t="e">
        <v>#N/A</v>
      </c>
      <c r="I379" s="118" t="s">
        <v>625</v>
      </c>
    </row>
    <row r="380" spans="1:9">
      <c r="A380" s="114">
        <v>39938</v>
      </c>
      <c r="B380" s="115">
        <v>103.15</v>
      </c>
      <c r="C380" s="115" t="s">
        <v>625</v>
      </c>
      <c r="D380" s="115" t="s">
        <v>625</v>
      </c>
      <c r="E380" s="115" t="s">
        <v>625</v>
      </c>
      <c r="F380" s="115" t="s">
        <v>625</v>
      </c>
      <c r="G380" s="121" t="s">
        <v>625</v>
      </c>
      <c r="H380" s="115" t="e">
        <v>#N/A</v>
      </c>
      <c r="I380" s="118" t="s">
        <v>625</v>
      </c>
    </row>
    <row r="381" spans="1:9">
      <c r="A381" s="114">
        <v>39939</v>
      </c>
      <c r="B381" s="115">
        <v>103.15</v>
      </c>
      <c r="C381" s="115" t="s">
        <v>625</v>
      </c>
      <c r="D381" s="115" t="s">
        <v>625</v>
      </c>
      <c r="E381" s="115" t="s">
        <v>625</v>
      </c>
      <c r="F381" s="115" t="s">
        <v>625</v>
      </c>
      <c r="G381" s="121" t="s">
        <v>625</v>
      </c>
      <c r="H381" s="115" t="e">
        <v>#N/A</v>
      </c>
      <c r="I381" s="118" t="s">
        <v>625</v>
      </c>
    </row>
    <row r="382" spans="1:9">
      <c r="A382" s="114">
        <v>39940</v>
      </c>
      <c r="B382" s="115">
        <v>103.15</v>
      </c>
      <c r="C382" s="115" t="s">
        <v>625</v>
      </c>
      <c r="D382" s="115" t="s">
        <v>625</v>
      </c>
      <c r="E382" s="115" t="s">
        <v>625</v>
      </c>
      <c r="F382" s="115" t="s">
        <v>625</v>
      </c>
      <c r="G382" s="121" t="s">
        <v>625</v>
      </c>
      <c r="H382" s="115" t="e">
        <v>#N/A</v>
      </c>
      <c r="I382" s="118" t="s">
        <v>625</v>
      </c>
    </row>
    <row r="383" spans="1:9">
      <c r="A383" s="114">
        <v>39941</v>
      </c>
      <c r="B383" s="115">
        <v>103.15</v>
      </c>
      <c r="C383" s="115" t="s">
        <v>625</v>
      </c>
      <c r="D383" s="115" t="s">
        <v>625</v>
      </c>
      <c r="E383" s="115" t="s">
        <v>625</v>
      </c>
      <c r="F383" s="115" t="s">
        <v>625</v>
      </c>
      <c r="G383" s="121" t="s">
        <v>625</v>
      </c>
      <c r="H383" s="115" t="e">
        <v>#N/A</v>
      </c>
      <c r="I383" s="118" t="s">
        <v>625</v>
      </c>
    </row>
    <row r="384" spans="1:9">
      <c r="A384" s="114">
        <v>39944</v>
      </c>
      <c r="B384" s="115">
        <v>103.06</v>
      </c>
      <c r="C384" s="115" t="s">
        <v>625</v>
      </c>
      <c r="D384" s="115" t="s">
        <v>625</v>
      </c>
      <c r="E384" s="115" t="s">
        <v>625</v>
      </c>
      <c r="F384" s="115" t="s">
        <v>625</v>
      </c>
      <c r="G384" s="121" t="s">
        <v>625</v>
      </c>
      <c r="H384" s="115" t="e">
        <v>#N/A</v>
      </c>
      <c r="I384" s="118" t="s">
        <v>625</v>
      </c>
    </row>
    <row r="385" spans="1:9">
      <c r="A385" s="114">
        <v>39945</v>
      </c>
      <c r="B385" s="115">
        <v>103.06</v>
      </c>
      <c r="C385" s="115" t="s">
        <v>625</v>
      </c>
      <c r="D385" s="115" t="s">
        <v>625</v>
      </c>
      <c r="E385" s="115" t="s">
        <v>625</v>
      </c>
      <c r="F385" s="115" t="s">
        <v>625</v>
      </c>
      <c r="G385" s="121" t="s">
        <v>625</v>
      </c>
      <c r="H385" s="115" t="e">
        <v>#N/A</v>
      </c>
      <c r="I385" s="118" t="s">
        <v>625</v>
      </c>
    </row>
    <row r="386" spans="1:9">
      <c r="A386" s="114">
        <v>39946</v>
      </c>
      <c r="B386" s="115">
        <v>103.06</v>
      </c>
      <c r="C386" s="115" t="s">
        <v>625</v>
      </c>
      <c r="D386" s="115" t="s">
        <v>625</v>
      </c>
      <c r="E386" s="115" t="s">
        <v>625</v>
      </c>
      <c r="F386" s="115" t="s">
        <v>625</v>
      </c>
      <c r="G386" s="121" t="s">
        <v>625</v>
      </c>
      <c r="H386" s="115" t="e">
        <v>#N/A</v>
      </c>
      <c r="I386" s="118" t="s">
        <v>625</v>
      </c>
    </row>
    <row r="387" spans="1:9">
      <c r="A387" s="114">
        <v>39947</v>
      </c>
      <c r="B387" s="115">
        <v>103.06</v>
      </c>
      <c r="C387" s="115" t="s">
        <v>625</v>
      </c>
      <c r="D387" s="115" t="s">
        <v>625</v>
      </c>
      <c r="E387" s="115" t="s">
        <v>625</v>
      </c>
      <c r="F387" s="115" t="s">
        <v>625</v>
      </c>
      <c r="G387" s="121" t="s">
        <v>625</v>
      </c>
      <c r="H387" s="115" t="e">
        <v>#N/A</v>
      </c>
      <c r="I387" s="118" t="s">
        <v>625</v>
      </c>
    </row>
    <row r="388" spans="1:9">
      <c r="A388" s="114">
        <v>39948</v>
      </c>
      <c r="B388" s="115">
        <v>103.06</v>
      </c>
      <c r="C388" s="115" t="s">
        <v>625</v>
      </c>
      <c r="D388" s="115" t="s">
        <v>625</v>
      </c>
      <c r="E388" s="115" t="s">
        <v>625</v>
      </c>
      <c r="F388" s="115" t="s">
        <v>625</v>
      </c>
      <c r="G388" s="121" t="s">
        <v>625</v>
      </c>
      <c r="H388" s="115" t="e">
        <v>#N/A</v>
      </c>
      <c r="I388" s="118" t="s">
        <v>625</v>
      </c>
    </row>
    <row r="389" spans="1:9">
      <c r="A389" s="114">
        <v>39951</v>
      </c>
      <c r="B389" s="115">
        <v>103.06</v>
      </c>
      <c r="C389" s="115" t="s">
        <v>625</v>
      </c>
      <c r="D389" s="115" t="s">
        <v>625</v>
      </c>
      <c r="E389" s="115" t="s">
        <v>625</v>
      </c>
      <c r="F389" s="115" t="s">
        <v>625</v>
      </c>
      <c r="G389" s="121" t="s">
        <v>625</v>
      </c>
      <c r="H389" s="115" t="e">
        <v>#N/A</v>
      </c>
      <c r="I389" s="118" t="s">
        <v>625</v>
      </c>
    </row>
    <row r="390" spans="1:9">
      <c r="A390" s="114">
        <v>39952</v>
      </c>
      <c r="B390" s="115">
        <v>103.06</v>
      </c>
      <c r="C390" s="115" t="s">
        <v>625</v>
      </c>
      <c r="D390" s="115" t="s">
        <v>625</v>
      </c>
      <c r="E390" s="115" t="s">
        <v>625</v>
      </c>
      <c r="F390" s="115" t="s">
        <v>625</v>
      </c>
      <c r="G390" s="121" t="s">
        <v>625</v>
      </c>
      <c r="H390" s="115" t="e">
        <v>#N/A</v>
      </c>
      <c r="I390" s="118" t="s">
        <v>625</v>
      </c>
    </row>
    <row r="391" spans="1:9">
      <c r="A391" s="114">
        <v>39953</v>
      </c>
      <c r="B391" s="115">
        <v>103.06</v>
      </c>
      <c r="C391" s="115" t="s">
        <v>625</v>
      </c>
      <c r="D391" s="115" t="s">
        <v>625</v>
      </c>
      <c r="E391" s="115" t="s">
        <v>625</v>
      </c>
      <c r="F391" s="115" t="s">
        <v>625</v>
      </c>
      <c r="G391" s="121" t="s">
        <v>625</v>
      </c>
      <c r="H391" s="115" t="e">
        <v>#N/A</v>
      </c>
      <c r="I391" s="118" t="s">
        <v>625</v>
      </c>
    </row>
    <row r="392" spans="1:9">
      <c r="A392" s="114">
        <v>39954</v>
      </c>
      <c r="B392" s="115">
        <v>102.9</v>
      </c>
      <c r="C392" s="115" t="s">
        <v>625</v>
      </c>
      <c r="D392" s="115" t="s">
        <v>625</v>
      </c>
      <c r="E392" s="115" t="s">
        <v>625</v>
      </c>
      <c r="F392" s="115" t="s">
        <v>625</v>
      </c>
      <c r="G392" s="121" t="s">
        <v>625</v>
      </c>
      <c r="H392" s="115" t="e">
        <v>#N/A</v>
      </c>
      <c r="I392" s="118" t="s">
        <v>625</v>
      </c>
    </row>
    <row r="393" spans="1:9">
      <c r="A393" s="114">
        <v>39955</v>
      </c>
      <c r="B393" s="115">
        <v>102.9</v>
      </c>
      <c r="C393" s="115" t="s">
        <v>625</v>
      </c>
      <c r="D393" s="115" t="s">
        <v>625</v>
      </c>
      <c r="E393" s="115" t="s">
        <v>625</v>
      </c>
      <c r="F393" s="115" t="s">
        <v>625</v>
      </c>
      <c r="G393" s="121" t="s">
        <v>625</v>
      </c>
      <c r="H393" s="115" t="e">
        <v>#N/A</v>
      </c>
      <c r="I393" s="118" t="s">
        <v>625</v>
      </c>
    </row>
    <row r="394" spans="1:9">
      <c r="A394" s="114">
        <v>39958</v>
      </c>
      <c r="B394" s="115">
        <v>102.9</v>
      </c>
      <c r="C394" s="115" t="s">
        <v>625</v>
      </c>
      <c r="D394" s="115" t="s">
        <v>625</v>
      </c>
      <c r="E394" s="115" t="s">
        <v>625</v>
      </c>
      <c r="F394" s="115" t="s">
        <v>625</v>
      </c>
      <c r="G394" s="121" t="s">
        <v>625</v>
      </c>
      <c r="H394" s="115" t="e">
        <v>#N/A</v>
      </c>
      <c r="I394" s="118" t="s">
        <v>625</v>
      </c>
    </row>
    <row r="395" spans="1:9">
      <c r="A395" s="114">
        <v>39959</v>
      </c>
      <c r="B395" s="115">
        <v>101.57</v>
      </c>
      <c r="C395" s="115" t="s">
        <v>625</v>
      </c>
      <c r="D395" s="115" t="s">
        <v>625</v>
      </c>
      <c r="E395" s="115" t="s">
        <v>625</v>
      </c>
      <c r="F395" s="115" t="s">
        <v>625</v>
      </c>
      <c r="G395" s="121" t="s">
        <v>625</v>
      </c>
      <c r="H395" s="115" t="e">
        <v>#N/A</v>
      </c>
      <c r="I395" s="118" t="s">
        <v>625</v>
      </c>
    </row>
    <row r="396" spans="1:9">
      <c r="A396" s="114">
        <v>39960</v>
      </c>
      <c r="B396" s="115">
        <v>101.57</v>
      </c>
      <c r="C396" s="115" t="s">
        <v>625</v>
      </c>
      <c r="D396" s="115" t="s">
        <v>625</v>
      </c>
      <c r="E396" s="115" t="s">
        <v>625</v>
      </c>
      <c r="F396" s="115" t="s">
        <v>625</v>
      </c>
      <c r="G396" s="121" t="s">
        <v>625</v>
      </c>
      <c r="H396" s="115" t="e">
        <v>#N/A</v>
      </c>
      <c r="I396" s="118" t="s">
        <v>625</v>
      </c>
    </row>
    <row r="397" spans="1:9">
      <c r="A397" s="114">
        <v>39964</v>
      </c>
      <c r="B397" s="115">
        <v>101.57</v>
      </c>
      <c r="C397" s="115" t="s">
        <v>625</v>
      </c>
      <c r="D397" s="115" t="s">
        <v>625</v>
      </c>
      <c r="E397" s="115" t="s">
        <v>625</v>
      </c>
      <c r="F397" s="115" t="s">
        <v>625</v>
      </c>
      <c r="G397" s="121" t="s">
        <v>625</v>
      </c>
      <c r="H397" s="115" t="e">
        <v>#N/A</v>
      </c>
      <c r="I397" s="118" t="s">
        <v>625</v>
      </c>
    </row>
    <row r="398" spans="1:9">
      <c r="A398" s="114">
        <v>39965</v>
      </c>
      <c r="B398" s="115">
        <v>101.57</v>
      </c>
      <c r="C398" s="115" t="s">
        <v>625</v>
      </c>
      <c r="D398" s="115" t="s">
        <v>625</v>
      </c>
      <c r="E398" s="115" t="s">
        <v>625</v>
      </c>
      <c r="F398" s="115" t="s">
        <v>625</v>
      </c>
      <c r="G398" s="121" t="s">
        <v>625</v>
      </c>
      <c r="H398" s="115" t="e">
        <v>#N/A</v>
      </c>
      <c r="I398" s="118" t="s">
        <v>625</v>
      </c>
    </row>
    <row r="399" spans="1:9">
      <c r="A399" s="114">
        <v>39966</v>
      </c>
      <c r="B399" s="115">
        <v>101.57</v>
      </c>
      <c r="C399" s="115" t="s">
        <v>625</v>
      </c>
      <c r="D399" s="115" t="s">
        <v>625</v>
      </c>
      <c r="E399" s="115" t="s">
        <v>625</v>
      </c>
      <c r="F399" s="115" t="s">
        <v>625</v>
      </c>
      <c r="G399" s="121" t="s">
        <v>625</v>
      </c>
      <c r="H399" s="115" t="e">
        <v>#N/A</v>
      </c>
      <c r="I399" s="118" t="s">
        <v>625</v>
      </c>
    </row>
    <row r="400" spans="1:9">
      <c r="A400" s="114">
        <v>39967</v>
      </c>
      <c r="B400" s="115">
        <v>101.57</v>
      </c>
      <c r="C400" s="115" t="s">
        <v>625</v>
      </c>
      <c r="D400" s="115" t="s">
        <v>625</v>
      </c>
      <c r="E400" s="115" t="s">
        <v>625</v>
      </c>
      <c r="F400" s="115" t="s">
        <v>625</v>
      </c>
      <c r="G400" s="121" t="s">
        <v>625</v>
      </c>
      <c r="H400" s="115" t="e">
        <v>#N/A</v>
      </c>
      <c r="I400" s="118" t="s">
        <v>625</v>
      </c>
    </row>
    <row r="401" spans="1:9">
      <c r="A401" s="114">
        <v>39968</v>
      </c>
      <c r="B401" s="115">
        <v>101.57</v>
      </c>
      <c r="C401" s="115" t="s">
        <v>625</v>
      </c>
      <c r="D401" s="115" t="s">
        <v>625</v>
      </c>
      <c r="E401" s="115" t="s">
        <v>625</v>
      </c>
      <c r="F401" s="115" t="s">
        <v>625</v>
      </c>
      <c r="G401" s="121" t="s">
        <v>625</v>
      </c>
      <c r="H401" s="115" t="e">
        <v>#N/A</v>
      </c>
      <c r="I401" s="118" t="s">
        <v>625</v>
      </c>
    </row>
    <row r="402" spans="1:9">
      <c r="A402" s="114">
        <v>39969</v>
      </c>
      <c r="B402" s="115">
        <v>101.57</v>
      </c>
      <c r="C402" s="115" t="s">
        <v>625</v>
      </c>
      <c r="D402" s="115" t="s">
        <v>625</v>
      </c>
      <c r="E402" s="115" t="s">
        <v>625</v>
      </c>
      <c r="F402" s="115" t="s">
        <v>625</v>
      </c>
      <c r="G402" s="121" t="s">
        <v>625</v>
      </c>
      <c r="H402" s="115" t="e">
        <v>#N/A</v>
      </c>
      <c r="I402" s="118" t="s">
        <v>625</v>
      </c>
    </row>
    <row r="403" spans="1:9">
      <c r="A403" s="114">
        <v>39972</v>
      </c>
      <c r="B403" s="115">
        <v>101.57</v>
      </c>
      <c r="C403" s="115" t="s">
        <v>625</v>
      </c>
      <c r="D403" s="115" t="s">
        <v>625</v>
      </c>
      <c r="E403" s="115" t="s">
        <v>625</v>
      </c>
      <c r="F403" s="115" t="s">
        <v>625</v>
      </c>
      <c r="G403" s="121" t="s">
        <v>625</v>
      </c>
      <c r="H403" s="115" t="e">
        <v>#N/A</v>
      </c>
      <c r="I403" s="118" t="s">
        <v>625</v>
      </c>
    </row>
    <row r="404" spans="1:9">
      <c r="A404" s="114">
        <v>39973</v>
      </c>
      <c r="B404" s="115">
        <v>101.57</v>
      </c>
      <c r="C404" s="115" t="s">
        <v>625</v>
      </c>
      <c r="D404" s="115" t="s">
        <v>625</v>
      </c>
      <c r="E404" s="115" t="s">
        <v>625</v>
      </c>
      <c r="F404" s="115" t="s">
        <v>625</v>
      </c>
      <c r="G404" s="121" t="s">
        <v>625</v>
      </c>
      <c r="H404" s="115" t="e">
        <v>#N/A</v>
      </c>
      <c r="I404" s="118" t="s">
        <v>625</v>
      </c>
    </row>
    <row r="405" spans="1:9">
      <c r="A405" s="114">
        <v>39974</v>
      </c>
      <c r="B405" s="115">
        <v>101.57</v>
      </c>
      <c r="C405" s="115" t="s">
        <v>625</v>
      </c>
      <c r="D405" s="115" t="s">
        <v>625</v>
      </c>
      <c r="E405" s="115" t="s">
        <v>625</v>
      </c>
      <c r="F405" s="115" t="s">
        <v>625</v>
      </c>
      <c r="G405" s="121" t="s">
        <v>625</v>
      </c>
      <c r="H405" s="115" t="e">
        <v>#N/A</v>
      </c>
      <c r="I405" s="118" t="s">
        <v>625</v>
      </c>
    </row>
    <row r="406" spans="1:9">
      <c r="A406" s="114">
        <v>39975</v>
      </c>
      <c r="B406" s="115">
        <v>101.57</v>
      </c>
      <c r="C406" s="115" t="s">
        <v>625</v>
      </c>
      <c r="D406" s="115" t="s">
        <v>625</v>
      </c>
      <c r="E406" s="115" t="s">
        <v>625</v>
      </c>
      <c r="F406" s="115" t="s">
        <v>625</v>
      </c>
      <c r="G406" s="121" t="s">
        <v>625</v>
      </c>
      <c r="H406" s="115" t="e">
        <v>#N/A</v>
      </c>
      <c r="I406" s="118" t="s">
        <v>625</v>
      </c>
    </row>
    <row r="407" spans="1:9">
      <c r="A407" s="114">
        <v>39976</v>
      </c>
      <c r="B407" s="115">
        <v>101.57</v>
      </c>
      <c r="C407" s="115" t="s">
        <v>625</v>
      </c>
      <c r="D407" s="115" t="s">
        <v>625</v>
      </c>
      <c r="E407" s="115" t="s">
        <v>625</v>
      </c>
      <c r="F407" s="115" t="s">
        <v>625</v>
      </c>
      <c r="G407" s="121" t="s">
        <v>625</v>
      </c>
      <c r="H407" s="115" t="e">
        <v>#N/A</v>
      </c>
      <c r="I407" s="118" t="s">
        <v>625</v>
      </c>
    </row>
    <row r="408" spans="1:9">
      <c r="A408" s="114">
        <v>39979</v>
      </c>
      <c r="B408" s="115">
        <v>101.57</v>
      </c>
      <c r="C408" s="115" t="s">
        <v>625</v>
      </c>
      <c r="D408" s="115" t="s">
        <v>625</v>
      </c>
      <c r="E408" s="115" t="s">
        <v>625</v>
      </c>
      <c r="F408" s="115" t="s">
        <v>625</v>
      </c>
      <c r="G408" s="121" t="s">
        <v>625</v>
      </c>
      <c r="H408" s="115" t="e">
        <v>#N/A</v>
      </c>
      <c r="I408" s="118" t="s">
        <v>625</v>
      </c>
    </row>
    <row r="409" spans="1:9">
      <c r="A409" s="114">
        <v>39980</v>
      </c>
      <c r="B409" s="115">
        <v>101.57</v>
      </c>
      <c r="C409" s="115" t="s">
        <v>625</v>
      </c>
      <c r="D409" s="115" t="s">
        <v>625</v>
      </c>
      <c r="E409" s="115" t="s">
        <v>625</v>
      </c>
      <c r="F409" s="115" t="s">
        <v>625</v>
      </c>
      <c r="G409" s="121" t="s">
        <v>625</v>
      </c>
      <c r="H409" s="115" t="e">
        <v>#N/A</v>
      </c>
      <c r="I409" s="118" t="s">
        <v>625</v>
      </c>
    </row>
    <row r="410" spans="1:9">
      <c r="A410" s="114">
        <v>39981</v>
      </c>
      <c r="B410" s="115">
        <v>101.57</v>
      </c>
      <c r="C410" s="115" t="s">
        <v>625</v>
      </c>
      <c r="D410" s="115" t="s">
        <v>625</v>
      </c>
      <c r="E410" s="115" t="s">
        <v>625</v>
      </c>
      <c r="F410" s="115" t="s">
        <v>625</v>
      </c>
      <c r="G410" s="121" t="s">
        <v>625</v>
      </c>
      <c r="H410" s="115" t="e">
        <v>#N/A</v>
      </c>
      <c r="I410" s="118" t="s">
        <v>625</v>
      </c>
    </row>
    <row r="411" spans="1:9">
      <c r="A411" s="114">
        <v>39982</v>
      </c>
      <c r="B411" s="115">
        <v>101.57</v>
      </c>
      <c r="C411" s="115" t="s">
        <v>625</v>
      </c>
      <c r="D411" s="115" t="s">
        <v>625</v>
      </c>
      <c r="E411" s="115" t="s">
        <v>625</v>
      </c>
      <c r="F411" s="115" t="s">
        <v>625</v>
      </c>
      <c r="G411" s="121" t="s">
        <v>625</v>
      </c>
      <c r="H411" s="115" t="e">
        <v>#N/A</v>
      </c>
      <c r="I411" s="118" t="s">
        <v>625</v>
      </c>
    </row>
    <row r="412" spans="1:9">
      <c r="A412" s="114">
        <v>39983</v>
      </c>
      <c r="B412" s="115">
        <v>101.57</v>
      </c>
      <c r="C412" s="115" t="s">
        <v>625</v>
      </c>
      <c r="D412" s="115" t="s">
        <v>625</v>
      </c>
      <c r="E412" s="115" t="s">
        <v>625</v>
      </c>
      <c r="F412" s="115" t="s">
        <v>625</v>
      </c>
      <c r="G412" s="121" t="s">
        <v>625</v>
      </c>
      <c r="H412" s="115" t="e">
        <v>#N/A</v>
      </c>
      <c r="I412" s="118" t="s">
        <v>625</v>
      </c>
    </row>
    <row r="413" spans="1:9">
      <c r="A413" s="114">
        <v>39986</v>
      </c>
      <c r="B413" s="115">
        <v>101.57</v>
      </c>
      <c r="C413" s="115" t="s">
        <v>625</v>
      </c>
      <c r="D413" s="115" t="s">
        <v>625</v>
      </c>
      <c r="E413" s="115" t="s">
        <v>625</v>
      </c>
      <c r="F413" s="115" t="s">
        <v>625</v>
      </c>
      <c r="G413" s="121" t="s">
        <v>625</v>
      </c>
      <c r="H413" s="115" t="e">
        <v>#N/A</v>
      </c>
      <c r="I413" s="118" t="s">
        <v>625</v>
      </c>
    </row>
    <row r="414" spans="1:9">
      <c r="A414" s="114">
        <v>39987</v>
      </c>
      <c r="B414" s="115">
        <v>101.57</v>
      </c>
      <c r="C414" s="115" t="s">
        <v>625</v>
      </c>
      <c r="D414" s="115" t="s">
        <v>625</v>
      </c>
      <c r="E414" s="115" t="s">
        <v>625</v>
      </c>
      <c r="F414" s="115" t="s">
        <v>625</v>
      </c>
      <c r="G414" s="121" t="s">
        <v>625</v>
      </c>
      <c r="H414" s="115" t="e">
        <v>#N/A</v>
      </c>
      <c r="I414" s="118" t="s">
        <v>625</v>
      </c>
    </row>
    <row r="415" spans="1:9">
      <c r="A415" s="114">
        <v>39988</v>
      </c>
      <c r="B415" s="115">
        <v>101.57</v>
      </c>
      <c r="C415" s="115" t="s">
        <v>625</v>
      </c>
      <c r="D415" s="115" t="s">
        <v>625</v>
      </c>
      <c r="E415" s="115" t="s">
        <v>625</v>
      </c>
      <c r="F415" s="115" t="s">
        <v>625</v>
      </c>
      <c r="G415" s="121" t="s">
        <v>625</v>
      </c>
      <c r="H415" s="115" t="e">
        <v>#N/A</v>
      </c>
      <c r="I415" s="118" t="s">
        <v>625</v>
      </c>
    </row>
    <row r="416" spans="1:9">
      <c r="A416" s="114">
        <v>39989</v>
      </c>
      <c r="B416" s="115">
        <v>101.57</v>
      </c>
      <c r="C416" s="115" t="s">
        <v>625</v>
      </c>
      <c r="D416" s="115" t="s">
        <v>625</v>
      </c>
      <c r="E416" s="115" t="s">
        <v>625</v>
      </c>
      <c r="F416" s="115" t="s">
        <v>625</v>
      </c>
      <c r="G416" s="121" t="s">
        <v>625</v>
      </c>
      <c r="H416" s="115" t="e">
        <v>#N/A</v>
      </c>
      <c r="I416" s="118" t="s">
        <v>625</v>
      </c>
    </row>
    <row r="417" spans="1:9">
      <c r="A417" s="114">
        <v>39990</v>
      </c>
      <c r="B417" s="115">
        <v>101.57</v>
      </c>
      <c r="C417" s="115" t="s">
        <v>625</v>
      </c>
      <c r="D417" s="115" t="s">
        <v>625</v>
      </c>
      <c r="E417" s="115" t="s">
        <v>625</v>
      </c>
      <c r="F417" s="115" t="s">
        <v>625</v>
      </c>
      <c r="G417" s="121" t="s">
        <v>625</v>
      </c>
      <c r="H417" s="115" t="e">
        <v>#N/A</v>
      </c>
      <c r="I417" s="118" t="s">
        <v>625</v>
      </c>
    </row>
    <row r="418" spans="1:9">
      <c r="A418" s="114">
        <v>39993</v>
      </c>
      <c r="B418" s="115">
        <v>101.57</v>
      </c>
      <c r="C418" s="115" t="s">
        <v>625</v>
      </c>
      <c r="D418" s="115" t="s">
        <v>625</v>
      </c>
      <c r="E418" s="115" t="s">
        <v>625</v>
      </c>
      <c r="F418" s="115" t="s">
        <v>625</v>
      </c>
      <c r="G418" s="121" t="s">
        <v>625</v>
      </c>
      <c r="H418" s="115" t="e">
        <v>#N/A</v>
      </c>
      <c r="I418" s="118" t="s">
        <v>625</v>
      </c>
    </row>
    <row r="419" spans="1:9">
      <c r="A419" s="114">
        <v>39994</v>
      </c>
      <c r="B419" s="115">
        <v>101.57</v>
      </c>
      <c r="C419" s="115" t="s">
        <v>625</v>
      </c>
      <c r="D419" s="115" t="s">
        <v>625</v>
      </c>
      <c r="E419" s="115" t="s">
        <v>625</v>
      </c>
      <c r="F419" s="115" t="s">
        <v>625</v>
      </c>
      <c r="G419" s="121" t="s">
        <v>625</v>
      </c>
      <c r="H419" s="115" t="e">
        <v>#N/A</v>
      </c>
      <c r="I419" s="118" t="s">
        <v>625</v>
      </c>
    </row>
    <row r="420" spans="1:9">
      <c r="A420" s="114">
        <v>39995</v>
      </c>
      <c r="B420" s="115">
        <v>101.57</v>
      </c>
      <c r="C420" s="115" t="s">
        <v>625</v>
      </c>
      <c r="D420" s="115" t="s">
        <v>625</v>
      </c>
      <c r="E420" s="115" t="s">
        <v>625</v>
      </c>
      <c r="F420" s="115" t="s">
        <v>625</v>
      </c>
      <c r="G420" s="121" t="s">
        <v>625</v>
      </c>
      <c r="H420" s="115" t="e">
        <v>#N/A</v>
      </c>
      <c r="I420" s="118" t="s">
        <v>625</v>
      </c>
    </row>
    <row r="421" spans="1:9">
      <c r="A421" s="114">
        <v>39996</v>
      </c>
      <c r="B421" s="115">
        <v>101.57</v>
      </c>
      <c r="C421" s="115" t="s">
        <v>625</v>
      </c>
      <c r="D421" s="115" t="s">
        <v>625</v>
      </c>
      <c r="E421" s="115" t="s">
        <v>625</v>
      </c>
      <c r="F421" s="115" t="s">
        <v>625</v>
      </c>
      <c r="G421" s="121" t="s">
        <v>625</v>
      </c>
      <c r="H421" s="115" t="e">
        <v>#N/A</v>
      </c>
      <c r="I421" s="118" t="s">
        <v>625</v>
      </c>
    </row>
    <row r="422" spans="1:9">
      <c r="A422" s="114">
        <v>39997</v>
      </c>
      <c r="B422" s="115">
        <v>101.57</v>
      </c>
      <c r="C422" s="115" t="s">
        <v>625</v>
      </c>
      <c r="D422" s="115" t="s">
        <v>625</v>
      </c>
      <c r="E422" s="115" t="s">
        <v>625</v>
      </c>
      <c r="F422" s="115" t="s">
        <v>625</v>
      </c>
      <c r="G422" s="121" t="s">
        <v>625</v>
      </c>
      <c r="H422" s="115" t="e">
        <v>#N/A</v>
      </c>
      <c r="I422" s="118" t="s">
        <v>625</v>
      </c>
    </row>
    <row r="423" spans="1:9">
      <c r="A423" s="114">
        <v>40000</v>
      </c>
      <c r="B423" s="115">
        <v>101.57</v>
      </c>
      <c r="C423" s="115" t="s">
        <v>625</v>
      </c>
      <c r="D423" s="115" t="s">
        <v>625</v>
      </c>
      <c r="E423" s="115" t="s">
        <v>625</v>
      </c>
      <c r="F423" s="115" t="s">
        <v>625</v>
      </c>
      <c r="G423" s="121" t="s">
        <v>625</v>
      </c>
      <c r="H423" s="115" t="e">
        <v>#N/A</v>
      </c>
      <c r="I423" s="118" t="s">
        <v>625</v>
      </c>
    </row>
    <row r="424" spans="1:9">
      <c r="A424" s="114">
        <v>40001</v>
      </c>
      <c r="B424" s="115">
        <v>101.57</v>
      </c>
      <c r="C424" s="115" t="s">
        <v>625</v>
      </c>
      <c r="D424" s="115" t="s">
        <v>625</v>
      </c>
      <c r="E424" s="115" t="s">
        <v>625</v>
      </c>
      <c r="F424" s="115" t="s">
        <v>625</v>
      </c>
      <c r="G424" s="121" t="s">
        <v>625</v>
      </c>
      <c r="H424" s="115" t="e">
        <v>#N/A</v>
      </c>
      <c r="I424" s="118" t="s">
        <v>625</v>
      </c>
    </row>
    <row r="425" spans="1:9">
      <c r="A425" s="114">
        <v>40002</v>
      </c>
      <c r="B425" s="115">
        <v>101.57</v>
      </c>
      <c r="C425" s="115" t="s">
        <v>625</v>
      </c>
      <c r="D425" s="115" t="s">
        <v>625</v>
      </c>
      <c r="E425" s="115" t="s">
        <v>625</v>
      </c>
      <c r="F425" s="115" t="s">
        <v>625</v>
      </c>
      <c r="G425" s="121" t="s">
        <v>625</v>
      </c>
      <c r="H425" s="115" t="e">
        <v>#N/A</v>
      </c>
      <c r="I425" s="118" t="s">
        <v>625</v>
      </c>
    </row>
    <row r="426" spans="1:9">
      <c r="A426" s="114">
        <v>40003</v>
      </c>
      <c r="B426" s="115">
        <v>101.57</v>
      </c>
      <c r="C426" s="115" t="s">
        <v>625</v>
      </c>
      <c r="D426" s="115" t="s">
        <v>625</v>
      </c>
      <c r="E426" s="115" t="s">
        <v>625</v>
      </c>
      <c r="F426" s="115" t="s">
        <v>625</v>
      </c>
      <c r="G426" s="121" t="s">
        <v>625</v>
      </c>
      <c r="H426" s="115" t="e">
        <v>#N/A</v>
      </c>
      <c r="I426" s="118" t="s">
        <v>625</v>
      </c>
    </row>
    <row r="427" spans="1:9">
      <c r="A427" s="114">
        <v>40004</v>
      </c>
      <c r="B427" s="115">
        <v>101.57</v>
      </c>
      <c r="C427" s="115" t="s">
        <v>625</v>
      </c>
      <c r="D427" s="115" t="s">
        <v>625</v>
      </c>
      <c r="E427" s="115" t="s">
        <v>625</v>
      </c>
      <c r="F427" s="115" t="s">
        <v>625</v>
      </c>
      <c r="G427" s="121" t="s">
        <v>625</v>
      </c>
      <c r="H427" s="115" t="e">
        <v>#N/A</v>
      </c>
      <c r="I427" s="118" t="s">
        <v>625</v>
      </c>
    </row>
    <row r="428" spans="1:9">
      <c r="A428" s="114">
        <v>40007</v>
      </c>
      <c r="B428" s="115">
        <v>101.57</v>
      </c>
      <c r="C428" s="115" t="s">
        <v>625</v>
      </c>
      <c r="D428" s="115" t="s">
        <v>625</v>
      </c>
      <c r="E428" s="115" t="s">
        <v>625</v>
      </c>
      <c r="F428" s="115" t="s">
        <v>625</v>
      </c>
      <c r="G428" s="121" t="s">
        <v>625</v>
      </c>
      <c r="H428" s="115" t="e">
        <v>#N/A</v>
      </c>
      <c r="I428" s="118" t="s">
        <v>625</v>
      </c>
    </row>
    <row r="429" spans="1:9">
      <c r="A429" s="114">
        <v>40008</v>
      </c>
      <c r="B429" s="115">
        <v>101.57</v>
      </c>
      <c r="C429" s="115" t="s">
        <v>625</v>
      </c>
      <c r="D429" s="115" t="s">
        <v>625</v>
      </c>
      <c r="E429" s="115" t="s">
        <v>625</v>
      </c>
      <c r="F429" s="115" t="s">
        <v>625</v>
      </c>
      <c r="G429" s="121" t="s">
        <v>625</v>
      </c>
      <c r="H429" s="115" t="e">
        <v>#N/A</v>
      </c>
      <c r="I429" s="118" t="s">
        <v>625</v>
      </c>
    </row>
    <row r="430" spans="1:9">
      <c r="A430" s="114">
        <v>40009</v>
      </c>
      <c r="B430" s="115">
        <v>101.57</v>
      </c>
      <c r="C430" s="115" t="s">
        <v>625</v>
      </c>
      <c r="D430" s="115" t="s">
        <v>625</v>
      </c>
      <c r="E430" s="115" t="s">
        <v>625</v>
      </c>
      <c r="F430" s="115" t="s">
        <v>625</v>
      </c>
      <c r="G430" s="121" t="s">
        <v>625</v>
      </c>
      <c r="H430" s="115" t="e">
        <v>#N/A</v>
      </c>
      <c r="I430" s="118" t="s">
        <v>625</v>
      </c>
    </row>
    <row r="431" spans="1:9">
      <c r="A431" s="114">
        <v>40010</v>
      </c>
      <c r="B431" s="115">
        <v>101.57</v>
      </c>
      <c r="C431" s="115" t="s">
        <v>625</v>
      </c>
      <c r="D431" s="115" t="s">
        <v>625</v>
      </c>
      <c r="E431" s="115" t="s">
        <v>625</v>
      </c>
      <c r="F431" s="115" t="s">
        <v>625</v>
      </c>
      <c r="G431" s="121" t="s">
        <v>625</v>
      </c>
      <c r="H431" s="115" t="e">
        <v>#N/A</v>
      </c>
      <c r="I431" s="118" t="s">
        <v>625</v>
      </c>
    </row>
    <row r="432" spans="1:9">
      <c r="A432" s="114">
        <v>40011</v>
      </c>
      <c r="B432" s="115">
        <v>101.57</v>
      </c>
      <c r="C432" s="115" t="s">
        <v>625</v>
      </c>
      <c r="D432" s="115" t="s">
        <v>625</v>
      </c>
      <c r="E432" s="115" t="s">
        <v>625</v>
      </c>
      <c r="F432" s="115" t="s">
        <v>625</v>
      </c>
      <c r="G432" s="121" t="s">
        <v>625</v>
      </c>
      <c r="H432" s="115" t="e">
        <v>#N/A</v>
      </c>
      <c r="I432" s="118" t="s">
        <v>625</v>
      </c>
    </row>
    <row r="433" spans="1:9">
      <c r="A433" s="114">
        <v>40014</v>
      </c>
      <c r="B433" s="115">
        <v>101.57</v>
      </c>
      <c r="C433" s="115" t="s">
        <v>625</v>
      </c>
      <c r="D433" s="115" t="s">
        <v>625</v>
      </c>
      <c r="E433" s="115" t="s">
        <v>625</v>
      </c>
      <c r="F433" s="115" t="s">
        <v>625</v>
      </c>
      <c r="G433" s="121" t="s">
        <v>625</v>
      </c>
      <c r="H433" s="115" t="e">
        <v>#N/A</v>
      </c>
      <c r="I433" s="118" t="s">
        <v>625</v>
      </c>
    </row>
    <row r="434" spans="1:9">
      <c r="A434" s="114">
        <v>40015</v>
      </c>
      <c r="B434" s="115">
        <v>101.57</v>
      </c>
      <c r="C434" s="115" t="s">
        <v>625</v>
      </c>
      <c r="D434" s="115" t="s">
        <v>625</v>
      </c>
      <c r="E434" s="115" t="s">
        <v>625</v>
      </c>
      <c r="F434" s="115" t="s">
        <v>625</v>
      </c>
      <c r="G434" s="121" t="s">
        <v>625</v>
      </c>
      <c r="H434" s="115" t="e">
        <v>#N/A</v>
      </c>
      <c r="I434" s="118" t="s">
        <v>625</v>
      </c>
    </row>
    <row r="435" spans="1:9">
      <c r="A435" s="114">
        <v>40016</v>
      </c>
      <c r="B435" s="115">
        <v>101.57</v>
      </c>
      <c r="C435" s="115" t="s">
        <v>625</v>
      </c>
      <c r="D435" s="115" t="s">
        <v>625</v>
      </c>
      <c r="E435" s="115" t="s">
        <v>625</v>
      </c>
      <c r="F435" s="115" t="s">
        <v>625</v>
      </c>
      <c r="G435" s="121" t="s">
        <v>625</v>
      </c>
      <c r="H435" s="115" t="e">
        <v>#N/A</v>
      </c>
      <c r="I435" s="118" t="s">
        <v>625</v>
      </c>
    </row>
    <row r="436" spans="1:9">
      <c r="A436" s="114">
        <v>40017</v>
      </c>
      <c r="B436" s="115">
        <v>101.57</v>
      </c>
      <c r="C436" s="115" t="s">
        <v>625</v>
      </c>
      <c r="D436" s="115" t="s">
        <v>625</v>
      </c>
      <c r="E436" s="115" t="s">
        <v>625</v>
      </c>
      <c r="F436" s="115" t="s">
        <v>625</v>
      </c>
      <c r="G436" s="121" t="s">
        <v>625</v>
      </c>
      <c r="H436" s="115" t="e">
        <v>#N/A</v>
      </c>
      <c r="I436" s="118" t="s">
        <v>625</v>
      </c>
    </row>
    <row r="437" spans="1:9">
      <c r="A437" s="114">
        <v>40018</v>
      </c>
      <c r="B437" s="115">
        <v>101.57</v>
      </c>
      <c r="C437" s="115" t="s">
        <v>625</v>
      </c>
      <c r="D437" s="115" t="s">
        <v>625</v>
      </c>
      <c r="E437" s="115" t="s">
        <v>625</v>
      </c>
      <c r="F437" s="115" t="s">
        <v>625</v>
      </c>
      <c r="G437" s="121" t="s">
        <v>625</v>
      </c>
      <c r="H437" s="115" t="e">
        <v>#N/A</v>
      </c>
      <c r="I437" s="118" t="s">
        <v>625</v>
      </c>
    </row>
    <row r="438" spans="1:9">
      <c r="A438" s="114">
        <v>40021</v>
      </c>
      <c r="B438" s="115">
        <v>101.57</v>
      </c>
      <c r="C438" s="115" t="s">
        <v>625</v>
      </c>
      <c r="D438" s="115" t="s">
        <v>625</v>
      </c>
      <c r="E438" s="115" t="s">
        <v>625</v>
      </c>
      <c r="F438" s="115" t="s">
        <v>625</v>
      </c>
      <c r="G438" s="121" t="s">
        <v>625</v>
      </c>
      <c r="H438" s="115" t="e">
        <v>#N/A</v>
      </c>
      <c r="I438" s="118" t="s">
        <v>625</v>
      </c>
    </row>
    <row r="439" spans="1:9">
      <c r="A439" s="114">
        <v>40022</v>
      </c>
      <c r="B439" s="115">
        <v>101.57</v>
      </c>
      <c r="C439" s="115" t="s">
        <v>625</v>
      </c>
      <c r="D439" s="115" t="s">
        <v>625</v>
      </c>
      <c r="E439" s="115" t="s">
        <v>625</v>
      </c>
      <c r="F439" s="115" t="s">
        <v>625</v>
      </c>
      <c r="G439" s="121" t="s">
        <v>625</v>
      </c>
      <c r="H439" s="115" t="e">
        <v>#N/A</v>
      </c>
      <c r="I439" s="118" t="s">
        <v>625</v>
      </c>
    </row>
    <row r="440" spans="1:9">
      <c r="A440" s="114">
        <v>40023</v>
      </c>
      <c r="B440" s="115">
        <v>101.57</v>
      </c>
      <c r="C440" s="115" t="s">
        <v>625</v>
      </c>
      <c r="D440" s="115" t="s">
        <v>625</v>
      </c>
      <c r="E440" s="115" t="s">
        <v>625</v>
      </c>
      <c r="F440" s="115" t="s">
        <v>625</v>
      </c>
      <c r="G440" s="121" t="s">
        <v>625</v>
      </c>
      <c r="H440" s="115" t="e">
        <v>#N/A</v>
      </c>
      <c r="I440" s="118" t="s">
        <v>625</v>
      </c>
    </row>
    <row r="441" spans="1:9">
      <c r="A441" s="114">
        <v>40024</v>
      </c>
      <c r="B441" s="115">
        <v>101.57</v>
      </c>
      <c r="C441" s="115" t="s">
        <v>625</v>
      </c>
      <c r="D441" s="115" t="s">
        <v>625</v>
      </c>
      <c r="E441" s="115" t="s">
        <v>625</v>
      </c>
      <c r="F441" s="115" t="s">
        <v>625</v>
      </c>
      <c r="G441" s="121" t="s">
        <v>625</v>
      </c>
      <c r="H441" s="115" t="e">
        <v>#N/A</v>
      </c>
      <c r="I441" s="118" t="s">
        <v>625</v>
      </c>
    </row>
    <row r="442" spans="1:9">
      <c r="A442" s="114">
        <v>40025</v>
      </c>
      <c r="B442" s="115">
        <v>101.57</v>
      </c>
      <c r="C442" s="115" t="s">
        <v>625</v>
      </c>
      <c r="D442" s="115" t="s">
        <v>625</v>
      </c>
      <c r="E442" s="115" t="s">
        <v>625</v>
      </c>
      <c r="F442" s="115" t="s">
        <v>625</v>
      </c>
      <c r="G442" s="121" t="s">
        <v>625</v>
      </c>
      <c r="H442" s="115" t="e">
        <v>#N/A</v>
      </c>
      <c r="I442" s="118" t="s">
        <v>625</v>
      </c>
    </row>
    <row r="443" spans="1:9">
      <c r="A443" s="114">
        <v>40028</v>
      </c>
      <c r="B443" s="115">
        <v>101.57</v>
      </c>
      <c r="C443" s="115" t="s">
        <v>625</v>
      </c>
      <c r="D443" s="115" t="s">
        <v>625</v>
      </c>
      <c r="E443" s="115" t="s">
        <v>625</v>
      </c>
      <c r="F443" s="115" t="s">
        <v>625</v>
      </c>
      <c r="G443" s="121" t="s">
        <v>625</v>
      </c>
      <c r="H443" s="115" t="e">
        <v>#N/A</v>
      </c>
      <c r="I443" s="118" t="s">
        <v>625</v>
      </c>
    </row>
    <row r="444" spans="1:9">
      <c r="A444" s="114">
        <v>40029</v>
      </c>
      <c r="B444" s="115">
        <v>101.57</v>
      </c>
      <c r="C444" s="115" t="s">
        <v>625</v>
      </c>
      <c r="D444" s="115" t="s">
        <v>625</v>
      </c>
      <c r="E444" s="115" t="s">
        <v>625</v>
      </c>
      <c r="F444" s="115" t="s">
        <v>625</v>
      </c>
      <c r="G444" s="121" t="s">
        <v>625</v>
      </c>
      <c r="H444" s="115" t="e">
        <v>#N/A</v>
      </c>
      <c r="I444" s="118" t="s">
        <v>625</v>
      </c>
    </row>
    <row r="445" spans="1:9">
      <c r="A445" s="114">
        <v>40030</v>
      </c>
      <c r="B445" s="115">
        <v>101.57</v>
      </c>
      <c r="C445" s="115" t="s">
        <v>625</v>
      </c>
      <c r="D445" s="115" t="s">
        <v>625</v>
      </c>
      <c r="E445" s="115" t="s">
        <v>625</v>
      </c>
      <c r="F445" s="115" t="s">
        <v>625</v>
      </c>
      <c r="G445" s="121" t="s">
        <v>625</v>
      </c>
      <c r="H445" s="115" t="e">
        <v>#N/A</v>
      </c>
      <c r="I445" s="118" t="s">
        <v>625</v>
      </c>
    </row>
    <row r="446" spans="1:9">
      <c r="A446" s="114">
        <v>40031</v>
      </c>
      <c r="B446" s="115">
        <v>101.57</v>
      </c>
      <c r="C446" s="115" t="s">
        <v>625</v>
      </c>
      <c r="D446" s="115" t="s">
        <v>625</v>
      </c>
      <c r="E446" s="115" t="s">
        <v>625</v>
      </c>
      <c r="F446" s="115" t="s">
        <v>625</v>
      </c>
      <c r="G446" s="121" t="s">
        <v>625</v>
      </c>
      <c r="H446" s="115" t="e">
        <v>#N/A</v>
      </c>
      <c r="I446" s="118" t="s">
        <v>625</v>
      </c>
    </row>
    <row r="447" spans="1:9">
      <c r="A447" s="114">
        <v>40032</v>
      </c>
      <c r="B447" s="115">
        <v>101.57</v>
      </c>
      <c r="C447" s="115" t="s">
        <v>625</v>
      </c>
      <c r="D447" s="115" t="s">
        <v>625</v>
      </c>
      <c r="E447" s="115" t="s">
        <v>625</v>
      </c>
      <c r="F447" s="115" t="s">
        <v>625</v>
      </c>
      <c r="G447" s="121" t="s">
        <v>625</v>
      </c>
      <c r="H447" s="115" t="e">
        <v>#N/A</v>
      </c>
      <c r="I447" s="118" t="s">
        <v>625</v>
      </c>
    </row>
    <row r="448" spans="1:9">
      <c r="A448" s="114">
        <v>40035</v>
      </c>
      <c r="B448" s="115">
        <v>101.57</v>
      </c>
      <c r="C448" s="115" t="s">
        <v>625</v>
      </c>
      <c r="D448" s="115" t="s">
        <v>625</v>
      </c>
      <c r="E448" s="115" t="s">
        <v>625</v>
      </c>
      <c r="F448" s="115" t="s">
        <v>625</v>
      </c>
      <c r="G448" s="121" t="s">
        <v>625</v>
      </c>
      <c r="H448" s="115" t="e">
        <v>#N/A</v>
      </c>
      <c r="I448" s="118" t="s">
        <v>625</v>
      </c>
    </row>
    <row r="449" spans="1:9">
      <c r="A449" s="114">
        <v>40036</v>
      </c>
      <c r="B449" s="115">
        <v>101.57</v>
      </c>
      <c r="C449" s="115" t="s">
        <v>625</v>
      </c>
      <c r="D449" s="115" t="s">
        <v>625</v>
      </c>
      <c r="E449" s="115" t="s">
        <v>625</v>
      </c>
      <c r="F449" s="115" t="s">
        <v>625</v>
      </c>
      <c r="G449" s="121" t="s">
        <v>625</v>
      </c>
      <c r="H449" s="115" t="e">
        <v>#N/A</v>
      </c>
      <c r="I449" s="118" t="s">
        <v>625</v>
      </c>
    </row>
    <row r="450" spans="1:9">
      <c r="A450" s="114">
        <v>40037</v>
      </c>
      <c r="B450" s="115">
        <v>101.57</v>
      </c>
      <c r="C450" s="115" t="s">
        <v>625</v>
      </c>
      <c r="D450" s="115" t="s">
        <v>625</v>
      </c>
      <c r="E450" s="115" t="s">
        <v>625</v>
      </c>
      <c r="F450" s="115" t="s">
        <v>625</v>
      </c>
      <c r="G450" s="121" t="s">
        <v>625</v>
      </c>
      <c r="H450" s="115" t="e">
        <v>#N/A</v>
      </c>
      <c r="I450" s="118" t="s">
        <v>625</v>
      </c>
    </row>
    <row r="451" spans="1:9">
      <c r="A451" s="114">
        <v>40038</v>
      </c>
      <c r="B451" s="115">
        <v>101.57</v>
      </c>
      <c r="C451" s="115" t="s">
        <v>625</v>
      </c>
      <c r="D451" s="115" t="s">
        <v>625</v>
      </c>
      <c r="E451" s="115" t="s">
        <v>625</v>
      </c>
      <c r="F451" s="115" t="s">
        <v>625</v>
      </c>
      <c r="G451" s="121" t="s">
        <v>625</v>
      </c>
      <c r="H451" s="115" t="e">
        <v>#N/A</v>
      </c>
      <c r="I451" s="118" t="s">
        <v>625</v>
      </c>
    </row>
    <row r="452" spans="1:9">
      <c r="A452" s="114">
        <v>40039</v>
      </c>
      <c r="B452" s="115">
        <v>101.57</v>
      </c>
      <c r="C452" s="115" t="s">
        <v>625</v>
      </c>
      <c r="D452" s="115" t="s">
        <v>625</v>
      </c>
      <c r="E452" s="115" t="s">
        <v>625</v>
      </c>
      <c r="F452" s="115" t="s">
        <v>625</v>
      </c>
      <c r="G452" s="121" t="s">
        <v>625</v>
      </c>
      <c r="H452" s="115" t="e">
        <v>#N/A</v>
      </c>
      <c r="I452" s="118" t="s">
        <v>625</v>
      </c>
    </row>
    <row r="453" spans="1:9">
      <c r="A453" s="114">
        <v>40042</v>
      </c>
      <c r="B453" s="115">
        <v>101.57</v>
      </c>
      <c r="C453" s="115" t="s">
        <v>625</v>
      </c>
      <c r="D453" s="115" t="s">
        <v>625</v>
      </c>
      <c r="E453" s="115" t="s">
        <v>625</v>
      </c>
      <c r="F453" s="115" t="s">
        <v>625</v>
      </c>
      <c r="G453" s="121" t="s">
        <v>625</v>
      </c>
      <c r="H453" s="115" t="e">
        <v>#N/A</v>
      </c>
      <c r="I453" s="118" t="s">
        <v>625</v>
      </c>
    </row>
    <row r="454" spans="1:9">
      <c r="A454" s="114">
        <v>40043</v>
      </c>
      <c r="B454" s="115">
        <v>101.57</v>
      </c>
      <c r="C454" s="115" t="s">
        <v>625</v>
      </c>
      <c r="D454" s="115" t="s">
        <v>625</v>
      </c>
      <c r="E454" s="115" t="s">
        <v>625</v>
      </c>
      <c r="F454" s="115" t="s">
        <v>625</v>
      </c>
      <c r="G454" s="121" t="s">
        <v>625</v>
      </c>
      <c r="H454" s="115" t="e">
        <v>#N/A</v>
      </c>
      <c r="I454" s="118" t="s">
        <v>625</v>
      </c>
    </row>
    <row r="455" spans="1:9">
      <c r="A455" s="114">
        <v>40044</v>
      </c>
      <c r="B455" s="115">
        <v>101.57</v>
      </c>
      <c r="C455" s="115" t="s">
        <v>625</v>
      </c>
      <c r="D455" s="115" t="s">
        <v>625</v>
      </c>
      <c r="E455" s="115" t="s">
        <v>625</v>
      </c>
      <c r="F455" s="115" t="s">
        <v>625</v>
      </c>
      <c r="G455" s="121" t="s">
        <v>625</v>
      </c>
      <c r="H455" s="115" t="e">
        <v>#N/A</v>
      </c>
      <c r="I455" s="118" t="s">
        <v>625</v>
      </c>
    </row>
    <row r="456" spans="1:9">
      <c r="A456" s="114">
        <v>40045</v>
      </c>
      <c r="B456" s="115">
        <v>100.6</v>
      </c>
      <c r="C456" s="115" t="s">
        <v>625</v>
      </c>
      <c r="D456" s="115" t="s">
        <v>625</v>
      </c>
      <c r="E456" s="115" t="s">
        <v>625</v>
      </c>
      <c r="F456" s="115" t="s">
        <v>625</v>
      </c>
      <c r="G456" s="121" t="s">
        <v>625</v>
      </c>
      <c r="H456" s="115" t="e">
        <v>#N/A</v>
      </c>
      <c r="I456" s="118" t="s">
        <v>625</v>
      </c>
    </row>
    <row r="457" spans="1:9">
      <c r="A457" s="114">
        <v>40046</v>
      </c>
      <c r="B457" s="115">
        <v>100.6</v>
      </c>
      <c r="C457" s="115" t="s">
        <v>625</v>
      </c>
      <c r="D457" s="115" t="s">
        <v>625</v>
      </c>
      <c r="E457" s="115" t="s">
        <v>625</v>
      </c>
      <c r="F457" s="115" t="s">
        <v>625</v>
      </c>
      <c r="G457" s="121" t="s">
        <v>625</v>
      </c>
      <c r="H457" s="115" t="e">
        <v>#N/A</v>
      </c>
      <c r="I457" s="118" t="s">
        <v>625</v>
      </c>
    </row>
    <row r="458" spans="1:9">
      <c r="A458" s="114">
        <v>40049</v>
      </c>
      <c r="B458" s="115">
        <v>100.6</v>
      </c>
      <c r="C458" s="115" t="s">
        <v>625</v>
      </c>
      <c r="D458" s="115" t="s">
        <v>625</v>
      </c>
      <c r="E458" s="115" t="s">
        <v>625</v>
      </c>
      <c r="F458" s="115" t="s">
        <v>625</v>
      </c>
      <c r="G458" s="121" t="s">
        <v>625</v>
      </c>
      <c r="H458" s="115" t="e">
        <v>#N/A</v>
      </c>
      <c r="I458" s="118" t="s">
        <v>625</v>
      </c>
    </row>
    <row r="459" spans="1:9">
      <c r="A459" s="114">
        <v>40050</v>
      </c>
      <c r="B459" s="115">
        <v>100.6</v>
      </c>
      <c r="C459" s="115" t="s">
        <v>625</v>
      </c>
      <c r="D459" s="115" t="s">
        <v>625</v>
      </c>
      <c r="E459" s="115" t="s">
        <v>625</v>
      </c>
      <c r="F459" s="115" t="s">
        <v>625</v>
      </c>
      <c r="G459" s="121" t="s">
        <v>625</v>
      </c>
      <c r="H459" s="115" t="e">
        <v>#N/A</v>
      </c>
      <c r="I459" s="118" t="s">
        <v>625</v>
      </c>
    </row>
    <row r="460" spans="1:9">
      <c r="A460" s="114">
        <v>40051</v>
      </c>
      <c r="B460" s="115">
        <v>100.6</v>
      </c>
      <c r="C460" s="115" t="s">
        <v>625</v>
      </c>
      <c r="D460" s="115" t="s">
        <v>625</v>
      </c>
      <c r="E460" s="115" t="s">
        <v>625</v>
      </c>
      <c r="F460" s="115" t="s">
        <v>625</v>
      </c>
      <c r="G460" s="121" t="s">
        <v>625</v>
      </c>
      <c r="H460" s="115" t="e">
        <v>#N/A</v>
      </c>
      <c r="I460" s="118" t="s">
        <v>625</v>
      </c>
    </row>
    <row r="461" spans="1:9">
      <c r="A461" s="114">
        <v>40052</v>
      </c>
      <c r="B461" s="115">
        <v>100.6</v>
      </c>
      <c r="C461" s="115" t="s">
        <v>625</v>
      </c>
      <c r="D461" s="115" t="s">
        <v>625</v>
      </c>
      <c r="E461" s="115" t="s">
        <v>625</v>
      </c>
      <c r="F461" s="115" t="s">
        <v>625</v>
      </c>
      <c r="G461" s="121" t="s">
        <v>625</v>
      </c>
      <c r="H461" s="115" t="e">
        <v>#N/A</v>
      </c>
      <c r="I461" s="118" t="s">
        <v>625</v>
      </c>
    </row>
    <row r="462" spans="1:9">
      <c r="A462" s="114">
        <v>40053</v>
      </c>
      <c r="B462" s="115">
        <v>100.6</v>
      </c>
      <c r="C462" s="115" t="s">
        <v>625</v>
      </c>
      <c r="D462" s="115" t="s">
        <v>625</v>
      </c>
      <c r="E462" s="115" t="s">
        <v>625</v>
      </c>
      <c r="F462" s="115" t="s">
        <v>625</v>
      </c>
      <c r="G462" s="121" t="s">
        <v>625</v>
      </c>
      <c r="H462" s="115" t="e">
        <v>#N/A</v>
      </c>
      <c r="I462" s="118" t="s">
        <v>625</v>
      </c>
    </row>
    <row r="463" spans="1:9">
      <c r="A463" s="114">
        <v>40056</v>
      </c>
      <c r="B463" s="115">
        <v>100.6</v>
      </c>
      <c r="C463" s="115" t="s">
        <v>625</v>
      </c>
      <c r="D463" s="115" t="s">
        <v>625</v>
      </c>
      <c r="E463" s="115" t="s">
        <v>625</v>
      </c>
      <c r="F463" s="115" t="s">
        <v>625</v>
      </c>
      <c r="G463" s="121" t="s">
        <v>625</v>
      </c>
      <c r="H463" s="115" t="e">
        <v>#N/A</v>
      </c>
      <c r="I463" s="118" t="s">
        <v>625</v>
      </c>
    </row>
    <row r="464" spans="1:9">
      <c r="A464" s="114">
        <v>40057</v>
      </c>
      <c r="B464" s="115">
        <v>100.6</v>
      </c>
      <c r="C464" s="115" t="s">
        <v>625</v>
      </c>
      <c r="D464" s="115" t="s">
        <v>625</v>
      </c>
      <c r="E464" s="115" t="s">
        <v>625</v>
      </c>
      <c r="F464" s="115" t="s">
        <v>625</v>
      </c>
      <c r="G464" s="121" t="s">
        <v>625</v>
      </c>
      <c r="H464" s="115" t="e">
        <v>#N/A</v>
      </c>
      <c r="I464" s="118" t="s">
        <v>625</v>
      </c>
    </row>
    <row r="465" spans="1:9">
      <c r="A465" s="114">
        <v>40058</v>
      </c>
      <c r="B465" s="115">
        <v>100.6</v>
      </c>
      <c r="C465" s="115" t="s">
        <v>625</v>
      </c>
      <c r="D465" s="115" t="s">
        <v>625</v>
      </c>
      <c r="E465" s="115" t="s">
        <v>625</v>
      </c>
      <c r="F465" s="115" t="s">
        <v>625</v>
      </c>
      <c r="G465" s="121" t="s">
        <v>625</v>
      </c>
      <c r="H465" s="115" t="e">
        <v>#N/A</v>
      </c>
      <c r="I465" s="118" t="s">
        <v>625</v>
      </c>
    </row>
    <row r="466" spans="1:9">
      <c r="A466" s="114">
        <v>40059</v>
      </c>
      <c r="B466" s="115">
        <v>100.6</v>
      </c>
      <c r="C466" s="115" t="s">
        <v>625</v>
      </c>
      <c r="D466" s="115" t="s">
        <v>625</v>
      </c>
      <c r="E466" s="115" t="s">
        <v>625</v>
      </c>
      <c r="F466" s="115" t="s">
        <v>625</v>
      </c>
      <c r="G466" s="121" t="s">
        <v>625</v>
      </c>
      <c r="H466" s="115" t="e">
        <v>#N/A</v>
      </c>
      <c r="I466" s="118" t="s">
        <v>625</v>
      </c>
    </row>
    <row r="467" spans="1:9">
      <c r="A467" s="114">
        <v>40060</v>
      </c>
      <c r="B467" s="115">
        <v>100.6</v>
      </c>
      <c r="C467" s="115" t="s">
        <v>625</v>
      </c>
      <c r="D467" s="115" t="s">
        <v>625</v>
      </c>
      <c r="E467" s="115" t="s">
        <v>625</v>
      </c>
      <c r="F467" s="115" t="s">
        <v>625</v>
      </c>
      <c r="G467" s="121" t="s">
        <v>625</v>
      </c>
      <c r="H467" s="115" t="e">
        <v>#N/A</v>
      </c>
      <c r="I467" s="118" t="s">
        <v>625</v>
      </c>
    </row>
    <row r="468" spans="1:9">
      <c r="A468" s="114">
        <v>40063</v>
      </c>
      <c r="B468" s="115">
        <v>100.41</v>
      </c>
      <c r="C468" s="115" t="s">
        <v>625</v>
      </c>
      <c r="D468" s="115" t="s">
        <v>625</v>
      </c>
      <c r="E468" s="115" t="s">
        <v>625</v>
      </c>
      <c r="F468" s="115" t="s">
        <v>625</v>
      </c>
      <c r="G468" s="121" t="s">
        <v>625</v>
      </c>
      <c r="H468" s="115" t="e">
        <v>#N/A</v>
      </c>
      <c r="I468" s="118" t="s">
        <v>625</v>
      </c>
    </row>
    <row r="469" spans="1:9">
      <c r="A469" s="114">
        <v>40064</v>
      </c>
      <c r="B469" s="115">
        <v>100.41</v>
      </c>
      <c r="C469" s="115" t="s">
        <v>625</v>
      </c>
      <c r="D469" s="115" t="s">
        <v>625</v>
      </c>
      <c r="E469" s="115" t="s">
        <v>625</v>
      </c>
      <c r="F469" s="115" t="s">
        <v>625</v>
      </c>
      <c r="G469" s="121" t="s">
        <v>625</v>
      </c>
      <c r="H469" s="115" t="e">
        <v>#N/A</v>
      </c>
      <c r="I469" s="118" t="s">
        <v>625</v>
      </c>
    </row>
    <row r="470" spans="1:9">
      <c r="A470" s="114">
        <v>40065</v>
      </c>
      <c r="B470" s="115">
        <v>100.41</v>
      </c>
      <c r="C470" s="115" t="s">
        <v>625</v>
      </c>
      <c r="D470" s="115" t="s">
        <v>625</v>
      </c>
      <c r="E470" s="115" t="s">
        <v>625</v>
      </c>
      <c r="F470" s="115" t="s">
        <v>625</v>
      </c>
      <c r="G470" s="121" t="s">
        <v>625</v>
      </c>
      <c r="H470" s="115" t="e">
        <v>#N/A</v>
      </c>
      <c r="I470" s="118" t="s">
        <v>625</v>
      </c>
    </row>
    <row r="471" spans="1:9">
      <c r="A471" s="114">
        <v>40066</v>
      </c>
      <c r="B471" s="115">
        <v>100.41</v>
      </c>
      <c r="C471" s="115" t="s">
        <v>625</v>
      </c>
      <c r="D471" s="115" t="s">
        <v>625</v>
      </c>
      <c r="E471" s="115" t="s">
        <v>625</v>
      </c>
      <c r="F471" s="115" t="s">
        <v>625</v>
      </c>
      <c r="G471" s="121" t="s">
        <v>625</v>
      </c>
      <c r="H471" s="115" t="e">
        <v>#N/A</v>
      </c>
      <c r="I471" s="118" t="s">
        <v>625</v>
      </c>
    </row>
    <row r="472" spans="1:9">
      <c r="A472" s="114">
        <v>40067</v>
      </c>
      <c r="B472" s="115">
        <v>100.41</v>
      </c>
      <c r="C472" s="115" t="s">
        <v>625</v>
      </c>
      <c r="D472" s="115" t="s">
        <v>625</v>
      </c>
      <c r="E472" s="115" t="s">
        <v>625</v>
      </c>
      <c r="F472" s="115" t="s">
        <v>625</v>
      </c>
      <c r="G472" s="121" t="s">
        <v>625</v>
      </c>
      <c r="H472" s="115" t="e">
        <v>#N/A</v>
      </c>
      <c r="I472" s="118" t="s">
        <v>625</v>
      </c>
    </row>
    <row r="473" spans="1:9">
      <c r="A473" s="114">
        <v>40070</v>
      </c>
      <c r="B473" s="115">
        <v>100.41</v>
      </c>
      <c r="C473" s="115" t="s">
        <v>625</v>
      </c>
      <c r="D473" s="115" t="s">
        <v>625</v>
      </c>
      <c r="E473" s="115" t="s">
        <v>625</v>
      </c>
      <c r="F473" s="115" t="s">
        <v>625</v>
      </c>
      <c r="G473" s="121" t="s">
        <v>625</v>
      </c>
      <c r="H473" s="115" t="e">
        <v>#N/A</v>
      </c>
      <c r="I473" s="118" t="s">
        <v>625</v>
      </c>
    </row>
    <row r="474" spans="1:9">
      <c r="A474" s="114">
        <v>40071</v>
      </c>
      <c r="B474" s="115">
        <v>100.41</v>
      </c>
      <c r="C474" s="115" t="s">
        <v>625</v>
      </c>
      <c r="D474" s="115" t="s">
        <v>625</v>
      </c>
      <c r="E474" s="115" t="s">
        <v>625</v>
      </c>
      <c r="F474" s="115" t="s">
        <v>625</v>
      </c>
      <c r="G474" s="121" t="s">
        <v>625</v>
      </c>
      <c r="H474" s="115" t="e">
        <v>#N/A</v>
      </c>
      <c r="I474" s="118" t="s">
        <v>625</v>
      </c>
    </row>
    <row r="475" spans="1:9">
      <c r="A475" s="114">
        <v>40072</v>
      </c>
      <c r="B475" s="115">
        <v>100.41</v>
      </c>
      <c r="C475" s="115" t="s">
        <v>625</v>
      </c>
      <c r="D475" s="115" t="s">
        <v>625</v>
      </c>
      <c r="E475" s="115" t="s">
        <v>625</v>
      </c>
      <c r="F475" s="115" t="s">
        <v>625</v>
      </c>
      <c r="G475" s="121" t="s">
        <v>625</v>
      </c>
      <c r="H475" s="115" t="e">
        <v>#N/A</v>
      </c>
      <c r="I475" s="118" t="s">
        <v>625</v>
      </c>
    </row>
    <row r="476" spans="1:9">
      <c r="A476" s="114">
        <v>40073</v>
      </c>
      <c r="B476" s="115">
        <v>100.41</v>
      </c>
      <c r="C476" s="115" t="s">
        <v>625</v>
      </c>
      <c r="D476" s="115" t="s">
        <v>625</v>
      </c>
      <c r="E476" s="115" t="s">
        <v>625</v>
      </c>
      <c r="F476" s="115" t="s">
        <v>625</v>
      </c>
      <c r="G476" s="121" t="s">
        <v>625</v>
      </c>
      <c r="H476" s="115" t="e">
        <v>#N/A</v>
      </c>
      <c r="I476" s="118" t="s">
        <v>625</v>
      </c>
    </row>
    <row r="477" spans="1:9">
      <c r="A477" s="114">
        <v>40074</v>
      </c>
      <c r="B477" s="115">
        <v>100.41</v>
      </c>
      <c r="C477" s="115" t="s">
        <v>625</v>
      </c>
      <c r="D477" s="115" t="s">
        <v>625</v>
      </c>
      <c r="E477" s="115" t="s">
        <v>625</v>
      </c>
      <c r="F477" s="115" t="s">
        <v>625</v>
      </c>
      <c r="G477" s="121" t="s">
        <v>625</v>
      </c>
      <c r="H477" s="115" t="e">
        <v>#N/A</v>
      </c>
      <c r="I477" s="118" t="s">
        <v>625</v>
      </c>
    </row>
    <row r="478" spans="1:9">
      <c r="A478" s="114">
        <v>40077</v>
      </c>
      <c r="B478" s="115">
        <v>100.41</v>
      </c>
      <c r="C478" s="115" t="s">
        <v>625</v>
      </c>
      <c r="D478" s="115" t="s">
        <v>625</v>
      </c>
      <c r="E478" s="115" t="s">
        <v>625</v>
      </c>
      <c r="F478" s="115" t="s">
        <v>625</v>
      </c>
      <c r="G478" s="121" t="s">
        <v>625</v>
      </c>
      <c r="H478" s="115" t="e">
        <v>#N/A</v>
      </c>
      <c r="I478" s="118" t="s">
        <v>625</v>
      </c>
    </row>
    <row r="479" spans="1:9">
      <c r="A479" s="114">
        <v>40078</v>
      </c>
      <c r="B479" s="115">
        <v>100.41</v>
      </c>
      <c r="C479" s="115" t="s">
        <v>625</v>
      </c>
      <c r="D479" s="115" t="s">
        <v>625</v>
      </c>
      <c r="E479" s="115" t="s">
        <v>625</v>
      </c>
      <c r="F479" s="115" t="s">
        <v>625</v>
      </c>
      <c r="G479" s="121" t="s">
        <v>625</v>
      </c>
      <c r="H479" s="115" t="e">
        <v>#N/A</v>
      </c>
      <c r="I479" s="118" t="s">
        <v>625</v>
      </c>
    </row>
    <row r="480" spans="1:9">
      <c r="A480" s="114">
        <v>40079</v>
      </c>
      <c r="B480" s="115">
        <v>100.41</v>
      </c>
      <c r="C480" s="115" t="s">
        <v>625</v>
      </c>
      <c r="D480" s="115" t="s">
        <v>625</v>
      </c>
      <c r="E480" s="115" t="s">
        <v>625</v>
      </c>
      <c r="F480" s="115" t="s">
        <v>625</v>
      </c>
      <c r="G480" s="121" t="s">
        <v>625</v>
      </c>
      <c r="H480" s="115" t="e">
        <v>#N/A</v>
      </c>
      <c r="I480" s="118" t="s">
        <v>625</v>
      </c>
    </row>
    <row r="481" spans="1:9">
      <c r="A481" s="114">
        <v>40080</v>
      </c>
      <c r="B481" s="115">
        <v>100.41</v>
      </c>
      <c r="C481" s="115" t="s">
        <v>625</v>
      </c>
      <c r="D481" s="115" t="s">
        <v>625</v>
      </c>
      <c r="E481" s="115" t="s">
        <v>625</v>
      </c>
      <c r="F481" s="115" t="s">
        <v>625</v>
      </c>
      <c r="G481" s="121" t="s">
        <v>625</v>
      </c>
      <c r="H481" s="115" t="e">
        <v>#N/A</v>
      </c>
      <c r="I481" s="118" t="s">
        <v>625</v>
      </c>
    </row>
    <row r="482" spans="1:9">
      <c r="A482" s="114">
        <v>40081</v>
      </c>
      <c r="B482" s="115">
        <v>100.41</v>
      </c>
      <c r="C482" s="115" t="s">
        <v>625</v>
      </c>
      <c r="D482" s="115" t="s">
        <v>625</v>
      </c>
      <c r="E482" s="115" t="s">
        <v>625</v>
      </c>
      <c r="F482" s="115" t="s">
        <v>625</v>
      </c>
      <c r="G482" s="121" t="s">
        <v>625</v>
      </c>
      <c r="H482" s="115" t="e">
        <v>#N/A</v>
      </c>
      <c r="I482" s="118" t="s">
        <v>625</v>
      </c>
    </row>
    <row r="483" spans="1:9">
      <c r="A483" s="114">
        <v>40083</v>
      </c>
      <c r="B483" s="115">
        <v>100.41</v>
      </c>
      <c r="C483" s="115" t="s">
        <v>625</v>
      </c>
      <c r="D483" s="115" t="s">
        <v>625</v>
      </c>
      <c r="E483" s="115" t="s">
        <v>625</v>
      </c>
      <c r="F483" s="115" t="s">
        <v>625</v>
      </c>
      <c r="G483" s="121" t="s">
        <v>625</v>
      </c>
      <c r="H483" s="115" t="e">
        <v>#N/A</v>
      </c>
      <c r="I483" s="118" t="s">
        <v>625</v>
      </c>
    </row>
    <row r="484" spans="1:9">
      <c r="A484" s="114">
        <v>40084</v>
      </c>
      <c r="B484" s="115">
        <v>100.41</v>
      </c>
      <c r="C484" s="115" t="s">
        <v>625</v>
      </c>
      <c r="D484" s="115" t="s">
        <v>625</v>
      </c>
      <c r="E484" s="115" t="s">
        <v>625</v>
      </c>
      <c r="F484" s="115" t="s">
        <v>625</v>
      </c>
      <c r="G484" s="121" t="s">
        <v>625</v>
      </c>
      <c r="H484" s="115" t="e">
        <v>#N/A</v>
      </c>
      <c r="I484" s="118" t="s">
        <v>625</v>
      </c>
    </row>
    <row r="485" spans="1:9">
      <c r="A485" s="114">
        <v>40085</v>
      </c>
      <c r="B485" s="115">
        <v>100.41</v>
      </c>
      <c r="C485" s="115" t="s">
        <v>625</v>
      </c>
      <c r="D485" s="115" t="s">
        <v>625</v>
      </c>
      <c r="E485" s="115" t="s">
        <v>625</v>
      </c>
      <c r="F485" s="115" t="s">
        <v>625</v>
      </c>
      <c r="G485" s="121" t="s">
        <v>625</v>
      </c>
      <c r="H485" s="115" t="e">
        <v>#N/A</v>
      </c>
      <c r="I485" s="118" t="s">
        <v>625</v>
      </c>
    </row>
    <row r="486" spans="1:9">
      <c r="A486" s="114">
        <v>40086</v>
      </c>
      <c r="B486" s="115">
        <v>100.41</v>
      </c>
      <c r="C486" s="115" t="s">
        <v>625</v>
      </c>
      <c r="D486" s="115" t="s">
        <v>625</v>
      </c>
      <c r="E486" s="115" t="s">
        <v>625</v>
      </c>
      <c r="F486" s="115" t="s">
        <v>625</v>
      </c>
      <c r="G486" s="121" t="s">
        <v>625</v>
      </c>
      <c r="H486" s="115" t="e">
        <v>#N/A</v>
      </c>
      <c r="I486" s="118" t="s">
        <v>625</v>
      </c>
    </row>
    <row r="487" spans="1:9">
      <c r="A487" s="114">
        <v>40095</v>
      </c>
      <c r="B487" s="115">
        <v>100.41</v>
      </c>
      <c r="C487" s="115" t="s">
        <v>625</v>
      </c>
      <c r="D487" s="115" t="s">
        <v>625</v>
      </c>
      <c r="E487" s="115" t="s">
        <v>625</v>
      </c>
      <c r="F487" s="115" t="s">
        <v>625</v>
      </c>
      <c r="G487" s="121" t="s">
        <v>625</v>
      </c>
      <c r="H487" s="115" t="e">
        <v>#N/A</v>
      </c>
      <c r="I487" s="118" t="s">
        <v>625</v>
      </c>
    </row>
    <row r="488" spans="1:9">
      <c r="A488" s="114">
        <v>40096</v>
      </c>
      <c r="B488" s="115">
        <v>100.41</v>
      </c>
      <c r="C488" s="115" t="s">
        <v>625</v>
      </c>
      <c r="D488" s="115" t="s">
        <v>625</v>
      </c>
      <c r="E488" s="115" t="s">
        <v>625</v>
      </c>
      <c r="F488" s="115" t="s">
        <v>625</v>
      </c>
      <c r="G488" s="121" t="s">
        <v>625</v>
      </c>
      <c r="H488" s="115" t="e">
        <v>#N/A</v>
      </c>
      <c r="I488" s="118" t="s">
        <v>625</v>
      </c>
    </row>
    <row r="489" spans="1:9">
      <c r="A489" s="114">
        <v>40098</v>
      </c>
      <c r="B489" s="115">
        <v>100.41</v>
      </c>
      <c r="C489" s="115" t="s">
        <v>625</v>
      </c>
      <c r="D489" s="115" t="s">
        <v>625</v>
      </c>
      <c r="E489" s="115" t="s">
        <v>625</v>
      </c>
      <c r="F489" s="115" t="s">
        <v>625</v>
      </c>
      <c r="G489" s="121" t="s">
        <v>625</v>
      </c>
      <c r="H489" s="115" t="e">
        <v>#N/A</v>
      </c>
      <c r="I489" s="118" t="s">
        <v>625</v>
      </c>
    </row>
    <row r="490" spans="1:9">
      <c r="A490" s="114">
        <v>40099</v>
      </c>
      <c r="B490" s="115">
        <v>100.41</v>
      </c>
      <c r="C490" s="115" t="s">
        <v>625</v>
      </c>
      <c r="D490" s="115" t="s">
        <v>625</v>
      </c>
      <c r="E490" s="115" t="s">
        <v>625</v>
      </c>
      <c r="F490" s="115" t="s">
        <v>625</v>
      </c>
      <c r="G490" s="121" t="s">
        <v>625</v>
      </c>
      <c r="H490" s="115" t="e">
        <v>#N/A</v>
      </c>
      <c r="I490" s="118" t="s">
        <v>625</v>
      </c>
    </row>
    <row r="491" spans="1:9">
      <c r="A491" s="114">
        <v>40100</v>
      </c>
      <c r="B491" s="115">
        <v>99.67</v>
      </c>
      <c r="C491" s="115" t="s">
        <v>625</v>
      </c>
      <c r="D491" s="115" t="s">
        <v>625</v>
      </c>
      <c r="E491" s="115" t="s">
        <v>625</v>
      </c>
      <c r="F491" s="115" t="s">
        <v>625</v>
      </c>
      <c r="G491" s="121" t="s">
        <v>625</v>
      </c>
      <c r="H491" s="115" t="e">
        <v>#N/A</v>
      </c>
      <c r="I491" s="118" t="s">
        <v>625</v>
      </c>
    </row>
    <row r="492" spans="1:9">
      <c r="A492" s="114">
        <v>40101</v>
      </c>
      <c r="B492" s="115">
        <v>99.67</v>
      </c>
      <c r="C492" s="115" t="s">
        <v>625</v>
      </c>
      <c r="D492" s="115" t="s">
        <v>625</v>
      </c>
      <c r="E492" s="115" t="s">
        <v>625</v>
      </c>
      <c r="F492" s="115" t="s">
        <v>625</v>
      </c>
      <c r="G492" s="121" t="s">
        <v>625</v>
      </c>
      <c r="H492" s="115" t="e">
        <v>#N/A</v>
      </c>
      <c r="I492" s="118" t="s">
        <v>625</v>
      </c>
    </row>
    <row r="493" spans="1:9">
      <c r="A493" s="114">
        <v>40102</v>
      </c>
      <c r="B493" s="115">
        <v>99.67</v>
      </c>
      <c r="C493" s="115" t="s">
        <v>625</v>
      </c>
      <c r="D493" s="115" t="s">
        <v>625</v>
      </c>
      <c r="E493" s="115" t="s">
        <v>625</v>
      </c>
      <c r="F493" s="115" t="s">
        <v>625</v>
      </c>
      <c r="G493" s="121" t="s">
        <v>625</v>
      </c>
      <c r="H493" s="115" t="e">
        <v>#N/A</v>
      </c>
      <c r="I493" s="118" t="s">
        <v>625</v>
      </c>
    </row>
    <row r="494" spans="1:9">
      <c r="A494" s="114">
        <v>40105</v>
      </c>
      <c r="B494" s="115">
        <v>99.67</v>
      </c>
      <c r="C494" s="115" t="s">
        <v>625</v>
      </c>
      <c r="D494" s="115" t="s">
        <v>625</v>
      </c>
      <c r="E494" s="115" t="s">
        <v>625</v>
      </c>
      <c r="F494" s="115" t="s">
        <v>625</v>
      </c>
      <c r="G494" s="121" t="s">
        <v>625</v>
      </c>
      <c r="H494" s="115" t="e">
        <v>#N/A</v>
      </c>
      <c r="I494" s="118" t="s">
        <v>625</v>
      </c>
    </row>
    <row r="495" spans="1:9">
      <c r="A495" s="114">
        <v>40106</v>
      </c>
      <c r="B495" s="115">
        <v>99.67</v>
      </c>
      <c r="C495" s="115" t="s">
        <v>625</v>
      </c>
      <c r="D495" s="115" t="s">
        <v>625</v>
      </c>
      <c r="E495" s="115" t="s">
        <v>625</v>
      </c>
      <c r="F495" s="115" t="s">
        <v>625</v>
      </c>
      <c r="G495" s="121" t="s">
        <v>625</v>
      </c>
      <c r="H495" s="115" t="e">
        <v>#N/A</v>
      </c>
      <c r="I495" s="118" t="s">
        <v>625</v>
      </c>
    </row>
    <row r="496" spans="1:9">
      <c r="A496" s="114">
        <v>40107</v>
      </c>
      <c r="B496" s="115">
        <v>99.67</v>
      </c>
      <c r="C496" s="115" t="s">
        <v>625</v>
      </c>
      <c r="D496" s="115" t="s">
        <v>625</v>
      </c>
      <c r="E496" s="115" t="s">
        <v>625</v>
      </c>
      <c r="F496" s="115" t="s">
        <v>625</v>
      </c>
      <c r="G496" s="121" t="s">
        <v>625</v>
      </c>
      <c r="H496" s="115" t="e">
        <v>#N/A</v>
      </c>
      <c r="I496" s="118" t="s">
        <v>625</v>
      </c>
    </row>
    <row r="497" spans="1:9">
      <c r="A497" s="114">
        <v>40108</v>
      </c>
      <c r="B497" s="115">
        <v>99.67</v>
      </c>
      <c r="C497" s="115" t="s">
        <v>625</v>
      </c>
      <c r="D497" s="115" t="s">
        <v>625</v>
      </c>
      <c r="E497" s="115" t="s">
        <v>625</v>
      </c>
      <c r="F497" s="115" t="s">
        <v>625</v>
      </c>
      <c r="G497" s="121" t="s">
        <v>625</v>
      </c>
      <c r="H497" s="115" t="e">
        <v>#N/A</v>
      </c>
      <c r="I497" s="118" t="s">
        <v>625</v>
      </c>
    </row>
    <row r="498" spans="1:9">
      <c r="A498" s="114">
        <v>40109</v>
      </c>
      <c r="B498" s="115">
        <v>99.67</v>
      </c>
      <c r="C498" s="115" t="s">
        <v>625</v>
      </c>
      <c r="D498" s="115" t="s">
        <v>625</v>
      </c>
      <c r="E498" s="115" t="s">
        <v>625</v>
      </c>
      <c r="F498" s="115" t="s">
        <v>625</v>
      </c>
      <c r="G498" s="121" t="s">
        <v>625</v>
      </c>
      <c r="H498" s="115" t="e">
        <v>#N/A</v>
      </c>
      <c r="I498" s="118" t="s">
        <v>625</v>
      </c>
    </row>
    <row r="499" spans="1:9">
      <c r="A499" s="114">
        <v>40112</v>
      </c>
      <c r="B499" s="115">
        <v>99.67</v>
      </c>
      <c r="C499" s="115" t="s">
        <v>625</v>
      </c>
      <c r="D499" s="115" t="s">
        <v>625</v>
      </c>
      <c r="E499" s="115" t="s">
        <v>625</v>
      </c>
      <c r="F499" s="115" t="s">
        <v>625</v>
      </c>
      <c r="G499" s="121" t="s">
        <v>625</v>
      </c>
      <c r="H499" s="115" t="e">
        <v>#N/A</v>
      </c>
      <c r="I499" s="118" t="s">
        <v>625</v>
      </c>
    </row>
    <row r="500" spans="1:9">
      <c r="A500" s="114">
        <v>40113</v>
      </c>
      <c r="B500" s="115">
        <v>99.67</v>
      </c>
      <c r="C500" s="115" t="s">
        <v>625</v>
      </c>
      <c r="D500" s="115" t="s">
        <v>625</v>
      </c>
      <c r="E500" s="115" t="s">
        <v>625</v>
      </c>
      <c r="F500" s="115" t="s">
        <v>625</v>
      </c>
      <c r="G500" s="121" t="s">
        <v>625</v>
      </c>
      <c r="H500" s="115" t="e">
        <v>#N/A</v>
      </c>
      <c r="I500" s="118" t="s">
        <v>625</v>
      </c>
    </row>
    <row r="501" spans="1:9">
      <c r="A501" s="114">
        <v>40114</v>
      </c>
      <c r="B501" s="115">
        <v>99.67</v>
      </c>
      <c r="C501" s="115" t="s">
        <v>625</v>
      </c>
      <c r="D501" s="115" t="s">
        <v>625</v>
      </c>
      <c r="E501" s="115" t="s">
        <v>625</v>
      </c>
      <c r="F501" s="115" t="s">
        <v>625</v>
      </c>
      <c r="G501" s="121" t="s">
        <v>625</v>
      </c>
      <c r="H501" s="115" t="e">
        <v>#N/A</v>
      </c>
      <c r="I501" s="118" t="s">
        <v>625</v>
      </c>
    </row>
    <row r="502" spans="1:9">
      <c r="A502" s="114">
        <v>40115</v>
      </c>
      <c r="B502" s="115">
        <v>99.67</v>
      </c>
      <c r="C502" s="115" t="s">
        <v>625</v>
      </c>
      <c r="D502" s="115" t="s">
        <v>625</v>
      </c>
      <c r="E502" s="115" t="s">
        <v>625</v>
      </c>
      <c r="F502" s="115" t="s">
        <v>625</v>
      </c>
      <c r="G502" s="121" t="s">
        <v>625</v>
      </c>
      <c r="H502" s="115" t="e">
        <v>#N/A</v>
      </c>
      <c r="I502" s="118" t="s">
        <v>625</v>
      </c>
    </row>
    <row r="503" spans="1:9">
      <c r="A503" s="114">
        <v>40116</v>
      </c>
      <c r="B503" s="115">
        <v>99.67</v>
      </c>
      <c r="C503" s="115" t="s">
        <v>625</v>
      </c>
      <c r="D503" s="115" t="s">
        <v>625</v>
      </c>
      <c r="E503" s="115" t="s">
        <v>625</v>
      </c>
      <c r="F503" s="115" t="s">
        <v>625</v>
      </c>
      <c r="G503" s="121" t="s">
        <v>625</v>
      </c>
      <c r="H503" s="115" t="e">
        <v>#N/A</v>
      </c>
      <c r="I503" s="118" t="s">
        <v>625</v>
      </c>
    </row>
    <row r="504" spans="1:9">
      <c r="A504" s="114">
        <v>40119</v>
      </c>
      <c r="B504" s="115">
        <v>99.67</v>
      </c>
      <c r="C504" s="115" t="s">
        <v>625</v>
      </c>
      <c r="D504" s="115" t="s">
        <v>625</v>
      </c>
      <c r="E504" s="115" t="s">
        <v>625</v>
      </c>
      <c r="F504" s="115" t="s">
        <v>625</v>
      </c>
      <c r="G504" s="121" t="s">
        <v>625</v>
      </c>
      <c r="H504" s="115" t="e">
        <v>#N/A</v>
      </c>
      <c r="I504" s="118" t="s">
        <v>625</v>
      </c>
    </row>
    <row r="505" spans="1:9">
      <c r="A505" s="114">
        <v>40120</v>
      </c>
      <c r="B505" s="115">
        <v>99.67</v>
      </c>
      <c r="C505" s="115" t="s">
        <v>625</v>
      </c>
      <c r="D505" s="115" t="s">
        <v>625</v>
      </c>
      <c r="E505" s="115" t="s">
        <v>625</v>
      </c>
      <c r="F505" s="115" t="s">
        <v>625</v>
      </c>
      <c r="G505" s="121" t="s">
        <v>625</v>
      </c>
      <c r="H505" s="115" t="e">
        <v>#N/A</v>
      </c>
      <c r="I505" s="118" t="s">
        <v>625</v>
      </c>
    </row>
    <row r="506" spans="1:9">
      <c r="A506" s="114">
        <v>40121</v>
      </c>
      <c r="B506" s="115">
        <v>99.67</v>
      </c>
      <c r="C506" s="115" t="s">
        <v>625</v>
      </c>
      <c r="D506" s="115" t="s">
        <v>625</v>
      </c>
      <c r="E506" s="115" t="s">
        <v>625</v>
      </c>
      <c r="F506" s="115" t="s">
        <v>625</v>
      </c>
      <c r="G506" s="121" t="s">
        <v>625</v>
      </c>
      <c r="H506" s="115" t="e">
        <v>#N/A</v>
      </c>
      <c r="I506" s="118" t="s">
        <v>625</v>
      </c>
    </row>
    <row r="507" spans="1:9">
      <c r="A507" s="114">
        <v>40122</v>
      </c>
      <c r="B507" s="115">
        <v>99.67</v>
      </c>
      <c r="C507" s="115" t="s">
        <v>625</v>
      </c>
      <c r="D507" s="115" t="s">
        <v>625</v>
      </c>
      <c r="E507" s="115" t="s">
        <v>625</v>
      </c>
      <c r="F507" s="115" t="s">
        <v>625</v>
      </c>
      <c r="G507" s="121" t="s">
        <v>625</v>
      </c>
      <c r="H507" s="115" t="e">
        <v>#N/A</v>
      </c>
      <c r="I507" s="118" t="s">
        <v>625</v>
      </c>
    </row>
    <row r="508" spans="1:9">
      <c r="A508" s="114">
        <v>40123</v>
      </c>
      <c r="B508" s="115">
        <v>99.67</v>
      </c>
      <c r="C508" s="115" t="s">
        <v>625</v>
      </c>
      <c r="D508" s="115" t="s">
        <v>625</v>
      </c>
      <c r="E508" s="115" t="s">
        <v>625</v>
      </c>
      <c r="F508" s="115" t="s">
        <v>625</v>
      </c>
      <c r="G508" s="121" t="s">
        <v>625</v>
      </c>
      <c r="H508" s="115" t="e">
        <v>#N/A</v>
      </c>
      <c r="I508" s="118" t="s">
        <v>625</v>
      </c>
    </row>
    <row r="509" spans="1:9">
      <c r="A509" s="114">
        <v>40126</v>
      </c>
      <c r="B509" s="115">
        <v>99.67</v>
      </c>
      <c r="C509" s="115" t="s">
        <v>625</v>
      </c>
      <c r="D509" s="115" t="s">
        <v>625</v>
      </c>
      <c r="E509" s="115" t="s">
        <v>625</v>
      </c>
      <c r="F509" s="115" t="s">
        <v>625</v>
      </c>
      <c r="G509" s="121" t="s">
        <v>625</v>
      </c>
      <c r="H509" s="115" t="e">
        <v>#N/A</v>
      </c>
      <c r="I509" s="118" t="s">
        <v>625</v>
      </c>
    </row>
    <row r="510" spans="1:9">
      <c r="A510" s="114">
        <v>40127</v>
      </c>
      <c r="B510" s="115">
        <v>99.67</v>
      </c>
      <c r="C510" s="115" t="s">
        <v>625</v>
      </c>
      <c r="D510" s="115" t="s">
        <v>625</v>
      </c>
      <c r="E510" s="115" t="s">
        <v>625</v>
      </c>
      <c r="F510" s="115" t="s">
        <v>625</v>
      </c>
      <c r="G510" s="121" t="s">
        <v>625</v>
      </c>
      <c r="H510" s="115" t="e">
        <v>#N/A</v>
      </c>
      <c r="I510" s="118" t="s">
        <v>625</v>
      </c>
    </row>
    <row r="511" spans="1:9">
      <c r="A511" s="114">
        <v>40128</v>
      </c>
      <c r="B511" s="115">
        <v>99.67</v>
      </c>
      <c r="C511" s="115" t="s">
        <v>625</v>
      </c>
      <c r="D511" s="115" t="s">
        <v>625</v>
      </c>
      <c r="E511" s="115" t="s">
        <v>625</v>
      </c>
      <c r="F511" s="115" t="s">
        <v>625</v>
      </c>
      <c r="G511" s="121" t="s">
        <v>625</v>
      </c>
      <c r="H511" s="115" t="e">
        <v>#N/A</v>
      </c>
      <c r="I511" s="118" t="s">
        <v>625</v>
      </c>
    </row>
    <row r="512" spans="1:9">
      <c r="A512" s="114">
        <v>40129</v>
      </c>
      <c r="B512" s="115">
        <v>99.67</v>
      </c>
      <c r="C512" s="115" t="s">
        <v>625</v>
      </c>
      <c r="D512" s="115" t="s">
        <v>625</v>
      </c>
      <c r="E512" s="115" t="s">
        <v>625</v>
      </c>
      <c r="F512" s="115" t="s">
        <v>625</v>
      </c>
      <c r="G512" s="121" t="s">
        <v>625</v>
      </c>
      <c r="H512" s="115" t="e">
        <v>#N/A</v>
      </c>
      <c r="I512" s="118" t="s">
        <v>625</v>
      </c>
    </row>
    <row r="513" spans="1:9">
      <c r="A513" s="114">
        <v>40130</v>
      </c>
      <c r="B513" s="115">
        <v>99.67</v>
      </c>
      <c r="C513" s="115" t="s">
        <v>625</v>
      </c>
      <c r="D513" s="115" t="s">
        <v>625</v>
      </c>
      <c r="E513" s="115" t="s">
        <v>625</v>
      </c>
      <c r="F513" s="115" t="s">
        <v>625</v>
      </c>
      <c r="G513" s="121" t="s">
        <v>625</v>
      </c>
      <c r="H513" s="115" t="e">
        <v>#N/A</v>
      </c>
      <c r="I513" s="118" t="s">
        <v>625</v>
      </c>
    </row>
    <row r="514" spans="1:9">
      <c r="A514" s="114">
        <v>40133</v>
      </c>
      <c r="B514" s="115">
        <v>99.67</v>
      </c>
      <c r="C514" s="115" t="s">
        <v>625</v>
      </c>
      <c r="D514" s="115" t="s">
        <v>625</v>
      </c>
      <c r="E514" s="115" t="s">
        <v>625</v>
      </c>
      <c r="F514" s="115" t="s">
        <v>625</v>
      </c>
      <c r="G514" s="121" t="s">
        <v>625</v>
      </c>
      <c r="H514" s="115" t="e">
        <v>#N/A</v>
      </c>
      <c r="I514" s="118" t="s">
        <v>625</v>
      </c>
    </row>
    <row r="515" spans="1:9">
      <c r="A515" s="114">
        <v>40134</v>
      </c>
      <c r="B515" s="115">
        <v>99.67</v>
      </c>
      <c r="C515" s="115" t="s">
        <v>625</v>
      </c>
      <c r="D515" s="115" t="s">
        <v>625</v>
      </c>
      <c r="E515" s="115" t="s">
        <v>625</v>
      </c>
      <c r="F515" s="115" t="s">
        <v>625</v>
      </c>
      <c r="G515" s="121" t="s">
        <v>625</v>
      </c>
      <c r="H515" s="115" t="e">
        <v>#N/A</v>
      </c>
      <c r="I515" s="118" t="s">
        <v>625</v>
      </c>
    </row>
    <row r="516" spans="1:9">
      <c r="A516" s="114">
        <v>40135</v>
      </c>
      <c r="B516" s="115">
        <v>99.67</v>
      </c>
      <c r="C516" s="115" t="s">
        <v>625</v>
      </c>
      <c r="D516" s="115" t="s">
        <v>625</v>
      </c>
      <c r="E516" s="115" t="s">
        <v>625</v>
      </c>
      <c r="F516" s="115" t="s">
        <v>625</v>
      </c>
      <c r="G516" s="121" t="s">
        <v>625</v>
      </c>
      <c r="H516" s="115" t="e">
        <v>#N/A</v>
      </c>
      <c r="I516" s="118" t="s">
        <v>625</v>
      </c>
    </row>
    <row r="517" spans="1:9">
      <c r="A517" s="114">
        <v>40136</v>
      </c>
      <c r="B517" s="115">
        <v>99.67</v>
      </c>
      <c r="C517" s="115" t="s">
        <v>625</v>
      </c>
      <c r="D517" s="115" t="s">
        <v>625</v>
      </c>
      <c r="E517" s="115" t="s">
        <v>625</v>
      </c>
      <c r="F517" s="115" t="s">
        <v>625</v>
      </c>
      <c r="G517" s="121" t="s">
        <v>625</v>
      </c>
      <c r="H517" s="115" t="e">
        <v>#N/A</v>
      </c>
      <c r="I517" s="118" t="s">
        <v>625</v>
      </c>
    </row>
    <row r="518" spans="1:9">
      <c r="A518" s="114">
        <v>40137</v>
      </c>
      <c r="B518" s="115">
        <v>99.67</v>
      </c>
      <c r="C518" s="115" t="s">
        <v>625</v>
      </c>
      <c r="D518" s="115" t="s">
        <v>625</v>
      </c>
      <c r="E518" s="115" t="s">
        <v>625</v>
      </c>
      <c r="F518" s="115" t="s">
        <v>625</v>
      </c>
      <c r="G518" s="121" t="s">
        <v>625</v>
      </c>
      <c r="H518" s="115" t="e">
        <v>#N/A</v>
      </c>
      <c r="I518" s="118" t="s">
        <v>625</v>
      </c>
    </row>
    <row r="519" spans="1:9">
      <c r="A519" s="114">
        <v>40140</v>
      </c>
      <c r="B519" s="115">
        <v>99.67</v>
      </c>
      <c r="C519" s="115" t="s">
        <v>625</v>
      </c>
      <c r="D519" s="115" t="s">
        <v>625</v>
      </c>
      <c r="E519" s="115" t="s">
        <v>625</v>
      </c>
      <c r="F519" s="115" t="s">
        <v>625</v>
      </c>
      <c r="G519" s="121" t="s">
        <v>625</v>
      </c>
      <c r="H519" s="115" t="e">
        <v>#N/A</v>
      </c>
      <c r="I519" s="118" t="s">
        <v>625</v>
      </c>
    </row>
    <row r="520" spans="1:9">
      <c r="A520" s="114">
        <v>40141</v>
      </c>
      <c r="B520" s="115">
        <v>99.67</v>
      </c>
      <c r="C520" s="115" t="s">
        <v>625</v>
      </c>
      <c r="D520" s="115" t="s">
        <v>625</v>
      </c>
      <c r="E520" s="115" t="s">
        <v>625</v>
      </c>
      <c r="F520" s="115" t="s">
        <v>625</v>
      </c>
      <c r="G520" s="121" t="s">
        <v>625</v>
      </c>
      <c r="H520" s="115" t="e">
        <v>#N/A</v>
      </c>
      <c r="I520" s="118" t="s">
        <v>625</v>
      </c>
    </row>
    <row r="521" spans="1:9">
      <c r="A521" s="114">
        <v>40142</v>
      </c>
      <c r="B521" s="115">
        <v>99.67</v>
      </c>
      <c r="C521" s="115" t="s">
        <v>625</v>
      </c>
      <c r="D521" s="115" t="s">
        <v>625</v>
      </c>
      <c r="E521" s="115" t="s">
        <v>625</v>
      </c>
      <c r="F521" s="115" t="s">
        <v>625</v>
      </c>
      <c r="G521" s="121" t="s">
        <v>625</v>
      </c>
      <c r="H521" s="115" t="e">
        <v>#N/A</v>
      </c>
      <c r="I521" s="118" t="s">
        <v>625</v>
      </c>
    </row>
    <row r="522" spans="1:9">
      <c r="A522" s="114">
        <v>40143</v>
      </c>
      <c r="B522" s="115">
        <v>99.67</v>
      </c>
      <c r="C522" s="115" t="s">
        <v>625</v>
      </c>
      <c r="D522" s="115" t="s">
        <v>625</v>
      </c>
      <c r="E522" s="115" t="s">
        <v>625</v>
      </c>
      <c r="F522" s="115" t="s">
        <v>625</v>
      </c>
      <c r="G522" s="121" t="s">
        <v>625</v>
      </c>
      <c r="H522" s="115" t="e">
        <v>#N/A</v>
      </c>
      <c r="I522" s="118" t="s">
        <v>625</v>
      </c>
    </row>
    <row r="523" spans="1:9">
      <c r="A523" s="114">
        <v>40144</v>
      </c>
      <c r="B523" s="115">
        <v>99.67</v>
      </c>
      <c r="C523" s="115" t="s">
        <v>625</v>
      </c>
      <c r="D523" s="115" t="s">
        <v>625</v>
      </c>
      <c r="E523" s="115" t="s">
        <v>625</v>
      </c>
      <c r="F523" s="115" t="s">
        <v>625</v>
      </c>
      <c r="G523" s="121" t="s">
        <v>625</v>
      </c>
      <c r="H523" s="115" t="e">
        <v>#N/A</v>
      </c>
      <c r="I523" s="118" t="s">
        <v>625</v>
      </c>
    </row>
    <row r="524" spans="1:9">
      <c r="A524" s="114">
        <v>40147</v>
      </c>
      <c r="B524" s="115">
        <v>99.67</v>
      </c>
      <c r="C524" s="115" t="s">
        <v>625</v>
      </c>
      <c r="D524" s="115" t="s">
        <v>625</v>
      </c>
      <c r="E524" s="115" t="s">
        <v>625</v>
      </c>
      <c r="F524" s="115" t="s">
        <v>625</v>
      </c>
      <c r="G524" s="121" t="s">
        <v>625</v>
      </c>
      <c r="H524" s="115" t="e">
        <v>#N/A</v>
      </c>
      <c r="I524" s="118" t="s">
        <v>625</v>
      </c>
    </row>
    <row r="525" spans="1:9">
      <c r="A525" s="114">
        <v>40148</v>
      </c>
      <c r="B525" s="115">
        <v>99.67</v>
      </c>
      <c r="C525" s="115" t="s">
        <v>625</v>
      </c>
      <c r="D525" s="115" t="s">
        <v>625</v>
      </c>
      <c r="E525" s="115" t="s">
        <v>625</v>
      </c>
      <c r="F525" s="115" t="s">
        <v>625</v>
      </c>
      <c r="G525" s="121" t="s">
        <v>625</v>
      </c>
      <c r="H525" s="115" t="e">
        <v>#N/A</v>
      </c>
      <c r="I525" s="118" t="s">
        <v>625</v>
      </c>
    </row>
    <row r="526" spans="1:9">
      <c r="A526" s="114">
        <v>40149</v>
      </c>
      <c r="B526" s="115">
        <v>99.67</v>
      </c>
      <c r="C526" s="115" t="s">
        <v>625</v>
      </c>
      <c r="D526" s="115" t="s">
        <v>625</v>
      </c>
      <c r="E526" s="115" t="s">
        <v>625</v>
      </c>
      <c r="F526" s="115" t="s">
        <v>625</v>
      </c>
      <c r="G526" s="121" t="s">
        <v>625</v>
      </c>
      <c r="H526" s="115" t="e">
        <v>#N/A</v>
      </c>
      <c r="I526" s="118" t="s">
        <v>625</v>
      </c>
    </row>
    <row r="527" spans="1:9">
      <c r="A527" s="114">
        <v>40150</v>
      </c>
      <c r="B527" s="115">
        <v>99.67</v>
      </c>
      <c r="C527" s="115" t="s">
        <v>625</v>
      </c>
      <c r="D527" s="115" t="s">
        <v>625</v>
      </c>
      <c r="E527" s="115" t="s">
        <v>625</v>
      </c>
      <c r="F527" s="115" t="s">
        <v>625</v>
      </c>
      <c r="G527" s="121" t="s">
        <v>625</v>
      </c>
      <c r="H527" s="115" t="e">
        <v>#N/A</v>
      </c>
      <c r="I527" s="118" t="s">
        <v>625</v>
      </c>
    </row>
    <row r="528" spans="1:9">
      <c r="A528" s="114">
        <v>40151</v>
      </c>
      <c r="B528" s="115">
        <v>99.67</v>
      </c>
      <c r="C528" s="115" t="s">
        <v>625</v>
      </c>
      <c r="D528" s="115" t="s">
        <v>625</v>
      </c>
      <c r="E528" s="115" t="s">
        <v>625</v>
      </c>
      <c r="F528" s="115" t="s">
        <v>625</v>
      </c>
      <c r="G528" s="121" t="s">
        <v>625</v>
      </c>
      <c r="H528" s="115" t="e">
        <v>#N/A</v>
      </c>
      <c r="I528" s="118" t="s">
        <v>625</v>
      </c>
    </row>
    <row r="529" spans="1:9">
      <c r="A529" s="114">
        <v>40154</v>
      </c>
      <c r="B529" s="115">
        <v>99.67</v>
      </c>
      <c r="C529" s="115" t="s">
        <v>625</v>
      </c>
      <c r="D529" s="115" t="s">
        <v>625</v>
      </c>
      <c r="E529" s="115" t="s">
        <v>625</v>
      </c>
      <c r="F529" s="115" t="s">
        <v>625</v>
      </c>
      <c r="G529" s="121" t="s">
        <v>625</v>
      </c>
      <c r="H529" s="115" t="e">
        <v>#N/A</v>
      </c>
      <c r="I529" s="118" t="s">
        <v>625</v>
      </c>
    </row>
    <row r="530" spans="1:9">
      <c r="A530" s="114">
        <v>40155</v>
      </c>
      <c r="B530" s="115">
        <v>99.67</v>
      </c>
      <c r="C530" s="115" t="s">
        <v>625</v>
      </c>
      <c r="D530" s="115" t="s">
        <v>625</v>
      </c>
      <c r="E530" s="115" t="s">
        <v>625</v>
      </c>
      <c r="F530" s="115" t="s">
        <v>625</v>
      </c>
      <c r="G530" s="121" t="s">
        <v>625</v>
      </c>
      <c r="H530" s="115" t="e">
        <v>#N/A</v>
      </c>
      <c r="I530" s="118" t="s">
        <v>625</v>
      </c>
    </row>
    <row r="531" spans="1:9">
      <c r="A531" s="114">
        <v>40156</v>
      </c>
      <c r="B531" s="115">
        <v>99.67</v>
      </c>
      <c r="C531" s="115" t="s">
        <v>625</v>
      </c>
      <c r="D531" s="115" t="s">
        <v>625</v>
      </c>
      <c r="E531" s="115" t="s">
        <v>625</v>
      </c>
      <c r="F531" s="115" t="s">
        <v>625</v>
      </c>
      <c r="G531" s="121" t="s">
        <v>625</v>
      </c>
      <c r="H531" s="115" t="e">
        <v>#N/A</v>
      </c>
      <c r="I531" s="118" t="s">
        <v>625</v>
      </c>
    </row>
    <row r="532" spans="1:9">
      <c r="A532" s="114">
        <v>40157</v>
      </c>
      <c r="B532" s="115">
        <v>99.67</v>
      </c>
      <c r="C532" s="115" t="s">
        <v>625</v>
      </c>
      <c r="D532" s="115" t="s">
        <v>625</v>
      </c>
      <c r="E532" s="115" t="s">
        <v>625</v>
      </c>
      <c r="F532" s="115" t="s">
        <v>625</v>
      </c>
      <c r="G532" s="121" t="s">
        <v>625</v>
      </c>
      <c r="H532" s="115" t="e">
        <v>#N/A</v>
      </c>
      <c r="I532" s="118" t="s">
        <v>625</v>
      </c>
    </row>
    <row r="533" spans="1:9">
      <c r="A533" s="114">
        <v>40158</v>
      </c>
      <c r="B533" s="115">
        <v>99.67</v>
      </c>
      <c r="C533" s="115" t="s">
        <v>625</v>
      </c>
      <c r="D533" s="115" t="s">
        <v>625</v>
      </c>
      <c r="E533" s="115" t="s">
        <v>625</v>
      </c>
      <c r="F533" s="115" t="s">
        <v>625</v>
      </c>
      <c r="G533" s="121" t="s">
        <v>625</v>
      </c>
      <c r="H533" s="115" t="e">
        <v>#N/A</v>
      </c>
      <c r="I533" s="118" t="s">
        <v>625</v>
      </c>
    </row>
    <row r="534" spans="1:9">
      <c r="A534" s="114">
        <v>40161</v>
      </c>
      <c r="B534" s="115">
        <v>99.67</v>
      </c>
      <c r="C534" s="115" t="s">
        <v>625</v>
      </c>
      <c r="D534" s="115" t="s">
        <v>625</v>
      </c>
      <c r="E534" s="115" t="s">
        <v>625</v>
      </c>
      <c r="F534" s="115" t="s">
        <v>625</v>
      </c>
      <c r="G534" s="121" t="s">
        <v>625</v>
      </c>
      <c r="H534" s="115" t="e">
        <v>#N/A</v>
      </c>
      <c r="I534" s="118" t="s">
        <v>625</v>
      </c>
    </row>
    <row r="535" spans="1:9">
      <c r="A535" s="114">
        <v>40162</v>
      </c>
      <c r="B535" s="115">
        <v>100.35</v>
      </c>
      <c r="C535" s="115" t="s">
        <v>625</v>
      </c>
      <c r="D535" s="115" t="s">
        <v>625</v>
      </c>
      <c r="E535" s="115" t="s">
        <v>625</v>
      </c>
      <c r="F535" s="115" t="s">
        <v>625</v>
      </c>
      <c r="G535" s="121" t="s">
        <v>625</v>
      </c>
      <c r="H535" s="115" t="e">
        <v>#N/A</v>
      </c>
      <c r="I535" s="118" t="s">
        <v>625</v>
      </c>
    </row>
    <row r="536" spans="1:9">
      <c r="A536" s="114">
        <v>40163</v>
      </c>
      <c r="B536" s="115">
        <v>100.51</v>
      </c>
      <c r="C536" s="115" t="s">
        <v>625</v>
      </c>
      <c r="D536" s="115" t="s">
        <v>625</v>
      </c>
      <c r="E536" s="115" t="s">
        <v>625</v>
      </c>
      <c r="F536" s="115" t="s">
        <v>625</v>
      </c>
      <c r="G536" s="121" t="s">
        <v>625</v>
      </c>
      <c r="H536" s="115" t="e">
        <v>#N/A</v>
      </c>
      <c r="I536" s="118" t="s">
        <v>625</v>
      </c>
    </row>
    <row r="537" spans="1:9">
      <c r="A537" s="114">
        <v>40164</v>
      </c>
      <c r="B537" s="115">
        <v>100.51</v>
      </c>
      <c r="C537" s="115" t="s">
        <v>625</v>
      </c>
      <c r="D537" s="115" t="s">
        <v>625</v>
      </c>
      <c r="E537" s="115" t="s">
        <v>625</v>
      </c>
      <c r="F537" s="115" t="s">
        <v>625</v>
      </c>
      <c r="G537" s="121" t="s">
        <v>625</v>
      </c>
      <c r="H537" s="115" t="e">
        <v>#N/A</v>
      </c>
      <c r="I537" s="118" t="s">
        <v>625</v>
      </c>
    </row>
    <row r="538" spans="1:9">
      <c r="A538" s="114">
        <v>40165</v>
      </c>
      <c r="B538" s="115">
        <v>100.51</v>
      </c>
      <c r="C538" s="115" t="s">
        <v>625</v>
      </c>
      <c r="D538" s="115" t="s">
        <v>625</v>
      </c>
      <c r="E538" s="115" t="s">
        <v>625</v>
      </c>
      <c r="F538" s="115" t="s">
        <v>625</v>
      </c>
      <c r="G538" s="121" t="s">
        <v>625</v>
      </c>
      <c r="H538" s="115" t="e">
        <v>#N/A</v>
      </c>
      <c r="I538" s="118" t="s">
        <v>625</v>
      </c>
    </row>
    <row r="539" spans="1:9">
      <c r="A539" s="114">
        <v>40168</v>
      </c>
      <c r="B539" s="115">
        <v>100.51</v>
      </c>
      <c r="C539" s="115" t="s">
        <v>625</v>
      </c>
      <c r="D539" s="115" t="s">
        <v>625</v>
      </c>
      <c r="E539" s="115" t="s">
        <v>625</v>
      </c>
      <c r="F539" s="115" t="s">
        <v>625</v>
      </c>
      <c r="G539" s="121" t="s">
        <v>625</v>
      </c>
      <c r="H539" s="115" t="e">
        <v>#N/A</v>
      </c>
      <c r="I539" s="118" t="s">
        <v>625</v>
      </c>
    </row>
    <row r="540" spans="1:9">
      <c r="A540" s="114">
        <v>40169</v>
      </c>
      <c r="B540" s="115">
        <v>100.51</v>
      </c>
      <c r="C540" s="115" t="s">
        <v>625</v>
      </c>
      <c r="D540" s="115" t="s">
        <v>625</v>
      </c>
      <c r="E540" s="115" t="s">
        <v>625</v>
      </c>
      <c r="F540" s="115" t="s">
        <v>625</v>
      </c>
      <c r="G540" s="121" t="s">
        <v>625</v>
      </c>
      <c r="H540" s="115" t="e">
        <v>#N/A</v>
      </c>
      <c r="I540" s="118" t="s">
        <v>625</v>
      </c>
    </row>
    <row r="541" spans="1:9">
      <c r="A541" s="114">
        <v>40170</v>
      </c>
      <c r="B541" s="115">
        <v>100.51</v>
      </c>
      <c r="C541" s="115" t="s">
        <v>625</v>
      </c>
      <c r="D541" s="115" t="s">
        <v>625</v>
      </c>
      <c r="E541" s="115" t="s">
        <v>625</v>
      </c>
      <c r="F541" s="115" t="s">
        <v>625</v>
      </c>
      <c r="G541" s="121" t="s">
        <v>625</v>
      </c>
      <c r="H541" s="115" t="e">
        <v>#N/A</v>
      </c>
      <c r="I541" s="118" t="s">
        <v>625</v>
      </c>
    </row>
    <row r="542" spans="1:9">
      <c r="A542" s="114">
        <v>40171</v>
      </c>
      <c r="B542" s="115">
        <v>100.51</v>
      </c>
      <c r="C542" s="115" t="s">
        <v>625</v>
      </c>
      <c r="D542" s="115" t="s">
        <v>625</v>
      </c>
      <c r="E542" s="115" t="s">
        <v>625</v>
      </c>
      <c r="F542" s="115" t="s">
        <v>625</v>
      </c>
      <c r="G542" s="121" t="s">
        <v>625</v>
      </c>
      <c r="H542" s="115" t="e">
        <v>#N/A</v>
      </c>
      <c r="I542" s="118" t="s">
        <v>625</v>
      </c>
    </row>
    <row r="543" spans="1:9">
      <c r="A543" s="114">
        <v>40172</v>
      </c>
      <c r="B543" s="115">
        <v>100.51</v>
      </c>
      <c r="C543" s="115" t="s">
        <v>625</v>
      </c>
      <c r="D543" s="115" t="s">
        <v>625</v>
      </c>
      <c r="E543" s="115" t="s">
        <v>625</v>
      </c>
      <c r="F543" s="115" t="s">
        <v>625</v>
      </c>
      <c r="G543" s="121" t="s">
        <v>625</v>
      </c>
      <c r="H543" s="115" t="e">
        <v>#N/A</v>
      </c>
      <c r="I543" s="118" t="s">
        <v>625</v>
      </c>
    </row>
    <row r="544" spans="1:9">
      <c r="A544" s="114">
        <v>40175</v>
      </c>
      <c r="B544" s="115">
        <v>100.6</v>
      </c>
      <c r="C544" s="115" t="s">
        <v>625</v>
      </c>
      <c r="D544" s="115" t="s">
        <v>625</v>
      </c>
      <c r="E544" s="115" t="s">
        <v>625</v>
      </c>
      <c r="F544" s="115" t="s">
        <v>625</v>
      </c>
      <c r="G544" s="121" t="s">
        <v>625</v>
      </c>
      <c r="H544" s="115" t="e">
        <v>#N/A</v>
      </c>
      <c r="I544" s="118" t="s">
        <v>625</v>
      </c>
    </row>
    <row r="545" spans="1:9">
      <c r="A545" s="114">
        <v>40176</v>
      </c>
      <c r="B545" s="115">
        <v>100.6</v>
      </c>
      <c r="C545" s="115" t="s">
        <v>625</v>
      </c>
      <c r="D545" s="115" t="s">
        <v>625</v>
      </c>
      <c r="E545" s="115" t="s">
        <v>625</v>
      </c>
      <c r="F545" s="115" t="s">
        <v>625</v>
      </c>
      <c r="G545" s="121" t="s">
        <v>625</v>
      </c>
      <c r="H545" s="115" t="e">
        <v>#N/A</v>
      </c>
      <c r="I545" s="118" t="s">
        <v>625</v>
      </c>
    </row>
    <row r="546" spans="1:9">
      <c r="A546" s="114">
        <v>40177</v>
      </c>
      <c r="B546" s="115">
        <v>100.55</v>
      </c>
      <c r="C546" s="115" t="s">
        <v>625</v>
      </c>
      <c r="D546" s="115" t="s">
        <v>625</v>
      </c>
      <c r="E546" s="115" t="s">
        <v>625</v>
      </c>
      <c r="F546" s="115" t="s">
        <v>625</v>
      </c>
      <c r="G546" s="121" t="s">
        <v>625</v>
      </c>
      <c r="H546" s="115" t="e">
        <v>#N/A</v>
      </c>
      <c r="I546" s="118" t="s">
        <v>625</v>
      </c>
    </row>
    <row r="547" spans="1:9">
      <c r="A547" s="114">
        <v>40178</v>
      </c>
      <c r="B547" s="115">
        <v>100.55</v>
      </c>
      <c r="C547" s="115" t="s">
        <v>625</v>
      </c>
      <c r="D547" s="115" t="s">
        <v>625</v>
      </c>
      <c r="E547" s="115" t="s">
        <v>625</v>
      </c>
      <c r="F547" s="115" t="s">
        <v>625</v>
      </c>
      <c r="G547" s="121" t="s">
        <v>625</v>
      </c>
      <c r="H547" s="115" t="e">
        <v>#N/A</v>
      </c>
      <c r="I547" s="118" t="s">
        <v>625</v>
      </c>
    </row>
    <row r="548" spans="1:9">
      <c r="A548" s="114">
        <v>40182</v>
      </c>
      <c r="B548" s="115">
        <v>100.55</v>
      </c>
      <c r="C548" s="115" t="s">
        <v>625</v>
      </c>
      <c r="D548" s="115" t="s">
        <v>625</v>
      </c>
      <c r="E548" s="115" t="s">
        <v>625</v>
      </c>
      <c r="F548" s="115" t="s">
        <v>625</v>
      </c>
      <c r="G548" s="121" t="s">
        <v>625</v>
      </c>
      <c r="H548" s="115" t="e">
        <v>#N/A</v>
      </c>
      <c r="I548" s="118" t="s">
        <v>625</v>
      </c>
    </row>
    <row r="549" spans="1:9">
      <c r="A549" s="114">
        <v>40183</v>
      </c>
      <c r="B549" s="115">
        <v>100.55</v>
      </c>
      <c r="C549" s="115" t="s">
        <v>625</v>
      </c>
      <c r="D549" s="115" t="s">
        <v>625</v>
      </c>
      <c r="E549" s="115" t="s">
        <v>625</v>
      </c>
      <c r="F549" s="115" t="s">
        <v>625</v>
      </c>
      <c r="G549" s="121" t="s">
        <v>625</v>
      </c>
      <c r="H549" s="115" t="e">
        <v>#N/A</v>
      </c>
      <c r="I549" s="118" t="s">
        <v>625</v>
      </c>
    </row>
    <row r="550" spans="1:9">
      <c r="A550" s="114">
        <v>40184</v>
      </c>
      <c r="B550" s="115">
        <v>100.55</v>
      </c>
      <c r="C550" s="115" t="s">
        <v>625</v>
      </c>
      <c r="D550" s="115" t="s">
        <v>625</v>
      </c>
      <c r="E550" s="115" t="s">
        <v>625</v>
      </c>
      <c r="F550" s="115" t="s">
        <v>625</v>
      </c>
      <c r="G550" s="121" t="s">
        <v>625</v>
      </c>
      <c r="H550" s="115" t="e">
        <v>#N/A</v>
      </c>
      <c r="I550" s="118" t="s">
        <v>625</v>
      </c>
    </row>
    <row r="551" spans="1:9">
      <c r="A551" s="114">
        <v>40185</v>
      </c>
      <c r="B551" s="115">
        <v>100.55</v>
      </c>
      <c r="C551" s="115" t="s">
        <v>625</v>
      </c>
      <c r="D551" s="115" t="s">
        <v>625</v>
      </c>
      <c r="E551" s="115" t="s">
        <v>625</v>
      </c>
      <c r="F551" s="115" t="s">
        <v>625</v>
      </c>
      <c r="G551" s="121" t="s">
        <v>625</v>
      </c>
      <c r="H551" s="115" t="e">
        <v>#N/A</v>
      </c>
      <c r="I551" s="118" t="s">
        <v>625</v>
      </c>
    </row>
    <row r="552" spans="1:9">
      <c r="A552" s="114">
        <v>40186</v>
      </c>
      <c r="B552" s="115">
        <v>100.55</v>
      </c>
      <c r="C552" s="115" t="s">
        <v>625</v>
      </c>
      <c r="D552" s="115" t="s">
        <v>625</v>
      </c>
      <c r="E552" s="115" t="s">
        <v>625</v>
      </c>
      <c r="F552" s="115" t="s">
        <v>625</v>
      </c>
      <c r="G552" s="121" t="s">
        <v>625</v>
      </c>
      <c r="H552" s="115" t="e">
        <v>#N/A</v>
      </c>
      <c r="I552" s="118" t="s">
        <v>625</v>
      </c>
    </row>
    <row r="553" spans="1:9">
      <c r="A553" s="114">
        <v>40189</v>
      </c>
      <c r="B553" s="115">
        <v>100.55</v>
      </c>
      <c r="C553" s="115" t="s">
        <v>625</v>
      </c>
      <c r="D553" s="115" t="s">
        <v>625</v>
      </c>
      <c r="E553" s="115" t="s">
        <v>625</v>
      </c>
      <c r="F553" s="115" t="s">
        <v>625</v>
      </c>
      <c r="G553" s="121" t="s">
        <v>625</v>
      </c>
      <c r="H553" s="115" t="e">
        <v>#N/A</v>
      </c>
      <c r="I553" s="118" t="s">
        <v>625</v>
      </c>
    </row>
    <row r="554" spans="1:9">
      <c r="A554" s="114">
        <v>40190</v>
      </c>
      <c r="B554" s="115">
        <v>100.55</v>
      </c>
      <c r="C554" s="115" t="s">
        <v>625</v>
      </c>
      <c r="D554" s="115" t="s">
        <v>625</v>
      </c>
      <c r="E554" s="115" t="s">
        <v>625</v>
      </c>
      <c r="F554" s="115" t="s">
        <v>625</v>
      </c>
      <c r="G554" s="121" t="s">
        <v>625</v>
      </c>
      <c r="H554" s="115" t="e">
        <v>#N/A</v>
      </c>
      <c r="I554" s="118" t="s">
        <v>625</v>
      </c>
    </row>
    <row r="555" spans="1:9">
      <c r="A555" s="114">
        <v>40191</v>
      </c>
      <c r="B555" s="115">
        <v>100.55</v>
      </c>
      <c r="C555" s="115" t="s">
        <v>625</v>
      </c>
      <c r="D555" s="115" t="s">
        <v>625</v>
      </c>
      <c r="E555" s="115" t="s">
        <v>625</v>
      </c>
      <c r="F555" s="115" t="s">
        <v>625</v>
      </c>
      <c r="G555" s="121" t="s">
        <v>625</v>
      </c>
      <c r="H555" s="115" t="e">
        <v>#N/A</v>
      </c>
      <c r="I555" s="118" t="s">
        <v>625</v>
      </c>
    </row>
    <row r="556" spans="1:9">
      <c r="A556" s="114">
        <v>40192</v>
      </c>
      <c r="B556" s="115">
        <v>100.55</v>
      </c>
      <c r="C556" s="115" t="s">
        <v>625</v>
      </c>
      <c r="D556" s="115" t="s">
        <v>625</v>
      </c>
      <c r="E556" s="115" t="s">
        <v>625</v>
      </c>
      <c r="F556" s="115" t="s">
        <v>625</v>
      </c>
      <c r="G556" s="121" t="s">
        <v>625</v>
      </c>
      <c r="H556" s="115" t="e">
        <v>#N/A</v>
      </c>
      <c r="I556" s="118" t="s">
        <v>625</v>
      </c>
    </row>
    <row r="557" spans="1:9">
      <c r="A557" s="114">
        <v>40193</v>
      </c>
      <c r="B557" s="115">
        <v>100.55</v>
      </c>
      <c r="C557" s="115" t="s">
        <v>625</v>
      </c>
      <c r="D557" s="115" t="s">
        <v>625</v>
      </c>
      <c r="E557" s="115" t="s">
        <v>625</v>
      </c>
      <c r="F557" s="115" t="s">
        <v>625</v>
      </c>
      <c r="G557" s="121" t="s">
        <v>625</v>
      </c>
      <c r="H557" s="115" t="e">
        <v>#N/A</v>
      </c>
      <c r="I557" s="118" t="s">
        <v>625</v>
      </c>
    </row>
    <row r="558" spans="1:9">
      <c r="A558" s="114">
        <v>40196</v>
      </c>
      <c r="B558" s="115">
        <v>100.55</v>
      </c>
      <c r="C558" s="115" t="s">
        <v>625</v>
      </c>
      <c r="D558" s="115" t="s">
        <v>625</v>
      </c>
      <c r="E558" s="115" t="s">
        <v>625</v>
      </c>
      <c r="F558" s="115" t="s">
        <v>625</v>
      </c>
      <c r="G558" s="121" t="s">
        <v>625</v>
      </c>
      <c r="H558" s="115" t="e">
        <v>#N/A</v>
      </c>
      <c r="I558" s="118" t="s">
        <v>625</v>
      </c>
    </row>
    <row r="559" spans="1:9">
      <c r="A559" s="114">
        <v>40197</v>
      </c>
      <c r="B559" s="115">
        <v>100.55</v>
      </c>
      <c r="C559" s="115" t="s">
        <v>625</v>
      </c>
      <c r="D559" s="115" t="s">
        <v>625</v>
      </c>
      <c r="E559" s="115" t="s">
        <v>625</v>
      </c>
      <c r="F559" s="115" t="s">
        <v>625</v>
      </c>
      <c r="G559" s="121" t="s">
        <v>625</v>
      </c>
      <c r="H559" s="115" t="e">
        <v>#N/A</v>
      </c>
      <c r="I559" s="118" t="s">
        <v>625</v>
      </c>
    </row>
    <row r="560" spans="1:9">
      <c r="A560" s="114">
        <v>40198</v>
      </c>
      <c r="B560" s="115">
        <v>100.55</v>
      </c>
      <c r="C560" s="115" t="s">
        <v>625</v>
      </c>
      <c r="D560" s="115" t="s">
        <v>625</v>
      </c>
      <c r="E560" s="115" t="s">
        <v>625</v>
      </c>
      <c r="F560" s="115" t="s">
        <v>625</v>
      </c>
      <c r="G560" s="121" t="s">
        <v>625</v>
      </c>
      <c r="H560" s="115" t="e">
        <v>#N/A</v>
      </c>
      <c r="I560" s="118" t="s">
        <v>625</v>
      </c>
    </row>
    <row r="561" spans="1:9">
      <c r="A561" s="114">
        <v>40199</v>
      </c>
      <c r="B561" s="115">
        <v>100.55</v>
      </c>
      <c r="C561" s="115" t="s">
        <v>625</v>
      </c>
      <c r="D561" s="115" t="s">
        <v>625</v>
      </c>
      <c r="E561" s="115" t="s">
        <v>625</v>
      </c>
      <c r="F561" s="115" t="s">
        <v>625</v>
      </c>
      <c r="G561" s="121" t="s">
        <v>625</v>
      </c>
      <c r="H561" s="115" t="e">
        <v>#N/A</v>
      </c>
      <c r="I561" s="118" t="s">
        <v>625</v>
      </c>
    </row>
    <row r="562" spans="1:9">
      <c r="A562" s="114">
        <v>40200</v>
      </c>
      <c r="B562" s="115">
        <v>100.55</v>
      </c>
      <c r="C562" s="115" t="s">
        <v>625</v>
      </c>
      <c r="D562" s="115" t="s">
        <v>625</v>
      </c>
      <c r="E562" s="115" t="s">
        <v>625</v>
      </c>
      <c r="F562" s="115" t="s">
        <v>625</v>
      </c>
      <c r="G562" s="121" t="s">
        <v>625</v>
      </c>
      <c r="H562" s="115" t="e">
        <v>#N/A</v>
      </c>
      <c r="I562" s="118" t="s">
        <v>625</v>
      </c>
    </row>
    <row r="563" spans="1:9">
      <c r="A563" s="114">
        <v>40203</v>
      </c>
      <c r="B563" s="115">
        <v>100.55</v>
      </c>
      <c r="C563" s="115" t="s">
        <v>625</v>
      </c>
      <c r="D563" s="115" t="s">
        <v>625</v>
      </c>
      <c r="E563" s="115" t="s">
        <v>625</v>
      </c>
      <c r="F563" s="115" t="s">
        <v>625</v>
      </c>
      <c r="G563" s="121" t="s">
        <v>625</v>
      </c>
      <c r="H563" s="115" t="e">
        <v>#N/A</v>
      </c>
      <c r="I563" s="118" t="s">
        <v>625</v>
      </c>
    </row>
    <row r="564" spans="1:9">
      <c r="A564" s="114">
        <v>40204</v>
      </c>
      <c r="B564" s="115">
        <v>100.55</v>
      </c>
      <c r="C564" s="115" t="s">
        <v>625</v>
      </c>
      <c r="D564" s="115" t="s">
        <v>625</v>
      </c>
      <c r="E564" s="115" t="s">
        <v>625</v>
      </c>
      <c r="F564" s="115" t="s">
        <v>625</v>
      </c>
      <c r="G564" s="121" t="s">
        <v>625</v>
      </c>
      <c r="H564" s="115" t="e">
        <v>#N/A</v>
      </c>
      <c r="I564" s="118" t="s">
        <v>625</v>
      </c>
    </row>
    <row r="565" spans="1:9">
      <c r="A565" s="114">
        <v>40205</v>
      </c>
      <c r="B565" s="115">
        <v>100.55</v>
      </c>
      <c r="C565" s="115" t="s">
        <v>625</v>
      </c>
      <c r="D565" s="115" t="s">
        <v>625</v>
      </c>
      <c r="E565" s="115" t="s">
        <v>625</v>
      </c>
      <c r="F565" s="115" t="s">
        <v>625</v>
      </c>
      <c r="G565" s="121" t="s">
        <v>625</v>
      </c>
      <c r="H565" s="115" t="e">
        <v>#N/A</v>
      </c>
      <c r="I565" s="118" t="s">
        <v>625</v>
      </c>
    </row>
    <row r="566" spans="1:9">
      <c r="A566" s="114">
        <v>40206</v>
      </c>
      <c r="B566" s="115">
        <v>100.55</v>
      </c>
      <c r="C566" s="115" t="s">
        <v>625</v>
      </c>
      <c r="D566" s="115" t="s">
        <v>625</v>
      </c>
      <c r="E566" s="115" t="s">
        <v>625</v>
      </c>
      <c r="F566" s="115" t="s">
        <v>625</v>
      </c>
      <c r="G566" s="121" t="s">
        <v>625</v>
      </c>
      <c r="H566" s="115" t="e">
        <v>#N/A</v>
      </c>
      <c r="I566" s="118" t="s">
        <v>625</v>
      </c>
    </row>
    <row r="567" spans="1:9">
      <c r="A567" s="114">
        <v>40207</v>
      </c>
      <c r="B567" s="115">
        <v>100.55</v>
      </c>
      <c r="C567" s="115" t="s">
        <v>625</v>
      </c>
      <c r="D567" s="115" t="s">
        <v>625</v>
      </c>
      <c r="E567" s="115" t="s">
        <v>625</v>
      </c>
      <c r="F567" s="115" t="s">
        <v>625</v>
      </c>
      <c r="G567" s="121" t="s">
        <v>625</v>
      </c>
      <c r="H567" s="115" t="e">
        <v>#N/A</v>
      </c>
      <c r="I567" s="118" t="s">
        <v>625</v>
      </c>
    </row>
    <row r="568" spans="1:9">
      <c r="A568" s="114">
        <v>40210</v>
      </c>
      <c r="B568" s="115">
        <v>100.55</v>
      </c>
      <c r="C568" s="115" t="s">
        <v>625</v>
      </c>
      <c r="D568" s="115" t="s">
        <v>625</v>
      </c>
      <c r="E568" s="115" t="s">
        <v>625</v>
      </c>
      <c r="F568" s="115" t="s">
        <v>625</v>
      </c>
      <c r="G568" s="121" t="s">
        <v>625</v>
      </c>
      <c r="H568" s="115" t="e">
        <v>#N/A</v>
      </c>
      <c r="I568" s="118" t="s">
        <v>625</v>
      </c>
    </row>
    <row r="569" spans="1:9">
      <c r="A569" s="114">
        <v>40211</v>
      </c>
      <c r="B569" s="115">
        <v>100.55</v>
      </c>
      <c r="C569" s="115" t="s">
        <v>625</v>
      </c>
      <c r="D569" s="115" t="s">
        <v>625</v>
      </c>
      <c r="E569" s="115" t="s">
        <v>625</v>
      </c>
      <c r="F569" s="115" t="s">
        <v>625</v>
      </c>
      <c r="G569" s="121" t="s">
        <v>625</v>
      </c>
      <c r="H569" s="115" t="e">
        <v>#N/A</v>
      </c>
      <c r="I569" s="118" t="s">
        <v>625</v>
      </c>
    </row>
    <row r="570" spans="1:9">
      <c r="A570" s="114">
        <v>40212</v>
      </c>
      <c r="B570" s="115">
        <v>100.55</v>
      </c>
      <c r="C570" s="115" t="s">
        <v>625</v>
      </c>
      <c r="D570" s="115" t="s">
        <v>625</v>
      </c>
      <c r="E570" s="115" t="s">
        <v>625</v>
      </c>
      <c r="F570" s="115" t="s">
        <v>625</v>
      </c>
      <c r="G570" s="121" t="s">
        <v>625</v>
      </c>
      <c r="H570" s="115" t="e">
        <v>#N/A</v>
      </c>
      <c r="I570" s="118" t="s">
        <v>625</v>
      </c>
    </row>
    <row r="571" spans="1:9">
      <c r="A571" s="114">
        <v>40213</v>
      </c>
      <c r="B571" s="115">
        <v>100.55</v>
      </c>
      <c r="C571" s="115" t="s">
        <v>625</v>
      </c>
      <c r="D571" s="115" t="s">
        <v>625</v>
      </c>
      <c r="E571" s="115" t="s">
        <v>625</v>
      </c>
      <c r="F571" s="115" t="s">
        <v>625</v>
      </c>
      <c r="G571" s="121" t="s">
        <v>625</v>
      </c>
      <c r="H571" s="115" t="e">
        <v>#N/A</v>
      </c>
      <c r="I571" s="118" t="s">
        <v>625</v>
      </c>
    </row>
    <row r="572" spans="1:9">
      <c r="A572" s="114">
        <v>40214</v>
      </c>
      <c r="B572" s="115">
        <v>100.55</v>
      </c>
      <c r="C572" s="115" t="s">
        <v>625</v>
      </c>
      <c r="D572" s="115" t="s">
        <v>625</v>
      </c>
      <c r="E572" s="115" t="s">
        <v>625</v>
      </c>
      <c r="F572" s="115" t="s">
        <v>625</v>
      </c>
      <c r="G572" s="121" t="s">
        <v>625</v>
      </c>
      <c r="H572" s="115" t="e">
        <v>#N/A</v>
      </c>
      <c r="I572" s="118" t="s">
        <v>625</v>
      </c>
    </row>
    <row r="573" spans="1:9">
      <c r="A573" s="114">
        <v>40217</v>
      </c>
      <c r="B573" s="115">
        <v>100.55</v>
      </c>
      <c r="C573" s="115" t="s">
        <v>625</v>
      </c>
      <c r="D573" s="115" t="s">
        <v>625</v>
      </c>
      <c r="E573" s="115" t="s">
        <v>625</v>
      </c>
      <c r="F573" s="115" t="s">
        <v>625</v>
      </c>
      <c r="G573" s="121" t="s">
        <v>625</v>
      </c>
      <c r="H573" s="115" t="e">
        <v>#N/A</v>
      </c>
      <c r="I573" s="118" t="s">
        <v>625</v>
      </c>
    </row>
    <row r="574" spans="1:9">
      <c r="A574" s="114">
        <v>40218</v>
      </c>
      <c r="B574" s="115">
        <v>100.55</v>
      </c>
      <c r="C574" s="115" t="s">
        <v>625</v>
      </c>
      <c r="D574" s="115" t="s">
        <v>625</v>
      </c>
      <c r="E574" s="115" t="s">
        <v>625</v>
      </c>
      <c r="F574" s="115" t="s">
        <v>625</v>
      </c>
      <c r="G574" s="121" t="s">
        <v>625</v>
      </c>
      <c r="H574" s="115" t="e">
        <v>#N/A</v>
      </c>
      <c r="I574" s="118" t="s">
        <v>625</v>
      </c>
    </row>
    <row r="575" spans="1:9">
      <c r="A575" s="114">
        <v>40219</v>
      </c>
      <c r="B575" s="115">
        <v>100.55</v>
      </c>
      <c r="C575" s="115" t="s">
        <v>625</v>
      </c>
      <c r="D575" s="115" t="s">
        <v>625</v>
      </c>
      <c r="E575" s="115" t="s">
        <v>625</v>
      </c>
      <c r="F575" s="115" t="s">
        <v>625</v>
      </c>
      <c r="G575" s="121" t="s">
        <v>625</v>
      </c>
      <c r="H575" s="115" t="e">
        <v>#N/A</v>
      </c>
      <c r="I575" s="118" t="s">
        <v>625</v>
      </c>
    </row>
    <row r="576" spans="1:9">
      <c r="A576" s="114">
        <v>40220</v>
      </c>
      <c r="B576" s="115">
        <v>100.55</v>
      </c>
      <c r="C576" s="115" t="s">
        <v>625</v>
      </c>
      <c r="D576" s="115" t="s">
        <v>625</v>
      </c>
      <c r="E576" s="115" t="s">
        <v>625</v>
      </c>
      <c r="F576" s="115" t="s">
        <v>625</v>
      </c>
      <c r="G576" s="121" t="s">
        <v>625</v>
      </c>
      <c r="H576" s="115" t="e">
        <v>#N/A</v>
      </c>
      <c r="I576" s="118" t="s">
        <v>625</v>
      </c>
    </row>
    <row r="577" spans="1:9">
      <c r="A577" s="114">
        <v>40221</v>
      </c>
      <c r="B577" s="115">
        <v>100.55</v>
      </c>
      <c r="C577" s="115" t="s">
        <v>625</v>
      </c>
      <c r="D577" s="115" t="s">
        <v>625</v>
      </c>
      <c r="E577" s="115" t="s">
        <v>625</v>
      </c>
      <c r="F577" s="115" t="s">
        <v>625</v>
      </c>
      <c r="G577" s="121" t="s">
        <v>625</v>
      </c>
      <c r="H577" s="115" t="e">
        <v>#N/A</v>
      </c>
      <c r="I577" s="118" t="s">
        <v>625</v>
      </c>
    </row>
    <row r="578" spans="1:9">
      <c r="A578" s="114">
        <v>40229</v>
      </c>
      <c r="B578" s="115">
        <v>100.55</v>
      </c>
      <c r="C578" s="115" t="s">
        <v>625</v>
      </c>
      <c r="D578" s="115" t="s">
        <v>625</v>
      </c>
      <c r="E578" s="115" t="s">
        <v>625</v>
      </c>
      <c r="F578" s="115" t="s">
        <v>625</v>
      </c>
      <c r="G578" s="121" t="s">
        <v>625</v>
      </c>
      <c r="H578" s="115" t="e">
        <v>#N/A</v>
      </c>
      <c r="I578" s="118" t="s">
        <v>625</v>
      </c>
    </row>
    <row r="579" spans="1:9">
      <c r="A579" s="114">
        <v>40230</v>
      </c>
      <c r="B579" s="115">
        <v>100.55</v>
      </c>
      <c r="C579" s="115" t="s">
        <v>625</v>
      </c>
      <c r="D579" s="115" t="s">
        <v>625</v>
      </c>
      <c r="E579" s="115" t="s">
        <v>625</v>
      </c>
      <c r="F579" s="115" t="s">
        <v>625</v>
      </c>
      <c r="G579" s="121" t="s">
        <v>625</v>
      </c>
      <c r="H579" s="115" t="e">
        <v>#N/A</v>
      </c>
      <c r="I579" s="118" t="s">
        <v>625</v>
      </c>
    </row>
    <row r="580" spans="1:9">
      <c r="A580" s="114">
        <v>40231</v>
      </c>
      <c r="B580" s="115">
        <v>100.55</v>
      </c>
      <c r="C580" s="115" t="s">
        <v>625</v>
      </c>
      <c r="D580" s="115" t="s">
        <v>625</v>
      </c>
      <c r="E580" s="115" t="s">
        <v>625</v>
      </c>
      <c r="F580" s="115" t="s">
        <v>625</v>
      </c>
      <c r="G580" s="121" t="s">
        <v>625</v>
      </c>
      <c r="H580" s="115" t="e">
        <v>#N/A</v>
      </c>
      <c r="I580" s="118" t="s">
        <v>625</v>
      </c>
    </row>
    <row r="581" spans="1:9">
      <c r="A581" s="114">
        <v>40232</v>
      </c>
      <c r="B581" s="115">
        <v>100.55</v>
      </c>
      <c r="C581" s="115" t="s">
        <v>625</v>
      </c>
      <c r="D581" s="115" t="s">
        <v>625</v>
      </c>
      <c r="E581" s="115" t="s">
        <v>625</v>
      </c>
      <c r="F581" s="115" t="s">
        <v>625</v>
      </c>
      <c r="G581" s="121" t="s">
        <v>625</v>
      </c>
      <c r="H581" s="115" t="e">
        <v>#N/A</v>
      </c>
      <c r="I581" s="118" t="s">
        <v>625</v>
      </c>
    </row>
    <row r="582" spans="1:9">
      <c r="A582" s="114">
        <v>40233</v>
      </c>
      <c r="B582" s="115">
        <v>100.55</v>
      </c>
      <c r="C582" s="115" t="s">
        <v>625</v>
      </c>
      <c r="D582" s="115" t="s">
        <v>625</v>
      </c>
      <c r="E582" s="115" t="s">
        <v>625</v>
      </c>
      <c r="F582" s="115" t="s">
        <v>625</v>
      </c>
      <c r="G582" s="121" t="s">
        <v>625</v>
      </c>
      <c r="H582" s="115" t="e">
        <v>#N/A</v>
      </c>
      <c r="I582" s="118" t="s">
        <v>625</v>
      </c>
    </row>
    <row r="583" spans="1:9">
      <c r="A583" s="114">
        <v>40234</v>
      </c>
      <c r="B583" s="115">
        <v>100.55</v>
      </c>
      <c r="C583" s="115" t="s">
        <v>625</v>
      </c>
      <c r="D583" s="115" t="s">
        <v>625</v>
      </c>
      <c r="E583" s="115" t="s">
        <v>625</v>
      </c>
      <c r="F583" s="115" t="s">
        <v>625</v>
      </c>
      <c r="G583" s="121" t="s">
        <v>625</v>
      </c>
      <c r="H583" s="115" t="e">
        <v>#N/A</v>
      </c>
      <c r="I583" s="118" t="s">
        <v>625</v>
      </c>
    </row>
    <row r="584" spans="1:9">
      <c r="A584" s="114">
        <v>40235</v>
      </c>
      <c r="B584" s="115">
        <v>100.55</v>
      </c>
      <c r="C584" s="115" t="s">
        <v>625</v>
      </c>
      <c r="D584" s="115" t="s">
        <v>625</v>
      </c>
      <c r="E584" s="115" t="s">
        <v>625</v>
      </c>
      <c r="F584" s="115" t="s">
        <v>625</v>
      </c>
      <c r="G584" s="121" t="s">
        <v>625</v>
      </c>
      <c r="H584" s="115" t="e">
        <v>#N/A</v>
      </c>
      <c r="I584" s="118" t="s">
        <v>625</v>
      </c>
    </row>
    <row r="585" spans="1:9">
      <c r="A585" s="114">
        <v>40238</v>
      </c>
      <c r="B585" s="115">
        <v>102.21</v>
      </c>
      <c r="C585" s="115" t="s">
        <v>625</v>
      </c>
      <c r="D585" s="115" t="s">
        <v>625</v>
      </c>
      <c r="E585" s="115" t="s">
        <v>625</v>
      </c>
      <c r="F585" s="115" t="s">
        <v>625</v>
      </c>
      <c r="G585" s="121" t="s">
        <v>625</v>
      </c>
      <c r="H585" s="115" t="e">
        <v>#N/A</v>
      </c>
      <c r="I585" s="118" t="s">
        <v>625</v>
      </c>
    </row>
    <row r="586" spans="1:9">
      <c r="A586" s="114">
        <v>40239</v>
      </c>
      <c r="B586" s="115">
        <v>102.21</v>
      </c>
      <c r="C586" s="115" t="s">
        <v>625</v>
      </c>
      <c r="D586" s="115" t="s">
        <v>625</v>
      </c>
      <c r="E586" s="115" t="s">
        <v>625</v>
      </c>
      <c r="F586" s="115" t="s">
        <v>625</v>
      </c>
      <c r="G586" s="121" t="s">
        <v>625</v>
      </c>
      <c r="H586" s="115" t="e">
        <v>#N/A</v>
      </c>
      <c r="I586" s="118" t="s">
        <v>625</v>
      </c>
    </row>
    <row r="587" spans="1:9">
      <c r="A587" s="114">
        <v>40240</v>
      </c>
      <c r="B587" s="115">
        <v>102.21</v>
      </c>
      <c r="C587" s="115" t="s">
        <v>625</v>
      </c>
      <c r="D587" s="115" t="s">
        <v>625</v>
      </c>
      <c r="E587" s="115" t="s">
        <v>625</v>
      </c>
      <c r="F587" s="115" t="s">
        <v>625</v>
      </c>
      <c r="G587" s="121" t="s">
        <v>625</v>
      </c>
      <c r="H587" s="115" t="e">
        <v>#N/A</v>
      </c>
      <c r="I587" s="118" t="s">
        <v>625</v>
      </c>
    </row>
    <row r="588" spans="1:9">
      <c r="A588" s="114">
        <v>40241</v>
      </c>
      <c r="B588" s="115">
        <v>102.21</v>
      </c>
      <c r="C588" s="115" t="s">
        <v>625</v>
      </c>
      <c r="D588" s="115" t="s">
        <v>625</v>
      </c>
      <c r="E588" s="115" t="s">
        <v>625</v>
      </c>
      <c r="F588" s="115" t="s">
        <v>625</v>
      </c>
      <c r="G588" s="121" t="s">
        <v>625</v>
      </c>
      <c r="H588" s="115" t="e">
        <v>#N/A</v>
      </c>
      <c r="I588" s="118" t="s">
        <v>625</v>
      </c>
    </row>
    <row r="589" spans="1:9">
      <c r="A589" s="114">
        <v>40242</v>
      </c>
      <c r="B589" s="115">
        <v>102.21</v>
      </c>
      <c r="C589" s="115" t="s">
        <v>625</v>
      </c>
      <c r="D589" s="115" t="s">
        <v>625</v>
      </c>
      <c r="E589" s="115" t="s">
        <v>625</v>
      </c>
      <c r="F589" s="115" t="s">
        <v>625</v>
      </c>
      <c r="G589" s="121" t="s">
        <v>625</v>
      </c>
      <c r="H589" s="115" t="e">
        <v>#N/A</v>
      </c>
      <c r="I589" s="118" t="s">
        <v>625</v>
      </c>
    </row>
    <row r="590" spans="1:9">
      <c r="A590" s="114">
        <v>40245</v>
      </c>
      <c r="B590" s="115">
        <v>102.21</v>
      </c>
      <c r="C590" s="115" t="s">
        <v>625</v>
      </c>
      <c r="D590" s="115" t="s">
        <v>625</v>
      </c>
      <c r="E590" s="115" t="s">
        <v>625</v>
      </c>
      <c r="F590" s="115" t="s">
        <v>625</v>
      </c>
      <c r="G590" s="121" t="s">
        <v>625</v>
      </c>
      <c r="H590" s="115" t="e">
        <v>#N/A</v>
      </c>
      <c r="I590" s="118" t="s">
        <v>625</v>
      </c>
    </row>
    <row r="591" spans="1:9">
      <c r="A591" s="114">
        <v>40246</v>
      </c>
      <c r="B591" s="115">
        <v>102.21</v>
      </c>
      <c r="C591" s="115" t="s">
        <v>625</v>
      </c>
      <c r="D591" s="115" t="s">
        <v>625</v>
      </c>
      <c r="E591" s="115" t="s">
        <v>625</v>
      </c>
      <c r="F591" s="115" t="s">
        <v>625</v>
      </c>
      <c r="G591" s="121" t="s">
        <v>625</v>
      </c>
      <c r="H591" s="115" t="e">
        <v>#N/A</v>
      </c>
      <c r="I591" s="118" t="s">
        <v>625</v>
      </c>
    </row>
    <row r="592" spans="1:9">
      <c r="A592" s="114">
        <v>40247</v>
      </c>
      <c r="B592" s="115">
        <v>102.21</v>
      </c>
      <c r="C592" s="115" t="s">
        <v>625</v>
      </c>
      <c r="D592" s="115" t="s">
        <v>625</v>
      </c>
      <c r="E592" s="115" t="s">
        <v>625</v>
      </c>
      <c r="F592" s="115" t="s">
        <v>625</v>
      </c>
      <c r="G592" s="121" t="s">
        <v>625</v>
      </c>
      <c r="H592" s="115" t="e">
        <v>#N/A</v>
      </c>
      <c r="I592" s="118" t="s">
        <v>625</v>
      </c>
    </row>
    <row r="593" spans="1:9">
      <c r="A593" s="114">
        <v>40248</v>
      </c>
      <c r="B593" s="115">
        <v>102.21</v>
      </c>
      <c r="C593" s="115" t="s">
        <v>625</v>
      </c>
      <c r="D593" s="115" t="s">
        <v>625</v>
      </c>
      <c r="E593" s="115" t="s">
        <v>625</v>
      </c>
      <c r="F593" s="115" t="s">
        <v>625</v>
      </c>
      <c r="G593" s="121" t="s">
        <v>625</v>
      </c>
      <c r="H593" s="115" t="e">
        <v>#N/A</v>
      </c>
      <c r="I593" s="118" t="s">
        <v>625</v>
      </c>
    </row>
    <row r="594" spans="1:9">
      <c r="A594" s="114">
        <v>40249</v>
      </c>
      <c r="B594" s="115">
        <v>102.13</v>
      </c>
      <c r="C594" s="115" t="s">
        <v>625</v>
      </c>
      <c r="D594" s="115" t="s">
        <v>625</v>
      </c>
      <c r="E594" s="115" t="s">
        <v>625</v>
      </c>
      <c r="F594" s="115" t="s">
        <v>625</v>
      </c>
      <c r="G594" s="121" t="s">
        <v>625</v>
      </c>
      <c r="H594" s="115" t="e">
        <v>#N/A</v>
      </c>
      <c r="I594" s="118" t="s">
        <v>625</v>
      </c>
    </row>
    <row r="595" spans="1:9">
      <c r="A595" s="114">
        <v>40252</v>
      </c>
      <c r="B595" s="115">
        <v>102.13</v>
      </c>
      <c r="C595" s="115" t="s">
        <v>625</v>
      </c>
      <c r="D595" s="115" t="s">
        <v>625</v>
      </c>
      <c r="E595" s="115" t="s">
        <v>625</v>
      </c>
      <c r="F595" s="115" t="s">
        <v>625</v>
      </c>
      <c r="G595" s="121" t="s">
        <v>625</v>
      </c>
      <c r="H595" s="115" t="e">
        <v>#N/A</v>
      </c>
      <c r="I595" s="118" t="s">
        <v>625</v>
      </c>
    </row>
    <row r="596" spans="1:9">
      <c r="A596" s="114">
        <v>40253</v>
      </c>
      <c r="B596" s="115">
        <v>102.13</v>
      </c>
      <c r="C596" s="115" t="s">
        <v>625</v>
      </c>
      <c r="D596" s="115" t="s">
        <v>625</v>
      </c>
      <c r="E596" s="115" t="s">
        <v>625</v>
      </c>
      <c r="F596" s="115" t="s">
        <v>625</v>
      </c>
      <c r="G596" s="121" t="s">
        <v>625</v>
      </c>
      <c r="H596" s="115" t="e">
        <v>#N/A</v>
      </c>
      <c r="I596" s="118" t="s">
        <v>625</v>
      </c>
    </row>
    <row r="597" spans="1:9">
      <c r="A597" s="114">
        <v>40254</v>
      </c>
      <c r="B597" s="115">
        <v>102.13</v>
      </c>
      <c r="C597" s="115" t="s">
        <v>625</v>
      </c>
      <c r="D597" s="115" t="s">
        <v>625</v>
      </c>
      <c r="E597" s="115" t="s">
        <v>625</v>
      </c>
      <c r="F597" s="115" t="s">
        <v>625</v>
      </c>
      <c r="G597" s="121" t="s">
        <v>625</v>
      </c>
      <c r="H597" s="115" t="e">
        <v>#N/A</v>
      </c>
      <c r="I597" s="118" t="s">
        <v>625</v>
      </c>
    </row>
    <row r="598" spans="1:9">
      <c r="A598" s="114">
        <v>40255</v>
      </c>
      <c r="B598" s="115">
        <v>102.13</v>
      </c>
      <c r="C598" s="115" t="s">
        <v>625</v>
      </c>
      <c r="D598" s="115" t="s">
        <v>625</v>
      </c>
      <c r="E598" s="115" t="s">
        <v>625</v>
      </c>
      <c r="F598" s="115" t="s">
        <v>625</v>
      </c>
      <c r="G598" s="121" t="s">
        <v>625</v>
      </c>
      <c r="H598" s="115" t="e">
        <v>#N/A</v>
      </c>
      <c r="I598" s="118" t="s">
        <v>625</v>
      </c>
    </row>
    <row r="599" spans="1:9">
      <c r="A599" s="114">
        <v>40256</v>
      </c>
      <c r="B599" s="115">
        <v>102.13</v>
      </c>
      <c r="C599" s="115" t="s">
        <v>625</v>
      </c>
      <c r="D599" s="115" t="s">
        <v>625</v>
      </c>
      <c r="E599" s="115" t="s">
        <v>625</v>
      </c>
      <c r="F599" s="115" t="s">
        <v>625</v>
      </c>
      <c r="G599" s="121" t="s">
        <v>625</v>
      </c>
      <c r="H599" s="115" t="e">
        <v>#N/A</v>
      </c>
      <c r="I599" s="118" t="s">
        <v>625</v>
      </c>
    </row>
    <row r="600" spans="1:9">
      <c r="A600" s="114">
        <v>40259</v>
      </c>
      <c r="B600" s="115">
        <v>102.13</v>
      </c>
      <c r="C600" s="115" t="s">
        <v>625</v>
      </c>
      <c r="D600" s="115" t="s">
        <v>625</v>
      </c>
      <c r="E600" s="115" t="s">
        <v>625</v>
      </c>
      <c r="F600" s="115" t="s">
        <v>625</v>
      </c>
      <c r="G600" s="121" t="s">
        <v>625</v>
      </c>
      <c r="H600" s="115" t="e">
        <v>#N/A</v>
      </c>
      <c r="I600" s="118" t="s">
        <v>625</v>
      </c>
    </row>
    <row r="601" spans="1:9">
      <c r="A601" s="114">
        <v>40260</v>
      </c>
      <c r="B601" s="115">
        <v>102.13</v>
      </c>
      <c r="C601" s="115" t="s">
        <v>625</v>
      </c>
      <c r="D601" s="115" t="s">
        <v>625</v>
      </c>
      <c r="E601" s="115" t="s">
        <v>625</v>
      </c>
      <c r="F601" s="115" t="s">
        <v>625</v>
      </c>
      <c r="G601" s="121" t="s">
        <v>625</v>
      </c>
      <c r="H601" s="115" t="e">
        <v>#N/A</v>
      </c>
      <c r="I601" s="118" t="s">
        <v>625</v>
      </c>
    </row>
    <row r="602" spans="1:9">
      <c r="A602" s="114">
        <v>40261</v>
      </c>
      <c r="B602" s="115">
        <v>102.13</v>
      </c>
      <c r="C602" s="115" t="s">
        <v>625</v>
      </c>
      <c r="D602" s="115" t="s">
        <v>625</v>
      </c>
      <c r="E602" s="115" t="s">
        <v>625</v>
      </c>
      <c r="F602" s="115" t="s">
        <v>625</v>
      </c>
      <c r="G602" s="121" t="s">
        <v>625</v>
      </c>
      <c r="H602" s="115" t="e">
        <v>#N/A</v>
      </c>
      <c r="I602" s="118" t="s">
        <v>625</v>
      </c>
    </row>
    <row r="603" spans="1:9">
      <c r="A603" s="114">
        <v>40262</v>
      </c>
      <c r="B603" s="115">
        <v>102.13</v>
      </c>
      <c r="C603" s="115" t="s">
        <v>625</v>
      </c>
      <c r="D603" s="115" t="s">
        <v>625</v>
      </c>
      <c r="E603" s="115" t="s">
        <v>625</v>
      </c>
      <c r="F603" s="115" t="s">
        <v>625</v>
      </c>
      <c r="G603" s="121" t="s">
        <v>625</v>
      </c>
      <c r="H603" s="115" t="e">
        <v>#N/A</v>
      </c>
      <c r="I603" s="118" t="s">
        <v>625</v>
      </c>
    </row>
    <row r="604" spans="1:9">
      <c r="A604" s="114">
        <v>40263</v>
      </c>
      <c r="B604" s="115">
        <v>102.13</v>
      </c>
      <c r="C604" s="115" t="s">
        <v>625</v>
      </c>
      <c r="D604" s="115" t="s">
        <v>625</v>
      </c>
      <c r="E604" s="115" t="s">
        <v>625</v>
      </c>
      <c r="F604" s="115" t="s">
        <v>625</v>
      </c>
      <c r="G604" s="121" t="s">
        <v>625</v>
      </c>
      <c r="H604" s="115" t="e">
        <v>#N/A</v>
      </c>
      <c r="I604" s="118" t="s">
        <v>625</v>
      </c>
    </row>
    <row r="605" spans="1:9">
      <c r="A605" s="114">
        <v>40266</v>
      </c>
      <c r="B605" s="115">
        <v>102.13</v>
      </c>
      <c r="C605" s="115" t="s">
        <v>625</v>
      </c>
      <c r="D605" s="115" t="s">
        <v>625</v>
      </c>
      <c r="E605" s="115" t="s">
        <v>625</v>
      </c>
      <c r="F605" s="115" t="s">
        <v>625</v>
      </c>
      <c r="G605" s="121" t="s">
        <v>625</v>
      </c>
      <c r="H605" s="115" t="e">
        <v>#N/A</v>
      </c>
      <c r="I605" s="118" t="s">
        <v>625</v>
      </c>
    </row>
    <row r="606" spans="1:9">
      <c r="A606" s="114">
        <v>40267</v>
      </c>
      <c r="B606" s="115">
        <v>102.13</v>
      </c>
      <c r="C606" s="115" t="s">
        <v>625</v>
      </c>
      <c r="D606" s="115" t="s">
        <v>625</v>
      </c>
      <c r="E606" s="115" t="s">
        <v>625</v>
      </c>
      <c r="F606" s="115" t="s">
        <v>625</v>
      </c>
      <c r="G606" s="121" t="s">
        <v>625</v>
      </c>
      <c r="H606" s="115" t="e">
        <v>#N/A</v>
      </c>
      <c r="I606" s="118" t="s">
        <v>625</v>
      </c>
    </row>
    <row r="607" spans="1:9">
      <c r="A607" s="114">
        <v>40268</v>
      </c>
      <c r="B607" s="115">
        <v>102.13</v>
      </c>
      <c r="C607" s="115" t="s">
        <v>625</v>
      </c>
      <c r="D607" s="115" t="s">
        <v>625</v>
      </c>
      <c r="E607" s="115" t="s">
        <v>625</v>
      </c>
      <c r="F607" s="115" t="s">
        <v>625</v>
      </c>
      <c r="G607" s="121" t="s">
        <v>625</v>
      </c>
      <c r="H607" s="115" t="e">
        <v>#N/A</v>
      </c>
      <c r="I607" s="118" t="s">
        <v>625</v>
      </c>
    </row>
    <row r="608" spans="1:9">
      <c r="A608" s="114">
        <v>40269</v>
      </c>
      <c r="B608" s="115">
        <v>102.13</v>
      </c>
      <c r="C608" s="115" t="s">
        <v>625</v>
      </c>
      <c r="D608" s="115" t="s">
        <v>625</v>
      </c>
      <c r="E608" s="115" t="s">
        <v>625</v>
      </c>
      <c r="F608" s="115" t="s">
        <v>625</v>
      </c>
      <c r="G608" s="121" t="s">
        <v>625</v>
      </c>
      <c r="H608" s="115" t="e">
        <v>#N/A</v>
      </c>
      <c r="I608" s="118" t="s">
        <v>625</v>
      </c>
    </row>
    <row r="609" spans="1:9">
      <c r="A609" s="114">
        <v>40270</v>
      </c>
      <c r="B609" s="115">
        <v>102.13</v>
      </c>
      <c r="C609" s="115" t="s">
        <v>625</v>
      </c>
      <c r="D609" s="115" t="s">
        <v>625</v>
      </c>
      <c r="E609" s="115" t="s">
        <v>625</v>
      </c>
      <c r="F609" s="115" t="s">
        <v>625</v>
      </c>
      <c r="G609" s="121" t="s">
        <v>625</v>
      </c>
      <c r="H609" s="115" t="e">
        <v>#N/A</v>
      </c>
      <c r="I609" s="118" t="s">
        <v>625</v>
      </c>
    </row>
    <row r="610" spans="1:9">
      <c r="A610" s="114">
        <v>40274</v>
      </c>
      <c r="B610" s="115">
        <v>102.13</v>
      </c>
      <c r="C610" s="115" t="s">
        <v>625</v>
      </c>
      <c r="D610" s="115" t="s">
        <v>625</v>
      </c>
      <c r="E610" s="115" t="s">
        <v>625</v>
      </c>
      <c r="F610" s="115" t="s">
        <v>625</v>
      </c>
      <c r="G610" s="121" t="s">
        <v>625</v>
      </c>
      <c r="H610" s="115" t="e">
        <v>#N/A</v>
      </c>
      <c r="I610" s="118" t="s">
        <v>625</v>
      </c>
    </row>
    <row r="611" spans="1:9">
      <c r="A611" s="114">
        <v>40275</v>
      </c>
      <c r="B611" s="115">
        <v>102.13</v>
      </c>
      <c r="C611" s="115" t="s">
        <v>625</v>
      </c>
      <c r="D611" s="115" t="s">
        <v>625</v>
      </c>
      <c r="E611" s="115" t="s">
        <v>625</v>
      </c>
      <c r="F611" s="115" t="s">
        <v>625</v>
      </c>
      <c r="G611" s="121" t="s">
        <v>625</v>
      </c>
      <c r="H611" s="115" t="e">
        <v>#N/A</v>
      </c>
      <c r="I611" s="118" t="s">
        <v>625</v>
      </c>
    </row>
    <row r="612" spans="1:9">
      <c r="A612" s="114">
        <v>40276</v>
      </c>
      <c r="B612" s="115">
        <v>102.13</v>
      </c>
      <c r="C612" s="115" t="s">
        <v>625</v>
      </c>
      <c r="D612" s="115" t="s">
        <v>625</v>
      </c>
      <c r="E612" s="115" t="s">
        <v>625</v>
      </c>
      <c r="F612" s="115" t="s">
        <v>625</v>
      </c>
      <c r="G612" s="121" t="s">
        <v>625</v>
      </c>
      <c r="H612" s="115" t="e">
        <v>#N/A</v>
      </c>
      <c r="I612" s="118" t="s">
        <v>625</v>
      </c>
    </row>
    <row r="613" spans="1:9">
      <c r="A613" s="114">
        <v>40277</v>
      </c>
      <c r="B613" s="115">
        <v>102.13</v>
      </c>
      <c r="C613" s="115" t="s">
        <v>625</v>
      </c>
      <c r="D613" s="115" t="s">
        <v>625</v>
      </c>
      <c r="E613" s="115" t="s">
        <v>625</v>
      </c>
      <c r="F613" s="115" t="s">
        <v>625</v>
      </c>
      <c r="G613" s="121" t="s">
        <v>625</v>
      </c>
      <c r="H613" s="115" t="e">
        <v>#N/A</v>
      </c>
      <c r="I613" s="118" t="s">
        <v>625</v>
      </c>
    </row>
    <row r="614" spans="1:9">
      <c r="A614" s="114">
        <v>40280</v>
      </c>
      <c r="B614" s="115">
        <v>102.13</v>
      </c>
      <c r="C614" s="115" t="s">
        <v>625</v>
      </c>
      <c r="D614" s="115" t="s">
        <v>625</v>
      </c>
      <c r="E614" s="115" t="s">
        <v>625</v>
      </c>
      <c r="F614" s="115" t="s">
        <v>625</v>
      </c>
      <c r="G614" s="121" t="s">
        <v>625</v>
      </c>
      <c r="H614" s="115" t="e">
        <v>#N/A</v>
      </c>
      <c r="I614" s="118" t="s">
        <v>625</v>
      </c>
    </row>
    <row r="615" spans="1:9">
      <c r="A615" s="114">
        <v>40281</v>
      </c>
      <c r="B615" s="115">
        <v>102.13</v>
      </c>
      <c r="C615" s="115" t="s">
        <v>625</v>
      </c>
      <c r="D615" s="115" t="s">
        <v>625</v>
      </c>
      <c r="E615" s="115" t="s">
        <v>625</v>
      </c>
      <c r="F615" s="115" t="s">
        <v>625</v>
      </c>
      <c r="G615" s="121" t="s">
        <v>625</v>
      </c>
      <c r="H615" s="115" t="e">
        <v>#N/A</v>
      </c>
      <c r="I615" s="118" t="s">
        <v>625</v>
      </c>
    </row>
    <row r="616" spans="1:9">
      <c r="A616" s="114">
        <v>40282</v>
      </c>
      <c r="B616" s="115">
        <v>102.13</v>
      </c>
      <c r="C616" s="115" t="s">
        <v>625</v>
      </c>
      <c r="D616" s="115" t="s">
        <v>625</v>
      </c>
      <c r="E616" s="115" t="s">
        <v>625</v>
      </c>
      <c r="F616" s="115" t="s">
        <v>625</v>
      </c>
      <c r="G616" s="121" t="s">
        <v>625</v>
      </c>
      <c r="H616" s="115" t="e">
        <v>#N/A</v>
      </c>
      <c r="I616" s="118" t="s">
        <v>625</v>
      </c>
    </row>
    <row r="617" spans="1:9">
      <c r="A617" s="114">
        <v>40283</v>
      </c>
      <c r="B617" s="115">
        <v>102.13</v>
      </c>
      <c r="C617" s="115" t="s">
        <v>625</v>
      </c>
      <c r="D617" s="115" t="s">
        <v>625</v>
      </c>
      <c r="E617" s="115" t="s">
        <v>625</v>
      </c>
      <c r="F617" s="115" t="s">
        <v>625</v>
      </c>
      <c r="G617" s="121" t="s">
        <v>625</v>
      </c>
      <c r="H617" s="115" t="e">
        <v>#N/A</v>
      </c>
      <c r="I617" s="118" t="s">
        <v>625</v>
      </c>
    </row>
    <row r="618" spans="1:9">
      <c r="A618" s="114">
        <v>40284</v>
      </c>
      <c r="B618" s="115">
        <v>102.13</v>
      </c>
      <c r="C618" s="115" t="s">
        <v>625</v>
      </c>
      <c r="D618" s="115" t="s">
        <v>625</v>
      </c>
      <c r="E618" s="115" t="s">
        <v>625</v>
      </c>
      <c r="F618" s="115" t="s">
        <v>625</v>
      </c>
      <c r="G618" s="121" t="s">
        <v>625</v>
      </c>
      <c r="H618" s="115" t="e">
        <v>#N/A</v>
      </c>
      <c r="I618" s="118" t="s">
        <v>625</v>
      </c>
    </row>
    <row r="619" spans="1:9">
      <c r="A619" s="114">
        <v>40287</v>
      </c>
      <c r="B619" s="115">
        <v>102.13</v>
      </c>
      <c r="C619" s="115" t="s">
        <v>625</v>
      </c>
      <c r="D619" s="115" t="s">
        <v>625</v>
      </c>
      <c r="E619" s="115" t="s">
        <v>625</v>
      </c>
      <c r="F619" s="115" t="s">
        <v>625</v>
      </c>
      <c r="G619" s="121" t="s">
        <v>625</v>
      </c>
      <c r="H619" s="115" t="e">
        <v>#N/A</v>
      </c>
      <c r="I619" s="118" t="s">
        <v>625</v>
      </c>
    </row>
    <row r="620" spans="1:9">
      <c r="A620" s="114">
        <v>40288</v>
      </c>
      <c r="B620" s="115">
        <v>102.13</v>
      </c>
      <c r="C620" s="115" t="s">
        <v>625</v>
      </c>
      <c r="D620" s="115" t="s">
        <v>625</v>
      </c>
      <c r="E620" s="115" t="s">
        <v>625</v>
      </c>
      <c r="F620" s="115" t="s">
        <v>625</v>
      </c>
      <c r="G620" s="121" t="s">
        <v>625</v>
      </c>
      <c r="H620" s="115" t="e">
        <v>#N/A</v>
      </c>
      <c r="I620" s="118" t="s">
        <v>625</v>
      </c>
    </row>
    <row r="621" spans="1:9">
      <c r="A621" s="114">
        <v>40289</v>
      </c>
      <c r="B621" s="115">
        <v>102.13</v>
      </c>
      <c r="C621" s="115" t="s">
        <v>625</v>
      </c>
      <c r="D621" s="115" t="s">
        <v>625</v>
      </c>
      <c r="E621" s="115" t="s">
        <v>625</v>
      </c>
      <c r="F621" s="115" t="s">
        <v>625</v>
      </c>
      <c r="G621" s="121" t="s">
        <v>625</v>
      </c>
      <c r="H621" s="115" t="e">
        <v>#N/A</v>
      </c>
      <c r="I621" s="118" t="s">
        <v>625</v>
      </c>
    </row>
    <row r="622" spans="1:9">
      <c r="A622" s="114">
        <v>40290</v>
      </c>
      <c r="B622" s="115">
        <v>102.13</v>
      </c>
      <c r="C622" s="115" t="s">
        <v>625</v>
      </c>
      <c r="D622" s="115" t="s">
        <v>625</v>
      </c>
      <c r="E622" s="115" t="s">
        <v>625</v>
      </c>
      <c r="F622" s="115" t="s">
        <v>625</v>
      </c>
      <c r="G622" s="121" t="s">
        <v>625</v>
      </c>
      <c r="H622" s="115" t="e">
        <v>#N/A</v>
      </c>
      <c r="I622" s="118" t="s">
        <v>625</v>
      </c>
    </row>
    <row r="623" spans="1:9">
      <c r="A623" s="114">
        <v>40291</v>
      </c>
      <c r="B623" s="115">
        <v>102.13</v>
      </c>
      <c r="C623" s="115" t="s">
        <v>625</v>
      </c>
      <c r="D623" s="115" t="s">
        <v>625</v>
      </c>
      <c r="E623" s="115" t="s">
        <v>625</v>
      </c>
      <c r="F623" s="115" t="s">
        <v>625</v>
      </c>
      <c r="G623" s="121" t="s">
        <v>625</v>
      </c>
      <c r="H623" s="115" t="e">
        <v>#N/A</v>
      </c>
      <c r="I623" s="118" t="s">
        <v>625</v>
      </c>
    </row>
    <row r="624" spans="1:9">
      <c r="A624" s="114">
        <v>40294</v>
      </c>
      <c r="B624" s="115">
        <v>102.13</v>
      </c>
      <c r="C624" s="115" t="s">
        <v>625</v>
      </c>
      <c r="D624" s="115" t="s">
        <v>625</v>
      </c>
      <c r="E624" s="115" t="s">
        <v>625</v>
      </c>
      <c r="F624" s="115" t="s">
        <v>625</v>
      </c>
      <c r="G624" s="121" t="s">
        <v>625</v>
      </c>
      <c r="H624" s="115" t="e">
        <v>#N/A</v>
      </c>
      <c r="I624" s="118" t="s">
        <v>625</v>
      </c>
    </row>
    <row r="625" spans="1:9">
      <c r="A625" s="114">
        <v>40295</v>
      </c>
      <c r="B625" s="115">
        <v>102.13</v>
      </c>
      <c r="C625" s="115" t="s">
        <v>625</v>
      </c>
      <c r="D625" s="115" t="s">
        <v>625</v>
      </c>
      <c r="E625" s="115" t="s">
        <v>625</v>
      </c>
      <c r="F625" s="115" t="s">
        <v>625</v>
      </c>
      <c r="G625" s="121" t="s">
        <v>625</v>
      </c>
      <c r="H625" s="115" t="e">
        <v>#N/A</v>
      </c>
      <c r="I625" s="118" t="s">
        <v>625</v>
      </c>
    </row>
    <row r="626" spans="1:9">
      <c r="A626" s="114">
        <v>40296</v>
      </c>
      <c r="B626" s="115">
        <v>102.13</v>
      </c>
      <c r="C626" s="115" t="s">
        <v>625</v>
      </c>
      <c r="D626" s="115" t="s">
        <v>625</v>
      </c>
      <c r="E626" s="115" t="s">
        <v>625</v>
      </c>
      <c r="F626" s="115" t="s">
        <v>625</v>
      </c>
      <c r="G626" s="121" t="s">
        <v>625</v>
      </c>
      <c r="H626" s="115" t="e">
        <v>#N/A</v>
      </c>
      <c r="I626" s="118" t="s">
        <v>625</v>
      </c>
    </row>
    <row r="627" spans="1:9">
      <c r="A627" s="114">
        <v>40297</v>
      </c>
      <c r="B627" s="115">
        <v>102.13</v>
      </c>
      <c r="C627" s="115" t="s">
        <v>625</v>
      </c>
      <c r="D627" s="115" t="s">
        <v>625</v>
      </c>
      <c r="E627" s="115" t="s">
        <v>625</v>
      </c>
      <c r="F627" s="115" t="s">
        <v>625</v>
      </c>
      <c r="G627" s="121" t="s">
        <v>625</v>
      </c>
      <c r="H627" s="115" t="e">
        <v>#N/A</v>
      </c>
      <c r="I627" s="118" t="s">
        <v>625</v>
      </c>
    </row>
    <row r="628" spans="1:9">
      <c r="A628" s="114">
        <v>40298</v>
      </c>
      <c r="B628" s="115">
        <v>102.13</v>
      </c>
      <c r="C628" s="115" t="s">
        <v>625</v>
      </c>
      <c r="D628" s="115" t="s">
        <v>625</v>
      </c>
      <c r="E628" s="115" t="s">
        <v>625</v>
      </c>
      <c r="F628" s="115" t="s">
        <v>625</v>
      </c>
      <c r="G628" s="121" t="s">
        <v>625</v>
      </c>
      <c r="H628" s="115" t="e">
        <v>#N/A</v>
      </c>
      <c r="I628" s="118" t="s">
        <v>625</v>
      </c>
    </row>
    <row r="629" spans="1:9">
      <c r="A629" s="114">
        <v>40302</v>
      </c>
      <c r="B629" s="115">
        <v>102.13</v>
      </c>
      <c r="C629" s="115" t="s">
        <v>625</v>
      </c>
      <c r="D629" s="115" t="s">
        <v>625</v>
      </c>
      <c r="E629" s="115" t="s">
        <v>625</v>
      </c>
      <c r="F629" s="115" t="s">
        <v>625</v>
      </c>
      <c r="G629" s="121" t="s">
        <v>625</v>
      </c>
      <c r="H629" s="115" t="e">
        <v>#N/A</v>
      </c>
      <c r="I629" s="118" t="s">
        <v>625</v>
      </c>
    </row>
    <row r="630" spans="1:9">
      <c r="A630" s="114">
        <v>40303</v>
      </c>
      <c r="B630" s="115">
        <v>102.13</v>
      </c>
      <c r="C630" s="115" t="s">
        <v>625</v>
      </c>
      <c r="D630" s="115" t="s">
        <v>625</v>
      </c>
      <c r="E630" s="115" t="s">
        <v>625</v>
      </c>
      <c r="F630" s="115" t="s">
        <v>625</v>
      </c>
      <c r="G630" s="121" t="s">
        <v>625</v>
      </c>
      <c r="H630" s="115" t="e">
        <v>#N/A</v>
      </c>
      <c r="I630" s="118" t="s">
        <v>625</v>
      </c>
    </row>
    <row r="631" spans="1:9">
      <c r="A631" s="114">
        <v>40304</v>
      </c>
      <c r="B631" s="115">
        <v>102.13</v>
      </c>
      <c r="C631" s="115" t="s">
        <v>625</v>
      </c>
      <c r="D631" s="115" t="s">
        <v>625</v>
      </c>
      <c r="E631" s="115" t="s">
        <v>625</v>
      </c>
      <c r="F631" s="115" t="s">
        <v>625</v>
      </c>
      <c r="G631" s="121" t="s">
        <v>625</v>
      </c>
      <c r="H631" s="115" t="e">
        <v>#N/A</v>
      </c>
      <c r="I631" s="118" t="s">
        <v>625</v>
      </c>
    </row>
    <row r="632" spans="1:9">
      <c r="A632" s="114">
        <v>40305</v>
      </c>
      <c r="B632" s="115">
        <v>102.13</v>
      </c>
      <c r="C632" s="115" t="s">
        <v>625</v>
      </c>
      <c r="D632" s="115" t="s">
        <v>625</v>
      </c>
      <c r="E632" s="115" t="s">
        <v>625</v>
      </c>
      <c r="F632" s="115" t="s">
        <v>625</v>
      </c>
      <c r="G632" s="121" t="s">
        <v>625</v>
      </c>
      <c r="H632" s="115" t="e">
        <v>#N/A</v>
      </c>
      <c r="I632" s="118" t="s">
        <v>625</v>
      </c>
    </row>
    <row r="633" spans="1:9">
      <c r="A633" s="114">
        <v>40308</v>
      </c>
      <c r="B633" s="115">
        <v>102.13</v>
      </c>
      <c r="C633" s="115" t="s">
        <v>625</v>
      </c>
      <c r="D633" s="115" t="s">
        <v>625</v>
      </c>
      <c r="E633" s="115" t="s">
        <v>625</v>
      </c>
      <c r="F633" s="115" t="s">
        <v>625</v>
      </c>
      <c r="G633" s="121" t="s">
        <v>625</v>
      </c>
      <c r="H633" s="115" t="e">
        <v>#N/A</v>
      </c>
      <c r="I633" s="118" t="s">
        <v>625</v>
      </c>
    </row>
    <row r="634" spans="1:9">
      <c r="A634" s="114">
        <v>40309</v>
      </c>
      <c r="B634" s="115">
        <v>102.13</v>
      </c>
      <c r="C634" s="115" t="s">
        <v>625</v>
      </c>
      <c r="D634" s="115" t="s">
        <v>625</v>
      </c>
      <c r="E634" s="115" t="s">
        <v>625</v>
      </c>
      <c r="F634" s="115" t="s">
        <v>625</v>
      </c>
      <c r="G634" s="121" t="s">
        <v>625</v>
      </c>
      <c r="H634" s="115" t="e">
        <v>#N/A</v>
      </c>
      <c r="I634" s="118" t="s">
        <v>625</v>
      </c>
    </row>
    <row r="635" spans="1:9">
      <c r="A635" s="114">
        <v>40310</v>
      </c>
      <c r="B635" s="115">
        <v>102.13</v>
      </c>
      <c r="C635" s="115" t="s">
        <v>625</v>
      </c>
      <c r="D635" s="115" t="s">
        <v>625</v>
      </c>
      <c r="E635" s="115" t="s">
        <v>625</v>
      </c>
      <c r="F635" s="115" t="s">
        <v>625</v>
      </c>
      <c r="G635" s="121" t="s">
        <v>625</v>
      </c>
      <c r="H635" s="115" t="e">
        <v>#N/A</v>
      </c>
      <c r="I635" s="118" t="s">
        <v>625</v>
      </c>
    </row>
    <row r="636" spans="1:9">
      <c r="A636" s="114">
        <v>40311</v>
      </c>
      <c r="B636" s="115">
        <v>102.7</v>
      </c>
      <c r="C636" s="115" t="s">
        <v>625</v>
      </c>
      <c r="D636" s="115" t="s">
        <v>625</v>
      </c>
      <c r="E636" s="115" t="s">
        <v>625</v>
      </c>
      <c r="F636" s="115" t="s">
        <v>625</v>
      </c>
      <c r="G636" s="121" t="s">
        <v>625</v>
      </c>
      <c r="H636" s="115" t="e">
        <v>#N/A</v>
      </c>
      <c r="I636" s="118" t="s">
        <v>625</v>
      </c>
    </row>
    <row r="637" spans="1:9">
      <c r="A637" s="114">
        <v>40312</v>
      </c>
      <c r="B637" s="115">
        <v>102.7</v>
      </c>
      <c r="C637" s="115" t="s">
        <v>625</v>
      </c>
      <c r="D637" s="115" t="s">
        <v>625</v>
      </c>
      <c r="E637" s="115" t="s">
        <v>625</v>
      </c>
      <c r="F637" s="115" t="s">
        <v>625</v>
      </c>
      <c r="G637" s="121" t="s">
        <v>625</v>
      </c>
      <c r="H637" s="115" t="e">
        <v>#N/A</v>
      </c>
      <c r="I637" s="118" t="s">
        <v>625</v>
      </c>
    </row>
    <row r="638" spans="1:9">
      <c r="A638" s="114">
        <v>40315</v>
      </c>
      <c r="B638" s="115">
        <v>102.7</v>
      </c>
      <c r="C638" s="115" t="s">
        <v>625</v>
      </c>
      <c r="D638" s="115" t="s">
        <v>625</v>
      </c>
      <c r="E638" s="115" t="s">
        <v>625</v>
      </c>
      <c r="F638" s="115" t="s">
        <v>625</v>
      </c>
      <c r="G638" s="121" t="s">
        <v>625</v>
      </c>
      <c r="H638" s="115" t="e">
        <v>#N/A</v>
      </c>
      <c r="I638" s="118" t="s">
        <v>625</v>
      </c>
    </row>
    <row r="639" spans="1:9">
      <c r="A639" s="114">
        <v>40316</v>
      </c>
      <c r="B639" s="115">
        <v>102.7</v>
      </c>
      <c r="C639" s="115" t="s">
        <v>625</v>
      </c>
      <c r="D639" s="115" t="s">
        <v>625</v>
      </c>
      <c r="E639" s="115" t="s">
        <v>625</v>
      </c>
      <c r="F639" s="115" t="s">
        <v>625</v>
      </c>
      <c r="G639" s="121" t="s">
        <v>625</v>
      </c>
      <c r="H639" s="115" t="e">
        <v>#N/A</v>
      </c>
      <c r="I639" s="118" t="s">
        <v>625</v>
      </c>
    </row>
    <row r="640" spans="1:9">
      <c r="A640" s="114">
        <v>40317</v>
      </c>
      <c r="B640" s="115">
        <v>102.7</v>
      </c>
      <c r="C640" s="115" t="s">
        <v>625</v>
      </c>
      <c r="D640" s="115" t="s">
        <v>625</v>
      </c>
      <c r="E640" s="115" t="s">
        <v>625</v>
      </c>
      <c r="F640" s="115" t="s">
        <v>625</v>
      </c>
      <c r="G640" s="121" t="s">
        <v>625</v>
      </c>
      <c r="H640" s="115" t="e">
        <v>#N/A</v>
      </c>
      <c r="I640" s="118" t="s">
        <v>625</v>
      </c>
    </row>
    <row r="641" spans="1:9">
      <c r="A641" s="114">
        <v>40318</v>
      </c>
      <c r="B641" s="115">
        <v>102.7</v>
      </c>
      <c r="C641" s="115" t="s">
        <v>625</v>
      </c>
      <c r="D641" s="115" t="s">
        <v>625</v>
      </c>
      <c r="E641" s="115" t="s">
        <v>625</v>
      </c>
      <c r="F641" s="115" t="s">
        <v>625</v>
      </c>
      <c r="G641" s="121" t="s">
        <v>625</v>
      </c>
      <c r="H641" s="115" t="e">
        <v>#N/A</v>
      </c>
      <c r="I641" s="118" t="s">
        <v>625</v>
      </c>
    </row>
    <row r="642" spans="1:9">
      <c r="A642" s="114">
        <v>40319</v>
      </c>
      <c r="B642" s="115">
        <v>102.7</v>
      </c>
      <c r="C642" s="115" t="s">
        <v>625</v>
      </c>
      <c r="D642" s="115" t="s">
        <v>625</v>
      </c>
      <c r="E642" s="115" t="s">
        <v>625</v>
      </c>
      <c r="F642" s="115" t="s">
        <v>625</v>
      </c>
      <c r="G642" s="121" t="s">
        <v>625</v>
      </c>
      <c r="H642" s="115" t="e">
        <v>#N/A</v>
      </c>
      <c r="I642" s="118" t="s">
        <v>625</v>
      </c>
    </row>
    <row r="643" spans="1:9">
      <c r="A643" s="114">
        <v>40322</v>
      </c>
      <c r="B643" s="115">
        <v>102.7</v>
      </c>
      <c r="C643" s="115" t="s">
        <v>625</v>
      </c>
      <c r="D643" s="115" t="s">
        <v>625</v>
      </c>
      <c r="E643" s="115" t="s">
        <v>625</v>
      </c>
      <c r="F643" s="115" t="s">
        <v>625</v>
      </c>
      <c r="G643" s="121" t="s">
        <v>625</v>
      </c>
      <c r="H643" s="115" t="e">
        <v>#N/A</v>
      </c>
      <c r="I643" s="118" t="s">
        <v>625</v>
      </c>
    </row>
    <row r="644" spans="1:9">
      <c r="A644" s="114">
        <v>40323</v>
      </c>
      <c r="B644" s="115">
        <v>104.33</v>
      </c>
      <c r="C644" s="115" t="s">
        <v>625</v>
      </c>
      <c r="D644" s="115" t="s">
        <v>625</v>
      </c>
      <c r="E644" s="115" t="s">
        <v>625</v>
      </c>
      <c r="F644" s="115" t="s">
        <v>625</v>
      </c>
      <c r="G644" s="121" t="s">
        <v>625</v>
      </c>
      <c r="H644" s="115" t="e">
        <v>#N/A</v>
      </c>
      <c r="I644" s="118" t="s">
        <v>625</v>
      </c>
    </row>
    <row r="645" spans="1:9">
      <c r="A645" s="114">
        <v>40324</v>
      </c>
      <c r="B645" s="115">
        <v>103.38</v>
      </c>
      <c r="C645" s="115" t="s">
        <v>625</v>
      </c>
      <c r="D645" s="115" t="s">
        <v>625</v>
      </c>
      <c r="E645" s="115" t="s">
        <v>625</v>
      </c>
      <c r="F645" s="115" t="s">
        <v>625</v>
      </c>
      <c r="G645" s="121" t="s">
        <v>625</v>
      </c>
      <c r="H645" s="115" t="e">
        <v>#N/A</v>
      </c>
      <c r="I645" s="118" t="s">
        <v>625</v>
      </c>
    </row>
    <row r="646" spans="1:9">
      <c r="A646" s="114">
        <v>40325</v>
      </c>
      <c r="B646" s="115">
        <v>103.38</v>
      </c>
      <c r="C646" s="115" t="s">
        <v>625</v>
      </c>
      <c r="D646" s="115" t="s">
        <v>625</v>
      </c>
      <c r="E646" s="115" t="s">
        <v>625</v>
      </c>
      <c r="F646" s="115" t="s">
        <v>625</v>
      </c>
      <c r="G646" s="121" t="s">
        <v>625</v>
      </c>
      <c r="H646" s="115" t="e">
        <v>#N/A</v>
      </c>
      <c r="I646" s="118" t="s">
        <v>625</v>
      </c>
    </row>
    <row r="647" spans="1:9">
      <c r="A647" s="114">
        <v>40326</v>
      </c>
      <c r="B647" s="115">
        <v>103.38</v>
      </c>
      <c r="C647" s="115" t="s">
        <v>625</v>
      </c>
      <c r="D647" s="115" t="s">
        <v>625</v>
      </c>
      <c r="E647" s="115" t="s">
        <v>625</v>
      </c>
      <c r="F647" s="115" t="s">
        <v>625</v>
      </c>
      <c r="G647" s="121" t="s">
        <v>625</v>
      </c>
      <c r="H647" s="115" t="e">
        <v>#N/A</v>
      </c>
      <c r="I647" s="118" t="s">
        <v>625</v>
      </c>
    </row>
    <row r="648" spans="1:9">
      <c r="A648" s="114">
        <v>40329</v>
      </c>
      <c r="B648" s="115">
        <v>103.38</v>
      </c>
      <c r="C648" s="115" t="s">
        <v>625</v>
      </c>
      <c r="D648" s="115" t="s">
        <v>625</v>
      </c>
      <c r="E648" s="115" t="s">
        <v>625</v>
      </c>
      <c r="F648" s="115" t="s">
        <v>625</v>
      </c>
      <c r="G648" s="121" t="s">
        <v>625</v>
      </c>
      <c r="H648" s="115" t="e">
        <v>#N/A</v>
      </c>
      <c r="I648" s="118" t="s">
        <v>625</v>
      </c>
    </row>
    <row r="649" spans="1:9">
      <c r="A649" s="114">
        <v>40330</v>
      </c>
      <c r="B649" s="115">
        <v>104.32</v>
      </c>
      <c r="C649" s="115" t="s">
        <v>625</v>
      </c>
      <c r="D649" s="115" t="s">
        <v>625</v>
      </c>
      <c r="E649" s="115" t="s">
        <v>625</v>
      </c>
      <c r="F649" s="115" t="s">
        <v>625</v>
      </c>
      <c r="G649" s="121" t="s">
        <v>625</v>
      </c>
      <c r="H649" s="115" t="e">
        <v>#N/A</v>
      </c>
      <c r="I649" s="118" t="s">
        <v>625</v>
      </c>
    </row>
    <row r="650" spans="1:9">
      <c r="A650" s="114">
        <v>40331</v>
      </c>
      <c r="B650" s="115">
        <v>104.32</v>
      </c>
      <c r="C650" s="115" t="s">
        <v>625</v>
      </c>
      <c r="D650" s="115" t="s">
        <v>625</v>
      </c>
      <c r="E650" s="115" t="s">
        <v>625</v>
      </c>
      <c r="F650" s="115" t="s">
        <v>625</v>
      </c>
      <c r="G650" s="121" t="s">
        <v>625</v>
      </c>
      <c r="H650" s="115" t="e">
        <v>#N/A</v>
      </c>
      <c r="I650" s="118" t="s">
        <v>625</v>
      </c>
    </row>
    <row r="651" spans="1:9">
      <c r="A651" s="114">
        <v>40332</v>
      </c>
      <c r="B651" s="115">
        <v>104.32</v>
      </c>
      <c r="C651" s="115" t="s">
        <v>625</v>
      </c>
      <c r="D651" s="115" t="s">
        <v>625</v>
      </c>
      <c r="E651" s="115" t="s">
        <v>625</v>
      </c>
      <c r="F651" s="115" t="s">
        <v>625</v>
      </c>
      <c r="G651" s="121" t="s">
        <v>625</v>
      </c>
      <c r="H651" s="115" t="e">
        <v>#N/A</v>
      </c>
      <c r="I651" s="118" t="s">
        <v>625</v>
      </c>
    </row>
    <row r="652" spans="1:9">
      <c r="A652" s="114">
        <v>40333</v>
      </c>
      <c r="B652" s="115">
        <v>104.32</v>
      </c>
      <c r="C652" s="115" t="s">
        <v>625</v>
      </c>
      <c r="D652" s="115" t="s">
        <v>625</v>
      </c>
      <c r="E652" s="115" t="s">
        <v>625</v>
      </c>
      <c r="F652" s="115" t="s">
        <v>625</v>
      </c>
      <c r="G652" s="121" t="s">
        <v>625</v>
      </c>
      <c r="H652" s="115" t="e">
        <v>#N/A</v>
      </c>
      <c r="I652" s="118" t="s">
        <v>625</v>
      </c>
    </row>
    <row r="653" spans="1:9">
      <c r="A653" s="114">
        <v>40336</v>
      </c>
      <c r="B653" s="115">
        <v>104.32</v>
      </c>
      <c r="C653" s="115" t="s">
        <v>625</v>
      </c>
      <c r="D653" s="115" t="s">
        <v>625</v>
      </c>
      <c r="E653" s="115" t="s">
        <v>625</v>
      </c>
      <c r="F653" s="115" t="s">
        <v>625</v>
      </c>
      <c r="G653" s="121" t="s">
        <v>625</v>
      </c>
      <c r="H653" s="115" t="e">
        <v>#N/A</v>
      </c>
      <c r="I653" s="118" t="s">
        <v>625</v>
      </c>
    </row>
    <row r="654" spans="1:9">
      <c r="A654" s="114">
        <v>40337</v>
      </c>
      <c r="B654" s="115">
        <v>104.32</v>
      </c>
      <c r="C654" s="115" t="s">
        <v>625</v>
      </c>
      <c r="D654" s="115" t="s">
        <v>625</v>
      </c>
      <c r="E654" s="115" t="s">
        <v>625</v>
      </c>
      <c r="F654" s="115" t="s">
        <v>625</v>
      </c>
      <c r="G654" s="121" t="s">
        <v>625</v>
      </c>
      <c r="H654" s="115" t="e">
        <v>#N/A</v>
      </c>
      <c r="I654" s="118" t="s">
        <v>625</v>
      </c>
    </row>
    <row r="655" spans="1:9">
      <c r="A655" s="114">
        <v>40338</v>
      </c>
      <c r="B655" s="115">
        <v>104.32</v>
      </c>
      <c r="C655" s="115" t="s">
        <v>625</v>
      </c>
      <c r="D655" s="115" t="s">
        <v>625</v>
      </c>
      <c r="E655" s="115" t="s">
        <v>625</v>
      </c>
      <c r="F655" s="115" t="s">
        <v>625</v>
      </c>
      <c r="G655" s="121" t="s">
        <v>625</v>
      </c>
      <c r="H655" s="115" t="e">
        <v>#N/A</v>
      </c>
      <c r="I655" s="118" t="s">
        <v>625</v>
      </c>
    </row>
    <row r="656" spans="1:9">
      <c r="A656" s="114">
        <v>40339</v>
      </c>
      <c r="B656" s="115">
        <v>104.32</v>
      </c>
      <c r="C656" s="115" t="s">
        <v>625</v>
      </c>
      <c r="D656" s="115" t="s">
        <v>625</v>
      </c>
      <c r="E656" s="115" t="s">
        <v>625</v>
      </c>
      <c r="F656" s="115" t="s">
        <v>625</v>
      </c>
      <c r="G656" s="121" t="s">
        <v>625</v>
      </c>
      <c r="H656" s="115" t="e">
        <v>#N/A</v>
      </c>
      <c r="I656" s="118" t="s">
        <v>625</v>
      </c>
    </row>
    <row r="657" spans="1:9">
      <c r="A657" s="114">
        <v>40340</v>
      </c>
      <c r="B657" s="115">
        <v>104.32</v>
      </c>
      <c r="C657" s="115" t="s">
        <v>625</v>
      </c>
      <c r="D657" s="115" t="s">
        <v>625</v>
      </c>
      <c r="E657" s="115" t="s">
        <v>625</v>
      </c>
      <c r="F657" s="115" t="s">
        <v>625</v>
      </c>
      <c r="G657" s="121" t="s">
        <v>625</v>
      </c>
      <c r="H657" s="115" t="e">
        <v>#N/A</v>
      </c>
      <c r="I657" s="118" t="s">
        <v>625</v>
      </c>
    </row>
    <row r="658" spans="1:9">
      <c r="A658" s="114">
        <v>40341</v>
      </c>
      <c r="B658" s="115">
        <v>104.32</v>
      </c>
      <c r="C658" s="115" t="s">
        <v>625</v>
      </c>
      <c r="D658" s="115" t="s">
        <v>625</v>
      </c>
      <c r="E658" s="115" t="s">
        <v>625</v>
      </c>
      <c r="F658" s="115" t="s">
        <v>625</v>
      </c>
      <c r="G658" s="121" t="s">
        <v>625</v>
      </c>
      <c r="H658" s="115" t="e">
        <v>#N/A</v>
      </c>
      <c r="I658" s="118" t="s">
        <v>625</v>
      </c>
    </row>
    <row r="659" spans="1:9">
      <c r="A659" s="114">
        <v>40342</v>
      </c>
      <c r="B659" s="115">
        <v>104.32</v>
      </c>
      <c r="C659" s="115" t="s">
        <v>625</v>
      </c>
      <c r="D659" s="115" t="s">
        <v>625</v>
      </c>
      <c r="E659" s="115" t="s">
        <v>625</v>
      </c>
      <c r="F659" s="115" t="s">
        <v>625</v>
      </c>
      <c r="G659" s="121" t="s">
        <v>625</v>
      </c>
      <c r="H659" s="115" t="e">
        <v>#N/A</v>
      </c>
      <c r="I659" s="118" t="s">
        <v>625</v>
      </c>
    </row>
    <row r="660" spans="1:9">
      <c r="A660" s="114">
        <v>40346</v>
      </c>
      <c r="B660" s="115">
        <v>104.32</v>
      </c>
      <c r="C660" s="115" t="s">
        <v>625</v>
      </c>
      <c r="D660" s="115" t="s">
        <v>625</v>
      </c>
      <c r="E660" s="115" t="s">
        <v>625</v>
      </c>
      <c r="F660" s="115" t="s">
        <v>625</v>
      </c>
      <c r="G660" s="121" t="s">
        <v>625</v>
      </c>
      <c r="H660" s="115" t="e">
        <v>#N/A</v>
      </c>
      <c r="I660" s="118" t="s">
        <v>625</v>
      </c>
    </row>
    <row r="661" spans="1:9">
      <c r="A661" s="114">
        <v>40347</v>
      </c>
      <c r="B661" s="115">
        <v>104.32</v>
      </c>
      <c r="C661" s="115" t="s">
        <v>625</v>
      </c>
      <c r="D661" s="115" t="s">
        <v>625</v>
      </c>
      <c r="E661" s="115" t="s">
        <v>625</v>
      </c>
      <c r="F661" s="115" t="s">
        <v>625</v>
      </c>
      <c r="G661" s="121" t="s">
        <v>625</v>
      </c>
      <c r="H661" s="115" t="e">
        <v>#N/A</v>
      </c>
      <c r="I661" s="118" t="s">
        <v>625</v>
      </c>
    </row>
    <row r="662" spans="1:9">
      <c r="A662" s="114">
        <v>40350</v>
      </c>
      <c r="B662" s="115">
        <v>104.32</v>
      </c>
      <c r="C662" s="115" t="s">
        <v>625</v>
      </c>
      <c r="D662" s="115" t="s">
        <v>625</v>
      </c>
      <c r="E662" s="115" t="s">
        <v>625</v>
      </c>
      <c r="F662" s="115" t="s">
        <v>625</v>
      </c>
      <c r="G662" s="121" t="s">
        <v>625</v>
      </c>
      <c r="H662" s="115" t="e">
        <v>#N/A</v>
      </c>
      <c r="I662" s="118" t="s">
        <v>625</v>
      </c>
    </row>
    <row r="663" spans="1:9">
      <c r="A663" s="114">
        <v>40351</v>
      </c>
      <c r="B663" s="115">
        <v>104.32</v>
      </c>
      <c r="C663" s="115" t="s">
        <v>625</v>
      </c>
      <c r="D663" s="115" t="s">
        <v>625</v>
      </c>
      <c r="E663" s="115" t="s">
        <v>625</v>
      </c>
      <c r="F663" s="115" t="s">
        <v>625</v>
      </c>
      <c r="G663" s="121" t="s">
        <v>625</v>
      </c>
      <c r="H663" s="115" t="e">
        <v>#N/A</v>
      </c>
      <c r="I663" s="118" t="s">
        <v>625</v>
      </c>
    </row>
    <row r="664" spans="1:9">
      <c r="A664" s="114">
        <v>40352</v>
      </c>
      <c r="B664" s="115">
        <v>104.32</v>
      </c>
      <c r="C664" s="115" t="s">
        <v>625</v>
      </c>
      <c r="D664" s="115" t="s">
        <v>625</v>
      </c>
      <c r="E664" s="115" t="s">
        <v>625</v>
      </c>
      <c r="F664" s="115" t="s">
        <v>625</v>
      </c>
      <c r="G664" s="121" t="s">
        <v>625</v>
      </c>
      <c r="H664" s="115" t="e">
        <v>#N/A</v>
      </c>
      <c r="I664" s="118" t="s">
        <v>625</v>
      </c>
    </row>
    <row r="665" spans="1:9">
      <c r="A665" s="114">
        <v>40353</v>
      </c>
      <c r="B665" s="115">
        <v>104.32</v>
      </c>
      <c r="C665" s="115" t="s">
        <v>625</v>
      </c>
      <c r="D665" s="115" t="s">
        <v>625</v>
      </c>
      <c r="E665" s="115" t="s">
        <v>625</v>
      </c>
      <c r="F665" s="115" t="s">
        <v>625</v>
      </c>
      <c r="G665" s="121" t="s">
        <v>625</v>
      </c>
      <c r="H665" s="115" t="e">
        <v>#N/A</v>
      </c>
      <c r="I665" s="118" t="s">
        <v>625</v>
      </c>
    </row>
    <row r="666" spans="1:9">
      <c r="A666" s="114">
        <v>40354</v>
      </c>
      <c r="B666" s="115">
        <v>104.32</v>
      </c>
      <c r="C666" s="115" t="s">
        <v>625</v>
      </c>
      <c r="D666" s="115" t="s">
        <v>625</v>
      </c>
      <c r="E666" s="115" t="s">
        <v>625</v>
      </c>
      <c r="F666" s="115" t="s">
        <v>625</v>
      </c>
      <c r="G666" s="121" t="s">
        <v>625</v>
      </c>
      <c r="H666" s="115" t="e">
        <v>#N/A</v>
      </c>
      <c r="I666" s="118" t="s">
        <v>625</v>
      </c>
    </row>
    <row r="667" spans="1:9">
      <c r="A667" s="114">
        <v>40357</v>
      </c>
      <c r="B667" s="115">
        <v>104.32</v>
      </c>
      <c r="C667" s="115" t="s">
        <v>625</v>
      </c>
      <c r="D667" s="115" t="s">
        <v>625</v>
      </c>
      <c r="E667" s="115" t="s">
        <v>625</v>
      </c>
      <c r="F667" s="115" t="s">
        <v>625</v>
      </c>
      <c r="G667" s="121" t="s">
        <v>625</v>
      </c>
      <c r="H667" s="115" t="e">
        <v>#N/A</v>
      </c>
      <c r="I667" s="118" t="s">
        <v>625</v>
      </c>
    </row>
    <row r="668" spans="1:9">
      <c r="A668" s="114">
        <v>40358</v>
      </c>
      <c r="B668" s="115">
        <v>104.32</v>
      </c>
      <c r="C668" s="115" t="s">
        <v>625</v>
      </c>
      <c r="D668" s="115" t="s">
        <v>625</v>
      </c>
      <c r="E668" s="115" t="s">
        <v>625</v>
      </c>
      <c r="F668" s="115" t="s">
        <v>625</v>
      </c>
      <c r="G668" s="121" t="s">
        <v>625</v>
      </c>
      <c r="H668" s="115" t="e">
        <v>#N/A</v>
      </c>
      <c r="I668" s="118" t="s">
        <v>625</v>
      </c>
    </row>
    <row r="669" spans="1:9">
      <c r="A669" s="114">
        <v>40359</v>
      </c>
      <c r="B669" s="115">
        <v>104.32</v>
      </c>
      <c r="C669" s="115" t="s">
        <v>625</v>
      </c>
      <c r="D669" s="115" t="s">
        <v>625</v>
      </c>
      <c r="E669" s="115" t="s">
        <v>625</v>
      </c>
      <c r="F669" s="115" t="s">
        <v>625</v>
      </c>
      <c r="G669" s="121" t="s">
        <v>625</v>
      </c>
      <c r="H669" s="115" t="e">
        <v>#N/A</v>
      </c>
      <c r="I669" s="118" t="s">
        <v>625</v>
      </c>
    </row>
    <row r="670" spans="1:9">
      <c r="A670" s="114">
        <v>40360</v>
      </c>
      <c r="B670" s="115">
        <v>104.32</v>
      </c>
      <c r="C670" s="115" t="s">
        <v>625</v>
      </c>
      <c r="D670" s="115" t="s">
        <v>625</v>
      </c>
      <c r="E670" s="115" t="s">
        <v>625</v>
      </c>
      <c r="F670" s="115" t="s">
        <v>625</v>
      </c>
      <c r="G670" s="121" t="s">
        <v>625</v>
      </c>
      <c r="H670" s="115" t="e">
        <v>#N/A</v>
      </c>
      <c r="I670" s="118" t="s">
        <v>625</v>
      </c>
    </row>
    <row r="671" spans="1:9">
      <c r="A671" s="114">
        <v>40361</v>
      </c>
      <c r="B671" s="115">
        <v>104.32</v>
      </c>
      <c r="C671" s="115" t="s">
        <v>625</v>
      </c>
      <c r="D671" s="115" t="s">
        <v>625</v>
      </c>
      <c r="E671" s="115" t="s">
        <v>625</v>
      </c>
      <c r="F671" s="115" t="s">
        <v>625</v>
      </c>
      <c r="G671" s="121" t="s">
        <v>625</v>
      </c>
      <c r="H671" s="115" t="e">
        <v>#N/A</v>
      </c>
      <c r="I671" s="118" t="s">
        <v>625</v>
      </c>
    </row>
    <row r="672" spans="1:9">
      <c r="A672" s="114">
        <v>40364</v>
      </c>
      <c r="B672" s="115">
        <v>104.32</v>
      </c>
      <c r="C672" s="115" t="s">
        <v>625</v>
      </c>
      <c r="D672" s="115" t="s">
        <v>625</v>
      </c>
      <c r="E672" s="115" t="s">
        <v>625</v>
      </c>
      <c r="F672" s="115" t="s">
        <v>625</v>
      </c>
      <c r="G672" s="121" t="s">
        <v>625</v>
      </c>
      <c r="H672" s="115" t="e">
        <v>#N/A</v>
      </c>
      <c r="I672" s="118" t="s">
        <v>625</v>
      </c>
    </row>
    <row r="673" spans="1:9">
      <c r="A673" s="114">
        <v>40365</v>
      </c>
      <c r="B673" s="115">
        <v>103.65</v>
      </c>
      <c r="C673" s="115" t="s">
        <v>625</v>
      </c>
      <c r="D673" s="115" t="s">
        <v>625</v>
      </c>
      <c r="E673" s="115" t="s">
        <v>625</v>
      </c>
      <c r="F673" s="115" t="s">
        <v>625</v>
      </c>
      <c r="G673" s="121" t="s">
        <v>625</v>
      </c>
      <c r="H673" s="115" t="e">
        <v>#N/A</v>
      </c>
      <c r="I673" s="118" t="s">
        <v>625</v>
      </c>
    </row>
    <row r="674" spans="1:9">
      <c r="A674" s="114">
        <v>40366</v>
      </c>
      <c r="B674" s="115">
        <v>103.65</v>
      </c>
      <c r="C674" s="115" t="s">
        <v>625</v>
      </c>
      <c r="D674" s="115" t="s">
        <v>625</v>
      </c>
      <c r="E674" s="115" t="s">
        <v>625</v>
      </c>
      <c r="F674" s="115" t="s">
        <v>625</v>
      </c>
      <c r="G674" s="121" t="s">
        <v>625</v>
      </c>
      <c r="H674" s="115" t="e">
        <v>#N/A</v>
      </c>
      <c r="I674" s="118" t="s">
        <v>625</v>
      </c>
    </row>
    <row r="675" spans="1:9">
      <c r="A675" s="114">
        <v>40367</v>
      </c>
      <c r="B675" s="115">
        <v>103.65</v>
      </c>
      <c r="C675" s="115" t="s">
        <v>625</v>
      </c>
      <c r="D675" s="115" t="s">
        <v>625</v>
      </c>
      <c r="E675" s="115" t="s">
        <v>625</v>
      </c>
      <c r="F675" s="115" t="s">
        <v>625</v>
      </c>
      <c r="G675" s="121" t="s">
        <v>625</v>
      </c>
      <c r="H675" s="115" t="e">
        <v>#N/A</v>
      </c>
      <c r="I675" s="118" t="s">
        <v>625</v>
      </c>
    </row>
    <row r="676" spans="1:9">
      <c r="A676" s="114">
        <v>40368</v>
      </c>
      <c r="B676" s="115">
        <v>103.65</v>
      </c>
      <c r="C676" s="115" t="s">
        <v>625</v>
      </c>
      <c r="D676" s="115" t="s">
        <v>625</v>
      </c>
      <c r="E676" s="115" t="s">
        <v>625</v>
      </c>
      <c r="F676" s="115" t="s">
        <v>625</v>
      </c>
      <c r="G676" s="121" t="s">
        <v>625</v>
      </c>
      <c r="H676" s="115" t="e">
        <v>#N/A</v>
      </c>
      <c r="I676" s="118" t="s">
        <v>625</v>
      </c>
    </row>
    <row r="677" spans="1:9">
      <c r="A677" s="114">
        <v>40371</v>
      </c>
      <c r="B677" s="115">
        <v>103.65</v>
      </c>
      <c r="C677" s="115" t="s">
        <v>625</v>
      </c>
      <c r="D677" s="115" t="s">
        <v>625</v>
      </c>
      <c r="E677" s="115" t="s">
        <v>625</v>
      </c>
      <c r="F677" s="115" t="s">
        <v>625</v>
      </c>
      <c r="G677" s="121" t="s">
        <v>625</v>
      </c>
      <c r="H677" s="115" t="e">
        <v>#N/A</v>
      </c>
      <c r="I677" s="118" t="s">
        <v>625</v>
      </c>
    </row>
    <row r="678" spans="1:9">
      <c r="A678" s="114">
        <v>40372</v>
      </c>
      <c r="B678" s="115">
        <v>103.65</v>
      </c>
      <c r="C678" s="115" t="s">
        <v>625</v>
      </c>
      <c r="D678" s="115" t="s">
        <v>625</v>
      </c>
      <c r="E678" s="115" t="s">
        <v>625</v>
      </c>
      <c r="F678" s="115" t="s">
        <v>625</v>
      </c>
      <c r="G678" s="121" t="s">
        <v>625</v>
      </c>
      <c r="H678" s="115" t="e">
        <v>#N/A</v>
      </c>
      <c r="I678" s="118" t="s">
        <v>625</v>
      </c>
    </row>
    <row r="679" spans="1:9">
      <c r="A679" s="114">
        <v>40373</v>
      </c>
      <c r="B679" s="115">
        <v>103.65</v>
      </c>
      <c r="C679" s="115" t="s">
        <v>625</v>
      </c>
      <c r="D679" s="115" t="s">
        <v>625</v>
      </c>
      <c r="E679" s="115" t="s">
        <v>625</v>
      </c>
      <c r="F679" s="115" t="s">
        <v>625</v>
      </c>
      <c r="G679" s="121" t="s">
        <v>625</v>
      </c>
      <c r="H679" s="115" t="e">
        <v>#N/A</v>
      </c>
      <c r="I679" s="118" t="s">
        <v>625</v>
      </c>
    </row>
    <row r="680" spans="1:9">
      <c r="A680" s="114">
        <v>40374</v>
      </c>
      <c r="B680" s="115">
        <v>103.65</v>
      </c>
      <c r="C680" s="115" t="s">
        <v>625</v>
      </c>
      <c r="D680" s="115" t="s">
        <v>625</v>
      </c>
      <c r="E680" s="115" t="s">
        <v>625</v>
      </c>
      <c r="F680" s="115" t="s">
        <v>625</v>
      </c>
      <c r="G680" s="121" t="s">
        <v>625</v>
      </c>
      <c r="H680" s="115" t="e">
        <v>#N/A</v>
      </c>
      <c r="I680" s="118" t="s">
        <v>625</v>
      </c>
    </row>
    <row r="681" spans="1:9">
      <c r="A681" s="114">
        <v>40375</v>
      </c>
      <c r="B681" s="115">
        <v>103.65</v>
      </c>
      <c r="C681" s="115" t="s">
        <v>625</v>
      </c>
      <c r="D681" s="115" t="s">
        <v>625</v>
      </c>
      <c r="E681" s="115" t="s">
        <v>625</v>
      </c>
      <c r="F681" s="115" t="s">
        <v>625</v>
      </c>
      <c r="G681" s="121" t="s">
        <v>625</v>
      </c>
      <c r="H681" s="115" t="e">
        <v>#N/A</v>
      </c>
      <c r="I681" s="118" t="s">
        <v>625</v>
      </c>
    </row>
    <row r="682" spans="1:9">
      <c r="A682" s="114">
        <v>40378</v>
      </c>
      <c r="B682" s="115">
        <v>103.65</v>
      </c>
      <c r="C682" s="115" t="s">
        <v>625</v>
      </c>
      <c r="D682" s="115" t="s">
        <v>625</v>
      </c>
      <c r="E682" s="115" t="s">
        <v>625</v>
      </c>
      <c r="F682" s="115" t="s">
        <v>625</v>
      </c>
      <c r="G682" s="121" t="s">
        <v>625</v>
      </c>
      <c r="H682" s="115" t="e">
        <v>#N/A</v>
      </c>
      <c r="I682" s="118" t="s">
        <v>625</v>
      </c>
    </row>
    <row r="683" spans="1:9">
      <c r="A683" s="114">
        <v>40379</v>
      </c>
      <c r="B683" s="115">
        <v>103.65</v>
      </c>
      <c r="C683" s="115" t="s">
        <v>625</v>
      </c>
      <c r="D683" s="115" t="s">
        <v>625</v>
      </c>
      <c r="E683" s="115" t="s">
        <v>625</v>
      </c>
      <c r="F683" s="115" t="s">
        <v>625</v>
      </c>
      <c r="G683" s="121" t="s">
        <v>625</v>
      </c>
      <c r="H683" s="115" t="e">
        <v>#N/A</v>
      </c>
      <c r="I683" s="118" t="s">
        <v>625</v>
      </c>
    </row>
    <row r="684" spans="1:9">
      <c r="A684" s="114">
        <v>40380</v>
      </c>
      <c r="B684" s="115">
        <v>103.65</v>
      </c>
      <c r="C684" s="115" t="s">
        <v>625</v>
      </c>
      <c r="D684" s="115" t="s">
        <v>625</v>
      </c>
      <c r="E684" s="115" t="s">
        <v>625</v>
      </c>
      <c r="F684" s="115" t="s">
        <v>625</v>
      </c>
      <c r="G684" s="121" t="s">
        <v>625</v>
      </c>
      <c r="H684" s="115" t="e">
        <v>#N/A</v>
      </c>
      <c r="I684" s="118" t="s">
        <v>625</v>
      </c>
    </row>
    <row r="685" spans="1:9">
      <c r="A685" s="114">
        <v>40381</v>
      </c>
      <c r="B685" s="115">
        <v>103.65</v>
      </c>
      <c r="C685" s="115" t="s">
        <v>625</v>
      </c>
      <c r="D685" s="115" t="s">
        <v>625</v>
      </c>
      <c r="E685" s="115" t="s">
        <v>625</v>
      </c>
      <c r="F685" s="115" t="s">
        <v>625</v>
      </c>
      <c r="G685" s="121" t="s">
        <v>625</v>
      </c>
      <c r="H685" s="115" t="e">
        <v>#N/A</v>
      </c>
      <c r="I685" s="118" t="s">
        <v>625</v>
      </c>
    </row>
    <row r="686" spans="1:9">
      <c r="A686" s="114">
        <v>40382</v>
      </c>
      <c r="B686" s="115">
        <v>103.65</v>
      </c>
      <c r="C686" s="115" t="s">
        <v>625</v>
      </c>
      <c r="D686" s="115" t="s">
        <v>625</v>
      </c>
      <c r="E686" s="115" t="s">
        <v>625</v>
      </c>
      <c r="F686" s="115" t="s">
        <v>625</v>
      </c>
      <c r="G686" s="121" t="s">
        <v>625</v>
      </c>
      <c r="H686" s="115" t="e">
        <v>#N/A</v>
      </c>
      <c r="I686" s="118" t="s">
        <v>625</v>
      </c>
    </row>
    <row r="687" spans="1:9">
      <c r="A687" s="114">
        <v>40385</v>
      </c>
      <c r="B687" s="115">
        <v>103.65</v>
      </c>
      <c r="C687" s="115" t="s">
        <v>625</v>
      </c>
      <c r="D687" s="115" t="s">
        <v>625</v>
      </c>
      <c r="E687" s="115" t="s">
        <v>625</v>
      </c>
      <c r="F687" s="115" t="s">
        <v>625</v>
      </c>
      <c r="G687" s="121" t="s">
        <v>625</v>
      </c>
      <c r="H687" s="115" t="e">
        <v>#N/A</v>
      </c>
      <c r="I687" s="118" t="s">
        <v>625</v>
      </c>
    </row>
    <row r="688" spans="1:9">
      <c r="A688" s="114">
        <v>40386</v>
      </c>
      <c r="B688" s="115">
        <v>103.65</v>
      </c>
      <c r="C688" s="115" t="s">
        <v>625</v>
      </c>
      <c r="D688" s="115" t="s">
        <v>625</v>
      </c>
      <c r="E688" s="115" t="s">
        <v>625</v>
      </c>
      <c r="F688" s="115" t="s">
        <v>625</v>
      </c>
      <c r="G688" s="121" t="s">
        <v>625</v>
      </c>
      <c r="H688" s="115" t="e">
        <v>#N/A</v>
      </c>
      <c r="I688" s="118" t="s">
        <v>625</v>
      </c>
    </row>
    <row r="689" spans="1:9">
      <c r="A689" s="114">
        <v>40387</v>
      </c>
      <c r="B689" s="115">
        <v>103.65</v>
      </c>
      <c r="C689" s="115" t="s">
        <v>625</v>
      </c>
      <c r="D689" s="115" t="s">
        <v>625</v>
      </c>
      <c r="E689" s="115" t="s">
        <v>625</v>
      </c>
      <c r="F689" s="115" t="s">
        <v>625</v>
      </c>
      <c r="G689" s="121" t="s">
        <v>625</v>
      </c>
      <c r="H689" s="115" t="e">
        <v>#N/A</v>
      </c>
      <c r="I689" s="118" t="s">
        <v>625</v>
      </c>
    </row>
    <row r="690" spans="1:9">
      <c r="A690" s="114">
        <v>40388</v>
      </c>
      <c r="B690" s="115">
        <v>103.65</v>
      </c>
      <c r="C690" s="115" t="s">
        <v>625</v>
      </c>
      <c r="D690" s="115" t="s">
        <v>625</v>
      </c>
      <c r="E690" s="115" t="s">
        <v>625</v>
      </c>
      <c r="F690" s="115" t="s">
        <v>625</v>
      </c>
      <c r="G690" s="121" t="s">
        <v>625</v>
      </c>
      <c r="H690" s="115" t="e">
        <v>#N/A</v>
      </c>
      <c r="I690" s="118" t="s">
        <v>625</v>
      </c>
    </row>
    <row r="691" spans="1:9">
      <c r="A691" s="114">
        <v>40389</v>
      </c>
      <c r="B691" s="115">
        <v>103.65</v>
      </c>
      <c r="C691" s="115" t="s">
        <v>625</v>
      </c>
      <c r="D691" s="115" t="s">
        <v>625</v>
      </c>
      <c r="E691" s="115" t="s">
        <v>625</v>
      </c>
      <c r="F691" s="115" t="s">
        <v>625</v>
      </c>
      <c r="G691" s="121" t="s">
        <v>625</v>
      </c>
      <c r="H691" s="115" t="e">
        <v>#N/A</v>
      </c>
      <c r="I691" s="118" t="s">
        <v>625</v>
      </c>
    </row>
    <row r="692" spans="1:9">
      <c r="A692" s="114">
        <v>40392</v>
      </c>
      <c r="B692" s="115">
        <v>103.65</v>
      </c>
      <c r="C692" s="115" t="s">
        <v>625</v>
      </c>
      <c r="D692" s="115" t="s">
        <v>625</v>
      </c>
      <c r="E692" s="115" t="s">
        <v>625</v>
      </c>
      <c r="F692" s="115" t="s">
        <v>625</v>
      </c>
      <c r="G692" s="121" t="s">
        <v>625</v>
      </c>
      <c r="H692" s="115" t="e">
        <v>#N/A</v>
      </c>
      <c r="I692" s="118" t="s">
        <v>625</v>
      </c>
    </row>
    <row r="693" spans="1:9">
      <c r="A693" s="114">
        <v>40393</v>
      </c>
      <c r="B693" s="115">
        <v>103.65</v>
      </c>
      <c r="C693" s="115" t="s">
        <v>625</v>
      </c>
      <c r="D693" s="115" t="s">
        <v>625</v>
      </c>
      <c r="E693" s="115" t="s">
        <v>625</v>
      </c>
      <c r="F693" s="115" t="s">
        <v>625</v>
      </c>
      <c r="G693" s="121" t="s">
        <v>625</v>
      </c>
      <c r="H693" s="115" t="e">
        <v>#N/A</v>
      </c>
      <c r="I693" s="118" t="s">
        <v>625</v>
      </c>
    </row>
    <row r="694" spans="1:9">
      <c r="A694" s="114">
        <v>40394</v>
      </c>
      <c r="B694" s="115">
        <v>103.65</v>
      </c>
      <c r="C694" s="115" t="s">
        <v>625</v>
      </c>
      <c r="D694" s="115" t="s">
        <v>625</v>
      </c>
      <c r="E694" s="115" t="s">
        <v>625</v>
      </c>
      <c r="F694" s="115" t="s">
        <v>625</v>
      </c>
      <c r="G694" s="121" t="s">
        <v>625</v>
      </c>
      <c r="H694" s="115" t="e">
        <v>#N/A</v>
      </c>
      <c r="I694" s="118" t="s">
        <v>625</v>
      </c>
    </row>
    <row r="695" spans="1:9">
      <c r="A695" s="114">
        <v>40395</v>
      </c>
      <c r="B695" s="115">
        <v>103.65</v>
      </c>
      <c r="C695" s="115" t="s">
        <v>625</v>
      </c>
      <c r="D695" s="115" t="s">
        <v>625</v>
      </c>
      <c r="E695" s="115" t="s">
        <v>625</v>
      </c>
      <c r="F695" s="115" t="s">
        <v>625</v>
      </c>
      <c r="G695" s="121" t="s">
        <v>625</v>
      </c>
      <c r="H695" s="115" t="e">
        <v>#N/A</v>
      </c>
      <c r="I695" s="118" t="s">
        <v>625</v>
      </c>
    </row>
    <row r="696" spans="1:9">
      <c r="A696" s="114">
        <v>40396</v>
      </c>
      <c r="B696" s="115">
        <v>103.65</v>
      </c>
      <c r="C696" s="115" t="s">
        <v>625</v>
      </c>
      <c r="D696" s="115" t="s">
        <v>625</v>
      </c>
      <c r="E696" s="115" t="s">
        <v>625</v>
      </c>
      <c r="F696" s="115" t="s">
        <v>625</v>
      </c>
      <c r="G696" s="121" t="s">
        <v>625</v>
      </c>
      <c r="H696" s="115" t="e">
        <v>#N/A</v>
      </c>
      <c r="I696" s="118" t="s">
        <v>625</v>
      </c>
    </row>
    <row r="697" spans="1:9">
      <c r="A697" s="114">
        <v>40399</v>
      </c>
      <c r="B697" s="115">
        <v>103.65</v>
      </c>
      <c r="C697" s="115" t="s">
        <v>625</v>
      </c>
      <c r="D697" s="115" t="s">
        <v>625</v>
      </c>
      <c r="E697" s="115" t="s">
        <v>625</v>
      </c>
      <c r="F697" s="115" t="s">
        <v>625</v>
      </c>
      <c r="G697" s="121" t="s">
        <v>625</v>
      </c>
      <c r="H697" s="115" t="e">
        <v>#N/A</v>
      </c>
      <c r="I697" s="118" t="s">
        <v>625</v>
      </c>
    </row>
    <row r="698" spans="1:9">
      <c r="A698" s="114">
        <v>40400</v>
      </c>
      <c r="B698" s="115">
        <v>103.65</v>
      </c>
      <c r="C698" s="115" t="s">
        <v>625</v>
      </c>
      <c r="D698" s="115" t="s">
        <v>625</v>
      </c>
      <c r="E698" s="115" t="s">
        <v>625</v>
      </c>
      <c r="F698" s="115" t="s">
        <v>625</v>
      </c>
      <c r="G698" s="121" t="s">
        <v>625</v>
      </c>
      <c r="H698" s="115" t="e">
        <v>#N/A</v>
      </c>
      <c r="I698" s="118" t="s">
        <v>625</v>
      </c>
    </row>
    <row r="699" spans="1:9">
      <c r="A699" s="114">
        <v>40401</v>
      </c>
      <c r="B699" s="115">
        <v>103.65</v>
      </c>
      <c r="C699" s="115" t="s">
        <v>625</v>
      </c>
      <c r="D699" s="115" t="s">
        <v>625</v>
      </c>
      <c r="E699" s="115" t="s">
        <v>625</v>
      </c>
      <c r="F699" s="115" t="s">
        <v>625</v>
      </c>
      <c r="G699" s="121" t="s">
        <v>625</v>
      </c>
      <c r="H699" s="115" t="e">
        <v>#N/A</v>
      </c>
      <c r="I699" s="118" t="s">
        <v>625</v>
      </c>
    </row>
    <row r="700" spans="1:9">
      <c r="A700" s="114">
        <v>40402</v>
      </c>
      <c r="B700" s="115">
        <v>103.65</v>
      </c>
      <c r="C700" s="115" t="s">
        <v>625</v>
      </c>
      <c r="D700" s="115" t="s">
        <v>625</v>
      </c>
      <c r="E700" s="115" t="s">
        <v>625</v>
      </c>
      <c r="F700" s="115" t="s">
        <v>625</v>
      </c>
      <c r="G700" s="121" t="s">
        <v>625</v>
      </c>
      <c r="H700" s="115" t="e">
        <v>#N/A</v>
      </c>
      <c r="I700" s="118" t="s">
        <v>625</v>
      </c>
    </row>
    <row r="701" spans="1:9">
      <c r="A701" s="114">
        <v>40403</v>
      </c>
      <c r="B701" s="115">
        <v>103.65</v>
      </c>
      <c r="C701" s="115" t="s">
        <v>625</v>
      </c>
      <c r="D701" s="115" t="s">
        <v>625</v>
      </c>
      <c r="E701" s="115" t="s">
        <v>625</v>
      </c>
      <c r="F701" s="115" t="s">
        <v>625</v>
      </c>
      <c r="G701" s="121" t="s">
        <v>625</v>
      </c>
      <c r="H701" s="115" t="e">
        <v>#N/A</v>
      </c>
      <c r="I701" s="118" t="s">
        <v>625</v>
      </c>
    </row>
    <row r="702" spans="1:9">
      <c r="A702" s="114">
        <v>40406</v>
      </c>
      <c r="B702" s="115">
        <v>103.65</v>
      </c>
      <c r="C702" s="115" t="s">
        <v>625</v>
      </c>
      <c r="D702" s="115" t="s">
        <v>625</v>
      </c>
      <c r="E702" s="115" t="s">
        <v>625</v>
      </c>
      <c r="F702" s="115" t="s">
        <v>625</v>
      </c>
      <c r="G702" s="121" t="s">
        <v>625</v>
      </c>
      <c r="H702" s="115" t="e">
        <v>#N/A</v>
      </c>
      <c r="I702" s="118" t="s">
        <v>625</v>
      </c>
    </row>
    <row r="703" spans="1:9">
      <c r="A703" s="114">
        <v>40407</v>
      </c>
      <c r="B703" s="115">
        <v>103.65</v>
      </c>
      <c r="C703" s="115" t="s">
        <v>625</v>
      </c>
      <c r="D703" s="115" t="s">
        <v>625</v>
      </c>
      <c r="E703" s="115" t="s">
        <v>625</v>
      </c>
      <c r="F703" s="115" t="s">
        <v>625</v>
      </c>
      <c r="G703" s="121" t="s">
        <v>625</v>
      </c>
      <c r="H703" s="115" t="e">
        <v>#N/A</v>
      </c>
      <c r="I703" s="118" t="s">
        <v>625</v>
      </c>
    </row>
    <row r="704" spans="1:9">
      <c r="A704" s="114">
        <v>40408</v>
      </c>
      <c r="B704" s="115">
        <v>103.65</v>
      </c>
      <c r="C704" s="115" t="s">
        <v>625</v>
      </c>
      <c r="D704" s="115" t="s">
        <v>625</v>
      </c>
      <c r="E704" s="115" t="s">
        <v>625</v>
      </c>
      <c r="F704" s="115" t="s">
        <v>625</v>
      </c>
      <c r="G704" s="121" t="s">
        <v>625</v>
      </c>
      <c r="H704" s="115" t="e">
        <v>#N/A</v>
      </c>
      <c r="I704" s="118" t="s">
        <v>625</v>
      </c>
    </row>
    <row r="705" spans="1:9">
      <c r="A705" s="114">
        <v>40409</v>
      </c>
      <c r="B705" s="115">
        <v>103.65</v>
      </c>
      <c r="C705" s="115" t="s">
        <v>625</v>
      </c>
      <c r="D705" s="115" t="s">
        <v>625</v>
      </c>
      <c r="E705" s="115" t="s">
        <v>625</v>
      </c>
      <c r="F705" s="115" t="s">
        <v>625</v>
      </c>
      <c r="G705" s="121" t="s">
        <v>625</v>
      </c>
      <c r="H705" s="115" t="e">
        <v>#N/A</v>
      </c>
      <c r="I705" s="118" t="s">
        <v>625</v>
      </c>
    </row>
    <row r="706" spans="1:9">
      <c r="A706" s="114">
        <v>40410</v>
      </c>
      <c r="B706" s="115">
        <v>103.65</v>
      </c>
      <c r="C706" s="115" t="s">
        <v>625</v>
      </c>
      <c r="D706" s="115" t="s">
        <v>625</v>
      </c>
      <c r="E706" s="115" t="s">
        <v>625</v>
      </c>
      <c r="F706" s="115" t="s">
        <v>625</v>
      </c>
      <c r="G706" s="121" t="s">
        <v>625</v>
      </c>
      <c r="H706" s="115" t="e">
        <v>#N/A</v>
      </c>
      <c r="I706" s="118" t="s">
        <v>625</v>
      </c>
    </row>
    <row r="707" spans="1:9">
      <c r="A707" s="114">
        <v>40413</v>
      </c>
      <c r="B707" s="115">
        <v>103.65</v>
      </c>
      <c r="C707" s="115" t="s">
        <v>625</v>
      </c>
      <c r="D707" s="115" t="s">
        <v>625</v>
      </c>
      <c r="E707" s="115" t="s">
        <v>625</v>
      </c>
      <c r="F707" s="115" t="s">
        <v>625</v>
      </c>
      <c r="G707" s="121" t="s">
        <v>625</v>
      </c>
      <c r="H707" s="115" t="e">
        <v>#N/A</v>
      </c>
      <c r="I707" s="118" t="s">
        <v>625</v>
      </c>
    </row>
    <row r="708" spans="1:9">
      <c r="A708" s="114">
        <v>40414</v>
      </c>
      <c r="B708" s="115">
        <v>103.65</v>
      </c>
      <c r="C708" s="115" t="s">
        <v>625</v>
      </c>
      <c r="D708" s="115" t="s">
        <v>625</v>
      </c>
      <c r="E708" s="115" t="s">
        <v>625</v>
      </c>
      <c r="F708" s="115" t="s">
        <v>625</v>
      </c>
      <c r="G708" s="121" t="s">
        <v>625</v>
      </c>
      <c r="H708" s="115" t="e">
        <v>#N/A</v>
      </c>
      <c r="I708" s="118" t="s">
        <v>625</v>
      </c>
    </row>
    <row r="709" spans="1:9">
      <c r="A709" s="114">
        <v>40415</v>
      </c>
      <c r="B709" s="115">
        <v>103.65</v>
      </c>
      <c r="C709" s="115" t="s">
        <v>625</v>
      </c>
      <c r="D709" s="115" t="s">
        <v>625</v>
      </c>
      <c r="E709" s="115" t="s">
        <v>625</v>
      </c>
      <c r="F709" s="115" t="s">
        <v>625</v>
      </c>
      <c r="G709" s="121" t="s">
        <v>625</v>
      </c>
      <c r="H709" s="115" t="e">
        <v>#N/A</v>
      </c>
      <c r="I709" s="118" t="s">
        <v>625</v>
      </c>
    </row>
    <row r="710" spans="1:9">
      <c r="A710" s="114">
        <v>40416</v>
      </c>
      <c r="B710" s="115">
        <v>103.65</v>
      </c>
      <c r="C710" s="115" t="s">
        <v>625</v>
      </c>
      <c r="D710" s="115" t="s">
        <v>625</v>
      </c>
      <c r="E710" s="115" t="s">
        <v>625</v>
      </c>
      <c r="F710" s="115" t="s">
        <v>625</v>
      </c>
      <c r="G710" s="121" t="s">
        <v>625</v>
      </c>
      <c r="H710" s="115" t="e">
        <v>#N/A</v>
      </c>
      <c r="I710" s="118" t="s">
        <v>625</v>
      </c>
    </row>
    <row r="711" spans="1:9">
      <c r="A711" s="114">
        <v>40417</v>
      </c>
      <c r="B711" s="115">
        <v>103.65</v>
      </c>
      <c r="C711" s="115" t="s">
        <v>625</v>
      </c>
      <c r="D711" s="115" t="s">
        <v>625</v>
      </c>
      <c r="E711" s="115" t="s">
        <v>625</v>
      </c>
      <c r="F711" s="115" t="s">
        <v>625</v>
      </c>
      <c r="G711" s="121" t="s">
        <v>625</v>
      </c>
      <c r="H711" s="115" t="e">
        <v>#N/A</v>
      </c>
      <c r="I711" s="118" t="s">
        <v>625</v>
      </c>
    </row>
    <row r="712" spans="1:9">
      <c r="A712" s="114">
        <v>40420</v>
      </c>
      <c r="B712" s="115">
        <v>103.65</v>
      </c>
      <c r="C712" s="115" t="s">
        <v>625</v>
      </c>
      <c r="D712" s="115" t="s">
        <v>625</v>
      </c>
      <c r="E712" s="115" t="s">
        <v>625</v>
      </c>
      <c r="F712" s="115" t="s">
        <v>625</v>
      </c>
      <c r="G712" s="121" t="s">
        <v>625</v>
      </c>
      <c r="H712" s="115" t="e">
        <v>#N/A</v>
      </c>
      <c r="I712" s="118" t="s">
        <v>625</v>
      </c>
    </row>
    <row r="713" spans="1:9">
      <c r="A713" s="114">
        <v>40421</v>
      </c>
      <c r="B713" s="115">
        <v>103.65</v>
      </c>
      <c r="C713" s="115">
        <v>100</v>
      </c>
      <c r="D713" s="115" t="s">
        <v>625</v>
      </c>
      <c r="E713" s="115" t="s">
        <v>625</v>
      </c>
      <c r="F713" s="115" t="s">
        <v>625</v>
      </c>
      <c r="G713" s="121" t="s">
        <v>625</v>
      </c>
      <c r="H713" s="115" t="e">
        <v>#N/A</v>
      </c>
      <c r="I713" s="118" t="s">
        <v>625</v>
      </c>
    </row>
    <row r="714" spans="1:9">
      <c r="A714" s="114">
        <v>40422</v>
      </c>
      <c r="B714" s="115">
        <v>103.65</v>
      </c>
      <c r="C714" s="115">
        <v>99.760999999999996</v>
      </c>
      <c r="D714" s="115" t="s">
        <v>625</v>
      </c>
      <c r="E714" s="115" t="s">
        <v>625</v>
      </c>
      <c r="F714" s="115" t="s">
        <v>625</v>
      </c>
      <c r="G714" s="121" t="s">
        <v>625</v>
      </c>
      <c r="H714" s="115" t="e">
        <v>#N/A</v>
      </c>
      <c r="I714" s="118" t="s">
        <v>625</v>
      </c>
    </row>
    <row r="715" spans="1:9">
      <c r="A715" s="114">
        <v>40423</v>
      </c>
      <c r="B715" s="115">
        <v>103.65</v>
      </c>
      <c r="C715" s="115">
        <v>99.814899999999994</v>
      </c>
      <c r="D715" s="115" t="s">
        <v>625</v>
      </c>
      <c r="E715" s="115" t="s">
        <v>625</v>
      </c>
      <c r="F715" s="115" t="s">
        <v>625</v>
      </c>
      <c r="G715" s="121" t="s">
        <v>625</v>
      </c>
      <c r="H715" s="115" t="e">
        <v>#N/A</v>
      </c>
      <c r="I715" s="118" t="s">
        <v>625</v>
      </c>
    </row>
    <row r="716" spans="1:9">
      <c r="A716" s="114">
        <v>40424</v>
      </c>
      <c r="B716" s="115">
        <v>103.65</v>
      </c>
      <c r="C716" s="115">
        <v>99.814899999999994</v>
      </c>
      <c r="D716" s="115" t="s">
        <v>625</v>
      </c>
      <c r="E716" s="115" t="s">
        <v>625</v>
      </c>
      <c r="F716" s="115" t="s">
        <v>625</v>
      </c>
      <c r="G716" s="121" t="s">
        <v>625</v>
      </c>
      <c r="H716" s="115" t="e">
        <v>#N/A</v>
      </c>
      <c r="I716" s="118" t="s">
        <v>625</v>
      </c>
    </row>
    <row r="717" spans="1:9">
      <c r="A717" s="114">
        <v>40427</v>
      </c>
      <c r="B717" s="115">
        <v>103.65</v>
      </c>
      <c r="C717" s="115">
        <v>99.722999999999999</v>
      </c>
      <c r="D717" s="115" t="s">
        <v>625</v>
      </c>
      <c r="E717" s="115" t="s">
        <v>625</v>
      </c>
      <c r="F717" s="115" t="s">
        <v>625</v>
      </c>
      <c r="G717" s="121" t="s">
        <v>625</v>
      </c>
      <c r="H717" s="115" t="e">
        <v>#N/A</v>
      </c>
      <c r="I717" s="118" t="s">
        <v>625</v>
      </c>
    </row>
    <row r="718" spans="1:9">
      <c r="A718" s="114">
        <v>40428</v>
      </c>
      <c r="B718" s="115">
        <v>103.65</v>
      </c>
      <c r="C718" s="115">
        <v>99.539699999999996</v>
      </c>
      <c r="D718" s="115" t="s">
        <v>625</v>
      </c>
      <c r="E718" s="115" t="s">
        <v>625</v>
      </c>
      <c r="F718" s="115" t="s">
        <v>625</v>
      </c>
      <c r="G718" s="121" t="s">
        <v>625</v>
      </c>
      <c r="H718" s="115" t="e">
        <v>#N/A</v>
      </c>
      <c r="I718" s="118" t="s">
        <v>625</v>
      </c>
    </row>
    <row r="719" spans="1:9">
      <c r="A719" s="114">
        <v>40429</v>
      </c>
      <c r="B719" s="115">
        <v>103.65</v>
      </c>
      <c r="C719" s="115">
        <v>99.905000000000001</v>
      </c>
      <c r="D719" s="115" t="s">
        <v>625</v>
      </c>
      <c r="E719" s="115" t="s">
        <v>625</v>
      </c>
      <c r="F719" s="115" t="s">
        <v>625</v>
      </c>
      <c r="G719" s="121" t="s">
        <v>625</v>
      </c>
      <c r="H719" s="115" t="e">
        <v>#N/A</v>
      </c>
      <c r="I719" s="118" t="s">
        <v>625</v>
      </c>
    </row>
    <row r="720" spans="1:9">
      <c r="A720" s="114">
        <v>40430</v>
      </c>
      <c r="B720" s="115">
        <v>103.65</v>
      </c>
      <c r="C720" s="115">
        <v>99.905000000000001</v>
      </c>
      <c r="D720" s="115" t="s">
        <v>625</v>
      </c>
      <c r="E720" s="115" t="s">
        <v>625</v>
      </c>
      <c r="F720" s="115" t="s">
        <v>625</v>
      </c>
      <c r="G720" s="121" t="s">
        <v>625</v>
      </c>
      <c r="H720" s="115" t="e">
        <v>#N/A</v>
      </c>
      <c r="I720" s="118" t="s">
        <v>625</v>
      </c>
    </row>
    <row r="721" spans="1:9">
      <c r="A721" s="114">
        <v>40431</v>
      </c>
      <c r="B721" s="115">
        <v>103.65</v>
      </c>
      <c r="C721" s="115">
        <v>99.449200000000005</v>
      </c>
      <c r="D721" s="115" t="s">
        <v>625</v>
      </c>
      <c r="E721" s="115" t="s">
        <v>625</v>
      </c>
      <c r="F721" s="115" t="s">
        <v>625</v>
      </c>
      <c r="G721" s="121" t="s">
        <v>625</v>
      </c>
      <c r="H721" s="115" t="e">
        <v>#N/A</v>
      </c>
      <c r="I721" s="118" t="s">
        <v>625</v>
      </c>
    </row>
    <row r="722" spans="1:9">
      <c r="A722" s="114">
        <v>40434</v>
      </c>
      <c r="B722" s="115">
        <v>103.65</v>
      </c>
      <c r="C722" s="115">
        <v>99.449200000000005</v>
      </c>
      <c r="D722" s="115" t="s">
        <v>625</v>
      </c>
      <c r="E722" s="115" t="s">
        <v>625</v>
      </c>
      <c r="F722" s="115" t="s">
        <v>625</v>
      </c>
      <c r="G722" s="121" t="s">
        <v>625</v>
      </c>
      <c r="H722" s="115" t="e">
        <v>#N/A</v>
      </c>
      <c r="I722" s="118" t="s">
        <v>625</v>
      </c>
    </row>
    <row r="723" spans="1:9">
      <c r="A723" s="114">
        <v>40435</v>
      </c>
      <c r="B723" s="115">
        <v>103.65</v>
      </c>
      <c r="C723" s="115">
        <v>99.358500000000006</v>
      </c>
      <c r="D723" s="115" t="s">
        <v>625</v>
      </c>
      <c r="E723" s="115" t="s">
        <v>625</v>
      </c>
      <c r="F723" s="115" t="s">
        <v>625</v>
      </c>
      <c r="G723" s="121" t="s">
        <v>625</v>
      </c>
      <c r="H723" s="115" t="e">
        <v>#N/A</v>
      </c>
      <c r="I723" s="118" t="s">
        <v>625</v>
      </c>
    </row>
    <row r="724" spans="1:9">
      <c r="A724" s="114">
        <v>40436</v>
      </c>
      <c r="B724" s="115">
        <v>103.65</v>
      </c>
      <c r="C724" s="115">
        <v>99.449799999999996</v>
      </c>
      <c r="D724" s="115" t="s">
        <v>625</v>
      </c>
      <c r="E724" s="115" t="s">
        <v>625</v>
      </c>
      <c r="F724" s="115" t="s">
        <v>625</v>
      </c>
      <c r="G724" s="121" t="s">
        <v>625</v>
      </c>
      <c r="H724" s="115" t="e">
        <v>#N/A</v>
      </c>
      <c r="I724" s="118" t="s">
        <v>625</v>
      </c>
    </row>
    <row r="725" spans="1:9">
      <c r="A725" s="114">
        <v>40437</v>
      </c>
      <c r="B725" s="115">
        <v>103.65</v>
      </c>
      <c r="C725" s="115">
        <v>99.358999999999995</v>
      </c>
      <c r="D725" s="115" t="s">
        <v>625</v>
      </c>
      <c r="E725" s="115" t="s">
        <v>625</v>
      </c>
      <c r="F725" s="115" t="s">
        <v>625</v>
      </c>
      <c r="G725" s="121" t="s">
        <v>625</v>
      </c>
      <c r="H725" s="115" t="e">
        <v>#N/A</v>
      </c>
      <c r="I725" s="118" t="s">
        <v>625</v>
      </c>
    </row>
    <row r="726" spans="1:9">
      <c r="A726" s="114">
        <v>40438</v>
      </c>
      <c r="B726" s="115">
        <v>103.65</v>
      </c>
      <c r="C726" s="115">
        <v>99.358999999999995</v>
      </c>
      <c r="D726" s="115" t="s">
        <v>625</v>
      </c>
      <c r="E726" s="115" t="s">
        <v>625</v>
      </c>
      <c r="F726" s="115" t="s">
        <v>625</v>
      </c>
      <c r="G726" s="121" t="s">
        <v>625</v>
      </c>
      <c r="H726" s="115" t="e">
        <v>#N/A</v>
      </c>
      <c r="I726" s="118" t="s">
        <v>625</v>
      </c>
    </row>
    <row r="727" spans="1:9">
      <c r="A727" s="114">
        <v>40440</v>
      </c>
      <c r="B727" s="115">
        <v>103.65</v>
      </c>
      <c r="C727" s="115">
        <v>99.358999999999995</v>
      </c>
      <c r="D727" s="115" t="s">
        <v>625</v>
      </c>
      <c r="E727" s="115" t="s">
        <v>625</v>
      </c>
      <c r="F727" s="115" t="s">
        <v>625</v>
      </c>
      <c r="G727" s="121" t="s">
        <v>625</v>
      </c>
      <c r="H727" s="115" t="e">
        <v>#N/A</v>
      </c>
      <c r="I727" s="118" t="s">
        <v>625</v>
      </c>
    </row>
    <row r="728" spans="1:9">
      <c r="A728" s="114">
        <v>40441</v>
      </c>
      <c r="B728" s="115">
        <v>103.65</v>
      </c>
      <c r="C728" s="115">
        <v>99.169399999999996</v>
      </c>
      <c r="D728" s="115" t="s">
        <v>625</v>
      </c>
      <c r="E728" s="115" t="s">
        <v>625</v>
      </c>
      <c r="F728" s="115" t="s">
        <v>625</v>
      </c>
      <c r="G728" s="121" t="s">
        <v>625</v>
      </c>
      <c r="H728" s="115" t="e">
        <v>#N/A</v>
      </c>
      <c r="I728" s="118" t="s">
        <v>625</v>
      </c>
    </row>
    <row r="729" spans="1:9">
      <c r="A729" s="114">
        <v>40442</v>
      </c>
      <c r="B729" s="115">
        <v>103.65</v>
      </c>
      <c r="C729" s="115">
        <v>99.308099999999996</v>
      </c>
      <c r="D729" s="115" t="s">
        <v>625</v>
      </c>
      <c r="E729" s="115" t="s">
        <v>625</v>
      </c>
      <c r="F729" s="115" t="s">
        <v>625</v>
      </c>
      <c r="G729" s="121" t="s">
        <v>625</v>
      </c>
      <c r="H729" s="115" t="e">
        <v>#N/A</v>
      </c>
      <c r="I729" s="118" t="s">
        <v>625</v>
      </c>
    </row>
    <row r="730" spans="1:9">
      <c r="A730" s="114">
        <v>40446</v>
      </c>
      <c r="B730" s="115">
        <v>103.65</v>
      </c>
      <c r="C730" s="115">
        <v>99.314499999999995</v>
      </c>
      <c r="D730" s="115" t="s">
        <v>625</v>
      </c>
      <c r="E730" s="115" t="s">
        <v>625</v>
      </c>
      <c r="F730" s="115" t="s">
        <v>625</v>
      </c>
      <c r="G730" s="121" t="s">
        <v>625</v>
      </c>
      <c r="H730" s="115" t="e">
        <v>#N/A</v>
      </c>
      <c r="I730" s="118" t="s">
        <v>625</v>
      </c>
    </row>
    <row r="731" spans="1:9">
      <c r="A731" s="114">
        <v>40447</v>
      </c>
      <c r="B731" s="115">
        <v>103.65</v>
      </c>
      <c r="C731" s="115">
        <v>99.314300000000003</v>
      </c>
      <c r="D731" s="115" t="s">
        <v>625</v>
      </c>
      <c r="E731" s="115" t="s">
        <v>625</v>
      </c>
      <c r="F731" s="115" t="s">
        <v>625</v>
      </c>
      <c r="G731" s="121" t="s">
        <v>625</v>
      </c>
      <c r="H731" s="115" t="e">
        <v>#N/A</v>
      </c>
      <c r="I731" s="118" t="s">
        <v>625</v>
      </c>
    </row>
    <row r="732" spans="1:9">
      <c r="A732" s="114">
        <v>40448</v>
      </c>
      <c r="B732" s="115">
        <v>103.65</v>
      </c>
      <c r="C732" s="115">
        <v>99.314499999999995</v>
      </c>
      <c r="D732" s="115" t="s">
        <v>625</v>
      </c>
      <c r="E732" s="115" t="s">
        <v>625</v>
      </c>
      <c r="F732" s="115" t="s">
        <v>625</v>
      </c>
      <c r="G732" s="121" t="s">
        <v>625</v>
      </c>
      <c r="H732" s="115" t="e">
        <v>#N/A</v>
      </c>
      <c r="I732" s="118" t="s">
        <v>625</v>
      </c>
    </row>
    <row r="733" spans="1:9">
      <c r="A733" s="114">
        <v>40449</v>
      </c>
      <c r="B733" s="115">
        <v>103.65</v>
      </c>
      <c r="C733" s="115">
        <v>99.315100000000001</v>
      </c>
      <c r="D733" s="115" t="s">
        <v>625</v>
      </c>
      <c r="E733" s="115" t="s">
        <v>625</v>
      </c>
      <c r="F733" s="115" t="s">
        <v>625</v>
      </c>
      <c r="G733" s="121" t="s">
        <v>625</v>
      </c>
      <c r="H733" s="115" t="e">
        <v>#N/A</v>
      </c>
      <c r="I733" s="118" t="s">
        <v>625</v>
      </c>
    </row>
    <row r="734" spans="1:9">
      <c r="A734" s="114">
        <v>40450</v>
      </c>
      <c r="B734" s="115">
        <v>103.65</v>
      </c>
      <c r="C734" s="115">
        <v>99.384900000000002</v>
      </c>
      <c r="D734" s="115" t="s">
        <v>625</v>
      </c>
      <c r="E734" s="115" t="s">
        <v>625</v>
      </c>
      <c r="F734" s="115" t="s">
        <v>625</v>
      </c>
      <c r="G734" s="121" t="s">
        <v>625</v>
      </c>
      <c r="H734" s="115" t="e">
        <v>#N/A</v>
      </c>
      <c r="I734" s="118" t="s">
        <v>625</v>
      </c>
    </row>
    <row r="735" spans="1:9">
      <c r="A735" s="114">
        <v>40451</v>
      </c>
      <c r="B735" s="115">
        <v>103.65</v>
      </c>
      <c r="C735" s="115">
        <v>99.276799999999994</v>
      </c>
      <c r="D735" s="115" t="s">
        <v>625</v>
      </c>
      <c r="E735" s="115" t="s">
        <v>625</v>
      </c>
      <c r="F735" s="115" t="s">
        <v>625</v>
      </c>
      <c r="G735" s="121" t="s">
        <v>625</v>
      </c>
      <c r="H735" s="115" t="e">
        <v>#N/A</v>
      </c>
      <c r="I735" s="118" t="s">
        <v>625</v>
      </c>
    </row>
    <row r="736" spans="1:9">
      <c r="A736" s="114">
        <v>40459</v>
      </c>
      <c r="B736" s="115">
        <v>103.65</v>
      </c>
      <c r="C736" s="115">
        <v>99.317599999999999</v>
      </c>
      <c r="D736" s="115" t="s">
        <v>625</v>
      </c>
      <c r="E736" s="115" t="s">
        <v>625</v>
      </c>
      <c r="F736" s="115" t="s">
        <v>625</v>
      </c>
      <c r="G736" s="121" t="s">
        <v>625</v>
      </c>
      <c r="H736" s="115" t="e">
        <v>#N/A</v>
      </c>
      <c r="I736" s="118" t="s">
        <v>625</v>
      </c>
    </row>
    <row r="737" spans="1:9">
      <c r="A737" s="114">
        <v>40460</v>
      </c>
      <c r="B737" s="115">
        <v>103.65</v>
      </c>
      <c r="C737" s="115">
        <v>99.317599999999999</v>
      </c>
      <c r="D737" s="115" t="s">
        <v>625</v>
      </c>
      <c r="E737" s="115" t="s">
        <v>625</v>
      </c>
      <c r="F737" s="115" t="s">
        <v>625</v>
      </c>
      <c r="G737" s="121" t="s">
        <v>625</v>
      </c>
      <c r="H737" s="115" t="e">
        <v>#N/A</v>
      </c>
      <c r="I737" s="118" t="s">
        <v>625</v>
      </c>
    </row>
    <row r="738" spans="1:9">
      <c r="A738" s="114">
        <v>40462</v>
      </c>
      <c r="B738" s="115">
        <v>103.65</v>
      </c>
      <c r="C738" s="115">
        <v>99.096500000000006</v>
      </c>
      <c r="D738" s="115" t="s">
        <v>625</v>
      </c>
      <c r="E738" s="115" t="s">
        <v>625</v>
      </c>
      <c r="F738" s="115" t="s">
        <v>625</v>
      </c>
      <c r="G738" s="121" t="s">
        <v>625</v>
      </c>
      <c r="H738" s="115" t="e">
        <v>#N/A</v>
      </c>
      <c r="I738" s="118" t="s">
        <v>625</v>
      </c>
    </row>
    <row r="739" spans="1:9">
      <c r="A739" s="114">
        <v>40463</v>
      </c>
      <c r="B739" s="115">
        <v>103.65</v>
      </c>
      <c r="C739" s="115">
        <v>99.183899999999994</v>
      </c>
      <c r="D739" s="115" t="s">
        <v>625</v>
      </c>
      <c r="E739" s="115" t="s">
        <v>625</v>
      </c>
      <c r="F739" s="115" t="s">
        <v>625</v>
      </c>
      <c r="G739" s="121" t="s">
        <v>625</v>
      </c>
      <c r="H739" s="115" t="e">
        <v>#N/A</v>
      </c>
      <c r="I739" s="118" t="s">
        <v>625</v>
      </c>
    </row>
    <row r="740" spans="1:9">
      <c r="A740" s="114">
        <v>40464</v>
      </c>
      <c r="B740" s="115">
        <v>103.65</v>
      </c>
      <c r="C740" s="115">
        <v>99.052599999999998</v>
      </c>
      <c r="D740" s="115" t="s">
        <v>625</v>
      </c>
      <c r="E740" s="115" t="s">
        <v>625</v>
      </c>
      <c r="F740" s="115" t="s">
        <v>625</v>
      </c>
      <c r="G740" s="121" t="s">
        <v>625</v>
      </c>
      <c r="H740" s="115" t="e">
        <v>#N/A</v>
      </c>
      <c r="I740" s="118" t="s">
        <v>625</v>
      </c>
    </row>
    <row r="741" spans="1:9">
      <c r="A741" s="114">
        <v>40465</v>
      </c>
      <c r="B741" s="115">
        <v>103.65</v>
      </c>
      <c r="C741" s="115">
        <v>99.1798</v>
      </c>
      <c r="D741" s="115" t="s">
        <v>625</v>
      </c>
      <c r="E741" s="115" t="s">
        <v>625</v>
      </c>
      <c r="F741" s="115" t="s">
        <v>625</v>
      </c>
      <c r="G741" s="121" t="s">
        <v>625</v>
      </c>
      <c r="H741" s="115" t="e">
        <v>#N/A</v>
      </c>
      <c r="I741" s="118" t="s">
        <v>625</v>
      </c>
    </row>
    <row r="742" spans="1:9">
      <c r="A742" s="114">
        <v>40466</v>
      </c>
      <c r="B742" s="115">
        <v>103.65</v>
      </c>
      <c r="C742" s="115">
        <v>99.232799999999997</v>
      </c>
      <c r="D742" s="115" t="s">
        <v>625</v>
      </c>
      <c r="E742" s="115" t="s">
        <v>625</v>
      </c>
      <c r="F742" s="115" t="s">
        <v>625</v>
      </c>
      <c r="G742" s="121" t="s">
        <v>625</v>
      </c>
      <c r="H742" s="115" t="e">
        <v>#N/A</v>
      </c>
      <c r="I742" s="118" t="s">
        <v>625</v>
      </c>
    </row>
    <row r="743" spans="1:9">
      <c r="A743" s="114">
        <v>40469</v>
      </c>
      <c r="B743" s="115">
        <v>103.65</v>
      </c>
      <c r="C743" s="115">
        <v>99.233199999999997</v>
      </c>
      <c r="D743" s="115" t="s">
        <v>625</v>
      </c>
      <c r="E743" s="115" t="s">
        <v>625</v>
      </c>
      <c r="F743" s="115" t="s">
        <v>625</v>
      </c>
      <c r="G743" s="121" t="s">
        <v>625</v>
      </c>
      <c r="H743" s="115" t="e">
        <v>#N/A</v>
      </c>
      <c r="I743" s="118" t="s">
        <v>625</v>
      </c>
    </row>
    <row r="744" spans="1:9">
      <c r="A744" s="114">
        <v>40470</v>
      </c>
      <c r="B744" s="115">
        <v>103.65</v>
      </c>
      <c r="C744" s="115">
        <v>99.168800000000005</v>
      </c>
      <c r="D744" s="115">
        <v>100</v>
      </c>
      <c r="E744" s="115" t="s">
        <v>625</v>
      </c>
      <c r="F744" s="115" t="s">
        <v>625</v>
      </c>
      <c r="G744" s="121" t="s">
        <v>625</v>
      </c>
      <c r="H744" s="115" t="e">
        <v>#N/A</v>
      </c>
      <c r="I744" s="118" t="s">
        <v>625</v>
      </c>
    </row>
    <row r="745" spans="1:9">
      <c r="A745" s="114">
        <v>40471</v>
      </c>
      <c r="B745" s="115">
        <v>103.65</v>
      </c>
      <c r="C745" s="115">
        <v>100.001</v>
      </c>
      <c r="D745" s="115">
        <v>99.804299999999998</v>
      </c>
      <c r="E745" s="115" t="s">
        <v>625</v>
      </c>
      <c r="F745" s="115" t="s">
        <v>625</v>
      </c>
      <c r="G745" s="121" t="s">
        <v>625</v>
      </c>
      <c r="H745" s="115" t="e">
        <v>#N/A</v>
      </c>
      <c r="I745" s="118" t="s">
        <v>625</v>
      </c>
    </row>
    <row r="746" spans="1:9">
      <c r="A746" s="114">
        <v>40472</v>
      </c>
      <c r="B746" s="115">
        <v>103.65</v>
      </c>
      <c r="C746" s="115">
        <v>99.3</v>
      </c>
      <c r="D746" s="115">
        <v>97.559799999999996</v>
      </c>
      <c r="E746" s="115" t="s">
        <v>625</v>
      </c>
      <c r="F746" s="115" t="s">
        <v>625</v>
      </c>
      <c r="G746" s="121" t="s">
        <v>625</v>
      </c>
      <c r="H746" s="115" t="e">
        <v>#N/A</v>
      </c>
      <c r="I746" s="118" t="s">
        <v>625</v>
      </c>
    </row>
    <row r="747" spans="1:9">
      <c r="A747" s="114">
        <v>40473</v>
      </c>
      <c r="B747" s="115">
        <v>103.65</v>
      </c>
      <c r="C747" s="115">
        <v>97.858400000000003</v>
      </c>
      <c r="D747" s="115">
        <v>97.8626</v>
      </c>
      <c r="E747" s="115" t="s">
        <v>625</v>
      </c>
      <c r="F747" s="115" t="s">
        <v>625</v>
      </c>
      <c r="G747" s="121" t="s">
        <v>625</v>
      </c>
      <c r="H747" s="115" t="e">
        <v>#N/A</v>
      </c>
      <c r="I747" s="118" t="s">
        <v>625</v>
      </c>
    </row>
    <row r="748" spans="1:9">
      <c r="A748" s="114">
        <v>40476</v>
      </c>
      <c r="B748" s="115">
        <v>103.65</v>
      </c>
      <c r="C748" s="115">
        <v>99.351500000000001</v>
      </c>
      <c r="D748" s="115">
        <v>98.043999999999997</v>
      </c>
      <c r="E748" s="115" t="s">
        <v>625</v>
      </c>
      <c r="F748" s="115" t="s">
        <v>625</v>
      </c>
      <c r="G748" s="121" t="s">
        <v>625</v>
      </c>
      <c r="H748" s="115" t="e">
        <v>#N/A</v>
      </c>
      <c r="I748" s="118" t="s">
        <v>625</v>
      </c>
    </row>
    <row r="749" spans="1:9">
      <c r="A749" s="114">
        <v>40477</v>
      </c>
      <c r="B749" s="115">
        <v>103.65</v>
      </c>
      <c r="C749" s="115">
        <v>99.349199999999996</v>
      </c>
      <c r="D749" s="115">
        <v>98.981700000000004</v>
      </c>
      <c r="E749" s="115" t="s">
        <v>625</v>
      </c>
      <c r="F749" s="115" t="s">
        <v>625</v>
      </c>
      <c r="G749" s="121" t="s">
        <v>625</v>
      </c>
      <c r="H749" s="115" t="e">
        <v>#N/A</v>
      </c>
      <c r="I749" s="118" t="s">
        <v>625</v>
      </c>
    </row>
    <row r="750" spans="1:9">
      <c r="A750" s="114">
        <v>40478</v>
      </c>
      <c r="B750" s="115">
        <v>103.65</v>
      </c>
      <c r="C750" s="115">
        <v>97.565200000000004</v>
      </c>
      <c r="D750" s="115">
        <v>98.977900000000005</v>
      </c>
      <c r="E750" s="115" t="s">
        <v>625</v>
      </c>
      <c r="F750" s="115" t="s">
        <v>625</v>
      </c>
      <c r="G750" s="121" t="s">
        <v>625</v>
      </c>
      <c r="H750" s="115" t="e">
        <v>#N/A</v>
      </c>
      <c r="I750" s="118" t="s">
        <v>625</v>
      </c>
    </row>
    <row r="751" spans="1:9">
      <c r="A751" s="114">
        <v>40479</v>
      </c>
      <c r="B751" s="115">
        <v>103.65</v>
      </c>
      <c r="C751" s="115">
        <v>97.566400000000002</v>
      </c>
      <c r="D751" s="115">
        <v>99.285600000000002</v>
      </c>
      <c r="E751" s="115" t="s">
        <v>625</v>
      </c>
      <c r="F751" s="115" t="s">
        <v>625</v>
      </c>
      <c r="G751" s="121" t="s">
        <v>625</v>
      </c>
      <c r="H751" s="115" t="e">
        <v>#N/A</v>
      </c>
      <c r="I751" s="118" t="s">
        <v>625</v>
      </c>
    </row>
    <row r="752" spans="1:9">
      <c r="A752" s="114">
        <v>40480</v>
      </c>
      <c r="B752" s="115">
        <v>103.65</v>
      </c>
      <c r="C752" s="115">
        <v>99.193399999999997</v>
      </c>
      <c r="D752" s="115">
        <v>98.969099999999997</v>
      </c>
      <c r="E752" s="115" t="s">
        <v>625</v>
      </c>
      <c r="F752" s="115" t="s">
        <v>625</v>
      </c>
      <c r="G752" s="121" t="s">
        <v>625</v>
      </c>
      <c r="H752" s="115" t="e">
        <v>#N/A</v>
      </c>
      <c r="I752" s="118" t="s">
        <v>625</v>
      </c>
    </row>
    <row r="753" spans="1:9">
      <c r="A753" s="114">
        <v>40483</v>
      </c>
      <c r="B753" s="115">
        <v>103.65</v>
      </c>
      <c r="C753" s="115">
        <v>99.193399999999997</v>
      </c>
      <c r="D753" s="115">
        <v>98.969099999999997</v>
      </c>
      <c r="E753" s="115" t="s">
        <v>625</v>
      </c>
      <c r="F753" s="115" t="s">
        <v>625</v>
      </c>
      <c r="G753" s="121" t="s">
        <v>625</v>
      </c>
      <c r="H753" s="115" t="e">
        <v>#N/A</v>
      </c>
      <c r="I753" s="118" t="s">
        <v>625</v>
      </c>
    </row>
    <row r="754" spans="1:9">
      <c r="A754" s="114">
        <v>40484</v>
      </c>
      <c r="B754" s="115">
        <v>103.65</v>
      </c>
      <c r="C754" s="115">
        <v>97.269400000000005</v>
      </c>
      <c r="D754" s="115">
        <v>97.661600000000007</v>
      </c>
      <c r="E754" s="115" t="s">
        <v>625</v>
      </c>
      <c r="F754" s="115" t="s">
        <v>625</v>
      </c>
      <c r="G754" s="121" t="s">
        <v>625</v>
      </c>
      <c r="H754" s="115" t="e">
        <v>#N/A</v>
      </c>
      <c r="I754" s="118" t="s">
        <v>625</v>
      </c>
    </row>
    <row r="755" spans="1:9">
      <c r="A755" s="114">
        <v>40485</v>
      </c>
      <c r="B755" s="115">
        <v>103.65</v>
      </c>
      <c r="C755" s="115">
        <v>96.838499999999996</v>
      </c>
      <c r="D755" s="115">
        <v>97.657899999999998</v>
      </c>
      <c r="E755" s="115" t="s">
        <v>625</v>
      </c>
      <c r="F755" s="115" t="s">
        <v>625</v>
      </c>
      <c r="G755" s="121" t="s">
        <v>625</v>
      </c>
      <c r="H755" s="115" t="e">
        <v>#N/A</v>
      </c>
      <c r="I755" s="118" t="s">
        <v>625</v>
      </c>
    </row>
    <row r="756" spans="1:9">
      <c r="A756" s="114">
        <v>40486</v>
      </c>
      <c r="B756" s="115">
        <v>103.65</v>
      </c>
      <c r="C756" s="115">
        <v>96.413600000000002</v>
      </c>
      <c r="D756" s="115">
        <v>96.530299999999997</v>
      </c>
      <c r="E756" s="115" t="s">
        <v>625</v>
      </c>
      <c r="F756" s="115" t="s">
        <v>625</v>
      </c>
      <c r="G756" s="121" t="s">
        <v>625</v>
      </c>
      <c r="H756" s="115" t="e">
        <v>#N/A</v>
      </c>
      <c r="I756" s="118" t="s">
        <v>625</v>
      </c>
    </row>
    <row r="757" spans="1:9">
      <c r="A757" s="114">
        <v>40487</v>
      </c>
      <c r="B757" s="115">
        <v>103.65</v>
      </c>
      <c r="C757" s="115">
        <v>96.418999999999997</v>
      </c>
      <c r="D757" s="115">
        <v>97.642799999999994</v>
      </c>
      <c r="E757" s="115" t="s">
        <v>625</v>
      </c>
      <c r="F757" s="115" t="s">
        <v>625</v>
      </c>
      <c r="G757" s="121" t="s">
        <v>625</v>
      </c>
      <c r="H757" s="115" t="e">
        <v>#N/A</v>
      </c>
      <c r="I757" s="118" t="s">
        <v>625</v>
      </c>
    </row>
    <row r="758" spans="1:9">
      <c r="A758" s="114">
        <v>40490</v>
      </c>
      <c r="B758" s="115">
        <v>103.65</v>
      </c>
      <c r="C758" s="115">
        <v>99.185900000000004</v>
      </c>
      <c r="D758" s="115">
        <v>98.951499999999996</v>
      </c>
      <c r="E758" s="115" t="s">
        <v>625</v>
      </c>
      <c r="F758" s="115" t="s">
        <v>625</v>
      </c>
      <c r="G758" s="121" t="s">
        <v>625</v>
      </c>
      <c r="H758" s="115" t="e">
        <v>#N/A</v>
      </c>
      <c r="I758" s="118" t="s">
        <v>625</v>
      </c>
    </row>
    <row r="759" spans="1:9">
      <c r="A759" s="114">
        <v>40491</v>
      </c>
      <c r="B759" s="115">
        <v>103.65</v>
      </c>
      <c r="C759" s="115">
        <v>97.860399999999998</v>
      </c>
      <c r="D759" s="115">
        <v>97.7547</v>
      </c>
      <c r="E759" s="115" t="s">
        <v>625</v>
      </c>
      <c r="F759" s="115" t="s">
        <v>625</v>
      </c>
      <c r="G759" s="121" t="s">
        <v>625</v>
      </c>
      <c r="H759" s="115" t="e">
        <v>#N/A</v>
      </c>
      <c r="I759" s="118" t="s">
        <v>625</v>
      </c>
    </row>
    <row r="760" spans="1:9">
      <c r="A760" s="114">
        <v>40492</v>
      </c>
      <c r="B760" s="115">
        <v>103.65</v>
      </c>
      <c r="C760" s="115">
        <v>97.468400000000003</v>
      </c>
      <c r="D760" s="115">
        <v>97.334000000000003</v>
      </c>
      <c r="E760" s="115" t="s">
        <v>625</v>
      </c>
      <c r="F760" s="115" t="s">
        <v>625</v>
      </c>
      <c r="G760" s="121" t="s">
        <v>625</v>
      </c>
      <c r="H760" s="115" t="e">
        <v>#N/A</v>
      </c>
      <c r="I760" s="118" t="s">
        <v>625</v>
      </c>
    </row>
    <row r="761" spans="1:9">
      <c r="A761" s="114">
        <v>40493</v>
      </c>
      <c r="B761" s="115">
        <v>103.65</v>
      </c>
      <c r="C761" s="115">
        <v>97.468400000000003</v>
      </c>
      <c r="D761" s="115">
        <v>95.746899999999997</v>
      </c>
      <c r="E761" s="115" t="s">
        <v>625</v>
      </c>
      <c r="F761" s="115" t="s">
        <v>625</v>
      </c>
      <c r="G761" s="121" t="s">
        <v>625</v>
      </c>
      <c r="H761" s="115" t="e">
        <v>#N/A</v>
      </c>
      <c r="I761" s="118" t="s">
        <v>625</v>
      </c>
    </row>
    <row r="762" spans="1:9">
      <c r="A762" s="114">
        <v>40494</v>
      </c>
      <c r="B762" s="115">
        <v>103.65</v>
      </c>
      <c r="C762" s="115">
        <v>97.468400000000003</v>
      </c>
      <c r="D762" s="115">
        <v>95.746899999999997</v>
      </c>
      <c r="E762" s="115" t="s">
        <v>625</v>
      </c>
      <c r="F762" s="115" t="s">
        <v>625</v>
      </c>
      <c r="G762" s="121" t="s">
        <v>625</v>
      </c>
      <c r="H762" s="115" t="e">
        <v>#N/A</v>
      </c>
      <c r="I762" s="118" t="s">
        <v>625</v>
      </c>
    </row>
    <row r="763" spans="1:9">
      <c r="A763" s="114">
        <v>40497</v>
      </c>
      <c r="B763" s="115">
        <v>103.65</v>
      </c>
      <c r="C763" s="115">
        <v>95.2958</v>
      </c>
      <c r="D763" s="115">
        <v>95.746899999999997</v>
      </c>
      <c r="E763" s="115" t="s">
        <v>625</v>
      </c>
      <c r="F763" s="115" t="s">
        <v>625</v>
      </c>
      <c r="G763" s="121" t="s">
        <v>625</v>
      </c>
      <c r="H763" s="115" t="e">
        <v>#N/A</v>
      </c>
      <c r="I763" s="118" t="s">
        <v>625</v>
      </c>
    </row>
    <row r="764" spans="1:9">
      <c r="A764" s="114">
        <v>40498</v>
      </c>
      <c r="B764" s="115">
        <v>103.65</v>
      </c>
      <c r="C764" s="115">
        <v>97.331699999999998</v>
      </c>
      <c r="D764" s="115">
        <v>95.746899999999997</v>
      </c>
      <c r="E764" s="115" t="s">
        <v>625</v>
      </c>
      <c r="F764" s="115" t="s">
        <v>625</v>
      </c>
      <c r="G764" s="121" t="s">
        <v>625</v>
      </c>
      <c r="H764" s="115" t="e">
        <v>#N/A</v>
      </c>
      <c r="I764" s="118" t="s">
        <v>625</v>
      </c>
    </row>
    <row r="765" spans="1:9">
      <c r="A765" s="114">
        <v>40499</v>
      </c>
      <c r="B765" s="115">
        <v>103.65</v>
      </c>
      <c r="C765" s="115">
        <v>97.235299999999995</v>
      </c>
      <c r="D765" s="115">
        <v>97.445099999999996</v>
      </c>
      <c r="E765" s="115" t="s">
        <v>625</v>
      </c>
      <c r="F765" s="115" t="s">
        <v>625</v>
      </c>
      <c r="G765" s="121" t="s">
        <v>625</v>
      </c>
      <c r="H765" s="115" t="e">
        <v>#N/A</v>
      </c>
      <c r="I765" s="118" t="s">
        <v>625</v>
      </c>
    </row>
    <row r="766" spans="1:9">
      <c r="A766" s="114">
        <v>40500</v>
      </c>
      <c r="B766" s="115">
        <v>103.65</v>
      </c>
      <c r="C766" s="115">
        <v>97.246799999999993</v>
      </c>
      <c r="D766" s="115">
        <v>97.672399999999996</v>
      </c>
      <c r="E766" s="115" t="s">
        <v>625</v>
      </c>
      <c r="F766" s="115" t="s">
        <v>625</v>
      </c>
      <c r="G766" s="121" t="s">
        <v>625</v>
      </c>
      <c r="H766" s="115" t="e">
        <v>#N/A</v>
      </c>
      <c r="I766" s="118" t="s">
        <v>625</v>
      </c>
    </row>
    <row r="767" spans="1:9">
      <c r="A767" s="114">
        <v>40501</v>
      </c>
      <c r="B767" s="115">
        <v>103.65</v>
      </c>
      <c r="C767" s="115">
        <v>95.854200000000006</v>
      </c>
      <c r="D767" s="115">
        <v>98.053399999999996</v>
      </c>
      <c r="E767" s="115" t="s">
        <v>625</v>
      </c>
      <c r="F767" s="115" t="s">
        <v>625</v>
      </c>
      <c r="G767" s="121" t="s">
        <v>625</v>
      </c>
      <c r="H767" s="115" t="e">
        <v>#N/A</v>
      </c>
      <c r="I767" s="118" t="s">
        <v>625</v>
      </c>
    </row>
    <row r="768" spans="1:9">
      <c r="A768" s="114">
        <v>40504</v>
      </c>
      <c r="B768" s="115">
        <v>103.65</v>
      </c>
      <c r="C768" s="115">
        <v>97.712400000000002</v>
      </c>
      <c r="D768" s="115">
        <v>97.981300000000005</v>
      </c>
      <c r="E768" s="115" t="s">
        <v>625</v>
      </c>
      <c r="F768" s="115" t="s">
        <v>625</v>
      </c>
      <c r="G768" s="121" t="s">
        <v>625</v>
      </c>
      <c r="H768" s="115" t="e">
        <v>#N/A</v>
      </c>
      <c r="I768" s="118" t="s">
        <v>625</v>
      </c>
    </row>
    <row r="769" spans="1:9">
      <c r="A769" s="114">
        <v>40505</v>
      </c>
      <c r="B769" s="115">
        <v>103.65</v>
      </c>
      <c r="C769" s="115">
        <v>97.505600000000001</v>
      </c>
      <c r="D769" s="115">
        <v>97.555800000000005</v>
      </c>
      <c r="E769" s="115" t="s">
        <v>625</v>
      </c>
      <c r="F769" s="115" t="s">
        <v>625</v>
      </c>
      <c r="G769" s="121" t="s">
        <v>625</v>
      </c>
      <c r="H769" s="115" t="e">
        <v>#N/A</v>
      </c>
      <c r="I769" s="118" t="s">
        <v>625</v>
      </c>
    </row>
    <row r="770" spans="1:9">
      <c r="A770" s="114">
        <v>40506</v>
      </c>
      <c r="B770" s="115">
        <v>103.65</v>
      </c>
      <c r="C770" s="115">
        <v>95.358999999999995</v>
      </c>
      <c r="D770" s="115">
        <v>97.084800000000001</v>
      </c>
      <c r="E770" s="115" t="s">
        <v>625</v>
      </c>
      <c r="F770" s="115" t="s">
        <v>625</v>
      </c>
      <c r="G770" s="121" t="s">
        <v>625</v>
      </c>
      <c r="H770" s="115" t="e">
        <v>#N/A</v>
      </c>
      <c r="I770" s="118" t="s">
        <v>625</v>
      </c>
    </row>
    <row r="771" spans="1:9">
      <c r="A771" s="114">
        <v>40507</v>
      </c>
      <c r="B771" s="115">
        <v>103.65</v>
      </c>
      <c r="C771" s="115">
        <v>96.957300000000004</v>
      </c>
      <c r="D771" s="115">
        <v>97.024299999999997</v>
      </c>
      <c r="E771" s="115" t="s">
        <v>625</v>
      </c>
      <c r="F771" s="115" t="s">
        <v>625</v>
      </c>
      <c r="G771" s="121" t="s">
        <v>625</v>
      </c>
      <c r="H771" s="115" t="e">
        <v>#N/A</v>
      </c>
      <c r="I771" s="118" t="s">
        <v>625</v>
      </c>
    </row>
    <row r="772" spans="1:9">
      <c r="A772" s="114">
        <v>40508</v>
      </c>
      <c r="B772" s="115">
        <v>103.65</v>
      </c>
      <c r="C772" s="115">
        <v>96.816400000000002</v>
      </c>
      <c r="D772" s="115">
        <v>97.042100000000005</v>
      </c>
      <c r="E772" s="115" t="s">
        <v>625</v>
      </c>
      <c r="F772" s="115" t="s">
        <v>625</v>
      </c>
      <c r="G772" s="121" t="s">
        <v>625</v>
      </c>
      <c r="H772" s="115" t="e">
        <v>#N/A</v>
      </c>
      <c r="I772" s="118" t="s">
        <v>625</v>
      </c>
    </row>
    <row r="773" spans="1:9">
      <c r="A773" s="114">
        <v>40511</v>
      </c>
      <c r="B773" s="115">
        <v>103.65</v>
      </c>
      <c r="C773" s="115">
        <v>95.999099999999999</v>
      </c>
      <c r="D773" s="115">
        <v>96.897499999999994</v>
      </c>
      <c r="E773" s="115" t="s">
        <v>625</v>
      </c>
      <c r="F773" s="115" t="s">
        <v>625</v>
      </c>
      <c r="G773" s="121" t="s">
        <v>625</v>
      </c>
      <c r="H773" s="115" t="e">
        <v>#N/A</v>
      </c>
      <c r="I773" s="118" t="s">
        <v>625</v>
      </c>
    </row>
    <row r="774" spans="1:9">
      <c r="A774" s="114">
        <v>40512</v>
      </c>
      <c r="B774" s="115">
        <v>103.65</v>
      </c>
      <c r="C774" s="115">
        <v>96.73</v>
      </c>
      <c r="D774" s="115">
        <v>96.74</v>
      </c>
      <c r="E774" s="115" t="s">
        <v>625</v>
      </c>
      <c r="F774" s="115" t="s">
        <v>625</v>
      </c>
      <c r="G774" s="121" t="s">
        <v>625</v>
      </c>
      <c r="H774" s="115" t="e">
        <v>#N/A</v>
      </c>
      <c r="I774" s="118" t="s">
        <v>625</v>
      </c>
    </row>
    <row r="775" spans="1:9">
      <c r="A775" s="114">
        <v>40513</v>
      </c>
      <c r="B775" s="115">
        <v>103.65</v>
      </c>
      <c r="C775" s="115">
        <v>95.2928</v>
      </c>
      <c r="D775" s="115">
        <v>96.74</v>
      </c>
      <c r="E775" s="115" t="s">
        <v>625</v>
      </c>
      <c r="F775" s="115" t="s">
        <v>625</v>
      </c>
      <c r="G775" s="121" t="s">
        <v>625</v>
      </c>
      <c r="H775" s="115" t="e">
        <v>#N/A</v>
      </c>
      <c r="I775" s="118" t="s">
        <v>625</v>
      </c>
    </row>
    <row r="776" spans="1:9">
      <c r="A776" s="114">
        <v>40514</v>
      </c>
      <c r="B776" s="115">
        <v>103.65</v>
      </c>
      <c r="C776" s="115">
        <v>95.2928</v>
      </c>
      <c r="D776" s="115">
        <v>96.74</v>
      </c>
      <c r="E776" s="115" t="s">
        <v>625</v>
      </c>
      <c r="F776" s="115" t="s">
        <v>625</v>
      </c>
      <c r="G776" s="121" t="s">
        <v>625</v>
      </c>
      <c r="H776" s="115" t="e">
        <v>#N/A</v>
      </c>
      <c r="I776" s="118" t="s">
        <v>625</v>
      </c>
    </row>
    <row r="777" spans="1:9">
      <c r="A777" s="114">
        <v>40515</v>
      </c>
      <c r="B777" s="115">
        <v>103.65</v>
      </c>
      <c r="C777" s="115">
        <v>95.2928</v>
      </c>
      <c r="D777" s="115">
        <v>96.74</v>
      </c>
      <c r="E777" s="115" t="s">
        <v>625</v>
      </c>
      <c r="F777" s="115" t="s">
        <v>625</v>
      </c>
      <c r="G777" s="121" t="s">
        <v>625</v>
      </c>
      <c r="H777" s="115" t="e">
        <v>#N/A</v>
      </c>
      <c r="I777" s="118" t="s">
        <v>625</v>
      </c>
    </row>
    <row r="778" spans="1:9">
      <c r="A778" s="114">
        <v>40518</v>
      </c>
      <c r="B778" s="115">
        <v>103.65</v>
      </c>
      <c r="C778" s="115">
        <v>96.736599999999996</v>
      </c>
      <c r="D778" s="115">
        <v>96.736400000000003</v>
      </c>
      <c r="E778" s="115" t="s">
        <v>625</v>
      </c>
      <c r="F778" s="115" t="s">
        <v>625</v>
      </c>
      <c r="G778" s="121" t="s">
        <v>625</v>
      </c>
      <c r="H778" s="115" t="e">
        <v>#N/A</v>
      </c>
      <c r="I778" s="118" t="s">
        <v>625</v>
      </c>
    </row>
    <row r="779" spans="1:9">
      <c r="A779" s="114">
        <v>40519</v>
      </c>
      <c r="B779" s="115">
        <v>103.65</v>
      </c>
      <c r="C779" s="115">
        <v>96.735399999999998</v>
      </c>
      <c r="D779" s="115">
        <v>96.733800000000002</v>
      </c>
      <c r="E779" s="115" t="s">
        <v>625</v>
      </c>
      <c r="F779" s="115" t="s">
        <v>625</v>
      </c>
      <c r="G779" s="121" t="s">
        <v>625</v>
      </c>
      <c r="H779" s="115" t="e">
        <v>#N/A</v>
      </c>
      <c r="I779" s="118" t="s">
        <v>625</v>
      </c>
    </row>
    <row r="780" spans="1:9">
      <c r="A780" s="114">
        <v>40520</v>
      </c>
      <c r="B780" s="115">
        <v>103.65</v>
      </c>
      <c r="C780" s="115">
        <v>97.299099999999996</v>
      </c>
      <c r="D780" s="115">
        <v>96.897599999999997</v>
      </c>
      <c r="E780" s="115" t="s">
        <v>625</v>
      </c>
      <c r="F780" s="115" t="s">
        <v>625</v>
      </c>
      <c r="G780" s="121" t="s">
        <v>625</v>
      </c>
      <c r="H780" s="115" t="e">
        <v>#N/A</v>
      </c>
      <c r="I780" s="118" t="s">
        <v>625</v>
      </c>
    </row>
    <row r="781" spans="1:9">
      <c r="A781" s="114">
        <v>40521</v>
      </c>
      <c r="B781" s="115">
        <v>103.65</v>
      </c>
      <c r="C781" s="115">
        <v>97.298199999999994</v>
      </c>
      <c r="D781" s="115">
        <v>96.895200000000003</v>
      </c>
      <c r="E781" s="115" t="s">
        <v>625</v>
      </c>
      <c r="F781" s="115" t="s">
        <v>625</v>
      </c>
      <c r="G781" s="121" t="s">
        <v>625</v>
      </c>
      <c r="H781" s="115" t="e">
        <v>#N/A</v>
      </c>
      <c r="I781" s="118" t="s">
        <v>625</v>
      </c>
    </row>
    <row r="782" spans="1:9">
      <c r="A782" s="114">
        <v>40522</v>
      </c>
      <c r="B782" s="115">
        <v>103.65</v>
      </c>
      <c r="C782" s="115">
        <v>97.295599999999993</v>
      </c>
      <c r="D782" s="115">
        <v>96.888099999999994</v>
      </c>
      <c r="E782" s="115" t="s">
        <v>625</v>
      </c>
      <c r="F782" s="115" t="s">
        <v>625</v>
      </c>
      <c r="G782" s="121" t="s">
        <v>625</v>
      </c>
      <c r="H782" s="115" t="e">
        <v>#N/A</v>
      </c>
      <c r="I782" s="118" t="s">
        <v>625</v>
      </c>
    </row>
    <row r="783" spans="1:9">
      <c r="A783" s="114">
        <v>40525</v>
      </c>
      <c r="B783" s="115">
        <v>103.65</v>
      </c>
      <c r="C783" s="115">
        <v>96.808999999999997</v>
      </c>
      <c r="D783" s="115">
        <v>97.165899999999993</v>
      </c>
      <c r="E783" s="115" t="s">
        <v>625</v>
      </c>
      <c r="F783" s="115" t="s">
        <v>625</v>
      </c>
      <c r="G783" s="121" t="s">
        <v>625</v>
      </c>
      <c r="H783" s="115" t="e">
        <v>#N/A</v>
      </c>
      <c r="I783" s="118" t="s">
        <v>625</v>
      </c>
    </row>
    <row r="784" spans="1:9">
      <c r="A784" s="114">
        <v>40526</v>
      </c>
      <c r="B784" s="115">
        <v>103.65</v>
      </c>
      <c r="C784" s="115">
        <v>96.808099999999996</v>
      </c>
      <c r="D784" s="115">
        <v>97.697400000000002</v>
      </c>
      <c r="E784" s="115" t="s">
        <v>625</v>
      </c>
      <c r="F784" s="115" t="s">
        <v>625</v>
      </c>
      <c r="G784" s="121" t="s">
        <v>625</v>
      </c>
      <c r="H784" s="115" t="e">
        <v>#N/A</v>
      </c>
      <c r="I784" s="118" t="s">
        <v>625</v>
      </c>
    </row>
    <row r="785" spans="1:9">
      <c r="A785" s="114">
        <v>40527</v>
      </c>
      <c r="B785" s="115">
        <v>98.54</v>
      </c>
      <c r="C785" s="115">
        <v>96.809399999999997</v>
      </c>
      <c r="D785" s="115">
        <v>97.907499999999999</v>
      </c>
      <c r="E785" s="115" t="s">
        <v>625</v>
      </c>
      <c r="F785" s="115" t="s">
        <v>625</v>
      </c>
      <c r="G785" s="121" t="s">
        <v>625</v>
      </c>
      <c r="H785" s="115" t="e">
        <v>#N/A</v>
      </c>
      <c r="I785" s="118" t="s">
        <v>625</v>
      </c>
    </row>
    <row r="786" spans="1:9">
      <c r="A786" s="114">
        <v>40528</v>
      </c>
      <c r="B786" s="115">
        <v>98.54</v>
      </c>
      <c r="C786" s="115">
        <v>97.029399999999995</v>
      </c>
      <c r="D786" s="115">
        <v>98.007499999999993</v>
      </c>
      <c r="E786" s="115" t="s">
        <v>625</v>
      </c>
      <c r="F786" s="115" t="s">
        <v>625</v>
      </c>
      <c r="G786" s="121" t="s">
        <v>625</v>
      </c>
      <c r="H786" s="115" t="e">
        <v>#N/A</v>
      </c>
      <c r="I786" s="118" t="s">
        <v>625</v>
      </c>
    </row>
    <row r="787" spans="1:9">
      <c r="A787" s="114">
        <v>40529</v>
      </c>
      <c r="B787" s="115">
        <v>98.54</v>
      </c>
      <c r="C787" s="115">
        <v>97.027500000000003</v>
      </c>
      <c r="D787" s="115">
        <v>97.999799999999993</v>
      </c>
      <c r="E787" s="115" t="s">
        <v>625</v>
      </c>
      <c r="F787" s="115" t="s">
        <v>625</v>
      </c>
      <c r="G787" s="121" t="s">
        <v>625</v>
      </c>
      <c r="H787" s="115" t="e">
        <v>#N/A</v>
      </c>
      <c r="I787" s="118" t="s">
        <v>625</v>
      </c>
    </row>
    <row r="788" spans="1:9">
      <c r="A788" s="114">
        <v>40532</v>
      </c>
      <c r="B788" s="115">
        <v>98.54</v>
      </c>
      <c r="C788" s="115">
        <v>97.058700000000002</v>
      </c>
      <c r="D788" s="115">
        <v>97.651899999999998</v>
      </c>
      <c r="E788" s="115" t="s">
        <v>625</v>
      </c>
      <c r="F788" s="115" t="s">
        <v>625</v>
      </c>
      <c r="G788" s="121" t="s">
        <v>625</v>
      </c>
      <c r="H788" s="115" t="e">
        <v>#N/A</v>
      </c>
      <c r="I788" s="118" t="s">
        <v>625</v>
      </c>
    </row>
    <row r="789" spans="1:9">
      <c r="A789" s="114">
        <v>40533</v>
      </c>
      <c r="B789" s="115">
        <v>98.54</v>
      </c>
      <c r="C789" s="115">
        <v>97.058899999999994</v>
      </c>
      <c r="D789" s="115">
        <v>97.650800000000004</v>
      </c>
      <c r="E789" s="115" t="s">
        <v>625</v>
      </c>
      <c r="F789" s="115" t="s">
        <v>625</v>
      </c>
      <c r="G789" s="121" t="s">
        <v>625</v>
      </c>
      <c r="H789" s="115" t="e">
        <v>#N/A</v>
      </c>
      <c r="I789" s="118" t="s">
        <v>625</v>
      </c>
    </row>
    <row r="790" spans="1:9">
      <c r="A790" s="114">
        <v>40534</v>
      </c>
      <c r="B790" s="115">
        <v>98.54</v>
      </c>
      <c r="C790" s="115">
        <v>97.059600000000003</v>
      </c>
      <c r="D790" s="115">
        <v>97.650099999999995</v>
      </c>
      <c r="E790" s="115" t="s">
        <v>625</v>
      </c>
      <c r="F790" s="115" t="s">
        <v>625</v>
      </c>
      <c r="G790" s="121" t="s">
        <v>625</v>
      </c>
      <c r="H790" s="115" t="e">
        <v>#N/A</v>
      </c>
      <c r="I790" s="118" t="s">
        <v>625</v>
      </c>
    </row>
    <row r="791" spans="1:9">
      <c r="A791" s="114">
        <v>40535</v>
      </c>
      <c r="B791" s="115">
        <v>98.54</v>
      </c>
      <c r="C791" s="115">
        <v>95.951999999999998</v>
      </c>
      <c r="D791" s="115">
        <v>97.651300000000006</v>
      </c>
      <c r="E791" s="115" t="s">
        <v>625</v>
      </c>
      <c r="F791" s="115" t="s">
        <v>625</v>
      </c>
      <c r="G791" s="121" t="s">
        <v>625</v>
      </c>
      <c r="H791" s="115" t="e">
        <v>#N/A</v>
      </c>
      <c r="I791" s="118" t="s">
        <v>625</v>
      </c>
    </row>
    <row r="792" spans="1:9">
      <c r="A792" s="114">
        <v>40536</v>
      </c>
      <c r="B792" s="115">
        <v>98.54</v>
      </c>
      <c r="C792" s="115">
        <v>97.075900000000004</v>
      </c>
      <c r="D792" s="115">
        <v>97.660899999999998</v>
      </c>
      <c r="E792" s="115" t="s">
        <v>625</v>
      </c>
      <c r="F792" s="115" t="s">
        <v>625</v>
      </c>
      <c r="G792" s="121" t="s">
        <v>625</v>
      </c>
      <c r="H792" s="115" t="e">
        <v>#N/A</v>
      </c>
      <c r="I792" s="118" t="s">
        <v>625</v>
      </c>
    </row>
    <row r="793" spans="1:9">
      <c r="A793" s="114">
        <v>40539</v>
      </c>
      <c r="B793" s="115">
        <v>98.54</v>
      </c>
      <c r="C793" s="115">
        <v>97.080399999999997</v>
      </c>
      <c r="D793" s="115">
        <v>97.664000000000001</v>
      </c>
      <c r="E793" s="115" t="s">
        <v>625</v>
      </c>
      <c r="F793" s="115" t="s">
        <v>625</v>
      </c>
      <c r="G793" s="121" t="s">
        <v>625</v>
      </c>
      <c r="H793" s="115" t="e">
        <v>#N/A</v>
      </c>
      <c r="I793" s="118" t="s">
        <v>625</v>
      </c>
    </row>
    <row r="794" spans="1:9">
      <c r="A794" s="114">
        <v>40540</v>
      </c>
      <c r="B794" s="115">
        <v>98.54</v>
      </c>
      <c r="C794" s="115">
        <v>97.080399999999997</v>
      </c>
      <c r="D794" s="115">
        <v>97.664000000000001</v>
      </c>
      <c r="E794" s="115" t="s">
        <v>625</v>
      </c>
      <c r="F794" s="115" t="s">
        <v>625</v>
      </c>
      <c r="G794" s="121" t="s">
        <v>625</v>
      </c>
      <c r="H794" s="115" t="e">
        <v>#N/A</v>
      </c>
      <c r="I794" s="118" t="s">
        <v>625</v>
      </c>
    </row>
    <row r="795" spans="1:9">
      <c r="A795" s="114">
        <v>40541</v>
      </c>
      <c r="B795" s="115">
        <v>98.54</v>
      </c>
      <c r="C795" s="115">
        <v>95.686700000000002</v>
      </c>
      <c r="D795" s="115">
        <v>97.664000000000001</v>
      </c>
      <c r="E795" s="115" t="s">
        <v>625</v>
      </c>
      <c r="F795" s="115" t="s">
        <v>625</v>
      </c>
      <c r="G795" s="121" t="s">
        <v>625</v>
      </c>
      <c r="H795" s="115" t="e">
        <v>#N/A</v>
      </c>
      <c r="I795" s="118" t="s">
        <v>625</v>
      </c>
    </row>
    <row r="796" spans="1:9">
      <c r="A796" s="114">
        <v>40542</v>
      </c>
      <c r="B796" s="115">
        <v>98.54</v>
      </c>
      <c r="C796" s="115">
        <v>95.686700000000002</v>
      </c>
      <c r="D796" s="115">
        <v>96.158600000000007</v>
      </c>
      <c r="E796" s="115" t="s">
        <v>625</v>
      </c>
      <c r="F796" s="115" t="s">
        <v>625</v>
      </c>
      <c r="G796" s="121" t="s">
        <v>625</v>
      </c>
      <c r="H796" s="115" t="e">
        <v>#N/A</v>
      </c>
      <c r="I796" s="118" t="s">
        <v>625</v>
      </c>
    </row>
    <row r="797" spans="1:9">
      <c r="A797" s="114">
        <v>40543</v>
      </c>
      <c r="B797" s="115">
        <v>98.54</v>
      </c>
      <c r="C797" s="115">
        <v>95.49</v>
      </c>
      <c r="D797" s="115">
        <v>96.158600000000007</v>
      </c>
      <c r="E797" s="115" t="s">
        <v>625</v>
      </c>
      <c r="F797" s="115" t="s">
        <v>625</v>
      </c>
      <c r="G797" s="121" t="s">
        <v>625</v>
      </c>
      <c r="H797" s="115" t="e">
        <v>#N/A</v>
      </c>
      <c r="I797" s="118" t="s">
        <v>625</v>
      </c>
    </row>
    <row r="798" spans="1:9">
      <c r="A798" s="114">
        <v>40547</v>
      </c>
      <c r="B798" s="115">
        <v>98.54</v>
      </c>
      <c r="C798" s="115">
        <v>96.973100000000002</v>
      </c>
      <c r="D798" s="115">
        <v>96.158600000000007</v>
      </c>
      <c r="E798" s="115" t="s">
        <v>625</v>
      </c>
      <c r="F798" s="115" t="s">
        <v>625</v>
      </c>
      <c r="G798" s="121" t="s">
        <v>625</v>
      </c>
      <c r="H798" s="115" t="e">
        <v>#N/A</v>
      </c>
      <c r="I798" s="118" t="s">
        <v>625</v>
      </c>
    </row>
    <row r="799" spans="1:9">
      <c r="A799" s="114">
        <v>40548</v>
      </c>
      <c r="B799" s="115">
        <v>98.54</v>
      </c>
      <c r="C799" s="115">
        <v>95.766900000000007</v>
      </c>
      <c r="D799" s="115">
        <v>96.158600000000007</v>
      </c>
      <c r="E799" s="115" t="s">
        <v>625</v>
      </c>
      <c r="F799" s="115" t="s">
        <v>625</v>
      </c>
      <c r="G799" s="121" t="s">
        <v>625</v>
      </c>
      <c r="H799" s="115" t="e">
        <v>#N/A</v>
      </c>
      <c r="I799" s="118" t="s">
        <v>625</v>
      </c>
    </row>
    <row r="800" spans="1:9">
      <c r="A800" s="114">
        <v>40549</v>
      </c>
      <c r="B800" s="115">
        <v>98.54</v>
      </c>
      <c r="C800" s="115">
        <v>96.527299999999997</v>
      </c>
      <c r="D800" s="115">
        <v>96.232200000000006</v>
      </c>
      <c r="E800" s="115" t="s">
        <v>625</v>
      </c>
      <c r="F800" s="115" t="s">
        <v>625</v>
      </c>
      <c r="G800" s="121" t="s">
        <v>625</v>
      </c>
      <c r="H800" s="115" t="e">
        <v>#N/A</v>
      </c>
      <c r="I800" s="118" t="s">
        <v>625</v>
      </c>
    </row>
    <row r="801" spans="1:9">
      <c r="A801" s="114">
        <v>40550</v>
      </c>
      <c r="B801" s="115">
        <v>98.54</v>
      </c>
      <c r="C801" s="115">
        <v>96.6173</v>
      </c>
      <c r="D801" s="115">
        <v>98.553700000000006</v>
      </c>
      <c r="E801" s="115" t="s">
        <v>625</v>
      </c>
      <c r="F801" s="115" t="s">
        <v>625</v>
      </c>
      <c r="G801" s="121" t="s">
        <v>625</v>
      </c>
      <c r="H801" s="115" t="e">
        <v>#N/A</v>
      </c>
      <c r="I801" s="118" t="s">
        <v>625</v>
      </c>
    </row>
    <row r="802" spans="1:9">
      <c r="A802" s="114">
        <v>40553</v>
      </c>
      <c r="B802" s="115">
        <v>98.54</v>
      </c>
      <c r="C802" s="115">
        <v>96.6173</v>
      </c>
      <c r="D802" s="115">
        <v>98.748099999999994</v>
      </c>
      <c r="E802" s="115" t="s">
        <v>625</v>
      </c>
      <c r="F802" s="115" t="s">
        <v>625</v>
      </c>
      <c r="G802" s="121" t="s">
        <v>625</v>
      </c>
      <c r="H802" s="115" t="e">
        <v>#N/A</v>
      </c>
      <c r="I802" s="118" t="s">
        <v>625</v>
      </c>
    </row>
    <row r="803" spans="1:9">
      <c r="A803" s="114">
        <v>40554</v>
      </c>
      <c r="B803" s="115">
        <v>98.54</v>
      </c>
      <c r="C803" s="115">
        <v>96.6173</v>
      </c>
      <c r="D803" s="115">
        <v>98.746099999999998</v>
      </c>
      <c r="E803" s="115" t="s">
        <v>625</v>
      </c>
      <c r="F803" s="115" t="s">
        <v>625</v>
      </c>
      <c r="G803" s="121" t="s">
        <v>625</v>
      </c>
      <c r="H803" s="115" t="e">
        <v>#N/A</v>
      </c>
      <c r="I803" s="118" t="s">
        <v>625</v>
      </c>
    </row>
    <row r="804" spans="1:9">
      <c r="A804" s="114">
        <v>40555</v>
      </c>
      <c r="B804" s="115">
        <v>98.54</v>
      </c>
      <c r="C804" s="115">
        <v>96.540300000000002</v>
      </c>
      <c r="D804" s="115">
        <v>98.548000000000002</v>
      </c>
      <c r="E804" s="115" t="s">
        <v>625</v>
      </c>
      <c r="F804" s="115" t="s">
        <v>625</v>
      </c>
      <c r="G804" s="121" t="s">
        <v>625</v>
      </c>
      <c r="H804" s="115" t="e">
        <v>#N/A</v>
      </c>
      <c r="I804" s="118" t="s">
        <v>625</v>
      </c>
    </row>
    <row r="805" spans="1:9">
      <c r="A805" s="114">
        <v>40556</v>
      </c>
      <c r="B805" s="115">
        <v>98.54</v>
      </c>
      <c r="C805" s="115">
        <v>96.540300000000002</v>
      </c>
      <c r="D805" s="115">
        <v>98.545500000000004</v>
      </c>
      <c r="E805" s="115" t="s">
        <v>625</v>
      </c>
      <c r="F805" s="115" t="s">
        <v>625</v>
      </c>
      <c r="G805" s="121" t="s">
        <v>625</v>
      </c>
      <c r="H805" s="115" t="e">
        <v>#N/A</v>
      </c>
      <c r="I805" s="118" t="s">
        <v>625</v>
      </c>
    </row>
    <row r="806" spans="1:9">
      <c r="A806" s="114">
        <v>40557</v>
      </c>
      <c r="B806" s="115">
        <v>98.54</v>
      </c>
      <c r="C806" s="115">
        <v>96.540300000000002</v>
      </c>
      <c r="D806" s="115">
        <v>98.440799999999996</v>
      </c>
      <c r="E806" s="115" t="s">
        <v>625</v>
      </c>
      <c r="F806" s="115" t="s">
        <v>625</v>
      </c>
      <c r="G806" s="121" t="s">
        <v>625</v>
      </c>
      <c r="H806" s="115" t="e">
        <v>#N/A</v>
      </c>
      <c r="I806" s="118" t="s">
        <v>625</v>
      </c>
    </row>
    <row r="807" spans="1:9">
      <c r="A807" s="114">
        <v>40560</v>
      </c>
      <c r="B807" s="115">
        <v>98.54</v>
      </c>
      <c r="C807" s="115">
        <v>96.540300000000002</v>
      </c>
      <c r="D807" s="115">
        <v>98.046899999999994</v>
      </c>
      <c r="E807" s="115" t="s">
        <v>625</v>
      </c>
      <c r="F807" s="115" t="s">
        <v>625</v>
      </c>
      <c r="G807" s="121" t="s">
        <v>625</v>
      </c>
      <c r="H807" s="115" t="e">
        <v>#N/A</v>
      </c>
      <c r="I807" s="118" t="s">
        <v>625</v>
      </c>
    </row>
    <row r="808" spans="1:9">
      <c r="A808" s="114">
        <v>40561</v>
      </c>
      <c r="B808" s="115">
        <v>98.54</v>
      </c>
      <c r="C808" s="115">
        <v>96.540300000000002</v>
      </c>
      <c r="D808" s="115">
        <v>97.846900000000005</v>
      </c>
      <c r="E808" s="115" t="s">
        <v>625</v>
      </c>
      <c r="F808" s="115" t="s">
        <v>625</v>
      </c>
      <c r="G808" s="121" t="s">
        <v>625</v>
      </c>
      <c r="H808" s="115" t="e">
        <v>#N/A</v>
      </c>
      <c r="I808" s="118" t="s">
        <v>625</v>
      </c>
    </row>
    <row r="809" spans="1:9">
      <c r="A809" s="114">
        <v>40562</v>
      </c>
      <c r="B809" s="115">
        <v>98.54</v>
      </c>
      <c r="C809" s="115">
        <v>96.540300000000002</v>
      </c>
      <c r="D809" s="115">
        <v>97.398799999999994</v>
      </c>
      <c r="E809" s="115" t="s">
        <v>625</v>
      </c>
      <c r="F809" s="115" t="s">
        <v>625</v>
      </c>
      <c r="G809" s="121" t="s">
        <v>625</v>
      </c>
      <c r="H809" s="115" t="e">
        <v>#N/A</v>
      </c>
      <c r="I809" s="118" t="s">
        <v>625</v>
      </c>
    </row>
    <row r="810" spans="1:9">
      <c r="A810" s="114">
        <v>40563</v>
      </c>
      <c r="B810" s="115">
        <v>98.54</v>
      </c>
      <c r="C810" s="115">
        <v>96.540300000000002</v>
      </c>
      <c r="D810" s="115">
        <v>97.304900000000004</v>
      </c>
      <c r="E810" s="115" t="s">
        <v>625</v>
      </c>
      <c r="F810" s="115" t="s">
        <v>625</v>
      </c>
      <c r="G810" s="121" t="s">
        <v>625</v>
      </c>
      <c r="H810" s="115" t="e">
        <v>#N/A</v>
      </c>
      <c r="I810" s="118" t="s">
        <v>625</v>
      </c>
    </row>
    <row r="811" spans="1:9">
      <c r="A811" s="114">
        <v>40564</v>
      </c>
      <c r="B811" s="115">
        <v>98.54</v>
      </c>
      <c r="C811" s="115">
        <v>96.540300000000002</v>
      </c>
      <c r="D811" s="115">
        <v>97.366500000000002</v>
      </c>
      <c r="E811" s="115" t="s">
        <v>625</v>
      </c>
      <c r="F811" s="115" t="s">
        <v>625</v>
      </c>
      <c r="G811" s="121" t="s">
        <v>625</v>
      </c>
      <c r="H811" s="115" t="e">
        <v>#N/A</v>
      </c>
      <c r="I811" s="118" t="s">
        <v>625</v>
      </c>
    </row>
    <row r="812" spans="1:9">
      <c r="A812" s="114">
        <v>40567</v>
      </c>
      <c r="B812" s="115">
        <v>98.54</v>
      </c>
      <c r="C812" s="115">
        <v>96.540300000000002</v>
      </c>
      <c r="D812" s="115">
        <v>97.556100000000001</v>
      </c>
      <c r="E812" s="115" t="s">
        <v>625</v>
      </c>
      <c r="F812" s="115" t="s">
        <v>625</v>
      </c>
      <c r="G812" s="121" t="s">
        <v>625</v>
      </c>
      <c r="H812" s="115" t="e">
        <v>#N/A</v>
      </c>
      <c r="I812" s="118" t="s">
        <v>625</v>
      </c>
    </row>
    <row r="813" spans="1:9">
      <c r="A813" s="114">
        <v>40568</v>
      </c>
      <c r="B813" s="115">
        <v>98.54</v>
      </c>
      <c r="C813" s="115">
        <v>96.540300000000002</v>
      </c>
      <c r="D813" s="115">
        <v>97.566500000000005</v>
      </c>
      <c r="E813" s="115" t="s">
        <v>625</v>
      </c>
      <c r="F813" s="115" t="s">
        <v>625</v>
      </c>
      <c r="G813" s="121" t="s">
        <v>625</v>
      </c>
      <c r="H813" s="115" t="e">
        <v>#N/A</v>
      </c>
      <c r="I813" s="118" t="s">
        <v>625</v>
      </c>
    </row>
    <row r="814" spans="1:9">
      <c r="A814" s="114">
        <v>40569</v>
      </c>
      <c r="B814" s="115">
        <v>98.54</v>
      </c>
      <c r="C814" s="115">
        <v>96.540300000000002</v>
      </c>
      <c r="D814" s="115">
        <v>97.512299999999996</v>
      </c>
      <c r="E814" s="115" t="s">
        <v>625</v>
      </c>
      <c r="F814" s="115" t="s">
        <v>625</v>
      </c>
      <c r="G814" s="121" t="s">
        <v>625</v>
      </c>
      <c r="H814" s="115" t="e">
        <v>#N/A</v>
      </c>
      <c r="I814" s="118" t="s">
        <v>625</v>
      </c>
    </row>
    <row r="815" spans="1:9">
      <c r="A815" s="114">
        <v>40570</v>
      </c>
      <c r="B815" s="115">
        <v>98.54</v>
      </c>
      <c r="C815" s="115">
        <v>94.61</v>
      </c>
      <c r="D815" s="115">
        <v>97.513099999999994</v>
      </c>
      <c r="E815" s="115" t="s">
        <v>625</v>
      </c>
      <c r="F815" s="115" t="s">
        <v>625</v>
      </c>
      <c r="G815" s="121" t="s">
        <v>625</v>
      </c>
      <c r="H815" s="115" t="e">
        <v>#N/A</v>
      </c>
      <c r="I815" s="118" t="s">
        <v>625</v>
      </c>
    </row>
    <row r="816" spans="1:9">
      <c r="A816" s="114">
        <v>40571</v>
      </c>
      <c r="B816" s="115">
        <v>98.54</v>
      </c>
      <c r="C816" s="115">
        <v>94.61</v>
      </c>
      <c r="D816" s="115">
        <v>97.511600000000001</v>
      </c>
      <c r="E816" s="115" t="s">
        <v>625</v>
      </c>
      <c r="F816" s="115" t="s">
        <v>625</v>
      </c>
      <c r="G816" s="121" t="s">
        <v>625</v>
      </c>
      <c r="H816" s="115" t="e">
        <v>#N/A</v>
      </c>
      <c r="I816" s="118" t="s">
        <v>625</v>
      </c>
    </row>
    <row r="817" spans="1:9">
      <c r="A817" s="114">
        <v>40573</v>
      </c>
      <c r="B817" s="115">
        <v>98.54</v>
      </c>
      <c r="C817" s="115">
        <v>94.61</v>
      </c>
      <c r="D817" s="115">
        <v>97.511600000000001</v>
      </c>
      <c r="E817" s="115" t="s">
        <v>625</v>
      </c>
      <c r="F817" s="115" t="s">
        <v>625</v>
      </c>
      <c r="G817" s="121" t="s">
        <v>625</v>
      </c>
      <c r="H817" s="115" t="e">
        <v>#N/A</v>
      </c>
      <c r="I817" s="118" t="s">
        <v>625</v>
      </c>
    </row>
    <row r="818" spans="1:9">
      <c r="A818" s="114">
        <v>40574</v>
      </c>
      <c r="B818" s="115">
        <v>98.54</v>
      </c>
      <c r="C818" s="115">
        <v>94.61</v>
      </c>
      <c r="D818" s="115">
        <v>97.511600000000001</v>
      </c>
      <c r="E818" s="115" t="s">
        <v>625</v>
      </c>
      <c r="F818" s="115" t="s">
        <v>625</v>
      </c>
      <c r="G818" s="121" t="s">
        <v>625</v>
      </c>
      <c r="H818" s="115" t="e">
        <v>#N/A</v>
      </c>
      <c r="I818" s="118" t="s">
        <v>625</v>
      </c>
    </row>
    <row r="819" spans="1:9">
      <c r="A819" s="114">
        <v>40575</v>
      </c>
      <c r="B819" s="115">
        <v>98.54</v>
      </c>
      <c r="C819" s="115">
        <v>94.61</v>
      </c>
      <c r="D819" s="115">
        <v>97.511600000000001</v>
      </c>
      <c r="E819" s="115" t="s">
        <v>625</v>
      </c>
      <c r="F819" s="115" t="s">
        <v>625</v>
      </c>
      <c r="G819" s="121" t="s">
        <v>625</v>
      </c>
      <c r="H819" s="115" t="e">
        <v>#N/A</v>
      </c>
      <c r="I819" s="118" t="s">
        <v>625</v>
      </c>
    </row>
    <row r="820" spans="1:9">
      <c r="A820" s="114">
        <v>40583</v>
      </c>
      <c r="B820" s="115">
        <v>98.54</v>
      </c>
      <c r="C820" s="115">
        <v>94.61</v>
      </c>
      <c r="D820" s="115">
        <v>97.511600000000001</v>
      </c>
      <c r="E820" s="115" t="s">
        <v>625</v>
      </c>
      <c r="F820" s="115" t="s">
        <v>625</v>
      </c>
      <c r="G820" s="121" t="s">
        <v>625</v>
      </c>
      <c r="H820" s="115" t="e">
        <v>#N/A</v>
      </c>
      <c r="I820" s="118" t="s">
        <v>625</v>
      </c>
    </row>
    <row r="821" spans="1:9">
      <c r="A821" s="114">
        <v>40584</v>
      </c>
      <c r="B821" s="115">
        <v>98.54</v>
      </c>
      <c r="C821" s="115">
        <v>95.548000000000002</v>
      </c>
      <c r="D821" s="115">
        <v>97.511600000000001</v>
      </c>
      <c r="E821" s="115" t="s">
        <v>625</v>
      </c>
      <c r="F821" s="115" t="s">
        <v>625</v>
      </c>
      <c r="G821" s="121" t="s">
        <v>625</v>
      </c>
      <c r="H821" s="115" t="e">
        <v>#N/A</v>
      </c>
      <c r="I821" s="118" t="s">
        <v>625</v>
      </c>
    </row>
    <row r="822" spans="1:9">
      <c r="A822" s="114">
        <v>40585</v>
      </c>
      <c r="B822" s="115">
        <v>98.54</v>
      </c>
      <c r="C822" s="115">
        <v>95.548000000000002</v>
      </c>
      <c r="D822" s="115">
        <v>97.511600000000001</v>
      </c>
      <c r="E822" s="115" t="s">
        <v>625</v>
      </c>
      <c r="F822" s="115" t="s">
        <v>625</v>
      </c>
      <c r="G822" s="121" t="s">
        <v>625</v>
      </c>
      <c r="H822" s="115" t="e">
        <v>#N/A</v>
      </c>
      <c r="I822" s="118" t="s">
        <v>625</v>
      </c>
    </row>
    <row r="823" spans="1:9">
      <c r="A823" s="114">
        <v>40586</v>
      </c>
      <c r="B823" s="115">
        <v>98.54</v>
      </c>
      <c r="C823" s="115">
        <v>95.548000000000002</v>
      </c>
      <c r="D823" s="115">
        <v>97.511600000000001</v>
      </c>
      <c r="E823" s="115" t="s">
        <v>625</v>
      </c>
      <c r="F823" s="115" t="s">
        <v>625</v>
      </c>
      <c r="G823" s="121" t="s">
        <v>625</v>
      </c>
      <c r="H823" s="115" t="e">
        <v>#N/A</v>
      </c>
      <c r="I823" s="118" t="s">
        <v>625</v>
      </c>
    </row>
    <row r="824" spans="1:9">
      <c r="A824" s="114">
        <v>40588</v>
      </c>
      <c r="B824" s="115">
        <v>98.54</v>
      </c>
      <c r="C824" s="115">
        <v>95.548000000000002</v>
      </c>
      <c r="D824" s="115">
        <v>97.245000000000005</v>
      </c>
      <c r="E824" s="115" t="s">
        <v>625</v>
      </c>
      <c r="F824" s="115" t="s">
        <v>625</v>
      </c>
      <c r="G824" s="121" t="s">
        <v>625</v>
      </c>
      <c r="H824" s="115" t="e">
        <v>#N/A</v>
      </c>
      <c r="I824" s="118" t="s">
        <v>625</v>
      </c>
    </row>
    <row r="825" spans="1:9">
      <c r="A825" s="114">
        <v>40589</v>
      </c>
      <c r="B825" s="115">
        <v>98.54</v>
      </c>
      <c r="C825" s="115">
        <v>95.548000000000002</v>
      </c>
      <c r="D825" s="115">
        <v>97.297399999999996</v>
      </c>
      <c r="E825" s="115" t="s">
        <v>625</v>
      </c>
      <c r="F825" s="115" t="s">
        <v>625</v>
      </c>
      <c r="G825" s="121" t="s">
        <v>625</v>
      </c>
      <c r="H825" s="115" t="e">
        <v>#N/A</v>
      </c>
      <c r="I825" s="118" t="s">
        <v>625</v>
      </c>
    </row>
    <row r="826" spans="1:9">
      <c r="A826" s="114">
        <v>40590</v>
      </c>
      <c r="B826" s="115">
        <v>98.54</v>
      </c>
      <c r="C826" s="115">
        <v>95.548000000000002</v>
      </c>
      <c r="D826" s="115">
        <v>97.247399999999999</v>
      </c>
      <c r="E826" s="115" t="s">
        <v>625</v>
      </c>
      <c r="F826" s="115" t="s">
        <v>625</v>
      </c>
      <c r="G826" s="121" t="s">
        <v>625</v>
      </c>
      <c r="H826" s="115" t="e">
        <v>#N/A</v>
      </c>
      <c r="I826" s="118" t="s">
        <v>625</v>
      </c>
    </row>
    <row r="827" spans="1:9">
      <c r="A827" s="114">
        <v>40591</v>
      </c>
      <c r="B827" s="115">
        <v>98.54</v>
      </c>
      <c r="C827" s="115">
        <v>95.548000000000002</v>
      </c>
      <c r="D827" s="115">
        <v>97.147400000000005</v>
      </c>
      <c r="E827" s="115" t="s">
        <v>625</v>
      </c>
      <c r="F827" s="115" t="s">
        <v>625</v>
      </c>
      <c r="G827" s="121" t="s">
        <v>625</v>
      </c>
      <c r="H827" s="115" t="e">
        <v>#N/A</v>
      </c>
      <c r="I827" s="118" t="s">
        <v>625</v>
      </c>
    </row>
    <row r="828" spans="1:9">
      <c r="A828" s="114">
        <v>40592</v>
      </c>
      <c r="B828" s="115">
        <v>98.54</v>
      </c>
      <c r="C828" s="115">
        <v>95.548000000000002</v>
      </c>
      <c r="D828" s="115">
        <v>97.244699999999995</v>
      </c>
      <c r="E828" s="115" t="s">
        <v>625</v>
      </c>
      <c r="F828" s="115" t="s">
        <v>625</v>
      </c>
      <c r="G828" s="121" t="s">
        <v>625</v>
      </c>
      <c r="H828" s="115" t="e">
        <v>#N/A</v>
      </c>
      <c r="I828" s="118" t="s">
        <v>625</v>
      </c>
    </row>
    <row r="829" spans="1:9">
      <c r="A829" s="114">
        <v>40595</v>
      </c>
      <c r="B829" s="115">
        <v>98.54</v>
      </c>
      <c r="C829" s="115">
        <v>97.391800000000003</v>
      </c>
      <c r="D829" s="115">
        <v>97.197400000000002</v>
      </c>
      <c r="E829" s="115" t="s">
        <v>625</v>
      </c>
      <c r="F829" s="115" t="s">
        <v>625</v>
      </c>
      <c r="G829" s="121" t="s">
        <v>625</v>
      </c>
      <c r="H829" s="115" t="e">
        <v>#N/A</v>
      </c>
      <c r="I829" s="118" t="s">
        <v>625</v>
      </c>
    </row>
    <row r="830" spans="1:9">
      <c r="A830" s="114">
        <v>40596</v>
      </c>
      <c r="B830" s="115">
        <v>98.54</v>
      </c>
      <c r="C830" s="115">
        <v>97.391800000000003</v>
      </c>
      <c r="D830" s="115">
        <v>97.047399999999996</v>
      </c>
      <c r="E830" s="115" t="s">
        <v>625</v>
      </c>
      <c r="F830" s="115" t="s">
        <v>625</v>
      </c>
      <c r="G830" s="121" t="s">
        <v>625</v>
      </c>
      <c r="H830" s="115" t="e">
        <v>#N/A</v>
      </c>
      <c r="I830" s="118" t="s">
        <v>625</v>
      </c>
    </row>
    <row r="831" spans="1:9">
      <c r="A831" s="114">
        <v>40597</v>
      </c>
      <c r="B831" s="115">
        <v>98.54</v>
      </c>
      <c r="C831" s="115">
        <v>97.391800000000003</v>
      </c>
      <c r="D831" s="115">
        <v>96.997399999999999</v>
      </c>
      <c r="E831" s="115" t="s">
        <v>625</v>
      </c>
      <c r="F831" s="115" t="s">
        <v>625</v>
      </c>
      <c r="G831" s="121" t="s">
        <v>625</v>
      </c>
      <c r="H831" s="115" t="e">
        <v>#N/A</v>
      </c>
      <c r="I831" s="118" t="s">
        <v>625</v>
      </c>
    </row>
    <row r="832" spans="1:9">
      <c r="A832" s="114">
        <v>40598</v>
      </c>
      <c r="B832" s="115">
        <v>98.54</v>
      </c>
      <c r="C832" s="115">
        <v>97.391800000000003</v>
      </c>
      <c r="D832" s="115">
        <v>97.397400000000005</v>
      </c>
      <c r="E832" s="115" t="s">
        <v>625</v>
      </c>
      <c r="F832" s="115" t="s">
        <v>625</v>
      </c>
      <c r="G832" s="121" t="s">
        <v>625</v>
      </c>
      <c r="H832" s="115" t="e">
        <v>#N/A</v>
      </c>
      <c r="I832" s="118" t="s">
        <v>625</v>
      </c>
    </row>
    <row r="833" spans="1:9">
      <c r="A833" s="114">
        <v>40599</v>
      </c>
      <c r="B833" s="115">
        <v>98.54</v>
      </c>
      <c r="C833" s="115">
        <v>97.391800000000003</v>
      </c>
      <c r="D833" s="115">
        <v>97.543199999999999</v>
      </c>
      <c r="E833" s="115" t="s">
        <v>625</v>
      </c>
      <c r="F833" s="115" t="s">
        <v>625</v>
      </c>
      <c r="G833" s="121" t="s">
        <v>625</v>
      </c>
      <c r="H833" s="115" t="e">
        <v>#N/A</v>
      </c>
      <c r="I833" s="118" t="s">
        <v>625</v>
      </c>
    </row>
    <row r="834" spans="1:9">
      <c r="A834" s="114">
        <v>40602</v>
      </c>
      <c r="B834" s="115">
        <v>98.54</v>
      </c>
      <c r="C834" s="115">
        <v>97.463399999999993</v>
      </c>
      <c r="D834" s="115">
        <v>97.448300000000003</v>
      </c>
      <c r="E834" s="115" t="s">
        <v>625</v>
      </c>
      <c r="F834" s="115" t="s">
        <v>625</v>
      </c>
      <c r="G834" s="121" t="s">
        <v>625</v>
      </c>
      <c r="H834" s="115" t="e">
        <v>#N/A</v>
      </c>
      <c r="I834" s="118" t="s">
        <v>625</v>
      </c>
    </row>
    <row r="835" spans="1:9">
      <c r="A835" s="114">
        <v>40603</v>
      </c>
      <c r="B835" s="115">
        <v>98.54</v>
      </c>
      <c r="C835" s="115">
        <v>97.463399999999993</v>
      </c>
      <c r="D835" s="115">
        <v>97.397999999999996</v>
      </c>
      <c r="E835" s="115" t="s">
        <v>625</v>
      </c>
      <c r="F835" s="115" t="s">
        <v>625</v>
      </c>
      <c r="G835" s="121" t="s">
        <v>625</v>
      </c>
      <c r="H835" s="115" t="e">
        <v>#N/A</v>
      </c>
      <c r="I835" s="118" t="s">
        <v>625</v>
      </c>
    </row>
    <row r="836" spans="1:9">
      <c r="A836" s="114">
        <v>40604</v>
      </c>
      <c r="B836" s="115">
        <v>98.54</v>
      </c>
      <c r="C836" s="115">
        <v>97.463399999999993</v>
      </c>
      <c r="D836" s="115">
        <v>97.447500000000005</v>
      </c>
      <c r="E836" s="115" t="s">
        <v>625</v>
      </c>
      <c r="F836" s="115" t="s">
        <v>625</v>
      </c>
      <c r="G836" s="121" t="s">
        <v>625</v>
      </c>
      <c r="H836" s="115" t="e">
        <v>#N/A</v>
      </c>
      <c r="I836" s="118" t="s">
        <v>625</v>
      </c>
    </row>
    <row r="837" spans="1:9">
      <c r="A837" s="114">
        <v>40605</v>
      </c>
      <c r="B837" s="115">
        <v>98.54</v>
      </c>
      <c r="C837" s="115">
        <v>97.463399999999993</v>
      </c>
      <c r="D837" s="115">
        <v>97.447299999999998</v>
      </c>
      <c r="E837" s="115" t="s">
        <v>625</v>
      </c>
      <c r="F837" s="115" t="s">
        <v>625</v>
      </c>
      <c r="G837" s="121" t="s">
        <v>625</v>
      </c>
      <c r="H837" s="115" t="e">
        <v>#N/A</v>
      </c>
      <c r="I837" s="118" t="s">
        <v>625</v>
      </c>
    </row>
    <row r="838" spans="1:9">
      <c r="A838" s="114">
        <v>40606</v>
      </c>
      <c r="B838" s="115">
        <v>98.54</v>
      </c>
      <c r="C838" s="115">
        <v>95.918700000000001</v>
      </c>
      <c r="D838" s="115">
        <v>97.441500000000005</v>
      </c>
      <c r="E838" s="115" t="s">
        <v>625</v>
      </c>
      <c r="F838" s="115" t="s">
        <v>625</v>
      </c>
      <c r="G838" s="121" t="s">
        <v>625</v>
      </c>
      <c r="H838" s="115" t="e">
        <v>#N/A</v>
      </c>
      <c r="I838" s="118" t="s">
        <v>625</v>
      </c>
    </row>
    <row r="839" spans="1:9">
      <c r="A839" s="114">
        <v>40609</v>
      </c>
      <c r="B839" s="115">
        <v>98.54</v>
      </c>
      <c r="C839" s="115">
        <v>95.918700000000001</v>
      </c>
      <c r="D839" s="115">
        <v>97.446899999999999</v>
      </c>
      <c r="E839" s="115" t="s">
        <v>625</v>
      </c>
      <c r="F839" s="115" t="s">
        <v>625</v>
      </c>
      <c r="G839" s="121" t="s">
        <v>625</v>
      </c>
      <c r="H839" s="115" t="e">
        <v>#N/A</v>
      </c>
      <c r="I839" s="118" t="s">
        <v>625</v>
      </c>
    </row>
    <row r="840" spans="1:9">
      <c r="A840" s="114">
        <v>40610</v>
      </c>
      <c r="B840" s="115">
        <v>98.54</v>
      </c>
      <c r="C840" s="115">
        <v>96.086799999999997</v>
      </c>
      <c r="D840" s="115">
        <v>97.496600000000001</v>
      </c>
      <c r="E840" s="115" t="s">
        <v>625</v>
      </c>
      <c r="F840" s="115" t="s">
        <v>625</v>
      </c>
      <c r="G840" s="121" t="s">
        <v>625</v>
      </c>
      <c r="H840" s="115" t="e">
        <v>#N/A</v>
      </c>
      <c r="I840" s="118" t="s">
        <v>625</v>
      </c>
    </row>
    <row r="841" spans="1:9">
      <c r="A841" s="114">
        <v>40611</v>
      </c>
      <c r="B841" s="115">
        <v>98.54</v>
      </c>
      <c r="C841" s="115">
        <v>96.086799999999997</v>
      </c>
      <c r="D841" s="115">
        <v>96.248699999999999</v>
      </c>
      <c r="E841" s="115" t="s">
        <v>625</v>
      </c>
      <c r="F841" s="115" t="s">
        <v>625</v>
      </c>
      <c r="G841" s="121" t="s">
        <v>625</v>
      </c>
      <c r="H841" s="115" t="e">
        <v>#N/A</v>
      </c>
      <c r="I841" s="118" t="s">
        <v>625</v>
      </c>
    </row>
    <row r="842" spans="1:9">
      <c r="A842" s="114">
        <v>40612</v>
      </c>
      <c r="B842" s="115">
        <v>98.54</v>
      </c>
      <c r="C842" s="115">
        <v>96.388900000000007</v>
      </c>
      <c r="D842" s="115">
        <v>97.596500000000006</v>
      </c>
      <c r="E842" s="115" t="s">
        <v>625</v>
      </c>
      <c r="F842" s="115" t="s">
        <v>625</v>
      </c>
      <c r="G842" s="121" t="s">
        <v>625</v>
      </c>
      <c r="H842" s="115" t="e">
        <v>#N/A</v>
      </c>
      <c r="I842" s="118" t="s">
        <v>625</v>
      </c>
    </row>
    <row r="843" spans="1:9">
      <c r="A843" s="114">
        <v>40613</v>
      </c>
      <c r="B843" s="115">
        <v>98.54</v>
      </c>
      <c r="C843" s="115">
        <v>96.408900000000003</v>
      </c>
      <c r="D843" s="115">
        <v>97.589600000000004</v>
      </c>
      <c r="E843" s="115" t="s">
        <v>625</v>
      </c>
      <c r="F843" s="115" t="s">
        <v>625</v>
      </c>
      <c r="G843" s="121" t="s">
        <v>625</v>
      </c>
      <c r="H843" s="115" t="e">
        <v>#N/A</v>
      </c>
      <c r="I843" s="118" t="s">
        <v>625</v>
      </c>
    </row>
    <row r="844" spans="1:9">
      <c r="A844" s="114">
        <v>40616</v>
      </c>
      <c r="B844" s="115">
        <v>98.54</v>
      </c>
      <c r="C844" s="115">
        <v>96.060599999999994</v>
      </c>
      <c r="D844" s="115">
        <v>97.496499999999997</v>
      </c>
      <c r="E844" s="115" t="s">
        <v>625</v>
      </c>
      <c r="F844" s="115" t="s">
        <v>625</v>
      </c>
      <c r="G844" s="121" t="s">
        <v>625</v>
      </c>
      <c r="H844" s="115" t="e">
        <v>#N/A</v>
      </c>
      <c r="I844" s="118" t="s">
        <v>625</v>
      </c>
    </row>
    <row r="845" spans="1:9">
      <c r="A845" s="114">
        <v>40617</v>
      </c>
      <c r="B845" s="115">
        <v>98.54</v>
      </c>
      <c r="C845" s="115">
        <v>96.060599999999994</v>
      </c>
      <c r="D845" s="115">
        <v>97.606499999999997</v>
      </c>
      <c r="E845" s="115" t="s">
        <v>625</v>
      </c>
      <c r="F845" s="115" t="s">
        <v>625</v>
      </c>
      <c r="G845" s="121" t="s">
        <v>625</v>
      </c>
      <c r="H845" s="115" t="e">
        <v>#N/A</v>
      </c>
      <c r="I845" s="118" t="s">
        <v>625</v>
      </c>
    </row>
    <row r="846" spans="1:9">
      <c r="A846" s="114">
        <v>40618</v>
      </c>
      <c r="B846" s="115">
        <v>98.54</v>
      </c>
      <c r="C846" s="115">
        <v>96.421199999999999</v>
      </c>
      <c r="D846" s="115">
        <v>97.706500000000005</v>
      </c>
      <c r="E846" s="115" t="s">
        <v>625</v>
      </c>
      <c r="F846" s="115" t="s">
        <v>625</v>
      </c>
      <c r="G846" s="121" t="s">
        <v>625</v>
      </c>
      <c r="H846" s="115" t="e">
        <v>#N/A</v>
      </c>
      <c r="I846" s="118" t="s">
        <v>625</v>
      </c>
    </row>
    <row r="847" spans="1:9">
      <c r="A847" s="114">
        <v>40619</v>
      </c>
      <c r="B847" s="115">
        <v>98.54</v>
      </c>
      <c r="C847" s="115">
        <v>96.421199999999999</v>
      </c>
      <c r="D847" s="115">
        <v>97.706500000000005</v>
      </c>
      <c r="E847" s="115" t="s">
        <v>625</v>
      </c>
      <c r="F847" s="115" t="s">
        <v>625</v>
      </c>
      <c r="G847" s="121" t="s">
        <v>625</v>
      </c>
      <c r="H847" s="115" t="e">
        <v>#N/A</v>
      </c>
      <c r="I847" s="118" t="s">
        <v>625</v>
      </c>
    </row>
    <row r="848" spans="1:9">
      <c r="A848" s="114">
        <v>40620</v>
      </c>
      <c r="B848" s="115">
        <v>98.54</v>
      </c>
      <c r="C848" s="115">
        <v>96.421199999999999</v>
      </c>
      <c r="D848" s="115">
        <v>97.839600000000004</v>
      </c>
      <c r="E848" s="115" t="s">
        <v>625</v>
      </c>
      <c r="F848" s="115" t="s">
        <v>625</v>
      </c>
      <c r="G848" s="121" t="s">
        <v>625</v>
      </c>
      <c r="H848" s="115" t="e">
        <v>#N/A</v>
      </c>
      <c r="I848" s="118" t="s">
        <v>625</v>
      </c>
    </row>
    <row r="849" spans="1:9">
      <c r="A849" s="114">
        <v>40623</v>
      </c>
      <c r="B849" s="115">
        <v>98.54</v>
      </c>
      <c r="C849" s="115">
        <v>96.421199999999999</v>
      </c>
      <c r="D849" s="115">
        <v>97.896500000000003</v>
      </c>
      <c r="E849" s="115" t="s">
        <v>625</v>
      </c>
      <c r="F849" s="115" t="s">
        <v>625</v>
      </c>
      <c r="G849" s="121" t="s">
        <v>625</v>
      </c>
      <c r="H849" s="115" t="e">
        <v>#N/A</v>
      </c>
      <c r="I849" s="118" t="s">
        <v>625</v>
      </c>
    </row>
    <row r="850" spans="1:9">
      <c r="A850" s="114">
        <v>40624</v>
      </c>
      <c r="B850" s="115">
        <v>98.54</v>
      </c>
      <c r="C850" s="115">
        <v>96.421199999999999</v>
      </c>
      <c r="D850" s="115">
        <v>97.697500000000005</v>
      </c>
      <c r="E850" s="115" t="s">
        <v>625</v>
      </c>
      <c r="F850" s="115" t="s">
        <v>625</v>
      </c>
      <c r="G850" s="121" t="s">
        <v>625</v>
      </c>
      <c r="H850" s="115" t="e">
        <v>#N/A</v>
      </c>
      <c r="I850" s="118" t="s">
        <v>625</v>
      </c>
    </row>
    <row r="851" spans="1:9">
      <c r="A851" s="114">
        <v>40625</v>
      </c>
      <c r="B851" s="115">
        <v>98.54</v>
      </c>
      <c r="C851" s="115">
        <v>96.396100000000004</v>
      </c>
      <c r="D851" s="115">
        <v>97.697500000000005</v>
      </c>
      <c r="E851" s="115" t="s">
        <v>625</v>
      </c>
      <c r="F851" s="115" t="s">
        <v>625</v>
      </c>
      <c r="G851" s="121" t="s">
        <v>625</v>
      </c>
      <c r="H851" s="115" t="e">
        <v>#N/A</v>
      </c>
      <c r="I851" s="118" t="s">
        <v>625</v>
      </c>
    </row>
    <row r="852" spans="1:9">
      <c r="A852" s="114">
        <v>40626</v>
      </c>
      <c r="B852" s="115">
        <v>98.54</v>
      </c>
      <c r="C852" s="115">
        <v>96.396100000000004</v>
      </c>
      <c r="D852" s="115">
        <v>97.697500000000005</v>
      </c>
      <c r="E852" s="115" t="s">
        <v>625</v>
      </c>
      <c r="F852" s="115" t="s">
        <v>625</v>
      </c>
      <c r="G852" s="121" t="s">
        <v>625</v>
      </c>
      <c r="H852" s="115" t="e">
        <v>#N/A</v>
      </c>
      <c r="I852" s="118" t="s">
        <v>625</v>
      </c>
    </row>
    <row r="853" spans="1:9">
      <c r="A853" s="114">
        <v>40627</v>
      </c>
      <c r="B853" s="115">
        <v>98.54</v>
      </c>
      <c r="C853" s="115">
        <v>96.364999999999995</v>
      </c>
      <c r="D853" s="115">
        <v>97.592399999999998</v>
      </c>
      <c r="E853" s="115" t="s">
        <v>625</v>
      </c>
      <c r="F853" s="115" t="s">
        <v>625</v>
      </c>
      <c r="G853" s="121" t="s">
        <v>625</v>
      </c>
      <c r="H853" s="115" t="e">
        <v>#N/A</v>
      </c>
      <c r="I853" s="118" t="s">
        <v>625</v>
      </c>
    </row>
    <row r="854" spans="1:9">
      <c r="A854" s="114">
        <v>40630</v>
      </c>
      <c r="B854" s="115">
        <v>98.54</v>
      </c>
      <c r="C854" s="115">
        <v>96.364999999999995</v>
      </c>
      <c r="D854" s="115">
        <v>97.596699999999998</v>
      </c>
      <c r="E854" s="115" t="s">
        <v>625</v>
      </c>
      <c r="F854" s="115" t="s">
        <v>625</v>
      </c>
      <c r="G854" s="121" t="s">
        <v>625</v>
      </c>
      <c r="H854" s="115" t="e">
        <v>#N/A</v>
      </c>
      <c r="I854" s="118" t="s">
        <v>625</v>
      </c>
    </row>
    <row r="855" spans="1:9">
      <c r="A855" s="114">
        <v>40631</v>
      </c>
      <c r="B855" s="115">
        <v>98.54</v>
      </c>
      <c r="C855" s="115">
        <v>96.094399999999993</v>
      </c>
      <c r="D855" s="115">
        <v>97.596699999999998</v>
      </c>
      <c r="E855" s="115" t="s">
        <v>625</v>
      </c>
      <c r="F855" s="115" t="s">
        <v>625</v>
      </c>
      <c r="G855" s="121" t="s">
        <v>625</v>
      </c>
      <c r="H855" s="115" t="e">
        <v>#N/A</v>
      </c>
      <c r="I855" s="118" t="s">
        <v>625</v>
      </c>
    </row>
    <row r="856" spans="1:9">
      <c r="A856" s="114">
        <v>40632</v>
      </c>
      <c r="B856" s="115">
        <v>98.54</v>
      </c>
      <c r="C856" s="115">
        <v>96.094700000000003</v>
      </c>
      <c r="D856" s="115">
        <v>97.6</v>
      </c>
      <c r="E856" s="115" t="s">
        <v>625</v>
      </c>
      <c r="F856" s="115" t="s">
        <v>625</v>
      </c>
      <c r="G856" s="121" t="s">
        <v>625</v>
      </c>
      <c r="H856" s="115" t="e">
        <v>#N/A</v>
      </c>
      <c r="I856" s="118" t="s">
        <v>625</v>
      </c>
    </row>
    <row r="857" spans="1:9">
      <c r="A857" s="114">
        <v>40633</v>
      </c>
      <c r="B857" s="115">
        <v>98.54</v>
      </c>
      <c r="C857" s="115">
        <v>96.094700000000003</v>
      </c>
      <c r="D857" s="115">
        <v>97.597499999999997</v>
      </c>
      <c r="E857" s="115" t="s">
        <v>625</v>
      </c>
      <c r="F857" s="115" t="s">
        <v>625</v>
      </c>
      <c r="G857" s="121" t="s">
        <v>625</v>
      </c>
      <c r="H857" s="115" t="e">
        <v>#N/A</v>
      </c>
      <c r="I857" s="118" t="s">
        <v>625</v>
      </c>
    </row>
    <row r="858" spans="1:9">
      <c r="A858" s="114">
        <v>40634</v>
      </c>
      <c r="B858" s="115">
        <v>98.54</v>
      </c>
      <c r="C858" s="115">
        <v>96.094700000000003</v>
      </c>
      <c r="D858" s="115">
        <v>97.596699999999998</v>
      </c>
      <c r="E858" s="115" t="s">
        <v>625</v>
      </c>
      <c r="F858" s="115" t="s">
        <v>625</v>
      </c>
      <c r="G858" s="121" t="s">
        <v>625</v>
      </c>
      <c r="H858" s="115" t="e">
        <v>#N/A</v>
      </c>
      <c r="I858" s="118" t="s">
        <v>625</v>
      </c>
    </row>
    <row r="859" spans="1:9">
      <c r="A859" s="114">
        <v>40635</v>
      </c>
      <c r="B859" s="115">
        <v>98.54</v>
      </c>
      <c r="C859" s="115">
        <v>96.094700000000003</v>
      </c>
      <c r="D859" s="115">
        <v>97.586500000000001</v>
      </c>
      <c r="E859" s="115" t="s">
        <v>625</v>
      </c>
      <c r="F859" s="115" t="s">
        <v>625</v>
      </c>
      <c r="G859" s="121" t="s">
        <v>625</v>
      </c>
      <c r="H859" s="115" t="e">
        <v>#N/A</v>
      </c>
      <c r="I859" s="118" t="s">
        <v>625</v>
      </c>
    </row>
    <row r="860" spans="1:9">
      <c r="A860" s="114">
        <v>40639</v>
      </c>
      <c r="B860" s="115">
        <v>98.54</v>
      </c>
      <c r="C860" s="115">
        <v>96.094700000000003</v>
      </c>
      <c r="D860" s="115">
        <v>97.496700000000004</v>
      </c>
      <c r="E860" s="115" t="s">
        <v>625</v>
      </c>
      <c r="F860" s="115" t="s">
        <v>625</v>
      </c>
      <c r="G860" s="121" t="s">
        <v>625</v>
      </c>
      <c r="H860" s="115" t="e">
        <v>#N/A</v>
      </c>
      <c r="I860" s="118" t="s">
        <v>625</v>
      </c>
    </row>
    <row r="861" spans="1:9">
      <c r="A861" s="114">
        <v>40640</v>
      </c>
      <c r="B861" s="115">
        <v>98.54</v>
      </c>
      <c r="C861" s="115">
        <v>96.094700000000003</v>
      </c>
      <c r="D861" s="115">
        <v>97.496700000000004</v>
      </c>
      <c r="E861" s="115" t="s">
        <v>625</v>
      </c>
      <c r="F861" s="115" t="s">
        <v>625</v>
      </c>
      <c r="G861" s="121" t="s">
        <v>625</v>
      </c>
      <c r="H861" s="115" t="e">
        <v>#N/A</v>
      </c>
      <c r="I861" s="118" t="s">
        <v>625</v>
      </c>
    </row>
    <row r="862" spans="1:9">
      <c r="A862" s="114">
        <v>40641</v>
      </c>
      <c r="B862" s="115">
        <v>98.54</v>
      </c>
      <c r="C862" s="115">
        <v>96.094700000000003</v>
      </c>
      <c r="D862" s="115">
        <v>97.489800000000002</v>
      </c>
      <c r="E862" s="115" t="s">
        <v>625</v>
      </c>
      <c r="F862" s="115" t="s">
        <v>625</v>
      </c>
      <c r="G862" s="121" t="s">
        <v>625</v>
      </c>
      <c r="H862" s="115" t="e">
        <v>#N/A</v>
      </c>
      <c r="I862" s="118" t="s">
        <v>625</v>
      </c>
    </row>
    <row r="863" spans="1:9">
      <c r="A863" s="114">
        <v>40644</v>
      </c>
      <c r="B863" s="115">
        <v>98.54</v>
      </c>
      <c r="C863" s="115">
        <v>96.094700000000003</v>
      </c>
      <c r="D863" s="115">
        <v>97.496600000000001</v>
      </c>
      <c r="E863" s="115" t="s">
        <v>625</v>
      </c>
      <c r="F863" s="115" t="s">
        <v>625</v>
      </c>
      <c r="G863" s="121" t="s">
        <v>625</v>
      </c>
      <c r="H863" s="115" t="e">
        <v>#N/A</v>
      </c>
      <c r="I863" s="118" t="s">
        <v>625</v>
      </c>
    </row>
    <row r="864" spans="1:9">
      <c r="A864" s="114">
        <v>40645</v>
      </c>
      <c r="B864" s="115">
        <v>98.54</v>
      </c>
      <c r="C864" s="115">
        <v>96.094700000000003</v>
      </c>
      <c r="D864" s="115">
        <v>97.448599999999999</v>
      </c>
      <c r="E864" s="115" t="s">
        <v>625</v>
      </c>
      <c r="F864" s="115" t="s">
        <v>625</v>
      </c>
      <c r="G864" s="121" t="s">
        <v>625</v>
      </c>
      <c r="H864" s="115" t="e">
        <v>#N/A</v>
      </c>
      <c r="I864" s="118" t="s">
        <v>625</v>
      </c>
    </row>
    <row r="865" spans="1:9">
      <c r="A865" s="114">
        <v>40646</v>
      </c>
      <c r="B865" s="115">
        <v>98.54</v>
      </c>
      <c r="C865" s="115">
        <v>96.094700000000003</v>
      </c>
      <c r="D865" s="115">
        <v>97.595500000000001</v>
      </c>
      <c r="E865" s="115" t="s">
        <v>625</v>
      </c>
      <c r="F865" s="115" t="s">
        <v>625</v>
      </c>
      <c r="G865" s="121" t="s">
        <v>625</v>
      </c>
      <c r="H865" s="115" t="e">
        <v>#N/A</v>
      </c>
      <c r="I865" s="118" t="s">
        <v>625</v>
      </c>
    </row>
    <row r="866" spans="1:9">
      <c r="A866" s="114">
        <v>40647</v>
      </c>
      <c r="B866" s="115">
        <v>98.54</v>
      </c>
      <c r="C866" s="115">
        <v>96.094700000000003</v>
      </c>
      <c r="D866" s="115">
        <v>97.595500000000001</v>
      </c>
      <c r="E866" s="115" t="s">
        <v>625</v>
      </c>
      <c r="F866" s="115" t="s">
        <v>625</v>
      </c>
      <c r="G866" s="121" t="s">
        <v>625</v>
      </c>
      <c r="H866" s="115" t="e">
        <v>#N/A</v>
      </c>
      <c r="I866" s="118" t="s">
        <v>625</v>
      </c>
    </row>
    <row r="867" spans="1:9">
      <c r="A867" s="114">
        <v>40648</v>
      </c>
      <c r="B867" s="115">
        <v>98.54</v>
      </c>
      <c r="C867" s="115">
        <v>96.094700000000003</v>
      </c>
      <c r="D867" s="115">
        <v>97.609499999999997</v>
      </c>
      <c r="E867" s="115" t="s">
        <v>625</v>
      </c>
      <c r="F867" s="115" t="s">
        <v>625</v>
      </c>
      <c r="G867" s="121" t="s">
        <v>625</v>
      </c>
      <c r="H867" s="115" t="e">
        <v>#N/A</v>
      </c>
      <c r="I867" s="118" t="s">
        <v>625</v>
      </c>
    </row>
    <row r="868" spans="1:9">
      <c r="A868" s="114">
        <v>40651</v>
      </c>
      <c r="B868" s="115">
        <v>98.54</v>
      </c>
      <c r="C868" s="115">
        <v>96.094700000000003</v>
      </c>
      <c r="D868" s="115">
        <v>97.721400000000003</v>
      </c>
      <c r="E868" s="115" t="s">
        <v>625</v>
      </c>
      <c r="F868" s="115" t="s">
        <v>625</v>
      </c>
      <c r="G868" s="121" t="s">
        <v>625</v>
      </c>
      <c r="H868" s="115" t="e">
        <v>#N/A</v>
      </c>
      <c r="I868" s="118" t="s">
        <v>625</v>
      </c>
    </row>
    <row r="869" spans="1:9">
      <c r="A869" s="114">
        <v>40652</v>
      </c>
      <c r="B869" s="115">
        <v>98.54</v>
      </c>
      <c r="C869" s="115">
        <v>96.094700000000003</v>
      </c>
      <c r="D869" s="115">
        <v>97.721800000000002</v>
      </c>
      <c r="E869" s="115" t="s">
        <v>625</v>
      </c>
      <c r="F869" s="115" t="s">
        <v>625</v>
      </c>
      <c r="G869" s="121" t="s">
        <v>625</v>
      </c>
      <c r="H869" s="115" t="e">
        <v>#N/A</v>
      </c>
      <c r="I869" s="118" t="s">
        <v>625</v>
      </c>
    </row>
    <row r="870" spans="1:9">
      <c r="A870" s="114">
        <v>40653</v>
      </c>
      <c r="B870" s="115">
        <v>98.54</v>
      </c>
      <c r="C870" s="115">
        <v>97.477199999999996</v>
      </c>
      <c r="D870" s="115">
        <v>97.746499999999997</v>
      </c>
      <c r="E870" s="115" t="s">
        <v>625</v>
      </c>
      <c r="F870" s="115" t="s">
        <v>625</v>
      </c>
      <c r="G870" s="121" t="s">
        <v>625</v>
      </c>
      <c r="H870" s="115" t="e">
        <v>#N/A</v>
      </c>
      <c r="I870" s="118" t="s">
        <v>625</v>
      </c>
    </row>
    <row r="871" spans="1:9">
      <c r="A871" s="114">
        <v>40654</v>
      </c>
      <c r="B871" s="115">
        <v>98.54</v>
      </c>
      <c r="C871" s="115">
        <v>96.703599999999994</v>
      </c>
      <c r="D871" s="115">
        <v>98.151499999999999</v>
      </c>
      <c r="E871" s="115" t="s">
        <v>625</v>
      </c>
      <c r="F871" s="115" t="s">
        <v>625</v>
      </c>
      <c r="G871" s="121" t="s">
        <v>625</v>
      </c>
      <c r="H871" s="115" t="e">
        <v>#N/A</v>
      </c>
      <c r="I871" s="118" t="s">
        <v>625</v>
      </c>
    </row>
    <row r="872" spans="1:9">
      <c r="A872" s="114">
        <v>40655</v>
      </c>
      <c r="B872" s="115">
        <v>98.54</v>
      </c>
      <c r="C872" s="115">
        <v>96.706000000000003</v>
      </c>
      <c r="D872" s="115">
        <v>98.152100000000004</v>
      </c>
      <c r="E872" s="115" t="s">
        <v>625</v>
      </c>
      <c r="F872" s="115" t="s">
        <v>625</v>
      </c>
      <c r="G872" s="121" t="s">
        <v>625</v>
      </c>
      <c r="H872" s="115" t="e">
        <v>#N/A</v>
      </c>
      <c r="I872" s="118" t="s">
        <v>625</v>
      </c>
    </row>
    <row r="873" spans="1:9">
      <c r="A873" s="114">
        <v>40658</v>
      </c>
      <c r="B873" s="115">
        <v>98.54</v>
      </c>
      <c r="C873" s="115">
        <v>96.700800000000001</v>
      </c>
      <c r="D873" s="115">
        <v>98.299599999999998</v>
      </c>
      <c r="E873" s="115" t="s">
        <v>625</v>
      </c>
      <c r="F873" s="115" t="s">
        <v>625</v>
      </c>
      <c r="G873" s="121" t="s">
        <v>625</v>
      </c>
      <c r="H873" s="115" t="e">
        <v>#N/A</v>
      </c>
      <c r="I873" s="118" t="s">
        <v>625</v>
      </c>
    </row>
    <row r="874" spans="1:9">
      <c r="A874" s="114">
        <v>40659</v>
      </c>
      <c r="B874" s="115">
        <v>98.54</v>
      </c>
      <c r="C874" s="115">
        <v>96.721100000000007</v>
      </c>
      <c r="D874" s="115">
        <v>98.089799999999997</v>
      </c>
      <c r="E874" s="115" t="s">
        <v>625</v>
      </c>
      <c r="F874" s="115" t="s">
        <v>625</v>
      </c>
      <c r="G874" s="121" t="s">
        <v>625</v>
      </c>
      <c r="H874" s="115" t="e">
        <v>#N/A</v>
      </c>
      <c r="I874" s="118" t="s">
        <v>625</v>
      </c>
    </row>
    <row r="875" spans="1:9">
      <c r="A875" s="114">
        <v>40660</v>
      </c>
      <c r="B875" s="115">
        <v>98.54</v>
      </c>
      <c r="C875" s="115">
        <v>96.719499999999996</v>
      </c>
      <c r="D875" s="115">
        <v>98.088200000000001</v>
      </c>
      <c r="E875" s="115" t="s">
        <v>625</v>
      </c>
      <c r="F875" s="115" t="s">
        <v>625</v>
      </c>
      <c r="G875" s="121" t="s">
        <v>625</v>
      </c>
      <c r="H875" s="115" t="e">
        <v>#N/A</v>
      </c>
      <c r="I875" s="118" t="s">
        <v>625</v>
      </c>
    </row>
    <row r="876" spans="1:9">
      <c r="A876" s="114">
        <v>40661</v>
      </c>
      <c r="B876" s="115">
        <v>98.54</v>
      </c>
      <c r="C876" s="115">
        <v>96.6995</v>
      </c>
      <c r="D876" s="115">
        <v>98.088200000000001</v>
      </c>
      <c r="E876" s="115" t="s">
        <v>625</v>
      </c>
      <c r="F876" s="115" t="s">
        <v>625</v>
      </c>
      <c r="G876" s="121" t="s">
        <v>625</v>
      </c>
      <c r="H876" s="115" t="e">
        <v>#N/A</v>
      </c>
      <c r="I876" s="118" t="s">
        <v>625</v>
      </c>
    </row>
    <row r="877" spans="1:9">
      <c r="A877" s="114">
        <v>40662</v>
      </c>
      <c r="B877" s="115">
        <v>98.54</v>
      </c>
      <c r="C877" s="115">
        <v>96.773300000000006</v>
      </c>
      <c r="D877" s="115">
        <v>98.087699999999998</v>
      </c>
      <c r="E877" s="115" t="s">
        <v>625</v>
      </c>
      <c r="F877" s="115" t="s">
        <v>625</v>
      </c>
      <c r="G877" s="121" t="s">
        <v>625</v>
      </c>
      <c r="H877" s="115" t="e">
        <v>#N/A</v>
      </c>
      <c r="I877" s="118" t="s">
        <v>625</v>
      </c>
    </row>
    <row r="878" spans="1:9">
      <c r="A878" s="114">
        <v>40666</v>
      </c>
      <c r="B878" s="115">
        <v>98.54</v>
      </c>
      <c r="C878" s="115">
        <v>96.750900000000001</v>
      </c>
      <c r="D878" s="115">
        <v>97.999799999999993</v>
      </c>
      <c r="E878" s="115" t="s">
        <v>625</v>
      </c>
      <c r="F878" s="115" t="s">
        <v>625</v>
      </c>
      <c r="G878" s="121" t="s">
        <v>625</v>
      </c>
      <c r="H878" s="115" t="e">
        <v>#N/A</v>
      </c>
      <c r="I878" s="118" t="s">
        <v>625</v>
      </c>
    </row>
    <row r="879" spans="1:9">
      <c r="A879" s="114">
        <v>40667</v>
      </c>
      <c r="B879" s="115">
        <v>98.54</v>
      </c>
      <c r="C879" s="115">
        <v>96.561300000000003</v>
      </c>
      <c r="D879" s="115">
        <v>97.949600000000004</v>
      </c>
      <c r="E879" s="115" t="s">
        <v>625</v>
      </c>
      <c r="F879" s="115" t="s">
        <v>625</v>
      </c>
      <c r="G879" s="121" t="s">
        <v>625</v>
      </c>
      <c r="H879" s="115" t="e">
        <v>#N/A</v>
      </c>
      <c r="I879" s="118" t="s">
        <v>625</v>
      </c>
    </row>
    <row r="880" spans="1:9">
      <c r="A880" s="114">
        <v>40668</v>
      </c>
      <c r="B880" s="115">
        <v>98.54</v>
      </c>
      <c r="C880" s="115">
        <v>96.8095</v>
      </c>
      <c r="D880" s="115">
        <v>97.948099999999997</v>
      </c>
      <c r="E880" s="115" t="s">
        <v>625</v>
      </c>
      <c r="F880" s="115" t="s">
        <v>625</v>
      </c>
      <c r="G880" s="121" t="s">
        <v>625</v>
      </c>
      <c r="H880" s="115" t="e">
        <v>#N/A</v>
      </c>
      <c r="I880" s="118" t="s">
        <v>625</v>
      </c>
    </row>
    <row r="881" spans="1:9">
      <c r="A881" s="114">
        <v>40669</v>
      </c>
      <c r="B881" s="115">
        <v>98.54</v>
      </c>
      <c r="C881" s="115">
        <v>96.798299999999998</v>
      </c>
      <c r="D881" s="115">
        <v>97.894300000000001</v>
      </c>
      <c r="E881" s="115" t="s">
        <v>625</v>
      </c>
      <c r="F881" s="115" t="s">
        <v>625</v>
      </c>
      <c r="G881" s="121" t="s">
        <v>625</v>
      </c>
      <c r="H881" s="115" t="e">
        <v>#N/A</v>
      </c>
      <c r="I881" s="118" t="s">
        <v>625</v>
      </c>
    </row>
    <row r="882" spans="1:9">
      <c r="A882" s="114">
        <v>40672</v>
      </c>
      <c r="B882" s="115">
        <v>98.54</v>
      </c>
      <c r="C882" s="115">
        <v>96.799800000000005</v>
      </c>
      <c r="D882" s="115">
        <v>97.998500000000007</v>
      </c>
      <c r="E882" s="115" t="s">
        <v>625</v>
      </c>
      <c r="F882" s="115" t="s">
        <v>625</v>
      </c>
      <c r="G882" s="121" t="s">
        <v>625</v>
      </c>
      <c r="H882" s="115" t="e">
        <v>#N/A</v>
      </c>
      <c r="I882" s="118" t="s">
        <v>625</v>
      </c>
    </row>
    <row r="883" spans="1:9">
      <c r="A883" s="114">
        <v>40673</v>
      </c>
      <c r="B883" s="115">
        <v>98.54</v>
      </c>
      <c r="C883" s="115">
        <v>96.819800000000001</v>
      </c>
      <c r="D883" s="115">
        <v>98.057699999999997</v>
      </c>
      <c r="E883" s="115" t="s">
        <v>625</v>
      </c>
      <c r="F883" s="115" t="s">
        <v>625</v>
      </c>
      <c r="G883" s="121" t="s">
        <v>625</v>
      </c>
      <c r="H883" s="115" t="e">
        <v>#N/A</v>
      </c>
      <c r="I883" s="118" t="s">
        <v>625</v>
      </c>
    </row>
    <row r="884" spans="1:9">
      <c r="A884" s="114">
        <v>40674</v>
      </c>
      <c r="B884" s="115">
        <v>98.54</v>
      </c>
      <c r="C884" s="115">
        <v>96.652699999999996</v>
      </c>
      <c r="D884" s="115">
        <v>98.237700000000004</v>
      </c>
      <c r="E884" s="115" t="s">
        <v>625</v>
      </c>
      <c r="F884" s="115" t="s">
        <v>625</v>
      </c>
      <c r="G884" s="121" t="s">
        <v>625</v>
      </c>
      <c r="H884" s="115" t="e">
        <v>#N/A</v>
      </c>
      <c r="I884" s="118" t="s">
        <v>625</v>
      </c>
    </row>
    <row r="885" spans="1:9">
      <c r="A885" s="114">
        <v>40675</v>
      </c>
      <c r="B885" s="115">
        <v>98.54</v>
      </c>
      <c r="C885" s="115">
        <v>96.819699999999997</v>
      </c>
      <c r="D885" s="115">
        <v>98.387600000000006</v>
      </c>
      <c r="E885" s="115" t="s">
        <v>625</v>
      </c>
      <c r="F885" s="115" t="s">
        <v>625</v>
      </c>
      <c r="G885" s="121" t="s">
        <v>625</v>
      </c>
      <c r="H885" s="115" t="e">
        <v>#N/A</v>
      </c>
      <c r="I885" s="118" t="s">
        <v>625</v>
      </c>
    </row>
    <row r="886" spans="1:9">
      <c r="A886" s="114">
        <v>40676</v>
      </c>
      <c r="B886" s="115">
        <v>98.54</v>
      </c>
      <c r="C886" s="115">
        <v>96.829099999999997</v>
      </c>
      <c r="D886" s="115">
        <v>98.372799999999998</v>
      </c>
      <c r="E886" s="115" t="s">
        <v>625</v>
      </c>
      <c r="F886" s="115" t="s">
        <v>625</v>
      </c>
      <c r="G886" s="121" t="s">
        <v>625</v>
      </c>
      <c r="H886" s="115" t="e">
        <v>#N/A</v>
      </c>
      <c r="I886" s="118" t="s">
        <v>625</v>
      </c>
    </row>
    <row r="887" spans="1:9">
      <c r="A887" s="114">
        <v>40679</v>
      </c>
      <c r="B887" s="115">
        <v>98.54</v>
      </c>
      <c r="C887" s="115">
        <v>96.778000000000006</v>
      </c>
      <c r="D887" s="115">
        <v>98.337599999999995</v>
      </c>
      <c r="E887" s="115" t="s">
        <v>625</v>
      </c>
      <c r="F887" s="115" t="s">
        <v>625</v>
      </c>
      <c r="G887" s="121" t="s">
        <v>625</v>
      </c>
      <c r="H887" s="115" t="e">
        <v>#N/A</v>
      </c>
      <c r="I887" s="118" t="s">
        <v>625</v>
      </c>
    </row>
    <row r="888" spans="1:9">
      <c r="A888" s="114">
        <v>40680</v>
      </c>
      <c r="B888" s="115">
        <v>98.54</v>
      </c>
      <c r="C888" s="115">
        <v>96.799800000000005</v>
      </c>
      <c r="D888" s="115">
        <v>98.307599999999994</v>
      </c>
      <c r="E888" s="115" t="s">
        <v>625</v>
      </c>
      <c r="F888" s="115" t="s">
        <v>625</v>
      </c>
      <c r="G888" s="121" t="s">
        <v>625</v>
      </c>
      <c r="H888" s="115" t="e">
        <v>#N/A</v>
      </c>
      <c r="I888" s="118" t="s">
        <v>625</v>
      </c>
    </row>
    <row r="889" spans="1:9">
      <c r="A889" s="114">
        <v>40681</v>
      </c>
      <c r="B889" s="115">
        <v>98.54</v>
      </c>
      <c r="C889" s="115">
        <v>96.814300000000003</v>
      </c>
      <c r="D889" s="115">
        <v>96.856300000000005</v>
      </c>
      <c r="E889" s="115" t="s">
        <v>625</v>
      </c>
      <c r="F889" s="115" t="s">
        <v>625</v>
      </c>
      <c r="G889" s="121" t="s">
        <v>625</v>
      </c>
      <c r="H889" s="115" t="e">
        <v>#N/A</v>
      </c>
      <c r="I889" s="118" t="s">
        <v>625</v>
      </c>
    </row>
    <row r="890" spans="1:9">
      <c r="A890" s="114">
        <v>40682</v>
      </c>
      <c r="B890" s="115">
        <v>98.54</v>
      </c>
      <c r="C890" s="115">
        <v>96.821100000000001</v>
      </c>
      <c r="D890" s="115">
        <v>96.859300000000005</v>
      </c>
      <c r="E890" s="115" t="s">
        <v>625</v>
      </c>
      <c r="F890" s="115" t="s">
        <v>625</v>
      </c>
      <c r="G890" s="121" t="s">
        <v>625</v>
      </c>
      <c r="H890" s="115" t="e">
        <v>#N/A</v>
      </c>
      <c r="I890" s="118" t="s">
        <v>625</v>
      </c>
    </row>
    <row r="891" spans="1:9">
      <c r="A891" s="114">
        <v>40683</v>
      </c>
      <c r="B891" s="115">
        <v>98.54</v>
      </c>
      <c r="C891" s="115">
        <v>96.832899999999995</v>
      </c>
      <c r="D891" s="115">
        <v>98.350800000000007</v>
      </c>
      <c r="E891" s="115" t="s">
        <v>625</v>
      </c>
      <c r="F891" s="115" t="s">
        <v>625</v>
      </c>
      <c r="G891" s="121" t="s">
        <v>625</v>
      </c>
      <c r="H891" s="115" t="e">
        <v>#N/A</v>
      </c>
      <c r="I891" s="118" t="s">
        <v>625</v>
      </c>
    </row>
    <row r="892" spans="1:9">
      <c r="A892" s="114">
        <v>40686</v>
      </c>
      <c r="B892" s="115">
        <v>98.54</v>
      </c>
      <c r="C892" s="115">
        <v>96.638900000000007</v>
      </c>
      <c r="D892" s="115">
        <v>98.343699999999998</v>
      </c>
      <c r="E892" s="115" t="s">
        <v>625</v>
      </c>
      <c r="F892" s="115" t="s">
        <v>625</v>
      </c>
      <c r="G892" s="121" t="s">
        <v>625</v>
      </c>
      <c r="H892" s="115" t="e">
        <v>#N/A</v>
      </c>
      <c r="I892" s="118" t="s">
        <v>625</v>
      </c>
    </row>
    <row r="893" spans="1:9">
      <c r="A893" s="114">
        <v>40687</v>
      </c>
      <c r="B893" s="115">
        <v>98.54</v>
      </c>
      <c r="C893" s="115">
        <v>96.806100000000001</v>
      </c>
      <c r="D893" s="115">
        <v>98.355000000000004</v>
      </c>
      <c r="E893" s="115" t="s">
        <v>625</v>
      </c>
      <c r="F893" s="115" t="s">
        <v>625</v>
      </c>
      <c r="G893" s="121" t="s">
        <v>625</v>
      </c>
      <c r="H893" s="115" t="e">
        <v>#N/A</v>
      </c>
      <c r="I893" s="118" t="s">
        <v>625</v>
      </c>
    </row>
    <row r="894" spans="1:9">
      <c r="A894" s="114">
        <v>40688</v>
      </c>
      <c r="B894" s="115">
        <v>98.54</v>
      </c>
      <c r="C894" s="115">
        <v>96.488500000000002</v>
      </c>
      <c r="D894" s="115">
        <v>98.376400000000004</v>
      </c>
      <c r="E894" s="115" t="s">
        <v>625</v>
      </c>
      <c r="F894" s="115" t="s">
        <v>625</v>
      </c>
      <c r="G894" s="121" t="s">
        <v>625</v>
      </c>
      <c r="H894" s="115" t="e">
        <v>#N/A</v>
      </c>
      <c r="I894" s="118" t="s">
        <v>625</v>
      </c>
    </row>
    <row r="895" spans="1:9">
      <c r="A895" s="114">
        <v>40689</v>
      </c>
      <c r="B895" s="115">
        <v>98.54</v>
      </c>
      <c r="C895" s="115">
        <v>96.907200000000003</v>
      </c>
      <c r="D895" s="115">
        <v>98.376099999999994</v>
      </c>
      <c r="E895" s="115" t="s">
        <v>625</v>
      </c>
      <c r="F895" s="115" t="s">
        <v>625</v>
      </c>
      <c r="G895" s="121" t="s">
        <v>625</v>
      </c>
      <c r="H895" s="115" t="e">
        <v>#N/A</v>
      </c>
      <c r="I895" s="118" t="s">
        <v>625</v>
      </c>
    </row>
    <row r="896" spans="1:9">
      <c r="A896" s="114">
        <v>40690</v>
      </c>
      <c r="B896" s="115">
        <v>98.54</v>
      </c>
      <c r="C896" s="115">
        <v>97.005200000000002</v>
      </c>
      <c r="D896" s="115">
        <v>98.4114</v>
      </c>
      <c r="E896" s="115" t="s">
        <v>625</v>
      </c>
      <c r="F896" s="115" t="s">
        <v>625</v>
      </c>
      <c r="G896" s="121" t="s">
        <v>625</v>
      </c>
      <c r="H896" s="115" t="e">
        <v>#N/A</v>
      </c>
      <c r="I896" s="118" t="s">
        <v>625</v>
      </c>
    </row>
    <row r="897" spans="1:9">
      <c r="A897" s="114">
        <v>40693</v>
      </c>
      <c r="B897" s="115">
        <v>98.54</v>
      </c>
      <c r="C897" s="115">
        <v>97.001000000000005</v>
      </c>
      <c r="D897" s="115">
        <v>98.429699999999997</v>
      </c>
      <c r="E897" s="115" t="s">
        <v>625</v>
      </c>
      <c r="F897" s="115" t="s">
        <v>625</v>
      </c>
      <c r="G897" s="121" t="s">
        <v>625</v>
      </c>
      <c r="H897" s="115" t="e">
        <v>#N/A</v>
      </c>
      <c r="I897" s="118" t="s">
        <v>625</v>
      </c>
    </row>
    <row r="898" spans="1:9">
      <c r="A898" s="114">
        <v>40694</v>
      </c>
      <c r="B898" s="115">
        <v>98.54</v>
      </c>
      <c r="C898" s="115">
        <v>97.004300000000001</v>
      </c>
      <c r="D898" s="115">
        <v>98.433199999999999</v>
      </c>
      <c r="E898" s="115" t="s">
        <v>625</v>
      </c>
      <c r="F898" s="115" t="s">
        <v>625</v>
      </c>
      <c r="G898" s="121" t="s">
        <v>625</v>
      </c>
      <c r="H898" s="115" t="e">
        <v>#N/A</v>
      </c>
      <c r="I898" s="118" t="s">
        <v>625</v>
      </c>
    </row>
    <row r="899" spans="1:9">
      <c r="A899" s="114">
        <v>40695</v>
      </c>
      <c r="B899" s="115">
        <v>98.54</v>
      </c>
      <c r="C899" s="115">
        <v>97.002600000000001</v>
      </c>
      <c r="D899" s="115">
        <v>98.351299999999995</v>
      </c>
      <c r="E899" s="115" t="s">
        <v>625</v>
      </c>
      <c r="F899" s="115" t="s">
        <v>625</v>
      </c>
      <c r="G899" s="121" t="s">
        <v>625</v>
      </c>
      <c r="H899" s="115" t="e">
        <v>#N/A</v>
      </c>
      <c r="I899" s="118" t="s">
        <v>625</v>
      </c>
    </row>
    <row r="900" spans="1:9">
      <c r="A900" s="114">
        <v>40696</v>
      </c>
      <c r="B900" s="115">
        <v>98.54</v>
      </c>
      <c r="C900" s="115">
        <v>96.901700000000005</v>
      </c>
      <c r="D900" s="115">
        <v>98.350499999999997</v>
      </c>
      <c r="E900" s="115" t="s">
        <v>625</v>
      </c>
      <c r="F900" s="115" t="s">
        <v>625</v>
      </c>
      <c r="G900" s="121" t="s">
        <v>625</v>
      </c>
      <c r="H900" s="115" t="e">
        <v>#N/A</v>
      </c>
      <c r="I900" s="118" t="s">
        <v>625</v>
      </c>
    </row>
    <row r="901" spans="1:9">
      <c r="A901" s="114">
        <v>40697</v>
      </c>
      <c r="B901" s="115">
        <v>98.54</v>
      </c>
      <c r="C901" s="115">
        <v>96.803600000000003</v>
      </c>
      <c r="D901" s="115">
        <v>98.348299999999995</v>
      </c>
      <c r="E901" s="115" t="s">
        <v>625</v>
      </c>
      <c r="F901" s="115" t="s">
        <v>625</v>
      </c>
      <c r="G901" s="121" t="s">
        <v>625</v>
      </c>
      <c r="H901" s="115" t="e">
        <v>#N/A</v>
      </c>
      <c r="I901" s="118" t="s">
        <v>625</v>
      </c>
    </row>
    <row r="902" spans="1:9">
      <c r="A902" s="114">
        <v>40701</v>
      </c>
      <c r="B902" s="115">
        <v>98.54</v>
      </c>
      <c r="C902" s="115">
        <v>97.002200000000002</v>
      </c>
      <c r="D902" s="115">
        <v>98.350899999999996</v>
      </c>
      <c r="E902" s="115" t="s">
        <v>625</v>
      </c>
      <c r="F902" s="115" t="s">
        <v>625</v>
      </c>
      <c r="G902" s="121" t="s">
        <v>625</v>
      </c>
      <c r="H902" s="115" t="e">
        <v>#N/A</v>
      </c>
      <c r="I902" s="118" t="s">
        <v>625</v>
      </c>
    </row>
    <row r="903" spans="1:9">
      <c r="A903" s="114">
        <v>40702</v>
      </c>
      <c r="B903" s="115">
        <v>98.54</v>
      </c>
      <c r="C903" s="115">
        <v>100.0047</v>
      </c>
      <c r="D903" s="115">
        <v>98.292699999999996</v>
      </c>
      <c r="E903" s="115" t="s">
        <v>625</v>
      </c>
      <c r="F903" s="115" t="s">
        <v>625</v>
      </c>
      <c r="G903" s="121" t="s">
        <v>625</v>
      </c>
      <c r="H903" s="115" t="e">
        <v>#N/A</v>
      </c>
      <c r="I903" s="118" t="s">
        <v>625</v>
      </c>
    </row>
    <row r="904" spans="1:9">
      <c r="A904" s="114">
        <v>40703</v>
      </c>
      <c r="B904" s="115">
        <v>98.54</v>
      </c>
      <c r="C904" s="115">
        <v>96.804299999999998</v>
      </c>
      <c r="D904" s="115">
        <v>98.253100000000003</v>
      </c>
      <c r="E904" s="115" t="s">
        <v>625</v>
      </c>
      <c r="F904" s="115" t="s">
        <v>625</v>
      </c>
      <c r="G904" s="121" t="s">
        <v>625</v>
      </c>
      <c r="H904" s="115" t="e">
        <v>#N/A</v>
      </c>
      <c r="I904" s="118" t="s">
        <v>625</v>
      </c>
    </row>
    <row r="905" spans="1:9">
      <c r="A905" s="114">
        <v>40704</v>
      </c>
      <c r="B905" s="115">
        <v>98.54</v>
      </c>
      <c r="C905" s="115">
        <v>96.813199999999995</v>
      </c>
      <c r="D905" s="115">
        <v>98.219300000000004</v>
      </c>
      <c r="E905" s="115" t="s">
        <v>625</v>
      </c>
      <c r="F905" s="115" t="s">
        <v>625</v>
      </c>
      <c r="G905" s="121" t="s">
        <v>625</v>
      </c>
      <c r="H905" s="115" t="e">
        <v>#N/A</v>
      </c>
      <c r="I905" s="118" t="s">
        <v>625</v>
      </c>
    </row>
    <row r="906" spans="1:9">
      <c r="A906" s="114">
        <v>40707</v>
      </c>
      <c r="B906" s="115">
        <v>98.54</v>
      </c>
      <c r="C906" s="115">
        <v>96.804400000000001</v>
      </c>
      <c r="D906" s="115">
        <v>98.1631</v>
      </c>
      <c r="E906" s="115" t="s">
        <v>625</v>
      </c>
      <c r="F906" s="115" t="s">
        <v>625</v>
      </c>
      <c r="G906" s="121" t="s">
        <v>625</v>
      </c>
      <c r="H906" s="115" t="e">
        <v>#N/A</v>
      </c>
      <c r="I906" s="118" t="s">
        <v>625</v>
      </c>
    </row>
    <row r="907" spans="1:9">
      <c r="A907" s="114">
        <v>40708</v>
      </c>
      <c r="B907" s="115">
        <v>98.54</v>
      </c>
      <c r="C907" s="115">
        <v>96.928899999999999</v>
      </c>
      <c r="D907" s="115">
        <v>98.022300000000001</v>
      </c>
      <c r="E907" s="115" t="s">
        <v>625</v>
      </c>
      <c r="F907" s="115" t="s">
        <v>625</v>
      </c>
      <c r="G907" s="121" t="s">
        <v>625</v>
      </c>
      <c r="H907" s="115" t="e">
        <v>#N/A</v>
      </c>
      <c r="I907" s="118" t="s">
        <v>625</v>
      </c>
    </row>
    <row r="908" spans="1:9">
      <c r="A908" s="114">
        <v>40709</v>
      </c>
      <c r="B908" s="115">
        <v>98.54</v>
      </c>
      <c r="C908" s="115">
        <v>96.5047</v>
      </c>
      <c r="D908" s="115">
        <v>97.903599999999997</v>
      </c>
      <c r="E908" s="115" t="s">
        <v>625</v>
      </c>
      <c r="F908" s="115" t="s">
        <v>625</v>
      </c>
      <c r="G908" s="121" t="s">
        <v>625</v>
      </c>
      <c r="H908" s="115" t="e">
        <v>#N/A</v>
      </c>
      <c r="I908" s="118" t="s">
        <v>625</v>
      </c>
    </row>
    <row r="909" spans="1:9">
      <c r="A909" s="114">
        <v>40710</v>
      </c>
      <c r="B909" s="115">
        <v>98.54</v>
      </c>
      <c r="C909" s="115">
        <v>96.214500000000001</v>
      </c>
      <c r="D909" s="115">
        <v>97.683599999999998</v>
      </c>
      <c r="E909" s="115" t="s">
        <v>625</v>
      </c>
      <c r="F909" s="115" t="s">
        <v>625</v>
      </c>
      <c r="G909" s="121" t="s">
        <v>625</v>
      </c>
      <c r="H909" s="115" t="e">
        <v>#N/A</v>
      </c>
      <c r="I909" s="118" t="s">
        <v>625</v>
      </c>
    </row>
    <row r="910" spans="1:9">
      <c r="A910" s="114">
        <v>40711</v>
      </c>
      <c r="B910" s="115">
        <v>98.54</v>
      </c>
      <c r="C910" s="115">
        <v>96.514399999999995</v>
      </c>
      <c r="D910" s="115">
        <v>97.690600000000003</v>
      </c>
      <c r="E910" s="115" t="s">
        <v>625</v>
      </c>
      <c r="F910" s="115" t="s">
        <v>625</v>
      </c>
      <c r="G910" s="121" t="s">
        <v>625</v>
      </c>
      <c r="H910" s="115" t="e">
        <v>#N/A</v>
      </c>
      <c r="I910" s="118" t="s">
        <v>625</v>
      </c>
    </row>
    <row r="911" spans="1:9">
      <c r="A911" s="114">
        <v>40714</v>
      </c>
      <c r="B911" s="115">
        <v>98.54</v>
      </c>
      <c r="C911" s="115">
        <v>96.513400000000004</v>
      </c>
      <c r="D911" s="115">
        <v>97.611400000000003</v>
      </c>
      <c r="E911" s="115" t="s">
        <v>625</v>
      </c>
      <c r="F911" s="115" t="s">
        <v>625</v>
      </c>
      <c r="G911" s="121" t="s">
        <v>625</v>
      </c>
      <c r="H911" s="115" t="e">
        <v>#N/A</v>
      </c>
      <c r="I911" s="118" t="s">
        <v>625</v>
      </c>
    </row>
    <row r="912" spans="1:9">
      <c r="A912" s="114">
        <v>40715</v>
      </c>
      <c r="B912" s="115">
        <v>98.54</v>
      </c>
      <c r="C912" s="115">
        <v>96.671099999999996</v>
      </c>
      <c r="D912" s="115">
        <v>97.831999999999994</v>
      </c>
      <c r="E912" s="115" t="s">
        <v>625</v>
      </c>
      <c r="F912" s="115" t="s">
        <v>625</v>
      </c>
      <c r="G912" s="121" t="s">
        <v>625</v>
      </c>
      <c r="H912" s="115" t="e">
        <v>#N/A</v>
      </c>
      <c r="I912" s="118" t="s">
        <v>625</v>
      </c>
    </row>
    <row r="913" spans="1:9">
      <c r="A913" s="114">
        <v>40716</v>
      </c>
      <c r="B913" s="115">
        <v>98.54</v>
      </c>
      <c r="C913" s="115">
        <v>96.514700000000005</v>
      </c>
      <c r="D913" s="115">
        <v>97.813599999999994</v>
      </c>
      <c r="E913" s="115" t="s">
        <v>625</v>
      </c>
      <c r="F913" s="115" t="s">
        <v>625</v>
      </c>
      <c r="G913" s="121" t="s">
        <v>625</v>
      </c>
      <c r="H913" s="115" t="e">
        <v>#N/A</v>
      </c>
      <c r="I913" s="118" t="s">
        <v>625</v>
      </c>
    </row>
    <row r="914" spans="1:9">
      <c r="A914" s="114">
        <v>40717</v>
      </c>
      <c r="B914" s="115">
        <v>98.54</v>
      </c>
      <c r="C914" s="115">
        <v>97.270300000000006</v>
      </c>
      <c r="D914" s="115">
        <v>97.812700000000007</v>
      </c>
      <c r="E914" s="115" t="s">
        <v>625</v>
      </c>
      <c r="F914" s="115" t="s">
        <v>625</v>
      </c>
      <c r="G914" s="121" t="s">
        <v>625</v>
      </c>
      <c r="H914" s="115" t="e">
        <v>#N/A</v>
      </c>
      <c r="I914" s="118" t="s">
        <v>625</v>
      </c>
    </row>
    <row r="915" spans="1:9">
      <c r="A915" s="114">
        <v>40718</v>
      </c>
      <c r="B915" s="115">
        <v>98.54</v>
      </c>
      <c r="C915" s="115">
        <v>96.039000000000001</v>
      </c>
      <c r="D915" s="115">
        <v>97.885900000000007</v>
      </c>
      <c r="E915" s="115" t="s">
        <v>625</v>
      </c>
      <c r="F915" s="115" t="s">
        <v>625</v>
      </c>
      <c r="G915" s="121" t="s">
        <v>625</v>
      </c>
      <c r="H915" s="115" t="e">
        <v>#N/A</v>
      </c>
      <c r="I915" s="118" t="s">
        <v>625</v>
      </c>
    </row>
    <row r="916" spans="1:9">
      <c r="A916" s="114">
        <v>40721</v>
      </c>
      <c r="B916" s="115">
        <v>98.54</v>
      </c>
      <c r="C916" s="115">
        <v>96.010499999999993</v>
      </c>
      <c r="D916" s="115">
        <v>98.129400000000004</v>
      </c>
      <c r="E916" s="115" t="s">
        <v>625</v>
      </c>
      <c r="F916" s="115" t="s">
        <v>625</v>
      </c>
      <c r="G916" s="121" t="s">
        <v>625</v>
      </c>
      <c r="H916" s="115" t="e">
        <v>#N/A</v>
      </c>
      <c r="I916" s="118" t="s">
        <v>625</v>
      </c>
    </row>
    <row r="917" spans="1:9">
      <c r="A917" s="114">
        <v>40722</v>
      </c>
      <c r="B917" s="115">
        <v>98.54</v>
      </c>
      <c r="C917" s="115">
        <v>96.818100000000001</v>
      </c>
      <c r="D917" s="115">
        <v>98.186400000000006</v>
      </c>
      <c r="E917" s="115" t="s">
        <v>625</v>
      </c>
      <c r="F917" s="115" t="s">
        <v>625</v>
      </c>
      <c r="G917" s="121" t="s">
        <v>625</v>
      </c>
      <c r="H917" s="115" t="e">
        <v>#N/A</v>
      </c>
      <c r="I917" s="118" t="s">
        <v>625</v>
      </c>
    </row>
    <row r="918" spans="1:9">
      <c r="A918" s="114">
        <v>40723</v>
      </c>
      <c r="B918" s="115">
        <v>98.54</v>
      </c>
      <c r="C918" s="115">
        <v>96.5077</v>
      </c>
      <c r="D918" s="115">
        <v>98.186599999999999</v>
      </c>
      <c r="E918" s="115" t="s">
        <v>625</v>
      </c>
      <c r="F918" s="115" t="s">
        <v>625</v>
      </c>
      <c r="G918" s="121" t="s">
        <v>625</v>
      </c>
      <c r="H918" s="115" t="e">
        <v>#N/A</v>
      </c>
      <c r="I918" s="118" t="s">
        <v>625</v>
      </c>
    </row>
    <row r="919" spans="1:9">
      <c r="A919" s="114">
        <v>40724</v>
      </c>
      <c r="B919" s="115">
        <v>98.54</v>
      </c>
      <c r="C919" s="115">
        <v>96.507599999999996</v>
      </c>
      <c r="D919" s="115">
        <v>98.186400000000006</v>
      </c>
      <c r="E919" s="115" t="s">
        <v>625</v>
      </c>
      <c r="F919" s="115" t="s">
        <v>625</v>
      </c>
      <c r="G919" s="121" t="s">
        <v>625</v>
      </c>
      <c r="H919" s="115" t="e">
        <v>#N/A</v>
      </c>
      <c r="I919" s="118" t="s">
        <v>625</v>
      </c>
    </row>
    <row r="920" spans="1:9">
      <c r="A920" s="114">
        <v>40725</v>
      </c>
      <c r="B920" s="115">
        <v>98.54</v>
      </c>
      <c r="C920" s="115">
        <v>96.520499999999998</v>
      </c>
      <c r="D920" s="115">
        <v>98.126900000000006</v>
      </c>
      <c r="E920" s="115" t="s">
        <v>625</v>
      </c>
      <c r="F920" s="115" t="s">
        <v>625</v>
      </c>
      <c r="G920" s="121" t="s">
        <v>625</v>
      </c>
      <c r="H920" s="115" t="e">
        <v>#N/A</v>
      </c>
      <c r="I920" s="118" t="s">
        <v>625</v>
      </c>
    </row>
    <row r="921" spans="1:9">
      <c r="A921" s="114">
        <v>40728</v>
      </c>
      <c r="B921" s="115">
        <v>98.54</v>
      </c>
      <c r="C921" s="115">
        <v>96.501800000000003</v>
      </c>
      <c r="D921" s="115">
        <v>98.110500000000002</v>
      </c>
      <c r="E921" s="115" t="s">
        <v>625</v>
      </c>
      <c r="F921" s="115" t="s">
        <v>625</v>
      </c>
      <c r="G921" s="121" t="s">
        <v>625</v>
      </c>
      <c r="H921" s="115" t="e">
        <v>#N/A</v>
      </c>
      <c r="I921" s="118" t="s">
        <v>625</v>
      </c>
    </row>
    <row r="922" spans="1:9">
      <c r="A922" s="114">
        <v>40729</v>
      </c>
      <c r="B922" s="115">
        <v>98.54</v>
      </c>
      <c r="C922" s="115">
        <v>96.5</v>
      </c>
      <c r="D922" s="115">
        <v>98.128799999999998</v>
      </c>
      <c r="E922" s="115" t="s">
        <v>625</v>
      </c>
      <c r="F922" s="115" t="s">
        <v>625</v>
      </c>
      <c r="G922" s="121" t="s">
        <v>625</v>
      </c>
      <c r="H922" s="115" t="e">
        <v>#N/A</v>
      </c>
      <c r="I922" s="118" t="s">
        <v>625</v>
      </c>
    </row>
    <row r="923" spans="1:9">
      <c r="A923" s="114">
        <v>40730</v>
      </c>
      <c r="B923" s="115">
        <v>98.54</v>
      </c>
      <c r="C923" s="115">
        <v>96.509100000000004</v>
      </c>
      <c r="D923" s="115">
        <v>98.137900000000002</v>
      </c>
      <c r="E923" s="115" t="s">
        <v>625</v>
      </c>
      <c r="F923" s="115" t="s">
        <v>625</v>
      </c>
      <c r="G923" s="121" t="s">
        <v>625</v>
      </c>
      <c r="H923" s="115" t="e">
        <v>#N/A</v>
      </c>
      <c r="I923" s="118" t="s">
        <v>625</v>
      </c>
    </row>
    <row r="924" spans="1:9">
      <c r="A924" s="114">
        <v>40731</v>
      </c>
      <c r="B924" s="115">
        <v>98.54</v>
      </c>
      <c r="C924" s="115">
        <v>96.507099999999994</v>
      </c>
      <c r="D924" s="115">
        <v>98.135900000000007</v>
      </c>
      <c r="E924" s="115" t="s">
        <v>625</v>
      </c>
      <c r="F924" s="115" t="s">
        <v>625</v>
      </c>
      <c r="G924" s="121" t="s">
        <v>625</v>
      </c>
      <c r="H924" s="115" t="e">
        <v>#N/A</v>
      </c>
      <c r="I924" s="118" t="s">
        <v>625</v>
      </c>
    </row>
    <row r="925" spans="1:9">
      <c r="A925" s="114">
        <v>40732</v>
      </c>
      <c r="B925" s="115">
        <v>98.54</v>
      </c>
      <c r="C925" s="115">
        <v>96.5</v>
      </c>
      <c r="D925" s="115">
        <v>98.119299999999996</v>
      </c>
      <c r="E925" s="115" t="s">
        <v>625</v>
      </c>
      <c r="F925" s="115" t="s">
        <v>625</v>
      </c>
      <c r="G925" s="121" t="s">
        <v>625</v>
      </c>
      <c r="H925" s="115" t="e">
        <v>#N/A</v>
      </c>
      <c r="I925" s="118" t="s">
        <v>625</v>
      </c>
    </row>
    <row r="926" spans="1:9">
      <c r="A926" s="114">
        <v>40735</v>
      </c>
      <c r="B926" s="115">
        <v>98.54</v>
      </c>
      <c r="C926" s="115">
        <v>96.504999999999995</v>
      </c>
      <c r="D926" s="115">
        <v>97.903700000000001</v>
      </c>
      <c r="E926" s="115" t="s">
        <v>625</v>
      </c>
      <c r="F926" s="115" t="s">
        <v>625</v>
      </c>
      <c r="G926" s="121" t="s">
        <v>625</v>
      </c>
      <c r="H926" s="115" t="e">
        <v>#N/A</v>
      </c>
      <c r="I926" s="118" t="s">
        <v>625</v>
      </c>
    </row>
    <row r="927" spans="1:9">
      <c r="A927" s="114">
        <v>40736</v>
      </c>
      <c r="B927" s="115">
        <v>98.54</v>
      </c>
      <c r="C927" s="115">
        <v>96.442499999999995</v>
      </c>
      <c r="D927" s="115">
        <v>97.599299999999999</v>
      </c>
      <c r="E927" s="115" t="s">
        <v>625</v>
      </c>
      <c r="F927" s="115" t="s">
        <v>625</v>
      </c>
      <c r="G927" s="121" t="s">
        <v>625</v>
      </c>
      <c r="H927" s="115" t="e">
        <v>#N/A</v>
      </c>
      <c r="I927" s="118" t="s">
        <v>625</v>
      </c>
    </row>
    <row r="928" spans="1:9">
      <c r="A928" s="114">
        <v>40737</v>
      </c>
      <c r="B928" s="115">
        <v>98.54</v>
      </c>
      <c r="C928" s="115">
        <v>96.445300000000003</v>
      </c>
      <c r="D928" s="115">
        <v>97.552099999999996</v>
      </c>
      <c r="E928" s="115" t="s">
        <v>625</v>
      </c>
      <c r="F928" s="115" t="s">
        <v>625</v>
      </c>
      <c r="G928" s="121" t="s">
        <v>625</v>
      </c>
      <c r="H928" s="115" t="e">
        <v>#N/A</v>
      </c>
      <c r="I928" s="118" t="s">
        <v>625</v>
      </c>
    </row>
    <row r="929" spans="1:9">
      <c r="A929" s="114">
        <v>40738</v>
      </c>
      <c r="B929" s="115">
        <v>98.54</v>
      </c>
      <c r="C929" s="115">
        <v>96.505600000000001</v>
      </c>
      <c r="D929" s="115">
        <v>97.503900000000002</v>
      </c>
      <c r="E929" s="115" t="s">
        <v>625</v>
      </c>
      <c r="F929" s="115" t="s">
        <v>625</v>
      </c>
      <c r="G929" s="121" t="s">
        <v>625</v>
      </c>
      <c r="H929" s="115" t="e">
        <v>#N/A</v>
      </c>
      <c r="I929" s="118" t="s">
        <v>625</v>
      </c>
    </row>
    <row r="930" spans="1:9">
      <c r="A930" s="114">
        <v>40739</v>
      </c>
      <c r="B930" s="115">
        <v>98.54</v>
      </c>
      <c r="C930" s="115">
        <v>96.513499999999993</v>
      </c>
      <c r="D930" s="115">
        <v>97.479500000000002</v>
      </c>
      <c r="E930" s="115" t="s">
        <v>625</v>
      </c>
      <c r="F930" s="115" t="s">
        <v>625</v>
      </c>
      <c r="G930" s="121" t="s">
        <v>625</v>
      </c>
      <c r="H930" s="115" t="e">
        <v>#N/A</v>
      </c>
      <c r="I930" s="118" t="s">
        <v>625</v>
      </c>
    </row>
    <row r="931" spans="1:9">
      <c r="A931" s="114">
        <v>40742</v>
      </c>
      <c r="B931" s="115">
        <v>98.54</v>
      </c>
      <c r="C931" s="115">
        <v>96.303799999999995</v>
      </c>
      <c r="D931" s="115">
        <v>97.472499999999997</v>
      </c>
      <c r="E931" s="115" t="s">
        <v>625</v>
      </c>
      <c r="F931" s="115" t="s">
        <v>625</v>
      </c>
      <c r="G931" s="121" t="s">
        <v>625</v>
      </c>
      <c r="H931" s="115" t="e">
        <v>#N/A</v>
      </c>
      <c r="I931" s="118" t="s">
        <v>625</v>
      </c>
    </row>
    <row r="932" spans="1:9">
      <c r="A932" s="114">
        <v>40743</v>
      </c>
      <c r="B932" s="115">
        <v>98.54</v>
      </c>
      <c r="C932" s="115">
        <v>96.305800000000005</v>
      </c>
      <c r="D932" s="115">
        <v>97.424499999999995</v>
      </c>
      <c r="E932" s="115" t="s">
        <v>625</v>
      </c>
      <c r="F932" s="115" t="s">
        <v>625</v>
      </c>
      <c r="G932" s="121" t="s">
        <v>625</v>
      </c>
      <c r="H932" s="115" t="e">
        <v>#N/A</v>
      </c>
      <c r="I932" s="118" t="s">
        <v>625</v>
      </c>
    </row>
    <row r="933" spans="1:9">
      <c r="A933" s="114">
        <v>40744</v>
      </c>
      <c r="B933" s="115">
        <v>98.54</v>
      </c>
      <c r="C933" s="115">
        <v>97.471400000000003</v>
      </c>
      <c r="D933" s="115">
        <v>97.205399999999997</v>
      </c>
      <c r="E933" s="115" t="s">
        <v>625</v>
      </c>
      <c r="F933" s="115" t="s">
        <v>625</v>
      </c>
      <c r="G933" s="121" t="s">
        <v>625</v>
      </c>
      <c r="H933" s="115" t="e">
        <v>#N/A</v>
      </c>
      <c r="I933" s="118" t="s">
        <v>625</v>
      </c>
    </row>
    <row r="934" spans="1:9">
      <c r="A934" s="114">
        <v>40745</v>
      </c>
      <c r="B934" s="115">
        <v>98.54</v>
      </c>
      <c r="C934" s="115">
        <v>96.308599999999998</v>
      </c>
      <c r="D934" s="115">
        <v>96.707300000000004</v>
      </c>
      <c r="E934" s="115" t="s">
        <v>625</v>
      </c>
      <c r="F934" s="115" t="s">
        <v>625</v>
      </c>
      <c r="G934" s="121" t="s">
        <v>625</v>
      </c>
      <c r="H934" s="115" t="e">
        <v>#N/A</v>
      </c>
      <c r="I934" s="118" t="s">
        <v>625</v>
      </c>
    </row>
    <row r="935" spans="1:9">
      <c r="A935" s="114">
        <v>40746</v>
      </c>
      <c r="B935" s="115">
        <v>98.54</v>
      </c>
      <c r="C935" s="115">
        <v>96.324600000000004</v>
      </c>
      <c r="D935" s="115">
        <v>96.420400000000001</v>
      </c>
      <c r="E935" s="115" t="s">
        <v>625</v>
      </c>
      <c r="F935" s="115" t="s">
        <v>625</v>
      </c>
      <c r="G935" s="121" t="s">
        <v>625</v>
      </c>
      <c r="H935" s="115" t="e">
        <v>#N/A</v>
      </c>
      <c r="I935" s="118" t="s">
        <v>625</v>
      </c>
    </row>
    <row r="936" spans="1:9">
      <c r="A936" s="114">
        <v>40749</v>
      </c>
      <c r="B936" s="115">
        <v>98.54</v>
      </c>
      <c r="C936" s="115">
        <v>95.507800000000003</v>
      </c>
      <c r="D936" s="115">
        <v>96.406499999999994</v>
      </c>
      <c r="E936" s="115" t="s">
        <v>625</v>
      </c>
      <c r="F936" s="115" t="s">
        <v>625</v>
      </c>
      <c r="G936" s="121" t="s">
        <v>625</v>
      </c>
      <c r="H936" s="115" t="e">
        <v>#N/A</v>
      </c>
      <c r="I936" s="118" t="s">
        <v>625</v>
      </c>
    </row>
    <row r="937" spans="1:9">
      <c r="A937" s="114">
        <v>40750</v>
      </c>
      <c r="B937" s="115">
        <v>98.54</v>
      </c>
      <c r="C937" s="115">
        <v>95.506399999999999</v>
      </c>
      <c r="D937" s="115">
        <v>96.804599999999994</v>
      </c>
      <c r="E937" s="115" t="s">
        <v>625</v>
      </c>
      <c r="F937" s="115" t="s">
        <v>625</v>
      </c>
      <c r="G937" s="121" t="s">
        <v>625</v>
      </c>
      <c r="H937" s="115" t="e">
        <v>#N/A</v>
      </c>
      <c r="I937" s="118" t="s">
        <v>625</v>
      </c>
    </row>
    <row r="938" spans="1:9">
      <c r="A938" s="114">
        <v>40751</v>
      </c>
      <c r="B938" s="115">
        <v>98.54</v>
      </c>
      <c r="C938" s="115">
        <v>95.505200000000002</v>
      </c>
      <c r="D938" s="115">
        <v>96.803399999999996</v>
      </c>
      <c r="E938" s="115" t="s">
        <v>625</v>
      </c>
      <c r="F938" s="115" t="s">
        <v>625</v>
      </c>
      <c r="G938" s="121" t="s">
        <v>625</v>
      </c>
      <c r="H938" s="115" t="e">
        <v>#N/A</v>
      </c>
      <c r="I938" s="118" t="s">
        <v>625</v>
      </c>
    </row>
    <row r="939" spans="1:9">
      <c r="A939" s="114">
        <v>40752</v>
      </c>
      <c r="B939" s="115">
        <v>98.54</v>
      </c>
      <c r="C939" s="115">
        <v>95.503799999999998</v>
      </c>
      <c r="D939" s="115">
        <v>96.902000000000001</v>
      </c>
      <c r="E939" s="115" t="s">
        <v>625</v>
      </c>
      <c r="F939" s="115" t="s">
        <v>625</v>
      </c>
      <c r="G939" s="121" t="s">
        <v>625</v>
      </c>
      <c r="H939" s="115" t="e">
        <v>#N/A</v>
      </c>
      <c r="I939" s="118" t="s">
        <v>625</v>
      </c>
    </row>
    <row r="940" spans="1:9">
      <c r="A940" s="114">
        <v>40753</v>
      </c>
      <c r="B940" s="115">
        <v>98.54</v>
      </c>
      <c r="C940" s="115">
        <v>95.510400000000004</v>
      </c>
      <c r="D940" s="115">
        <v>96.904700000000005</v>
      </c>
      <c r="E940" s="115" t="s">
        <v>625</v>
      </c>
      <c r="F940" s="115" t="s">
        <v>625</v>
      </c>
      <c r="G940" s="121" t="s">
        <v>625</v>
      </c>
      <c r="H940" s="115" t="e">
        <v>#N/A</v>
      </c>
      <c r="I940" s="118" t="s">
        <v>625</v>
      </c>
    </row>
    <row r="941" spans="1:9">
      <c r="A941" s="114">
        <v>40756</v>
      </c>
      <c r="B941" s="115">
        <v>98.54</v>
      </c>
      <c r="C941" s="115">
        <v>95.602199999999996</v>
      </c>
      <c r="D941" s="115">
        <v>95.500799999999998</v>
      </c>
      <c r="E941" s="115" t="s">
        <v>625</v>
      </c>
      <c r="F941" s="115" t="s">
        <v>625</v>
      </c>
      <c r="G941" s="121" t="s">
        <v>625</v>
      </c>
      <c r="H941" s="115" t="e">
        <v>#N/A</v>
      </c>
      <c r="I941" s="118" t="s">
        <v>625</v>
      </c>
    </row>
    <row r="942" spans="1:9">
      <c r="A942" s="114">
        <v>40757</v>
      </c>
      <c r="B942" s="115">
        <v>98.54</v>
      </c>
      <c r="C942" s="115">
        <v>95.912499999999994</v>
      </c>
      <c r="D942" s="115">
        <v>96.999799999999993</v>
      </c>
      <c r="E942" s="115" t="s">
        <v>625</v>
      </c>
      <c r="F942" s="115" t="s">
        <v>625</v>
      </c>
      <c r="G942" s="121" t="s">
        <v>625</v>
      </c>
      <c r="H942" s="115" t="e">
        <v>#N/A</v>
      </c>
      <c r="I942" s="118" t="s">
        <v>625</v>
      </c>
    </row>
    <row r="943" spans="1:9">
      <c r="A943" s="114">
        <v>40758</v>
      </c>
      <c r="B943" s="115">
        <v>98.54</v>
      </c>
      <c r="C943" s="115">
        <v>96.658299999999997</v>
      </c>
      <c r="D943" s="115">
        <v>97.099699999999999</v>
      </c>
      <c r="E943" s="115" t="s">
        <v>625</v>
      </c>
      <c r="F943" s="115" t="s">
        <v>625</v>
      </c>
      <c r="G943" s="121" t="s">
        <v>625</v>
      </c>
      <c r="H943" s="115" t="e">
        <v>#N/A</v>
      </c>
      <c r="I943" s="118" t="s">
        <v>625</v>
      </c>
    </row>
    <row r="944" spans="1:9">
      <c r="A944" s="114">
        <v>40759</v>
      </c>
      <c r="B944" s="115">
        <v>98.54</v>
      </c>
      <c r="C944" s="115">
        <v>96.6601</v>
      </c>
      <c r="D944" s="115">
        <v>96.649799999999999</v>
      </c>
      <c r="E944" s="115" t="s">
        <v>625</v>
      </c>
      <c r="F944" s="115" t="s">
        <v>625</v>
      </c>
      <c r="G944" s="121" t="s">
        <v>625</v>
      </c>
      <c r="H944" s="115" t="e">
        <v>#N/A</v>
      </c>
      <c r="I944" s="118" t="s">
        <v>625</v>
      </c>
    </row>
    <row r="945" spans="1:9">
      <c r="A945" s="114">
        <v>40760</v>
      </c>
      <c r="B945" s="115">
        <v>98.54</v>
      </c>
      <c r="C945" s="115">
        <v>96.665499999999994</v>
      </c>
      <c r="D945" s="115">
        <v>96.649199999999993</v>
      </c>
      <c r="E945" s="115" t="s">
        <v>625</v>
      </c>
      <c r="F945" s="115" t="s">
        <v>625</v>
      </c>
      <c r="G945" s="121" t="s">
        <v>625</v>
      </c>
      <c r="H945" s="115" t="e">
        <v>#N/A</v>
      </c>
      <c r="I945" s="118" t="s">
        <v>625</v>
      </c>
    </row>
    <row r="946" spans="1:9">
      <c r="A946" s="114">
        <v>40763</v>
      </c>
      <c r="B946" s="115">
        <v>98.54</v>
      </c>
      <c r="C946" s="115">
        <v>96.667100000000005</v>
      </c>
      <c r="D946" s="115">
        <v>96.899500000000003</v>
      </c>
      <c r="E946" s="115" t="s">
        <v>625</v>
      </c>
      <c r="F946" s="115" t="s">
        <v>625</v>
      </c>
      <c r="G946" s="121" t="s">
        <v>625</v>
      </c>
      <c r="H946" s="115" t="e">
        <v>#N/A</v>
      </c>
      <c r="I946" s="118" t="s">
        <v>625</v>
      </c>
    </row>
    <row r="947" spans="1:9">
      <c r="A947" s="114">
        <v>40764</v>
      </c>
      <c r="B947" s="115">
        <v>98.54</v>
      </c>
      <c r="C947" s="115">
        <v>96.668700000000001</v>
      </c>
      <c r="D947" s="115">
        <v>96.899500000000003</v>
      </c>
      <c r="E947" s="115" t="s">
        <v>625</v>
      </c>
      <c r="F947" s="115" t="s">
        <v>625</v>
      </c>
      <c r="G947" s="121" t="s">
        <v>625</v>
      </c>
      <c r="H947" s="115" t="e">
        <v>#N/A</v>
      </c>
      <c r="I947" s="118" t="s">
        <v>625</v>
      </c>
    </row>
    <row r="948" spans="1:9">
      <c r="A948" s="114">
        <v>40765</v>
      </c>
      <c r="B948" s="115">
        <v>98.54</v>
      </c>
      <c r="C948" s="115">
        <v>96.671099999999996</v>
      </c>
      <c r="D948" s="115">
        <v>96.900400000000005</v>
      </c>
      <c r="E948" s="115" t="s">
        <v>625</v>
      </c>
      <c r="F948" s="115" t="s">
        <v>625</v>
      </c>
      <c r="G948" s="121" t="s">
        <v>625</v>
      </c>
      <c r="H948" s="115" t="e">
        <v>#N/A</v>
      </c>
      <c r="I948" s="118" t="s">
        <v>625</v>
      </c>
    </row>
    <row r="949" spans="1:9">
      <c r="A949" s="114">
        <v>40766</v>
      </c>
      <c r="B949" s="115">
        <v>98.54</v>
      </c>
      <c r="C949" s="115">
        <v>96.672799999999995</v>
      </c>
      <c r="D949" s="115">
        <v>96.699600000000004</v>
      </c>
      <c r="E949" s="115" t="s">
        <v>625</v>
      </c>
      <c r="F949" s="115" t="s">
        <v>625</v>
      </c>
      <c r="G949" s="121" t="s">
        <v>625</v>
      </c>
      <c r="H949" s="115" t="e">
        <v>#N/A</v>
      </c>
      <c r="I949" s="118" t="s">
        <v>625</v>
      </c>
    </row>
    <row r="950" spans="1:9">
      <c r="A950" s="114">
        <v>40767</v>
      </c>
      <c r="B950" s="115">
        <v>98.54</v>
      </c>
      <c r="C950" s="115">
        <v>96.678100000000001</v>
      </c>
      <c r="D950" s="115">
        <v>96.899100000000004</v>
      </c>
      <c r="E950" s="115" t="s">
        <v>625</v>
      </c>
      <c r="F950" s="115" t="s">
        <v>625</v>
      </c>
      <c r="G950" s="121" t="s">
        <v>625</v>
      </c>
      <c r="H950" s="115" t="e">
        <v>#N/A</v>
      </c>
      <c r="I950" s="118" t="s">
        <v>625</v>
      </c>
    </row>
    <row r="951" spans="1:9">
      <c r="A951" s="114">
        <v>40770</v>
      </c>
      <c r="B951" s="115">
        <v>98.54</v>
      </c>
      <c r="C951" s="115">
        <v>96.678100000000001</v>
      </c>
      <c r="D951" s="115">
        <v>97.149900000000002</v>
      </c>
      <c r="E951" s="115" t="s">
        <v>625</v>
      </c>
      <c r="F951" s="115" t="s">
        <v>625</v>
      </c>
      <c r="G951" s="121" t="s">
        <v>625</v>
      </c>
      <c r="H951" s="115" t="e">
        <v>#N/A</v>
      </c>
      <c r="I951" s="118" t="s">
        <v>625</v>
      </c>
    </row>
    <row r="952" spans="1:9">
      <c r="A952" s="114">
        <v>40771</v>
      </c>
      <c r="B952" s="115">
        <v>98.54</v>
      </c>
      <c r="C952" s="115">
        <v>96.68</v>
      </c>
      <c r="D952" s="115">
        <v>97.150199999999998</v>
      </c>
      <c r="E952" s="115" t="s">
        <v>625</v>
      </c>
      <c r="F952" s="115" t="s">
        <v>625</v>
      </c>
      <c r="G952" s="121" t="s">
        <v>625</v>
      </c>
      <c r="H952" s="115" t="e">
        <v>#N/A</v>
      </c>
      <c r="I952" s="118" t="s">
        <v>625</v>
      </c>
    </row>
    <row r="953" spans="1:9">
      <c r="A953" s="114">
        <v>40772</v>
      </c>
      <c r="B953" s="115">
        <v>98.54</v>
      </c>
      <c r="C953" s="115">
        <v>96.684600000000003</v>
      </c>
      <c r="D953" s="115">
        <v>97.100800000000007</v>
      </c>
      <c r="E953" s="115" t="s">
        <v>625</v>
      </c>
      <c r="F953" s="115" t="s">
        <v>625</v>
      </c>
      <c r="G953" s="121" t="s">
        <v>625</v>
      </c>
      <c r="H953" s="115" t="e">
        <v>#N/A</v>
      </c>
      <c r="I953" s="118" t="s">
        <v>625</v>
      </c>
    </row>
    <row r="954" spans="1:9">
      <c r="A954" s="114">
        <v>40773</v>
      </c>
      <c r="B954" s="115">
        <v>98.54</v>
      </c>
      <c r="C954" s="115">
        <v>96.753699999999995</v>
      </c>
      <c r="D954" s="115">
        <v>97.201499999999996</v>
      </c>
      <c r="E954" s="115" t="s">
        <v>625</v>
      </c>
      <c r="F954" s="115" t="s">
        <v>625</v>
      </c>
      <c r="G954" s="121" t="s">
        <v>625</v>
      </c>
      <c r="H954" s="115" t="e">
        <v>#N/A</v>
      </c>
      <c r="I954" s="118" t="s">
        <v>625</v>
      </c>
    </row>
    <row r="955" spans="1:9">
      <c r="A955" s="114">
        <v>40774</v>
      </c>
      <c r="B955" s="115">
        <v>98.54</v>
      </c>
      <c r="C955" s="115">
        <v>96.763900000000007</v>
      </c>
      <c r="D955" s="115">
        <v>97.206000000000003</v>
      </c>
      <c r="E955" s="115" t="s">
        <v>625</v>
      </c>
      <c r="F955" s="115" t="s">
        <v>625</v>
      </c>
      <c r="G955" s="121" t="s">
        <v>625</v>
      </c>
      <c r="H955" s="115" t="e">
        <v>#N/A</v>
      </c>
      <c r="I955" s="118" t="s">
        <v>625</v>
      </c>
    </row>
    <row r="956" spans="1:9">
      <c r="A956" s="114">
        <v>40777</v>
      </c>
      <c r="B956" s="115">
        <v>98.54</v>
      </c>
      <c r="C956" s="115">
        <v>96.768199999999993</v>
      </c>
      <c r="D956" s="115">
        <v>97.203500000000005</v>
      </c>
      <c r="E956" s="115" t="s">
        <v>625</v>
      </c>
      <c r="F956" s="115" t="s">
        <v>625</v>
      </c>
      <c r="G956" s="121" t="s">
        <v>625</v>
      </c>
      <c r="H956" s="115" t="e">
        <v>#N/A</v>
      </c>
      <c r="I956" s="118" t="s">
        <v>625</v>
      </c>
    </row>
    <row r="957" spans="1:9">
      <c r="A957" s="114">
        <v>40778</v>
      </c>
      <c r="B957" s="115">
        <v>98.54</v>
      </c>
      <c r="C957" s="115">
        <v>96.773099999999999</v>
      </c>
      <c r="D957" s="115">
        <v>97.203699999999998</v>
      </c>
      <c r="E957" s="115" t="s">
        <v>625</v>
      </c>
      <c r="F957" s="115" t="s">
        <v>625</v>
      </c>
      <c r="G957" s="121" t="s">
        <v>625</v>
      </c>
      <c r="H957" s="115" t="e">
        <v>#N/A</v>
      </c>
      <c r="I957" s="118" t="s">
        <v>625</v>
      </c>
    </row>
    <row r="958" spans="1:9">
      <c r="A958" s="114">
        <v>40779</v>
      </c>
      <c r="B958" s="115">
        <v>98.54</v>
      </c>
      <c r="C958" s="115">
        <v>96.776700000000005</v>
      </c>
      <c r="D958" s="115">
        <v>97.202399999999997</v>
      </c>
      <c r="E958" s="115" t="s">
        <v>625</v>
      </c>
      <c r="F958" s="115" t="s">
        <v>625</v>
      </c>
      <c r="G958" s="121" t="s">
        <v>625</v>
      </c>
      <c r="H958" s="115" t="e">
        <v>#N/A</v>
      </c>
      <c r="I958" s="118" t="s">
        <v>625</v>
      </c>
    </row>
    <row r="959" spans="1:9">
      <c r="A959" s="114">
        <v>40780</v>
      </c>
      <c r="B959" s="115">
        <v>98.54</v>
      </c>
      <c r="C959" s="115">
        <v>96.003100000000003</v>
      </c>
      <c r="D959" s="115">
        <v>97.201800000000006</v>
      </c>
      <c r="E959" s="115" t="s">
        <v>625</v>
      </c>
      <c r="F959" s="115" t="s">
        <v>625</v>
      </c>
      <c r="G959" s="121" t="s">
        <v>625</v>
      </c>
      <c r="H959" s="115" t="e">
        <v>#N/A</v>
      </c>
      <c r="I959" s="118" t="s">
        <v>625</v>
      </c>
    </row>
    <row r="960" spans="1:9">
      <c r="A960" s="114">
        <v>40781</v>
      </c>
      <c r="B960" s="115">
        <v>98.54</v>
      </c>
      <c r="C960" s="115">
        <v>96.0107</v>
      </c>
      <c r="D960" s="115">
        <v>97.154399999999995</v>
      </c>
      <c r="E960" s="115" t="s">
        <v>625</v>
      </c>
      <c r="F960" s="115" t="s">
        <v>625</v>
      </c>
      <c r="G960" s="121" t="s">
        <v>625</v>
      </c>
      <c r="H960" s="115" t="e">
        <v>#N/A</v>
      </c>
      <c r="I960" s="118" t="s">
        <v>625</v>
      </c>
    </row>
    <row r="961" spans="1:9">
      <c r="A961" s="114">
        <v>40784</v>
      </c>
      <c r="B961" s="115">
        <v>98.54</v>
      </c>
      <c r="C961" s="115">
        <v>95.902299999999997</v>
      </c>
      <c r="D961" s="115">
        <v>97.101299999999995</v>
      </c>
      <c r="E961" s="115" t="s">
        <v>625</v>
      </c>
      <c r="F961" s="115" t="s">
        <v>625</v>
      </c>
      <c r="G961" s="121" t="s">
        <v>625</v>
      </c>
      <c r="H961" s="115" t="e">
        <v>#N/A</v>
      </c>
      <c r="I961" s="118" t="s">
        <v>625</v>
      </c>
    </row>
    <row r="962" spans="1:9">
      <c r="A962" s="114">
        <v>40785</v>
      </c>
      <c r="B962" s="115">
        <v>98.54</v>
      </c>
      <c r="C962" s="115">
        <v>95.503</v>
      </c>
      <c r="D962" s="115">
        <v>96.501400000000004</v>
      </c>
      <c r="E962" s="115" t="s">
        <v>625</v>
      </c>
      <c r="F962" s="115" t="s">
        <v>625</v>
      </c>
      <c r="G962" s="121" t="s">
        <v>625</v>
      </c>
      <c r="H962" s="115" t="e">
        <v>#N/A</v>
      </c>
      <c r="I962" s="118" t="s">
        <v>625</v>
      </c>
    </row>
    <row r="963" spans="1:9">
      <c r="A963" s="114">
        <v>40786</v>
      </c>
      <c r="B963" s="115">
        <v>98.54</v>
      </c>
      <c r="C963" s="115">
        <v>95.2</v>
      </c>
      <c r="D963" s="115">
        <v>96.301199999999994</v>
      </c>
      <c r="E963" s="115" t="s">
        <v>625</v>
      </c>
      <c r="F963" s="115" t="s">
        <v>625</v>
      </c>
      <c r="G963" s="121" t="s">
        <v>625</v>
      </c>
      <c r="H963" s="115" t="e">
        <v>#N/A</v>
      </c>
      <c r="I963" s="118" t="s">
        <v>625</v>
      </c>
    </row>
    <row r="964" spans="1:9">
      <c r="A964" s="114">
        <v>40787</v>
      </c>
      <c r="B964" s="115">
        <v>98.54</v>
      </c>
      <c r="C964" s="115">
        <v>95.202799999999996</v>
      </c>
      <c r="D964" s="115">
        <v>96.301599999999993</v>
      </c>
      <c r="E964" s="115" t="s">
        <v>625</v>
      </c>
      <c r="F964" s="115" t="s">
        <v>625</v>
      </c>
      <c r="G964" s="121" t="s">
        <v>625</v>
      </c>
      <c r="H964" s="115" t="e">
        <v>#N/A</v>
      </c>
      <c r="I964" s="118" t="s">
        <v>625</v>
      </c>
    </row>
    <row r="965" spans="1:9">
      <c r="A965" s="114">
        <v>40788</v>
      </c>
      <c r="B965" s="115">
        <v>98.54</v>
      </c>
      <c r="C965" s="115">
        <v>95.202799999999996</v>
      </c>
      <c r="D965" s="115">
        <v>96.404899999999998</v>
      </c>
      <c r="E965" s="115" t="s">
        <v>625</v>
      </c>
      <c r="F965" s="115" t="s">
        <v>625</v>
      </c>
      <c r="G965" s="121" t="s">
        <v>625</v>
      </c>
      <c r="H965" s="115" t="e">
        <v>#N/A</v>
      </c>
      <c r="I965" s="118" t="s">
        <v>625</v>
      </c>
    </row>
    <row r="966" spans="1:9">
      <c r="A966" s="114">
        <v>40791</v>
      </c>
      <c r="B966" s="115">
        <v>98.54</v>
      </c>
      <c r="C966" s="115">
        <v>95.202799999999996</v>
      </c>
      <c r="D966" s="115">
        <v>96.402799999999999</v>
      </c>
      <c r="E966" s="115" t="s">
        <v>625</v>
      </c>
      <c r="F966" s="115" t="s">
        <v>625</v>
      </c>
      <c r="G966" s="121" t="s">
        <v>625</v>
      </c>
      <c r="H966" s="115" t="e">
        <v>#N/A</v>
      </c>
      <c r="I966" s="118" t="s">
        <v>625</v>
      </c>
    </row>
    <row r="967" spans="1:9">
      <c r="A967" s="114">
        <v>40792</v>
      </c>
      <c r="B967" s="115">
        <v>98.54</v>
      </c>
      <c r="C967" s="115">
        <v>96.817400000000006</v>
      </c>
      <c r="D967" s="115">
        <v>96.500399999999999</v>
      </c>
      <c r="E967" s="115" t="s">
        <v>625</v>
      </c>
      <c r="F967" s="115" t="s">
        <v>625</v>
      </c>
      <c r="G967" s="121" t="s">
        <v>625</v>
      </c>
      <c r="H967" s="115" t="e">
        <v>#N/A</v>
      </c>
      <c r="I967" s="118" t="s">
        <v>625</v>
      </c>
    </row>
    <row r="968" spans="1:9">
      <c r="A968" s="114">
        <v>40793</v>
      </c>
      <c r="B968" s="115">
        <v>98.54</v>
      </c>
      <c r="C968" s="115">
        <v>96.313500000000005</v>
      </c>
      <c r="D968" s="115">
        <v>96.5505</v>
      </c>
      <c r="E968" s="115" t="s">
        <v>625</v>
      </c>
      <c r="F968" s="115" t="s">
        <v>625</v>
      </c>
      <c r="G968" s="121" t="s">
        <v>625</v>
      </c>
      <c r="H968" s="115" t="e">
        <v>#N/A</v>
      </c>
      <c r="I968" s="118" t="s">
        <v>625</v>
      </c>
    </row>
    <row r="969" spans="1:9">
      <c r="A969" s="114">
        <v>40794</v>
      </c>
      <c r="B969" s="115">
        <v>98.54</v>
      </c>
      <c r="C969" s="115">
        <v>96.313500000000005</v>
      </c>
      <c r="D969" s="115">
        <v>96.500900000000001</v>
      </c>
      <c r="E969" s="115" t="s">
        <v>625</v>
      </c>
      <c r="F969" s="115" t="s">
        <v>625</v>
      </c>
      <c r="G969" s="121" t="s">
        <v>625</v>
      </c>
      <c r="H969" s="115" t="e">
        <v>#N/A</v>
      </c>
      <c r="I969" s="118" t="s">
        <v>625</v>
      </c>
    </row>
    <row r="970" spans="1:9">
      <c r="A970" s="114">
        <v>40795</v>
      </c>
      <c r="B970" s="115">
        <v>98.54</v>
      </c>
      <c r="C970" s="115">
        <v>96.313500000000005</v>
      </c>
      <c r="D970" s="115">
        <v>96.501999999999995</v>
      </c>
      <c r="E970" s="115" t="s">
        <v>625</v>
      </c>
      <c r="F970" s="115" t="s">
        <v>625</v>
      </c>
      <c r="G970" s="121" t="s">
        <v>625</v>
      </c>
      <c r="H970" s="115" t="e">
        <v>#N/A</v>
      </c>
      <c r="I970" s="118" t="s">
        <v>625</v>
      </c>
    </row>
    <row r="971" spans="1:9">
      <c r="A971" s="114">
        <v>40799</v>
      </c>
      <c r="B971" s="115">
        <v>98.54</v>
      </c>
      <c r="C971" s="115">
        <v>96.313500000000005</v>
      </c>
      <c r="D971" s="115">
        <v>96.500299999999996</v>
      </c>
      <c r="E971" s="115" t="s">
        <v>625</v>
      </c>
      <c r="F971" s="115" t="s">
        <v>625</v>
      </c>
      <c r="G971" s="121" t="s">
        <v>625</v>
      </c>
      <c r="H971" s="115" t="e">
        <v>#N/A</v>
      </c>
      <c r="I971" s="118" t="s">
        <v>625</v>
      </c>
    </row>
    <row r="972" spans="1:9">
      <c r="A972" s="114">
        <v>40800</v>
      </c>
      <c r="B972" s="115">
        <v>98.54</v>
      </c>
      <c r="C972" s="115">
        <v>96.313500000000005</v>
      </c>
      <c r="D972" s="115">
        <v>96.650300000000001</v>
      </c>
      <c r="E972" s="115" t="s">
        <v>625</v>
      </c>
      <c r="F972" s="115" t="s">
        <v>625</v>
      </c>
      <c r="G972" s="121" t="s">
        <v>625</v>
      </c>
      <c r="H972" s="115" t="e">
        <v>#N/A</v>
      </c>
      <c r="I972" s="118" t="s">
        <v>625</v>
      </c>
    </row>
    <row r="973" spans="1:9">
      <c r="A973" s="114">
        <v>40801</v>
      </c>
      <c r="B973" s="115">
        <v>98.54</v>
      </c>
      <c r="C973" s="115">
        <v>96.313500000000005</v>
      </c>
      <c r="D973" s="115">
        <v>96.6511</v>
      </c>
      <c r="E973" s="115" t="s">
        <v>625</v>
      </c>
      <c r="F973" s="115" t="s">
        <v>625</v>
      </c>
      <c r="G973" s="121" t="s">
        <v>625</v>
      </c>
      <c r="H973" s="115" t="e">
        <v>#N/A</v>
      </c>
      <c r="I973" s="118" t="s">
        <v>625</v>
      </c>
    </row>
    <row r="974" spans="1:9">
      <c r="A974" s="114">
        <v>40802</v>
      </c>
      <c r="B974" s="115">
        <v>98.54</v>
      </c>
      <c r="C974" s="115">
        <v>96.313500000000005</v>
      </c>
      <c r="D974" s="115">
        <v>96.653199999999998</v>
      </c>
      <c r="E974" s="115" t="s">
        <v>625</v>
      </c>
      <c r="F974" s="115" t="s">
        <v>625</v>
      </c>
      <c r="G974" s="121" t="s">
        <v>625</v>
      </c>
      <c r="H974" s="115" t="e">
        <v>#N/A</v>
      </c>
      <c r="I974" s="118" t="s">
        <v>625</v>
      </c>
    </row>
    <row r="975" spans="1:9">
      <c r="A975" s="114">
        <v>40805</v>
      </c>
      <c r="B975" s="115">
        <v>98.54</v>
      </c>
      <c r="C975" s="115">
        <v>96.313500000000005</v>
      </c>
      <c r="D975" s="115">
        <v>96.501800000000003</v>
      </c>
      <c r="E975" s="115" t="s">
        <v>625</v>
      </c>
      <c r="F975" s="115" t="s">
        <v>625</v>
      </c>
      <c r="G975" s="121" t="s">
        <v>625</v>
      </c>
      <c r="H975" s="115" t="e">
        <v>#N/A</v>
      </c>
      <c r="I975" s="118" t="s">
        <v>625</v>
      </c>
    </row>
    <row r="976" spans="1:9">
      <c r="A976" s="114">
        <v>40806</v>
      </c>
      <c r="B976" s="115">
        <v>98.54</v>
      </c>
      <c r="C976" s="115">
        <v>96.313500000000005</v>
      </c>
      <c r="D976" s="115">
        <v>96.502700000000004</v>
      </c>
      <c r="E976" s="115" t="s">
        <v>625</v>
      </c>
      <c r="F976" s="115" t="s">
        <v>625</v>
      </c>
      <c r="G976" s="121" t="s">
        <v>625</v>
      </c>
      <c r="H976" s="115" t="e">
        <v>#N/A</v>
      </c>
      <c r="I976" s="118" t="s">
        <v>625</v>
      </c>
    </row>
    <row r="977" spans="1:9">
      <c r="A977" s="114">
        <v>40807</v>
      </c>
      <c r="B977" s="115">
        <v>98.54</v>
      </c>
      <c r="C977" s="115">
        <v>96.384799999999998</v>
      </c>
      <c r="D977" s="115">
        <v>96.502499999999998</v>
      </c>
      <c r="E977" s="115" t="s">
        <v>625</v>
      </c>
      <c r="F977" s="115" t="s">
        <v>625</v>
      </c>
      <c r="G977" s="121" t="s">
        <v>625</v>
      </c>
      <c r="H977" s="115" t="e">
        <v>#N/A</v>
      </c>
      <c r="I977" s="118" t="s">
        <v>625</v>
      </c>
    </row>
    <row r="978" spans="1:9">
      <c r="A978" s="114">
        <v>40808</v>
      </c>
      <c r="B978" s="115">
        <v>98.54</v>
      </c>
      <c r="C978" s="115">
        <v>96.384799999999998</v>
      </c>
      <c r="D978" s="115">
        <v>96.55</v>
      </c>
      <c r="E978" s="115" t="s">
        <v>625</v>
      </c>
      <c r="F978" s="115" t="s">
        <v>625</v>
      </c>
      <c r="G978" s="121" t="s">
        <v>625</v>
      </c>
      <c r="H978" s="115" t="e">
        <v>#N/A</v>
      </c>
      <c r="I978" s="118" t="s">
        <v>625</v>
      </c>
    </row>
    <row r="979" spans="1:9">
      <c r="A979" s="114">
        <v>40809</v>
      </c>
      <c r="B979" s="115">
        <v>98.54</v>
      </c>
      <c r="C979" s="115">
        <v>96.384799999999998</v>
      </c>
      <c r="D979" s="115">
        <v>96.7</v>
      </c>
      <c r="E979" s="115" t="s">
        <v>625</v>
      </c>
      <c r="F979" s="115" t="s">
        <v>625</v>
      </c>
      <c r="G979" s="121" t="s">
        <v>625</v>
      </c>
      <c r="H979" s="115" t="e">
        <v>#N/A</v>
      </c>
      <c r="I979" s="118" t="s">
        <v>625</v>
      </c>
    </row>
    <row r="980" spans="1:9">
      <c r="A980" s="114">
        <v>40812</v>
      </c>
      <c r="B980" s="115">
        <v>98.54</v>
      </c>
      <c r="C980" s="115">
        <v>96.384799999999998</v>
      </c>
      <c r="D980" s="115">
        <v>97.100899999999996</v>
      </c>
      <c r="E980" s="115" t="s">
        <v>625</v>
      </c>
      <c r="F980" s="115" t="s">
        <v>625</v>
      </c>
      <c r="G980" s="121" t="s">
        <v>625</v>
      </c>
      <c r="H980" s="115" t="e">
        <v>#N/A</v>
      </c>
      <c r="I980" s="118" t="s">
        <v>625</v>
      </c>
    </row>
    <row r="981" spans="1:9">
      <c r="A981" s="114">
        <v>40813</v>
      </c>
      <c r="B981" s="115">
        <v>98.54</v>
      </c>
      <c r="C981" s="115">
        <v>96.384799999999998</v>
      </c>
      <c r="D981" s="115">
        <v>97.003500000000003</v>
      </c>
      <c r="E981" s="115" t="s">
        <v>625</v>
      </c>
      <c r="F981" s="115" t="s">
        <v>625</v>
      </c>
      <c r="G981" s="121" t="s">
        <v>625</v>
      </c>
      <c r="H981" s="115" t="e">
        <v>#N/A</v>
      </c>
      <c r="I981" s="118" t="s">
        <v>625</v>
      </c>
    </row>
    <row r="982" spans="1:9">
      <c r="A982" s="114">
        <v>40814</v>
      </c>
      <c r="B982" s="115">
        <v>98.54</v>
      </c>
      <c r="C982" s="115">
        <v>96.384799999999998</v>
      </c>
      <c r="D982" s="115">
        <v>97.003299999999996</v>
      </c>
      <c r="E982" s="115" t="s">
        <v>625</v>
      </c>
      <c r="F982" s="115" t="s">
        <v>625</v>
      </c>
      <c r="G982" s="121" t="s">
        <v>625</v>
      </c>
      <c r="H982" s="115" t="e">
        <v>#N/A</v>
      </c>
      <c r="I982" s="118" t="s">
        <v>625</v>
      </c>
    </row>
    <row r="983" spans="1:9">
      <c r="A983" s="114">
        <v>40815</v>
      </c>
      <c r="B983" s="115">
        <v>98.54</v>
      </c>
      <c r="C983" s="115">
        <v>96.384799999999998</v>
      </c>
      <c r="D983" s="115">
        <v>97.002899999999997</v>
      </c>
      <c r="E983" s="115" t="s">
        <v>625</v>
      </c>
      <c r="F983" s="115" t="s">
        <v>625</v>
      </c>
      <c r="G983" s="121" t="s">
        <v>625</v>
      </c>
      <c r="H983" s="115" t="e">
        <v>#N/A</v>
      </c>
      <c r="I983" s="118" t="s">
        <v>625</v>
      </c>
    </row>
    <row r="984" spans="1:9">
      <c r="A984" s="114">
        <v>40816</v>
      </c>
      <c r="B984" s="115">
        <v>98.54</v>
      </c>
      <c r="C984" s="115">
        <v>96.384799999999998</v>
      </c>
      <c r="D984" s="115">
        <v>97.145700000000005</v>
      </c>
      <c r="E984" s="115" t="s">
        <v>625</v>
      </c>
      <c r="F984" s="115" t="s">
        <v>625</v>
      </c>
      <c r="G984" s="121" t="s">
        <v>625</v>
      </c>
      <c r="H984" s="115" t="e">
        <v>#N/A</v>
      </c>
      <c r="I984" s="118" t="s">
        <v>625</v>
      </c>
    </row>
    <row r="985" spans="1:9">
      <c r="A985" s="114">
        <v>40824</v>
      </c>
      <c r="B985" s="115">
        <v>98.54</v>
      </c>
      <c r="C985" s="115">
        <v>96.384799999999998</v>
      </c>
      <c r="D985" s="115">
        <v>97.305700000000002</v>
      </c>
      <c r="E985" s="115" t="s">
        <v>625</v>
      </c>
      <c r="F985" s="115" t="s">
        <v>625</v>
      </c>
      <c r="G985" s="121" t="s">
        <v>625</v>
      </c>
      <c r="H985" s="115" t="e">
        <v>#N/A</v>
      </c>
      <c r="I985" s="118" t="s">
        <v>625</v>
      </c>
    </row>
    <row r="986" spans="1:9">
      <c r="A986" s="114">
        <v>40825</v>
      </c>
      <c r="B986" s="115">
        <v>98.54</v>
      </c>
      <c r="C986" s="115">
        <v>96.384799999999998</v>
      </c>
      <c r="D986" s="115">
        <v>97.304900000000004</v>
      </c>
      <c r="E986" s="115" t="s">
        <v>625</v>
      </c>
      <c r="F986" s="115" t="s">
        <v>625</v>
      </c>
      <c r="G986" s="121" t="s">
        <v>625</v>
      </c>
      <c r="H986" s="115" t="e">
        <v>#N/A</v>
      </c>
      <c r="I986" s="118" t="s">
        <v>625</v>
      </c>
    </row>
    <row r="987" spans="1:9">
      <c r="A987" s="114">
        <v>40826</v>
      </c>
      <c r="B987" s="115">
        <v>98.54</v>
      </c>
      <c r="C987" s="115">
        <v>96.384799999999998</v>
      </c>
      <c r="D987" s="115">
        <v>97.652900000000002</v>
      </c>
      <c r="E987" s="115" t="s">
        <v>625</v>
      </c>
      <c r="F987" s="115" t="s">
        <v>625</v>
      </c>
      <c r="G987" s="121" t="s">
        <v>625</v>
      </c>
      <c r="H987" s="115" t="e">
        <v>#N/A</v>
      </c>
      <c r="I987" s="118" t="s">
        <v>625</v>
      </c>
    </row>
    <row r="988" spans="1:9">
      <c r="A988" s="114">
        <v>40827</v>
      </c>
      <c r="B988" s="115">
        <v>98.54</v>
      </c>
      <c r="C988" s="115">
        <v>96.384799999999998</v>
      </c>
      <c r="D988" s="115">
        <v>98.001900000000006</v>
      </c>
      <c r="E988" s="115" t="s">
        <v>625</v>
      </c>
      <c r="F988" s="115" t="s">
        <v>625</v>
      </c>
      <c r="G988" s="121" t="s">
        <v>625</v>
      </c>
      <c r="H988" s="115" t="e">
        <v>#N/A</v>
      </c>
      <c r="I988" s="118" t="s">
        <v>625</v>
      </c>
    </row>
    <row r="989" spans="1:9">
      <c r="A989" s="114">
        <v>40828</v>
      </c>
      <c r="B989" s="115">
        <v>98.54</v>
      </c>
      <c r="C989" s="115">
        <v>96.384799999999998</v>
      </c>
      <c r="D989" s="115">
        <v>98.100700000000003</v>
      </c>
      <c r="E989" s="115" t="s">
        <v>625</v>
      </c>
      <c r="F989" s="115" t="s">
        <v>625</v>
      </c>
      <c r="G989" s="121" t="s">
        <v>625</v>
      </c>
      <c r="H989" s="115" t="e">
        <v>#N/A</v>
      </c>
      <c r="I989" s="118" t="s">
        <v>625</v>
      </c>
    </row>
    <row r="990" spans="1:9">
      <c r="A990" s="114">
        <v>40829</v>
      </c>
      <c r="B990" s="115">
        <v>98.54</v>
      </c>
      <c r="C990" s="115">
        <v>96.384799999999998</v>
      </c>
      <c r="D990" s="115">
        <v>97.900599999999997</v>
      </c>
      <c r="E990" s="115" t="s">
        <v>625</v>
      </c>
      <c r="F990" s="115" t="s">
        <v>625</v>
      </c>
      <c r="G990" s="121" t="s">
        <v>625</v>
      </c>
      <c r="H990" s="115" t="e">
        <v>#N/A</v>
      </c>
      <c r="I990" s="118" t="s">
        <v>625</v>
      </c>
    </row>
    <row r="991" spans="1:9">
      <c r="A991" s="114">
        <v>40830</v>
      </c>
      <c r="B991" s="115">
        <v>98.54</v>
      </c>
      <c r="C991" s="115">
        <v>96.384799999999998</v>
      </c>
      <c r="D991" s="115">
        <v>97.800200000000004</v>
      </c>
      <c r="E991" s="115" t="s">
        <v>625</v>
      </c>
      <c r="F991" s="115" t="s">
        <v>625</v>
      </c>
      <c r="G991" s="121" t="s">
        <v>625</v>
      </c>
      <c r="H991" s="115" t="e">
        <v>#N/A</v>
      </c>
      <c r="I991" s="118" t="s">
        <v>625</v>
      </c>
    </row>
    <row r="992" spans="1:9">
      <c r="A992" s="114">
        <v>40833</v>
      </c>
      <c r="B992" s="115">
        <v>98.54</v>
      </c>
      <c r="C992" s="115">
        <v>96.384799999999998</v>
      </c>
      <c r="D992" s="115">
        <v>97.800200000000004</v>
      </c>
      <c r="E992" s="115" t="s">
        <v>625</v>
      </c>
      <c r="F992" s="115" t="s">
        <v>625</v>
      </c>
      <c r="G992" s="121" t="s">
        <v>625</v>
      </c>
      <c r="H992" s="115" t="e">
        <v>#N/A</v>
      </c>
      <c r="I992" s="118" t="s">
        <v>625</v>
      </c>
    </row>
    <row r="993" spans="1:9">
      <c r="A993" s="114">
        <v>40834</v>
      </c>
      <c r="B993" s="115">
        <v>98.54</v>
      </c>
      <c r="C993" s="115">
        <v>96.384799999999998</v>
      </c>
      <c r="D993" s="115">
        <v>97.800200000000004</v>
      </c>
      <c r="E993" s="115" t="s">
        <v>625</v>
      </c>
      <c r="F993" s="115">
        <v>100</v>
      </c>
      <c r="G993" s="121" t="s">
        <v>625</v>
      </c>
      <c r="H993" s="115" t="e">
        <v>#N/A</v>
      </c>
      <c r="I993" s="118" t="s">
        <v>625</v>
      </c>
    </row>
    <row r="994" spans="1:9">
      <c r="A994" s="114">
        <v>40835</v>
      </c>
      <c r="B994" s="115">
        <v>98.54</v>
      </c>
      <c r="C994" s="115">
        <v>96.384799999999998</v>
      </c>
      <c r="D994" s="115">
        <v>97.800200000000004</v>
      </c>
      <c r="E994" s="115" t="s">
        <v>625</v>
      </c>
      <c r="F994" s="115">
        <v>99.756500000000003</v>
      </c>
      <c r="G994" s="121" t="s">
        <v>625</v>
      </c>
      <c r="H994" s="115" t="e">
        <v>#N/A</v>
      </c>
      <c r="I994" s="118" t="s">
        <v>625</v>
      </c>
    </row>
    <row r="995" spans="1:9">
      <c r="A995" s="114">
        <v>40836</v>
      </c>
      <c r="B995" s="115">
        <v>98.54</v>
      </c>
      <c r="C995" s="115">
        <v>96.384799999999998</v>
      </c>
      <c r="D995" s="115">
        <v>97.800200000000004</v>
      </c>
      <c r="E995" s="115" t="s">
        <v>625</v>
      </c>
      <c r="F995" s="115">
        <v>99.816900000000004</v>
      </c>
      <c r="G995" s="121" t="s">
        <v>625</v>
      </c>
      <c r="H995" s="115" t="e">
        <v>#N/A</v>
      </c>
      <c r="I995" s="118" t="s">
        <v>625</v>
      </c>
    </row>
    <row r="996" spans="1:9">
      <c r="A996" s="114">
        <v>40837</v>
      </c>
      <c r="B996" s="115">
        <v>98.54</v>
      </c>
      <c r="C996" s="115">
        <v>96.384799999999998</v>
      </c>
      <c r="D996" s="115">
        <v>97.800200000000004</v>
      </c>
      <c r="E996" s="115" t="s">
        <v>625</v>
      </c>
      <c r="F996" s="115">
        <v>99.786299999999997</v>
      </c>
      <c r="G996" s="121" t="s">
        <v>625</v>
      </c>
      <c r="H996" s="115" t="e">
        <v>#N/A</v>
      </c>
      <c r="I996" s="118" t="s">
        <v>625</v>
      </c>
    </row>
    <row r="997" spans="1:9">
      <c r="A997" s="114">
        <v>40840</v>
      </c>
      <c r="B997" s="115">
        <v>98.54</v>
      </c>
      <c r="C997" s="115">
        <v>96.536600000000007</v>
      </c>
      <c r="D997" s="115">
        <v>97.800200000000004</v>
      </c>
      <c r="E997" s="115" t="s">
        <v>625</v>
      </c>
      <c r="F997" s="115">
        <v>99.605199999999996</v>
      </c>
      <c r="G997" s="121" t="s">
        <v>625</v>
      </c>
      <c r="H997" s="115" t="e">
        <v>#N/A</v>
      </c>
      <c r="I997" s="118" t="s">
        <v>625</v>
      </c>
    </row>
    <row r="998" spans="1:9">
      <c r="A998" s="114">
        <v>40841</v>
      </c>
      <c r="B998" s="115">
        <v>98.54</v>
      </c>
      <c r="C998" s="115">
        <v>96.503600000000006</v>
      </c>
      <c r="D998" s="115">
        <v>97.800200000000004</v>
      </c>
      <c r="E998" s="115" t="s">
        <v>625</v>
      </c>
      <c r="F998" s="115">
        <v>99.514899999999997</v>
      </c>
      <c r="G998" s="121" t="s">
        <v>625</v>
      </c>
      <c r="H998" s="115" t="e">
        <v>#N/A</v>
      </c>
      <c r="I998" s="118" t="s">
        <v>625</v>
      </c>
    </row>
    <row r="999" spans="1:9">
      <c r="A999" s="114">
        <v>40842</v>
      </c>
      <c r="B999" s="115">
        <v>98.54</v>
      </c>
      <c r="C999" s="115">
        <v>96.504800000000003</v>
      </c>
      <c r="D999" s="115">
        <v>97.800200000000004</v>
      </c>
      <c r="E999" s="115" t="s">
        <v>625</v>
      </c>
      <c r="F999" s="115">
        <v>99.454800000000006</v>
      </c>
      <c r="G999" s="121" t="s">
        <v>625</v>
      </c>
      <c r="H999" s="115" t="e">
        <v>#N/A</v>
      </c>
      <c r="I999" s="118" t="s">
        <v>625</v>
      </c>
    </row>
    <row r="1000" spans="1:9">
      <c r="A1000" s="114">
        <v>40843</v>
      </c>
      <c r="B1000" s="115">
        <v>98.54</v>
      </c>
      <c r="C1000" s="115">
        <v>96.505099999999999</v>
      </c>
      <c r="D1000" s="115">
        <v>97.800200000000004</v>
      </c>
      <c r="E1000" s="115" t="s">
        <v>625</v>
      </c>
      <c r="F1000" s="115">
        <v>99.8232</v>
      </c>
      <c r="G1000" s="121" t="s">
        <v>625</v>
      </c>
      <c r="H1000" s="115" t="e">
        <v>#N/A</v>
      </c>
      <c r="I1000" s="118" t="s">
        <v>625</v>
      </c>
    </row>
    <row r="1001" spans="1:9">
      <c r="A1001" s="114">
        <v>40844</v>
      </c>
      <c r="B1001" s="115">
        <v>98.54</v>
      </c>
      <c r="C1001" s="115">
        <v>96.521299999999997</v>
      </c>
      <c r="D1001" s="115">
        <v>97.800200000000004</v>
      </c>
      <c r="E1001" s="115" t="s">
        <v>625</v>
      </c>
      <c r="F1001" s="115">
        <v>99.575000000000003</v>
      </c>
      <c r="G1001" s="121" t="s">
        <v>625</v>
      </c>
      <c r="H1001" s="115" t="e">
        <v>#N/A</v>
      </c>
      <c r="I1001" s="118" t="s">
        <v>625</v>
      </c>
    </row>
    <row r="1002" spans="1:9">
      <c r="A1002" s="114">
        <v>40847</v>
      </c>
      <c r="B1002" s="115">
        <v>98.54</v>
      </c>
      <c r="C1002" s="115">
        <v>96.406499999999994</v>
      </c>
      <c r="D1002" s="115">
        <v>97.800200000000004</v>
      </c>
      <c r="E1002" s="115" t="s">
        <v>625</v>
      </c>
      <c r="F1002" s="115">
        <v>99.755499999999998</v>
      </c>
      <c r="G1002" s="121" t="s">
        <v>625</v>
      </c>
      <c r="H1002" s="115" t="e">
        <v>#N/A</v>
      </c>
      <c r="I1002" s="118" t="s">
        <v>625</v>
      </c>
    </row>
    <row r="1003" spans="1:9">
      <c r="A1003" s="114">
        <v>40848</v>
      </c>
      <c r="B1003" s="115">
        <v>98.54</v>
      </c>
      <c r="C1003" s="115">
        <v>96.402799999999999</v>
      </c>
      <c r="D1003" s="115">
        <v>97.800200000000004</v>
      </c>
      <c r="E1003" s="115" t="s">
        <v>625</v>
      </c>
      <c r="F1003" s="115">
        <v>99.996600000000001</v>
      </c>
      <c r="G1003" s="121" t="s">
        <v>625</v>
      </c>
      <c r="H1003" s="115" t="e">
        <v>#N/A</v>
      </c>
      <c r="I1003" s="118" t="s">
        <v>625</v>
      </c>
    </row>
    <row r="1004" spans="1:9">
      <c r="A1004" s="114">
        <v>40849</v>
      </c>
      <c r="B1004" s="115">
        <v>98.54</v>
      </c>
      <c r="C1004" s="115">
        <v>96.402299999999997</v>
      </c>
      <c r="D1004" s="115">
        <v>97.800200000000004</v>
      </c>
      <c r="E1004" s="115" t="s">
        <v>625</v>
      </c>
      <c r="F1004" s="115">
        <v>100.0569</v>
      </c>
      <c r="G1004" s="121" t="s">
        <v>625</v>
      </c>
      <c r="H1004" s="115" t="e">
        <v>#N/A</v>
      </c>
      <c r="I1004" s="118" t="s">
        <v>625</v>
      </c>
    </row>
    <row r="1005" spans="1:9">
      <c r="A1005" s="114">
        <v>40850</v>
      </c>
      <c r="B1005" s="115">
        <v>98.54</v>
      </c>
      <c r="C1005" s="115">
        <v>96.402299999999997</v>
      </c>
      <c r="D1005" s="115">
        <v>97.800200000000004</v>
      </c>
      <c r="E1005" s="115" t="s">
        <v>625</v>
      </c>
      <c r="F1005" s="115">
        <v>100.0869</v>
      </c>
      <c r="G1005" s="121" t="s">
        <v>625</v>
      </c>
      <c r="H1005" s="115" t="e">
        <v>#N/A</v>
      </c>
      <c r="I1005" s="118" t="s">
        <v>625</v>
      </c>
    </row>
    <row r="1006" spans="1:9">
      <c r="A1006" s="114">
        <v>40851</v>
      </c>
      <c r="B1006" s="115">
        <v>98.54</v>
      </c>
      <c r="C1006" s="115">
        <v>96.406800000000004</v>
      </c>
      <c r="D1006" s="115">
        <v>97.800200000000004</v>
      </c>
      <c r="E1006" s="115" t="s">
        <v>625</v>
      </c>
      <c r="F1006" s="115">
        <v>100.1467</v>
      </c>
      <c r="G1006" s="121" t="s">
        <v>625</v>
      </c>
      <c r="H1006" s="115" t="e">
        <v>#N/A</v>
      </c>
      <c r="I1006" s="118" t="s">
        <v>625</v>
      </c>
    </row>
    <row r="1007" spans="1:9">
      <c r="A1007" s="114">
        <v>40854</v>
      </c>
      <c r="B1007" s="115">
        <v>98.54</v>
      </c>
      <c r="C1007" s="115">
        <v>96.902299999999997</v>
      </c>
      <c r="D1007" s="115">
        <v>97.800200000000004</v>
      </c>
      <c r="E1007" s="115" t="s">
        <v>625</v>
      </c>
      <c r="F1007" s="115">
        <v>100.056</v>
      </c>
      <c r="G1007" s="121" t="s">
        <v>625</v>
      </c>
      <c r="H1007" s="115" t="e">
        <v>#N/A</v>
      </c>
      <c r="I1007" s="118" t="s">
        <v>625</v>
      </c>
    </row>
    <row r="1008" spans="1:9">
      <c r="A1008" s="114">
        <v>40855</v>
      </c>
      <c r="B1008" s="115">
        <v>98.54</v>
      </c>
      <c r="C1008" s="115">
        <v>96.878399999999999</v>
      </c>
      <c r="D1008" s="115">
        <v>97.800200000000004</v>
      </c>
      <c r="E1008" s="115" t="s">
        <v>625</v>
      </c>
      <c r="F1008" s="115">
        <v>100.3276</v>
      </c>
      <c r="G1008" s="121" t="s">
        <v>625</v>
      </c>
      <c r="H1008" s="115" t="e">
        <v>#N/A</v>
      </c>
      <c r="I1008" s="118" t="s">
        <v>625</v>
      </c>
    </row>
    <row r="1009" spans="1:9">
      <c r="A1009" s="114">
        <v>40856</v>
      </c>
      <c r="B1009" s="115">
        <v>98.54</v>
      </c>
      <c r="C1009" s="115">
        <v>96.9024</v>
      </c>
      <c r="D1009" s="115">
        <v>97.800200000000004</v>
      </c>
      <c r="E1009" s="115" t="s">
        <v>625</v>
      </c>
      <c r="F1009" s="115">
        <v>100.59990000000001</v>
      </c>
      <c r="G1009" s="121" t="s">
        <v>625</v>
      </c>
      <c r="H1009" s="115" t="e">
        <v>#N/A</v>
      </c>
      <c r="I1009" s="118" t="s">
        <v>625</v>
      </c>
    </row>
    <row r="1010" spans="1:9">
      <c r="A1010" s="114">
        <v>40857</v>
      </c>
      <c r="B1010" s="115">
        <v>98.54</v>
      </c>
      <c r="C1010" s="115">
        <v>96.9024</v>
      </c>
      <c r="D1010" s="115">
        <v>97.800200000000004</v>
      </c>
      <c r="E1010" s="115" t="s">
        <v>625</v>
      </c>
      <c r="F1010" s="115">
        <v>101.0663</v>
      </c>
      <c r="G1010" s="121" t="s">
        <v>625</v>
      </c>
      <c r="H1010" s="115" t="e">
        <v>#N/A</v>
      </c>
      <c r="I1010" s="118" t="s">
        <v>625</v>
      </c>
    </row>
    <row r="1011" spans="1:9">
      <c r="A1011" s="114">
        <v>40858</v>
      </c>
      <c r="B1011" s="115">
        <v>98.54</v>
      </c>
      <c r="C1011" s="115">
        <v>96.904799999999994</v>
      </c>
      <c r="D1011" s="115">
        <v>97.800200000000004</v>
      </c>
      <c r="E1011" s="115" t="s">
        <v>625</v>
      </c>
      <c r="F1011" s="115">
        <v>100.902</v>
      </c>
      <c r="G1011" s="121" t="s">
        <v>625</v>
      </c>
      <c r="H1011" s="115" t="e">
        <v>#N/A</v>
      </c>
      <c r="I1011" s="118" t="s">
        <v>625</v>
      </c>
    </row>
    <row r="1012" spans="1:9">
      <c r="A1012" s="114">
        <v>40861</v>
      </c>
      <c r="B1012" s="115">
        <v>98.54</v>
      </c>
      <c r="C1012" s="115">
        <v>97.701899999999995</v>
      </c>
      <c r="D1012" s="115">
        <v>97.800200000000004</v>
      </c>
      <c r="E1012" s="115" t="s">
        <v>625</v>
      </c>
      <c r="F1012" s="115">
        <v>100.902</v>
      </c>
      <c r="G1012" s="121" t="s">
        <v>625</v>
      </c>
      <c r="H1012" s="115" t="e">
        <v>#N/A</v>
      </c>
      <c r="I1012" s="118" t="s">
        <v>625</v>
      </c>
    </row>
    <row r="1013" spans="1:9">
      <c r="A1013" s="114">
        <v>40862</v>
      </c>
      <c r="B1013" s="115">
        <v>98.54</v>
      </c>
      <c r="C1013" s="115">
        <v>97.701999999999998</v>
      </c>
      <c r="D1013" s="115">
        <v>97.800200000000004</v>
      </c>
      <c r="E1013" s="115" t="s">
        <v>625</v>
      </c>
      <c r="F1013" s="115">
        <v>100.5373</v>
      </c>
      <c r="G1013" s="121" t="s">
        <v>625</v>
      </c>
      <c r="H1013" s="115" t="e">
        <v>#N/A</v>
      </c>
      <c r="I1013" s="118" t="s">
        <v>625</v>
      </c>
    </row>
    <row r="1014" spans="1:9">
      <c r="A1014" s="114">
        <v>40863</v>
      </c>
      <c r="B1014" s="115">
        <v>98.54</v>
      </c>
      <c r="C1014" s="115">
        <v>97.701999999999998</v>
      </c>
      <c r="D1014" s="115">
        <v>97.800200000000004</v>
      </c>
      <c r="E1014" s="115" t="s">
        <v>625</v>
      </c>
      <c r="F1014" s="115">
        <v>100.5975</v>
      </c>
      <c r="G1014" s="121" t="s">
        <v>625</v>
      </c>
      <c r="H1014" s="115" t="e">
        <v>#N/A</v>
      </c>
      <c r="I1014" s="118" t="s">
        <v>625</v>
      </c>
    </row>
    <row r="1015" spans="1:9">
      <c r="A1015" s="114">
        <v>40864</v>
      </c>
      <c r="B1015" s="115">
        <v>98.54</v>
      </c>
      <c r="C1015" s="115">
        <v>97.702799999999996</v>
      </c>
      <c r="D1015" s="115">
        <v>97.800200000000004</v>
      </c>
      <c r="E1015" s="115" t="s">
        <v>625</v>
      </c>
      <c r="F1015" s="115">
        <v>100.6576</v>
      </c>
      <c r="G1015" s="121" t="s">
        <v>625</v>
      </c>
      <c r="H1015" s="115" t="e">
        <v>#N/A</v>
      </c>
      <c r="I1015" s="118" t="s">
        <v>625</v>
      </c>
    </row>
    <row r="1016" spans="1:9">
      <c r="A1016" s="114">
        <v>40865</v>
      </c>
      <c r="B1016" s="115">
        <v>98.54</v>
      </c>
      <c r="C1016" s="115">
        <v>97.71</v>
      </c>
      <c r="D1016" s="115">
        <v>97.800200000000004</v>
      </c>
      <c r="E1016" s="115" t="s">
        <v>625</v>
      </c>
      <c r="F1016" s="115">
        <v>100.5356</v>
      </c>
      <c r="G1016" s="121" t="s">
        <v>625</v>
      </c>
      <c r="H1016" s="115" t="e">
        <v>#N/A</v>
      </c>
      <c r="I1016" s="118" t="s">
        <v>625</v>
      </c>
    </row>
    <row r="1017" spans="1:9">
      <c r="A1017" s="114">
        <v>40868</v>
      </c>
      <c r="B1017" s="115">
        <v>98.54</v>
      </c>
      <c r="C1017" s="115">
        <v>97.503900000000002</v>
      </c>
      <c r="D1017" s="115">
        <v>97.800200000000004</v>
      </c>
      <c r="E1017" s="115" t="s">
        <v>625</v>
      </c>
      <c r="F1017" s="115">
        <v>100.47499999999999</v>
      </c>
      <c r="G1017" s="121" t="s">
        <v>625</v>
      </c>
      <c r="H1017" s="115" t="e">
        <v>#N/A</v>
      </c>
      <c r="I1017" s="118" t="s">
        <v>625</v>
      </c>
    </row>
    <row r="1018" spans="1:9">
      <c r="A1018" s="114">
        <v>40869</v>
      </c>
      <c r="B1018" s="115">
        <v>98.54</v>
      </c>
      <c r="C1018" s="115">
        <v>97.504499999999993</v>
      </c>
      <c r="D1018" s="115">
        <v>97.800200000000004</v>
      </c>
      <c r="E1018" s="115" t="s">
        <v>625</v>
      </c>
      <c r="F1018" s="115">
        <v>100.6558</v>
      </c>
      <c r="G1018" s="121" t="s">
        <v>625</v>
      </c>
      <c r="H1018" s="115" t="e">
        <v>#N/A</v>
      </c>
      <c r="I1018" s="118" t="s">
        <v>625</v>
      </c>
    </row>
    <row r="1019" spans="1:9">
      <c r="A1019" s="114">
        <v>40870</v>
      </c>
      <c r="B1019" s="115">
        <v>99.7</v>
      </c>
      <c r="C1019" s="115">
        <v>97.504499999999993</v>
      </c>
      <c r="D1019" s="115">
        <v>97.800200000000004</v>
      </c>
      <c r="E1019" s="115" t="s">
        <v>625</v>
      </c>
      <c r="F1019" s="115">
        <v>100.6558</v>
      </c>
      <c r="G1019" s="121">
        <v>99.781000000000006</v>
      </c>
      <c r="H1019" s="115" t="e">
        <v>#N/A</v>
      </c>
      <c r="I1019" s="118" t="s">
        <v>625</v>
      </c>
    </row>
    <row r="1020" spans="1:9">
      <c r="A1020" s="114">
        <v>40871</v>
      </c>
      <c r="B1020" s="115">
        <v>99.6</v>
      </c>
      <c r="C1020" s="115">
        <v>97.490300000000005</v>
      </c>
      <c r="D1020" s="115">
        <v>97.800200000000004</v>
      </c>
      <c r="E1020" s="115" t="s">
        <v>625</v>
      </c>
      <c r="F1020" s="115">
        <v>100.89709999999999</v>
      </c>
      <c r="G1020" s="121">
        <v>99.392899999999997</v>
      </c>
      <c r="H1020" s="115" t="e">
        <v>#N/A</v>
      </c>
      <c r="I1020" s="118" t="s">
        <v>625</v>
      </c>
    </row>
    <row r="1021" spans="1:9">
      <c r="A1021" s="114">
        <v>40872</v>
      </c>
      <c r="B1021" s="115">
        <v>99.6</v>
      </c>
      <c r="C1021" s="115">
        <v>97.490300000000005</v>
      </c>
      <c r="D1021" s="115">
        <v>97.800200000000004</v>
      </c>
      <c r="E1021" s="115" t="s">
        <v>625</v>
      </c>
      <c r="F1021" s="115">
        <v>100.8352</v>
      </c>
      <c r="G1021" s="121">
        <v>99.955799999999996</v>
      </c>
      <c r="H1021" s="115" t="e">
        <v>#N/A</v>
      </c>
      <c r="I1021" s="118" t="s">
        <v>625</v>
      </c>
    </row>
    <row r="1022" spans="1:9">
      <c r="A1022" s="114">
        <v>40875</v>
      </c>
      <c r="B1022" s="115">
        <v>99.6</v>
      </c>
      <c r="C1022" s="115">
        <v>97.490300000000005</v>
      </c>
      <c r="D1022" s="115">
        <v>97.800200000000004</v>
      </c>
      <c r="E1022" s="115" t="s">
        <v>625</v>
      </c>
      <c r="F1022" s="115">
        <v>100.7744</v>
      </c>
      <c r="G1022" s="121" t="s">
        <v>625</v>
      </c>
      <c r="H1022" s="115" t="e">
        <v>#N/A</v>
      </c>
      <c r="I1022" s="118" t="s">
        <v>625</v>
      </c>
    </row>
    <row r="1023" spans="1:9">
      <c r="A1023" s="114">
        <v>40876</v>
      </c>
      <c r="B1023" s="115">
        <v>99.6</v>
      </c>
      <c r="C1023" s="115">
        <v>97.3964</v>
      </c>
      <c r="D1023" s="115">
        <v>98.351399999999998</v>
      </c>
      <c r="E1023" s="115" t="s">
        <v>625</v>
      </c>
      <c r="F1023" s="115">
        <v>100.68340000000001</v>
      </c>
      <c r="G1023" s="121" t="s">
        <v>625</v>
      </c>
      <c r="H1023" s="115" t="e">
        <v>#N/A</v>
      </c>
      <c r="I1023" s="118" t="s">
        <v>625</v>
      </c>
    </row>
    <row r="1024" spans="1:9">
      <c r="A1024" s="114">
        <v>40877</v>
      </c>
      <c r="B1024" s="115">
        <v>99.6</v>
      </c>
      <c r="C1024" s="115">
        <v>100</v>
      </c>
      <c r="D1024" s="115">
        <v>98.351399999999998</v>
      </c>
      <c r="E1024" s="115" t="s">
        <v>625</v>
      </c>
      <c r="F1024" s="115">
        <v>100.8339</v>
      </c>
      <c r="G1024" s="121">
        <v>99.604500000000002</v>
      </c>
      <c r="H1024" s="115" t="e">
        <v>#N/A</v>
      </c>
      <c r="I1024" s="118" t="s">
        <v>625</v>
      </c>
    </row>
    <row r="1025" spans="1:9">
      <c r="A1025" s="114">
        <v>40878</v>
      </c>
      <c r="B1025" s="115">
        <v>99.6</v>
      </c>
      <c r="C1025" s="115">
        <v>100</v>
      </c>
      <c r="D1025" s="115">
        <v>98.526399999999995</v>
      </c>
      <c r="E1025" s="115" t="s">
        <v>625</v>
      </c>
      <c r="F1025" s="115">
        <v>100.6224</v>
      </c>
      <c r="G1025" s="121">
        <v>98.226900000000001</v>
      </c>
      <c r="H1025" s="115" t="e">
        <v>#N/A</v>
      </c>
      <c r="I1025" s="118" t="s">
        <v>625</v>
      </c>
    </row>
    <row r="1026" spans="1:9">
      <c r="A1026" s="114">
        <v>40879</v>
      </c>
      <c r="B1026" s="115">
        <v>99.6</v>
      </c>
      <c r="C1026" s="115">
        <v>98.205699999999993</v>
      </c>
      <c r="D1026" s="115">
        <v>98.801100000000005</v>
      </c>
      <c r="E1026" s="115" t="s">
        <v>625</v>
      </c>
      <c r="F1026" s="115">
        <v>101.5594</v>
      </c>
      <c r="G1026" s="121">
        <v>100.6815</v>
      </c>
      <c r="H1026" s="115" t="e">
        <v>#N/A</v>
      </c>
      <c r="I1026" s="118" t="s">
        <v>625</v>
      </c>
    </row>
    <row r="1027" spans="1:9">
      <c r="A1027" s="114">
        <v>40882</v>
      </c>
      <c r="B1027" s="115">
        <v>99.6</v>
      </c>
      <c r="C1027" s="115">
        <v>98.205699999999993</v>
      </c>
      <c r="D1027" s="115">
        <v>99.1</v>
      </c>
      <c r="E1027" s="115" t="s">
        <v>625</v>
      </c>
      <c r="F1027" s="115">
        <v>101.7415</v>
      </c>
      <c r="G1027" s="121">
        <v>100.70650000000001</v>
      </c>
      <c r="H1027" s="115" t="e">
        <v>#N/A</v>
      </c>
      <c r="I1027" s="118" t="s">
        <v>625</v>
      </c>
    </row>
    <row r="1028" spans="1:9">
      <c r="A1028" s="114">
        <v>40883</v>
      </c>
      <c r="B1028" s="115">
        <v>99.6</v>
      </c>
      <c r="C1028" s="115">
        <v>98.205699999999993</v>
      </c>
      <c r="D1028" s="115">
        <v>99.15</v>
      </c>
      <c r="E1028" s="115" t="s">
        <v>625</v>
      </c>
      <c r="F1028" s="115">
        <v>101.77119999999999</v>
      </c>
      <c r="G1028" s="121">
        <v>100.6972</v>
      </c>
      <c r="H1028" s="115" t="e">
        <v>#N/A</v>
      </c>
      <c r="I1028" s="118" t="s">
        <v>625</v>
      </c>
    </row>
    <row r="1029" spans="1:9">
      <c r="A1029" s="114">
        <v>40884</v>
      </c>
      <c r="B1029" s="115">
        <v>99.6</v>
      </c>
      <c r="C1029" s="115">
        <v>98.205699999999993</v>
      </c>
      <c r="D1029" s="115">
        <v>99.15</v>
      </c>
      <c r="E1029" s="115" t="s">
        <v>625</v>
      </c>
      <c r="F1029" s="115">
        <v>101.67910000000001</v>
      </c>
      <c r="G1029" s="121">
        <v>100.6635</v>
      </c>
      <c r="H1029" s="115" t="e">
        <v>#N/A</v>
      </c>
      <c r="I1029" s="118" t="s">
        <v>625</v>
      </c>
    </row>
    <row r="1030" spans="1:9">
      <c r="A1030" s="114">
        <v>40885</v>
      </c>
      <c r="B1030" s="115">
        <v>99.6</v>
      </c>
      <c r="C1030" s="115">
        <v>98.205699999999993</v>
      </c>
      <c r="D1030" s="115">
        <v>99.000100000000003</v>
      </c>
      <c r="E1030" s="115" t="s">
        <v>625</v>
      </c>
      <c r="F1030" s="115">
        <v>101.67910000000001</v>
      </c>
      <c r="G1030" s="121">
        <v>100.4319</v>
      </c>
      <c r="H1030" s="115" t="e">
        <v>#N/A</v>
      </c>
      <c r="I1030" s="118" t="s">
        <v>625</v>
      </c>
    </row>
    <row r="1031" spans="1:9">
      <c r="A1031" s="114">
        <v>40886</v>
      </c>
      <c r="B1031" s="115">
        <v>99.6</v>
      </c>
      <c r="C1031" s="115">
        <v>98.205699999999993</v>
      </c>
      <c r="D1031" s="115">
        <v>99.000299999999996</v>
      </c>
      <c r="E1031" s="115" t="s">
        <v>625</v>
      </c>
      <c r="F1031" s="115">
        <v>101.6155</v>
      </c>
      <c r="G1031" s="121">
        <v>100.6349</v>
      </c>
      <c r="H1031" s="115" t="e">
        <v>#N/A</v>
      </c>
      <c r="I1031" s="118" t="s">
        <v>625</v>
      </c>
    </row>
    <row r="1032" spans="1:9">
      <c r="A1032" s="114">
        <v>40889</v>
      </c>
      <c r="B1032" s="115">
        <v>99.6</v>
      </c>
      <c r="C1032" s="115">
        <v>98.165000000000006</v>
      </c>
      <c r="D1032" s="115">
        <v>99.100300000000004</v>
      </c>
      <c r="E1032" s="115" t="s">
        <v>625</v>
      </c>
      <c r="F1032" s="115">
        <v>101.55410000000001</v>
      </c>
      <c r="G1032" s="121">
        <v>100.45820000000001</v>
      </c>
      <c r="H1032" s="115" t="e">
        <v>#N/A</v>
      </c>
      <c r="I1032" s="118" t="s">
        <v>625</v>
      </c>
    </row>
    <row r="1033" spans="1:9">
      <c r="A1033" s="114">
        <v>40890</v>
      </c>
      <c r="B1033" s="115">
        <v>99.6</v>
      </c>
      <c r="C1033" s="115">
        <v>98.165000000000006</v>
      </c>
      <c r="D1033" s="115">
        <v>99.000299999999996</v>
      </c>
      <c r="E1033" s="115" t="s">
        <v>625</v>
      </c>
      <c r="F1033" s="115">
        <v>101.5534</v>
      </c>
      <c r="G1033" s="121">
        <v>100.4855</v>
      </c>
      <c r="H1033" s="115" t="e">
        <v>#N/A</v>
      </c>
      <c r="I1033" s="118" t="s">
        <v>625</v>
      </c>
    </row>
    <row r="1034" spans="1:9">
      <c r="A1034" s="114">
        <v>40891</v>
      </c>
      <c r="B1034" s="115">
        <v>99.6</v>
      </c>
      <c r="C1034" s="115">
        <v>98.165000000000006</v>
      </c>
      <c r="D1034" s="115">
        <v>99.000200000000007</v>
      </c>
      <c r="E1034" s="115" t="s">
        <v>625</v>
      </c>
      <c r="F1034" s="115">
        <v>99.75</v>
      </c>
      <c r="G1034" s="121" t="s">
        <v>625</v>
      </c>
      <c r="H1034" s="115" t="e">
        <v>#N/A</v>
      </c>
      <c r="I1034" s="118" t="s">
        <v>625</v>
      </c>
    </row>
    <row r="1035" spans="1:9">
      <c r="A1035" s="114">
        <v>40892</v>
      </c>
      <c r="B1035" s="115">
        <v>99.6</v>
      </c>
      <c r="C1035" s="115">
        <v>98.165000000000006</v>
      </c>
      <c r="D1035" s="115">
        <v>99.000299999999996</v>
      </c>
      <c r="E1035" s="115" t="s">
        <v>625</v>
      </c>
      <c r="F1035" s="115">
        <v>101.6127</v>
      </c>
      <c r="G1035" s="121">
        <v>100.6938</v>
      </c>
      <c r="H1035" s="115" t="e">
        <v>#N/A</v>
      </c>
      <c r="I1035" s="118" t="s">
        <v>625</v>
      </c>
    </row>
    <row r="1036" spans="1:9">
      <c r="A1036" s="114">
        <v>40893</v>
      </c>
      <c r="B1036" s="115">
        <v>99.6</v>
      </c>
      <c r="C1036" s="115">
        <v>98.165000000000006</v>
      </c>
      <c r="D1036" s="115">
        <v>99.000200000000007</v>
      </c>
      <c r="E1036" s="115" t="s">
        <v>625</v>
      </c>
      <c r="F1036" s="115">
        <v>101.6713</v>
      </c>
      <c r="G1036" s="121">
        <v>100.7747</v>
      </c>
      <c r="H1036" s="115" t="e">
        <v>#N/A</v>
      </c>
      <c r="I1036" s="118" t="s">
        <v>625</v>
      </c>
    </row>
    <row r="1037" spans="1:9">
      <c r="A1037" s="114">
        <v>40896</v>
      </c>
      <c r="B1037" s="115">
        <v>99.6</v>
      </c>
      <c r="C1037" s="115">
        <v>98.165000000000006</v>
      </c>
      <c r="D1037" s="115">
        <v>99.000100000000003</v>
      </c>
      <c r="E1037" s="115" t="s">
        <v>625</v>
      </c>
      <c r="F1037" s="115">
        <v>101.7312</v>
      </c>
      <c r="G1037" s="121">
        <v>100.7201</v>
      </c>
      <c r="H1037" s="115" t="e">
        <v>#N/A</v>
      </c>
      <c r="I1037" s="118" t="s">
        <v>625</v>
      </c>
    </row>
    <row r="1038" spans="1:9">
      <c r="A1038" s="114">
        <v>40897</v>
      </c>
      <c r="B1038" s="115">
        <v>99.6</v>
      </c>
      <c r="C1038" s="115">
        <v>98.165000000000006</v>
      </c>
      <c r="D1038" s="115">
        <v>99</v>
      </c>
      <c r="E1038" s="115" t="s">
        <v>625</v>
      </c>
      <c r="F1038" s="115">
        <v>101.6699</v>
      </c>
      <c r="G1038" s="121">
        <v>100.4859</v>
      </c>
      <c r="H1038" s="115" t="e">
        <v>#N/A</v>
      </c>
      <c r="I1038" s="118" t="s">
        <v>625</v>
      </c>
    </row>
    <row r="1039" spans="1:9">
      <c r="A1039" s="114">
        <v>40898</v>
      </c>
      <c r="B1039" s="115">
        <v>99.6</v>
      </c>
      <c r="C1039" s="115">
        <v>98.165000000000006</v>
      </c>
      <c r="D1039" s="115">
        <v>99.000100000000003</v>
      </c>
      <c r="E1039" s="115" t="s">
        <v>625</v>
      </c>
      <c r="F1039" s="115">
        <v>101.6995</v>
      </c>
      <c r="G1039" s="121">
        <v>100.7749</v>
      </c>
      <c r="H1039" s="115" t="e">
        <v>#N/A</v>
      </c>
      <c r="I1039" s="118" t="s">
        <v>625</v>
      </c>
    </row>
    <row r="1040" spans="1:9">
      <c r="A1040" s="114">
        <v>40899</v>
      </c>
      <c r="B1040" s="115">
        <v>99.6</v>
      </c>
      <c r="C1040" s="115">
        <v>98.165000000000006</v>
      </c>
      <c r="D1040" s="115">
        <v>99.000200000000007</v>
      </c>
      <c r="E1040" s="115" t="s">
        <v>625</v>
      </c>
      <c r="F1040" s="115">
        <v>101.6079</v>
      </c>
      <c r="G1040" s="121">
        <v>100.74590000000001</v>
      </c>
      <c r="H1040" s="115" t="e">
        <v>#N/A</v>
      </c>
      <c r="I1040" s="118" t="s">
        <v>625</v>
      </c>
    </row>
    <row r="1041" spans="1:9">
      <c r="A1041" s="114">
        <v>40900</v>
      </c>
      <c r="B1041" s="115">
        <v>99.6</v>
      </c>
      <c r="C1041" s="115">
        <v>98.165000000000006</v>
      </c>
      <c r="D1041" s="115">
        <v>99.000799999999998</v>
      </c>
      <c r="E1041" s="115" t="s">
        <v>625</v>
      </c>
      <c r="F1041" s="115">
        <v>101.60590000000001</v>
      </c>
      <c r="G1041" s="121">
        <v>100.66240000000001</v>
      </c>
      <c r="H1041" s="115" t="e">
        <v>#N/A</v>
      </c>
      <c r="I1041" s="118" t="s">
        <v>625</v>
      </c>
    </row>
    <row r="1042" spans="1:9">
      <c r="A1042" s="114">
        <v>40903</v>
      </c>
      <c r="B1042" s="115">
        <v>99.6</v>
      </c>
      <c r="C1042" s="115">
        <v>98.165000000000006</v>
      </c>
      <c r="D1042" s="115">
        <v>98.900300000000001</v>
      </c>
      <c r="E1042" s="115" t="s">
        <v>625</v>
      </c>
      <c r="F1042" s="115">
        <v>101.6052</v>
      </c>
      <c r="G1042" s="121" t="s">
        <v>625</v>
      </c>
      <c r="H1042" s="115" t="e">
        <v>#N/A</v>
      </c>
      <c r="I1042" s="118" t="s">
        <v>625</v>
      </c>
    </row>
    <row r="1043" spans="1:9">
      <c r="A1043" s="114">
        <v>40904</v>
      </c>
      <c r="B1043" s="115">
        <v>99.6</v>
      </c>
      <c r="C1043" s="115">
        <v>98.165000000000006</v>
      </c>
      <c r="D1043" s="115">
        <v>98.900300000000001</v>
      </c>
      <c r="E1043" s="115" t="s">
        <v>625</v>
      </c>
      <c r="F1043" s="115">
        <v>101.66500000000001</v>
      </c>
      <c r="G1043" s="121">
        <v>99</v>
      </c>
      <c r="H1043" s="115" t="e">
        <v>#N/A</v>
      </c>
      <c r="I1043" s="118" t="s">
        <v>625</v>
      </c>
    </row>
    <row r="1044" spans="1:9">
      <c r="A1044" s="114">
        <v>40905</v>
      </c>
      <c r="B1044" s="115">
        <v>99.6</v>
      </c>
      <c r="C1044" s="115">
        <v>98.165000000000006</v>
      </c>
      <c r="D1044" s="115">
        <v>98.900300000000001</v>
      </c>
      <c r="E1044" s="115" t="s">
        <v>625</v>
      </c>
      <c r="F1044" s="115">
        <v>101.69450000000001</v>
      </c>
      <c r="G1044" s="121">
        <v>99.536600000000007</v>
      </c>
      <c r="H1044" s="115" t="e">
        <v>#N/A</v>
      </c>
      <c r="I1044" s="118" t="s">
        <v>625</v>
      </c>
    </row>
    <row r="1045" spans="1:9">
      <c r="A1045" s="114">
        <v>40906</v>
      </c>
      <c r="B1045" s="115">
        <v>99.6</v>
      </c>
      <c r="C1045" s="115">
        <v>98.165000000000006</v>
      </c>
      <c r="D1045" s="115">
        <v>98.900300000000001</v>
      </c>
      <c r="E1045" s="115" t="s">
        <v>625</v>
      </c>
      <c r="F1045" s="115">
        <v>101.845</v>
      </c>
      <c r="G1045" s="121">
        <v>100.82380000000001</v>
      </c>
      <c r="H1045" s="115" t="e">
        <v>#N/A</v>
      </c>
      <c r="I1045" s="118" t="s">
        <v>625</v>
      </c>
    </row>
    <row r="1046" spans="1:9">
      <c r="A1046" s="114">
        <v>40907</v>
      </c>
      <c r="B1046" s="115">
        <v>99.6</v>
      </c>
      <c r="C1046" s="115">
        <v>98.165000000000006</v>
      </c>
      <c r="D1046" s="115">
        <v>98.900300000000001</v>
      </c>
      <c r="E1046" s="115" t="s">
        <v>625</v>
      </c>
      <c r="F1046" s="115">
        <v>102.0261</v>
      </c>
      <c r="G1046" s="121">
        <v>100.9871</v>
      </c>
      <c r="H1046" s="115" t="e">
        <v>#N/A</v>
      </c>
      <c r="I1046" s="118" t="s">
        <v>625</v>
      </c>
    </row>
    <row r="1047" spans="1:9">
      <c r="A1047" s="114">
        <v>40908</v>
      </c>
      <c r="B1047" s="115">
        <v>99.6</v>
      </c>
      <c r="C1047" s="115">
        <v>98.165000000000006</v>
      </c>
      <c r="D1047" s="115">
        <v>98.900300000000001</v>
      </c>
      <c r="E1047" s="115" t="s">
        <v>625</v>
      </c>
      <c r="F1047" s="115">
        <v>102.0261</v>
      </c>
      <c r="G1047" s="121">
        <v>99.977199999999996</v>
      </c>
      <c r="H1047" s="115" t="e">
        <v>#N/A</v>
      </c>
      <c r="I1047" s="118" t="s">
        <v>625</v>
      </c>
    </row>
    <row r="1048" spans="1:9">
      <c r="A1048" s="114">
        <v>40912</v>
      </c>
      <c r="B1048" s="115">
        <v>99.6</v>
      </c>
      <c r="C1048" s="115">
        <v>98.165000000000006</v>
      </c>
      <c r="D1048" s="115">
        <v>98.900300000000001</v>
      </c>
      <c r="E1048" s="115" t="s">
        <v>625</v>
      </c>
      <c r="F1048" s="115">
        <v>101.84050000000001</v>
      </c>
      <c r="G1048" s="121">
        <v>100.90560000000001</v>
      </c>
      <c r="H1048" s="115" t="e">
        <v>#N/A</v>
      </c>
      <c r="I1048" s="118" t="s">
        <v>625</v>
      </c>
    </row>
    <row r="1049" spans="1:9">
      <c r="A1049" s="114">
        <v>40913</v>
      </c>
      <c r="B1049" s="115">
        <v>99.6</v>
      </c>
      <c r="C1049" s="115">
        <v>98.165000000000006</v>
      </c>
      <c r="D1049" s="115">
        <v>98.900300000000001</v>
      </c>
      <c r="E1049" s="115" t="s">
        <v>625</v>
      </c>
      <c r="F1049" s="115">
        <v>101.83969999999999</v>
      </c>
      <c r="G1049" s="121">
        <v>101.0806</v>
      </c>
      <c r="H1049" s="115" t="e">
        <v>#N/A</v>
      </c>
      <c r="I1049" s="118" t="s">
        <v>625</v>
      </c>
    </row>
    <row r="1050" spans="1:9">
      <c r="A1050" s="114">
        <v>40914</v>
      </c>
      <c r="B1050" s="115">
        <v>99.6</v>
      </c>
      <c r="C1050" s="115">
        <v>98.165000000000006</v>
      </c>
      <c r="D1050" s="115">
        <v>98.900300000000001</v>
      </c>
      <c r="E1050" s="115" t="s">
        <v>625</v>
      </c>
      <c r="F1050" s="115">
        <v>102.0791</v>
      </c>
      <c r="G1050" s="121">
        <v>100.7054</v>
      </c>
      <c r="H1050" s="115" t="e">
        <v>#N/A</v>
      </c>
      <c r="I1050" s="118" t="s">
        <v>625</v>
      </c>
    </row>
    <row r="1051" spans="1:9">
      <c r="A1051" s="114">
        <v>40917</v>
      </c>
      <c r="B1051" s="115">
        <v>99.6</v>
      </c>
      <c r="C1051" s="115">
        <v>98.165000000000006</v>
      </c>
      <c r="D1051" s="115">
        <v>98.900300000000001</v>
      </c>
      <c r="E1051" s="115" t="s">
        <v>625</v>
      </c>
      <c r="F1051" s="115">
        <v>102.1388</v>
      </c>
      <c r="G1051" s="121">
        <v>101.5421</v>
      </c>
      <c r="H1051" s="115" t="e">
        <v>#N/A</v>
      </c>
      <c r="I1051" s="118" t="s">
        <v>625</v>
      </c>
    </row>
    <row r="1052" spans="1:9">
      <c r="A1052" s="114">
        <v>40918</v>
      </c>
      <c r="B1052" s="115">
        <v>99.6</v>
      </c>
      <c r="C1052" s="115">
        <v>98.165000000000006</v>
      </c>
      <c r="D1052" s="115">
        <v>98.900300000000001</v>
      </c>
      <c r="E1052" s="115" t="s">
        <v>625</v>
      </c>
      <c r="F1052" s="115">
        <v>102.0775</v>
      </c>
      <c r="G1052" s="121">
        <v>101.3398</v>
      </c>
      <c r="H1052" s="115" t="e">
        <v>#N/A</v>
      </c>
      <c r="I1052" s="118" t="s">
        <v>625</v>
      </c>
    </row>
    <row r="1053" spans="1:9">
      <c r="A1053" s="114">
        <v>40919</v>
      </c>
      <c r="B1053" s="115">
        <v>99.6</v>
      </c>
      <c r="C1053" s="115">
        <v>98.165000000000006</v>
      </c>
      <c r="D1053" s="115">
        <v>98.900300000000001</v>
      </c>
      <c r="E1053" s="115" t="s">
        <v>625</v>
      </c>
      <c r="F1053" s="115">
        <v>102.131</v>
      </c>
      <c r="G1053" s="121">
        <v>101.2281</v>
      </c>
      <c r="H1053" s="115" t="e">
        <v>#N/A</v>
      </c>
      <c r="I1053" s="118" t="s">
        <v>625</v>
      </c>
    </row>
    <row r="1054" spans="1:9">
      <c r="A1054" s="114">
        <v>40920</v>
      </c>
      <c r="B1054" s="115">
        <v>99.6</v>
      </c>
      <c r="C1054" s="115">
        <v>98.165000000000006</v>
      </c>
      <c r="D1054" s="115">
        <v>98.900300000000001</v>
      </c>
      <c r="E1054" s="115" t="s">
        <v>625</v>
      </c>
      <c r="F1054" s="115">
        <v>102.1362</v>
      </c>
      <c r="G1054" s="121" t="s">
        <v>625</v>
      </c>
      <c r="H1054" s="115" t="e">
        <v>#N/A</v>
      </c>
      <c r="I1054" s="118" t="s">
        <v>625</v>
      </c>
    </row>
    <row r="1055" spans="1:9">
      <c r="A1055" s="114">
        <v>40921</v>
      </c>
      <c r="B1055" s="115">
        <v>99.6</v>
      </c>
      <c r="C1055" s="115">
        <v>98.820300000000003</v>
      </c>
      <c r="D1055" s="115">
        <v>98.900300000000001</v>
      </c>
      <c r="E1055" s="115" t="s">
        <v>625</v>
      </c>
      <c r="F1055" s="115">
        <v>102.0848</v>
      </c>
      <c r="G1055" s="121">
        <v>101.40260000000001</v>
      </c>
      <c r="H1055" s="115" t="e">
        <v>#N/A</v>
      </c>
      <c r="I1055" s="118" t="s">
        <v>625</v>
      </c>
    </row>
    <row r="1056" spans="1:9">
      <c r="A1056" s="114">
        <v>40924</v>
      </c>
      <c r="B1056" s="115">
        <v>99.6</v>
      </c>
      <c r="C1056" s="115">
        <v>98.758899999999997</v>
      </c>
      <c r="D1056" s="115">
        <v>98.900300000000001</v>
      </c>
      <c r="E1056" s="115" t="s">
        <v>625</v>
      </c>
      <c r="F1056" s="115">
        <v>102.07250000000001</v>
      </c>
      <c r="G1056" s="121">
        <v>101.2971</v>
      </c>
      <c r="H1056" s="115" t="e">
        <v>#N/A</v>
      </c>
      <c r="I1056" s="118" t="s">
        <v>625</v>
      </c>
    </row>
    <row r="1057" spans="1:9">
      <c r="A1057" s="114">
        <v>40925</v>
      </c>
      <c r="B1057" s="115">
        <v>101.43</v>
      </c>
      <c r="C1057" s="115">
        <v>98.724100000000007</v>
      </c>
      <c r="D1057" s="115">
        <v>99.012500000000003</v>
      </c>
      <c r="E1057" s="115" t="s">
        <v>625</v>
      </c>
      <c r="F1057" s="115">
        <v>102.0851</v>
      </c>
      <c r="G1057" s="121">
        <v>101.2266</v>
      </c>
      <c r="H1057" s="115" t="e">
        <v>#N/A</v>
      </c>
      <c r="I1057" s="118" t="s">
        <v>625</v>
      </c>
    </row>
    <row r="1058" spans="1:9">
      <c r="A1058" s="114">
        <v>40926</v>
      </c>
      <c r="B1058" s="115">
        <v>101.43</v>
      </c>
      <c r="C1058" s="115">
        <v>98.715900000000005</v>
      </c>
      <c r="D1058" s="115">
        <v>99.012500000000003</v>
      </c>
      <c r="E1058" s="115" t="s">
        <v>625</v>
      </c>
      <c r="F1058" s="115">
        <v>102.1311</v>
      </c>
      <c r="G1058" s="121">
        <v>101.1598</v>
      </c>
      <c r="H1058" s="115" t="e">
        <v>#N/A</v>
      </c>
      <c r="I1058" s="118" t="s">
        <v>625</v>
      </c>
    </row>
    <row r="1059" spans="1:9">
      <c r="A1059" s="114">
        <v>40927</v>
      </c>
      <c r="B1059" s="115">
        <v>101.43</v>
      </c>
      <c r="C1059" s="115">
        <v>98.611800000000002</v>
      </c>
      <c r="D1059" s="115">
        <v>99.012500000000003</v>
      </c>
      <c r="E1059" s="115" t="s">
        <v>625</v>
      </c>
      <c r="F1059" s="115">
        <v>102.2509</v>
      </c>
      <c r="G1059" s="121">
        <v>101.5444</v>
      </c>
      <c r="H1059" s="115" t="e">
        <v>#N/A</v>
      </c>
      <c r="I1059" s="118" t="s">
        <v>625</v>
      </c>
    </row>
    <row r="1060" spans="1:9">
      <c r="A1060" s="114">
        <v>40928</v>
      </c>
      <c r="B1060" s="115">
        <v>101.43</v>
      </c>
      <c r="C1060" s="115">
        <v>98.603499999999997</v>
      </c>
      <c r="D1060" s="115">
        <v>99.012500000000003</v>
      </c>
      <c r="E1060" s="115" t="s">
        <v>625</v>
      </c>
      <c r="F1060" s="115">
        <v>102.2509</v>
      </c>
      <c r="G1060" s="121" t="s">
        <v>625</v>
      </c>
      <c r="H1060" s="115" t="e">
        <v>#N/A</v>
      </c>
      <c r="I1060" s="118" t="s">
        <v>625</v>
      </c>
    </row>
    <row r="1061" spans="1:9">
      <c r="A1061" s="114">
        <v>40929</v>
      </c>
      <c r="B1061" s="115">
        <v>101.43</v>
      </c>
      <c r="C1061" s="115">
        <v>98.628799999999998</v>
      </c>
      <c r="D1061" s="115">
        <v>99.012500000000003</v>
      </c>
      <c r="E1061" s="115" t="s">
        <v>625</v>
      </c>
      <c r="F1061" s="115">
        <v>102.2509</v>
      </c>
      <c r="G1061" s="121" t="s">
        <v>625</v>
      </c>
      <c r="H1061" s="115" t="e">
        <v>#N/A</v>
      </c>
      <c r="I1061" s="118" t="s">
        <v>625</v>
      </c>
    </row>
    <row r="1062" spans="1:9">
      <c r="A1062" s="114">
        <v>40937</v>
      </c>
      <c r="B1062" s="115">
        <v>101.43</v>
      </c>
      <c r="C1062" s="115">
        <v>98.603099999999998</v>
      </c>
      <c r="D1062" s="115">
        <v>99.012500000000003</v>
      </c>
      <c r="E1062" s="115" t="s">
        <v>625</v>
      </c>
      <c r="F1062" s="115">
        <v>102.2509</v>
      </c>
      <c r="G1062" s="121" t="s">
        <v>625</v>
      </c>
      <c r="H1062" s="115" t="e">
        <v>#N/A</v>
      </c>
      <c r="I1062" s="118" t="s">
        <v>625</v>
      </c>
    </row>
    <row r="1063" spans="1:9">
      <c r="A1063" s="114">
        <v>40938</v>
      </c>
      <c r="B1063" s="115">
        <v>101.43</v>
      </c>
      <c r="C1063" s="115">
        <v>98.601900000000001</v>
      </c>
      <c r="D1063" s="115">
        <v>99.012500000000003</v>
      </c>
      <c r="E1063" s="115" t="s">
        <v>625</v>
      </c>
      <c r="F1063" s="115">
        <v>102.2111</v>
      </c>
      <c r="G1063" s="121">
        <v>101.4024</v>
      </c>
      <c r="H1063" s="115" t="e">
        <v>#N/A</v>
      </c>
      <c r="I1063" s="118" t="s">
        <v>625</v>
      </c>
    </row>
    <row r="1064" spans="1:9">
      <c r="A1064" s="114">
        <v>40939</v>
      </c>
      <c r="B1064" s="115">
        <v>101.43</v>
      </c>
      <c r="C1064" s="115">
        <v>98.602199999999996</v>
      </c>
      <c r="D1064" s="115">
        <v>99.012500000000003</v>
      </c>
      <c r="E1064" s="115" t="s">
        <v>625</v>
      </c>
      <c r="F1064" s="115">
        <v>102.1801</v>
      </c>
      <c r="G1064" s="121">
        <v>101.3292</v>
      </c>
      <c r="H1064" s="115" t="e">
        <v>#N/A</v>
      </c>
      <c r="I1064" s="118" t="s">
        <v>625</v>
      </c>
    </row>
    <row r="1065" spans="1:9">
      <c r="A1065" s="114">
        <v>40940</v>
      </c>
      <c r="B1065" s="115">
        <v>101.43</v>
      </c>
      <c r="C1065" s="115">
        <v>98.702299999999994</v>
      </c>
      <c r="D1065" s="115">
        <v>99.012500000000003</v>
      </c>
      <c r="E1065" s="115" t="s">
        <v>625</v>
      </c>
      <c r="F1065" s="115">
        <v>101.8197</v>
      </c>
      <c r="G1065" s="121">
        <v>100.8103</v>
      </c>
      <c r="H1065" s="115" t="e">
        <v>#N/A</v>
      </c>
      <c r="I1065" s="118" t="s">
        <v>625</v>
      </c>
    </row>
    <row r="1066" spans="1:9">
      <c r="A1066" s="114">
        <v>40941</v>
      </c>
      <c r="B1066" s="115">
        <v>101.43</v>
      </c>
      <c r="C1066" s="115">
        <v>98.702299999999994</v>
      </c>
      <c r="D1066" s="115">
        <v>99.012500000000003</v>
      </c>
      <c r="E1066" s="115" t="s">
        <v>625</v>
      </c>
      <c r="F1066" s="115">
        <v>101.789</v>
      </c>
      <c r="G1066" s="121">
        <v>101.1373</v>
      </c>
      <c r="H1066" s="115" t="e">
        <v>#N/A</v>
      </c>
      <c r="I1066" s="118" t="s">
        <v>625</v>
      </c>
    </row>
    <row r="1067" spans="1:9">
      <c r="A1067" s="114">
        <v>40942</v>
      </c>
      <c r="B1067" s="115">
        <v>101.43</v>
      </c>
      <c r="C1067" s="115">
        <v>98.706400000000002</v>
      </c>
      <c r="D1067" s="115">
        <v>99.012500000000003</v>
      </c>
      <c r="E1067" s="115" t="s">
        <v>625</v>
      </c>
      <c r="F1067" s="115">
        <v>101.75700000000001</v>
      </c>
      <c r="G1067" s="121">
        <v>101.0611</v>
      </c>
      <c r="H1067" s="115" t="e">
        <v>#N/A</v>
      </c>
      <c r="I1067" s="118" t="s">
        <v>625</v>
      </c>
    </row>
    <row r="1068" spans="1:9">
      <c r="A1068" s="114">
        <v>40945</v>
      </c>
      <c r="B1068" s="115">
        <v>101.43</v>
      </c>
      <c r="C1068" s="115">
        <v>98.701700000000002</v>
      </c>
      <c r="D1068" s="115">
        <v>99.012500000000003</v>
      </c>
      <c r="E1068" s="115" t="s">
        <v>625</v>
      </c>
      <c r="F1068" s="115">
        <v>101.6073</v>
      </c>
      <c r="G1068" s="121">
        <v>100.8807</v>
      </c>
      <c r="H1068" s="115" t="e">
        <v>#N/A</v>
      </c>
      <c r="I1068" s="118" t="s">
        <v>625</v>
      </c>
    </row>
    <row r="1069" spans="1:9">
      <c r="A1069" s="114">
        <v>40946</v>
      </c>
      <c r="B1069" s="115">
        <v>101.43</v>
      </c>
      <c r="C1069" s="115">
        <v>98.701700000000002</v>
      </c>
      <c r="D1069" s="115">
        <v>99.012500000000003</v>
      </c>
      <c r="E1069" s="115" t="s">
        <v>625</v>
      </c>
      <c r="F1069" s="115">
        <v>101.6067</v>
      </c>
      <c r="G1069" s="121">
        <v>100.79559999999999</v>
      </c>
      <c r="H1069" s="115" t="e">
        <v>#N/A</v>
      </c>
      <c r="I1069" s="118" t="s">
        <v>625</v>
      </c>
    </row>
    <row r="1070" spans="1:9">
      <c r="A1070" s="114">
        <v>40947</v>
      </c>
      <c r="B1070" s="115">
        <v>101.43</v>
      </c>
      <c r="C1070" s="115">
        <v>98.701700000000002</v>
      </c>
      <c r="D1070" s="115">
        <v>99.012500000000003</v>
      </c>
      <c r="E1070" s="115" t="s">
        <v>625</v>
      </c>
      <c r="F1070" s="115">
        <v>101.4474</v>
      </c>
      <c r="G1070" s="121">
        <v>100.47110000000001</v>
      </c>
      <c r="H1070" s="115" t="e">
        <v>#N/A</v>
      </c>
      <c r="I1070" s="118" t="s">
        <v>625</v>
      </c>
    </row>
    <row r="1071" spans="1:9">
      <c r="A1071" s="114">
        <v>40948</v>
      </c>
      <c r="B1071" s="115">
        <v>101.43</v>
      </c>
      <c r="C1071" s="115">
        <v>98.701400000000007</v>
      </c>
      <c r="D1071" s="115">
        <v>99.012500000000003</v>
      </c>
      <c r="E1071" s="115" t="s">
        <v>625</v>
      </c>
      <c r="F1071" s="115">
        <v>101.88809999999999</v>
      </c>
      <c r="G1071" s="121">
        <v>99.914400000000001</v>
      </c>
      <c r="H1071" s="115" t="e">
        <v>#N/A</v>
      </c>
      <c r="I1071" s="118" t="s">
        <v>625</v>
      </c>
    </row>
    <row r="1072" spans="1:9">
      <c r="A1072" s="114">
        <v>40949</v>
      </c>
      <c r="B1072" s="115">
        <v>101.43</v>
      </c>
      <c r="C1072" s="115">
        <v>98.704499999999996</v>
      </c>
      <c r="D1072" s="115">
        <v>99.012500000000003</v>
      </c>
      <c r="E1072" s="115" t="s">
        <v>625</v>
      </c>
      <c r="F1072" s="115">
        <v>101.39570000000001</v>
      </c>
      <c r="G1072" s="121">
        <v>100.36660000000001</v>
      </c>
      <c r="H1072" s="115" t="e">
        <v>#N/A</v>
      </c>
      <c r="I1072" s="118" t="s">
        <v>625</v>
      </c>
    </row>
    <row r="1073" spans="1:9">
      <c r="A1073" s="114">
        <v>40952</v>
      </c>
      <c r="B1073" s="115">
        <v>101.43</v>
      </c>
      <c r="C1073" s="115">
        <v>98.301500000000004</v>
      </c>
      <c r="D1073" s="115">
        <v>99.012500000000003</v>
      </c>
      <c r="E1073" s="115" t="s">
        <v>625</v>
      </c>
      <c r="F1073" s="115">
        <v>101.5731</v>
      </c>
      <c r="G1073" s="121">
        <v>100.587</v>
      </c>
      <c r="H1073" s="115" t="e">
        <v>#N/A</v>
      </c>
      <c r="I1073" s="118" t="s">
        <v>625</v>
      </c>
    </row>
    <row r="1074" spans="1:9">
      <c r="A1074" s="114">
        <v>40953</v>
      </c>
      <c r="B1074" s="115">
        <v>101.43</v>
      </c>
      <c r="C1074" s="115">
        <v>98.302300000000002</v>
      </c>
      <c r="D1074" s="115">
        <v>99.012500000000003</v>
      </c>
      <c r="E1074" s="115" t="s">
        <v>625</v>
      </c>
      <c r="F1074" s="115">
        <v>101.57250000000001</v>
      </c>
      <c r="G1074" s="121">
        <v>100.4675</v>
      </c>
      <c r="H1074" s="115">
        <v>98.11</v>
      </c>
      <c r="I1074" s="118" t="s">
        <v>625</v>
      </c>
    </row>
    <row r="1075" spans="1:9">
      <c r="A1075" s="114">
        <v>40954</v>
      </c>
      <c r="B1075" s="115">
        <v>101.43</v>
      </c>
      <c r="C1075" s="115">
        <v>98.278899999999993</v>
      </c>
      <c r="D1075" s="115">
        <v>99.012500000000003</v>
      </c>
      <c r="E1075" s="115" t="s">
        <v>625</v>
      </c>
      <c r="F1075" s="115">
        <v>101.4532</v>
      </c>
      <c r="G1075" s="121">
        <v>100.3853</v>
      </c>
      <c r="H1075" s="115">
        <v>98.1</v>
      </c>
      <c r="I1075" s="118" t="s">
        <v>625</v>
      </c>
    </row>
    <row r="1076" spans="1:9">
      <c r="A1076" s="114">
        <v>40955</v>
      </c>
      <c r="B1076" s="115">
        <v>101.43</v>
      </c>
      <c r="C1076" s="115">
        <v>98.303700000000006</v>
      </c>
      <c r="D1076" s="115">
        <v>99.012500000000003</v>
      </c>
      <c r="E1076" s="115" t="s">
        <v>625</v>
      </c>
      <c r="F1076" s="115">
        <v>101.2752</v>
      </c>
      <c r="G1076" s="121">
        <v>100.24160000000001</v>
      </c>
      <c r="H1076" s="115">
        <v>98.03</v>
      </c>
      <c r="I1076" s="118" t="s">
        <v>625</v>
      </c>
    </row>
    <row r="1077" spans="1:9">
      <c r="A1077" s="114">
        <v>40956</v>
      </c>
      <c r="B1077" s="115">
        <v>101.43</v>
      </c>
      <c r="C1077" s="115">
        <v>98.319100000000006</v>
      </c>
      <c r="D1077" s="115">
        <v>99.012500000000003</v>
      </c>
      <c r="E1077" s="115" t="s">
        <v>625</v>
      </c>
      <c r="F1077" s="115">
        <v>101.2736</v>
      </c>
      <c r="G1077" s="121">
        <v>100.285</v>
      </c>
      <c r="H1077" s="115">
        <v>98.1</v>
      </c>
      <c r="I1077" s="118" t="s">
        <v>625</v>
      </c>
    </row>
    <row r="1078" spans="1:9">
      <c r="A1078" s="114">
        <v>40959</v>
      </c>
      <c r="B1078" s="115">
        <v>101.43</v>
      </c>
      <c r="C1078" s="115">
        <v>98.2072</v>
      </c>
      <c r="D1078" s="115">
        <v>99.005799999999994</v>
      </c>
      <c r="E1078" s="115" t="s">
        <v>625</v>
      </c>
      <c r="F1078" s="115">
        <v>101.2409</v>
      </c>
      <c r="G1078" s="121">
        <v>100.3395</v>
      </c>
      <c r="H1078" s="115">
        <v>98.18</v>
      </c>
      <c r="I1078" s="118" t="s">
        <v>625</v>
      </c>
    </row>
    <row r="1079" spans="1:9">
      <c r="A1079" s="114">
        <v>40960</v>
      </c>
      <c r="B1079" s="115">
        <v>101.43</v>
      </c>
      <c r="C1079" s="115">
        <v>98.307400000000001</v>
      </c>
      <c r="D1079" s="115">
        <v>99.006299999999996</v>
      </c>
      <c r="E1079" s="115" t="s">
        <v>625</v>
      </c>
      <c r="F1079" s="115">
        <v>101.25660000000001</v>
      </c>
      <c r="G1079" s="121">
        <v>100.2974</v>
      </c>
      <c r="H1079" s="115">
        <v>98.07</v>
      </c>
      <c r="I1079" s="118">
        <v>100</v>
      </c>
    </row>
    <row r="1080" spans="1:9">
      <c r="A1080" s="114">
        <v>40961</v>
      </c>
      <c r="B1080" s="115">
        <v>101.43</v>
      </c>
      <c r="C1080" s="115">
        <v>98.3078</v>
      </c>
      <c r="D1080" s="115">
        <v>99.105900000000005</v>
      </c>
      <c r="E1080" s="115" t="s">
        <v>625</v>
      </c>
      <c r="F1080" s="115">
        <v>101.3901</v>
      </c>
      <c r="G1080" s="121">
        <v>100.3241</v>
      </c>
      <c r="H1080" s="115">
        <v>97.94</v>
      </c>
      <c r="I1080" s="118">
        <v>99.817499999999995</v>
      </c>
    </row>
    <row r="1081" spans="1:9">
      <c r="A1081" s="114">
        <v>40962</v>
      </c>
      <c r="B1081" s="115">
        <v>100.67</v>
      </c>
      <c r="C1081" s="115">
        <v>98.308199999999999</v>
      </c>
      <c r="D1081" s="115">
        <v>99.107299999999995</v>
      </c>
      <c r="E1081" s="115" t="s">
        <v>625</v>
      </c>
      <c r="F1081" s="115">
        <v>101.27679999999999</v>
      </c>
      <c r="G1081" s="121">
        <v>100.3062</v>
      </c>
      <c r="H1081" s="115">
        <v>97.85</v>
      </c>
      <c r="I1081" s="118">
        <v>99.840100000000007</v>
      </c>
    </row>
    <row r="1082" spans="1:9">
      <c r="A1082" s="114">
        <v>40963</v>
      </c>
      <c r="B1082" s="115">
        <v>100.67</v>
      </c>
      <c r="C1082" s="115">
        <v>98.3202</v>
      </c>
      <c r="D1082" s="115">
        <v>99.115300000000005</v>
      </c>
      <c r="E1082" s="115" t="s">
        <v>625</v>
      </c>
      <c r="F1082" s="115">
        <v>101.2916</v>
      </c>
      <c r="G1082" s="121">
        <v>100.3138</v>
      </c>
      <c r="H1082" s="115">
        <v>97.82</v>
      </c>
      <c r="I1082" s="118">
        <v>99.656199999999998</v>
      </c>
    </row>
    <row r="1083" spans="1:9">
      <c r="A1083" s="114">
        <v>40966</v>
      </c>
      <c r="B1083" s="115">
        <v>100.67</v>
      </c>
      <c r="C1083" s="115">
        <v>98.302300000000002</v>
      </c>
      <c r="D1083" s="115">
        <v>99.100700000000003</v>
      </c>
      <c r="E1083" s="115" t="s">
        <v>625</v>
      </c>
      <c r="F1083" s="115">
        <v>101.2106</v>
      </c>
      <c r="G1083" s="121">
        <v>100.27549999999999</v>
      </c>
      <c r="H1083" s="115">
        <v>97.84</v>
      </c>
      <c r="I1083" s="118">
        <v>99.677700000000002</v>
      </c>
    </row>
    <row r="1084" spans="1:9">
      <c r="A1084" s="114">
        <v>40967</v>
      </c>
      <c r="B1084" s="115">
        <v>100.67</v>
      </c>
      <c r="C1084" s="115">
        <v>98.301500000000004</v>
      </c>
      <c r="D1084" s="115">
        <v>99.099800000000002</v>
      </c>
      <c r="E1084" s="115" t="s">
        <v>625</v>
      </c>
      <c r="F1084" s="115">
        <v>101.39619999999999</v>
      </c>
      <c r="G1084" s="121">
        <v>100.3455</v>
      </c>
      <c r="H1084" s="115">
        <v>98.19</v>
      </c>
      <c r="I1084" s="118">
        <v>99.636600000000001</v>
      </c>
    </row>
    <row r="1085" spans="1:9">
      <c r="A1085" s="114">
        <v>40968</v>
      </c>
      <c r="B1085" s="115">
        <v>100.67</v>
      </c>
      <c r="C1085" s="115">
        <v>98.301199999999994</v>
      </c>
      <c r="D1085" s="115">
        <v>99.099500000000006</v>
      </c>
      <c r="E1085" s="115" t="s">
        <v>625</v>
      </c>
      <c r="F1085" s="115">
        <v>101.2684</v>
      </c>
      <c r="G1085" s="121">
        <v>100.30549999999999</v>
      </c>
      <c r="H1085" s="115">
        <v>97.91</v>
      </c>
      <c r="I1085" s="118">
        <v>99.681799999999996</v>
      </c>
    </row>
    <row r="1086" spans="1:9">
      <c r="A1086" s="114">
        <v>40969</v>
      </c>
      <c r="B1086" s="115">
        <v>100.67</v>
      </c>
      <c r="C1086" s="115">
        <v>98.300899999999999</v>
      </c>
      <c r="D1086" s="115">
        <v>99.099500000000006</v>
      </c>
      <c r="E1086" s="115" t="s">
        <v>625</v>
      </c>
      <c r="F1086" s="115">
        <v>101.2679</v>
      </c>
      <c r="G1086" s="121">
        <v>100.30970000000001</v>
      </c>
      <c r="H1086" s="115">
        <v>97.91</v>
      </c>
      <c r="I1086" s="118">
        <v>99.625500000000002</v>
      </c>
    </row>
    <row r="1087" spans="1:9">
      <c r="A1087" s="114">
        <v>40970</v>
      </c>
      <c r="B1087" s="115">
        <v>100.67</v>
      </c>
      <c r="C1087" s="115">
        <v>98.303100000000001</v>
      </c>
      <c r="D1087" s="115">
        <v>99.099500000000006</v>
      </c>
      <c r="E1087" s="115" t="s">
        <v>625</v>
      </c>
      <c r="F1087" s="115">
        <v>101.0611</v>
      </c>
      <c r="G1087" s="121">
        <v>100.3078</v>
      </c>
      <c r="H1087" s="115">
        <v>97.89</v>
      </c>
      <c r="I1087" s="118">
        <v>99.591899999999995</v>
      </c>
    </row>
    <row r="1088" spans="1:9">
      <c r="A1088" s="114">
        <v>40973</v>
      </c>
      <c r="B1088" s="115">
        <v>100.67</v>
      </c>
      <c r="C1088" s="115">
        <v>98.300700000000006</v>
      </c>
      <c r="D1088" s="115">
        <v>98.929199999999994</v>
      </c>
      <c r="E1088" s="115" t="s">
        <v>625</v>
      </c>
      <c r="F1088" s="115">
        <v>101.09</v>
      </c>
      <c r="G1088" s="121">
        <v>100.3032</v>
      </c>
      <c r="H1088" s="115">
        <v>97.93</v>
      </c>
      <c r="I1088" s="118">
        <v>99.591899999999995</v>
      </c>
    </row>
    <row r="1089" spans="1:9">
      <c r="A1089" s="114">
        <v>40974</v>
      </c>
      <c r="B1089" s="115">
        <v>100.67</v>
      </c>
      <c r="C1089" s="115">
        <v>98.159800000000004</v>
      </c>
      <c r="D1089" s="115">
        <v>98.929199999999994</v>
      </c>
      <c r="E1089" s="115" t="s">
        <v>625</v>
      </c>
      <c r="F1089" s="115">
        <v>101.236</v>
      </c>
      <c r="G1089" s="121">
        <v>100.18810000000001</v>
      </c>
      <c r="H1089" s="115">
        <v>97.95</v>
      </c>
      <c r="I1089" s="118">
        <v>99.682000000000002</v>
      </c>
    </row>
    <row r="1090" spans="1:9">
      <c r="A1090" s="114">
        <v>40975</v>
      </c>
      <c r="B1090" s="115">
        <v>100.67</v>
      </c>
      <c r="C1090" s="115">
        <v>98.300399999999996</v>
      </c>
      <c r="D1090" s="115">
        <v>98.929199999999994</v>
      </c>
      <c r="E1090" s="115" t="s">
        <v>625</v>
      </c>
      <c r="F1090" s="115">
        <v>101.3823</v>
      </c>
      <c r="G1090" s="121">
        <v>100.20829999999999</v>
      </c>
      <c r="H1090" s="115">
        <v>98.01</v>
      </c>
      <c r="I1090" s="118">
        <v>99.772000000000006</v>
      </c>
    </row>
    <row r="1091" spans="1:9">
      <c r="A1091" s="114">
        <v>40976</v>
      </c>
      <c r="B1091" s="115">
        <v>100.67</v>
      </c>
      <c r="C1091" s="115">
        <v>98.300399999999996</v>
      </c>
      <c r="D1091" s="115">
        <v>98.929199999999994</v>
      </c>
      <c r="E1091" s="115" t="s">
        <v>625</v>
      </c>
      <c r="F1091" s="115">
        <v>101.30110000000001</v>
      </c>
      <c r="G1091" s="121">
        <v>100.239</v>
      </c>
      <c r="H1091" s="115">
        <v>98.03</v>
      </c>
      <c r="I1091" s="118">
        <v>99.794499999999999</v>
      </c>
    </row>
    <row r="1092" spans="1:9">
      <c r="A1092" s="114">
        <v>40977</v>
      </c>
      <c r="B1092" s="115">
        <v>100.67</v>
      </c>
      <c r="C1092" s="115">
        <v>98.301100000000005</v>
      </c>
      <c r="D1092" s="115">
        <v>98.929199999999994</v>
      </c>
      <c r="E1092" s="115" t="s">
        <v>625</v>
      </c>
      <c r="F1092" s="115">
        <v>101.2963</v>
      </c>
      <c r="G1092" s="121">
        <v>100.1897</v>
      </c>
      <c r="H1092" s="115">
        <v>98.11</v>
      </c>
      <c r="I1092" s="118">
        <v>99.861900000000006</v>
      </c>
    </row>
    <row r="1093" spans="1:9">
      <c r="A1093" s="114">
        <v>40980</v>
      </c>
      <c r="B1093" s="115">
        <v>100.67</v>
      </c>
      <c r="C1093" s="115">
        <v>98.300399999999996</v>
      </c>
      <c r="D1093" s="115">
        <v>98.929199999999994</v>
      </c>
      <c r="E1093" s="115">
        <v>100</v>
      </c>
      <c r="F1093" s="115">
        <v>101.4675</v>
      </c>
      <c r="G1093" s="121">
        <v>100.1494</v>
      </c>
      <c r="H1093" s="115">
        <v>98.08</v>
      </c>
      <c r="I1093" s="118">
        <v>99.974299999999999</v>
      </c>
    </row>
    <row r="1094" spans="1:9">
      <c r="A1094" s="114">
        <v>40981</v>
      </c>
      <c r="B1094" s="115">
        <v>100.67</v>
      </c>
      <c r="C1094" s="115">
        <v>98.300399999999996</v>
      </c>
      <c r="D1094" s="115">
        <v>98.929199999999994</v>
      </c>
      <c r="E1094" s="115">
        <v>100</v>
      </c>
      <c r="F1094" s="115">
        <v>101.4083</v>
      </c>
      <c r="G1094" s="121">
        <v>100.1807</v>
      </c>
      <c r="H1094" s="115">
        <v>97.94</v>
      </c>
      <c r="I1094" s="118">
        <v>99.906700000000001</v>
      </c>
    </row>
    <row r="1095" spans="1:9">
      <c r="A1095" s="114">
        <v>40982</v>
      </c>
      <c r="B1095" s="115">
        <v>100.67</v>
      </c>
      <c r="C1095" s="115">
        <v>98.300399999999996</v>
      </c>
      <c r="D1095" s="115">
        <v>98.929199999999994</v>
      </c>
      <c r="E1095" s="115">
        <v>99.754499999999993</v>
      </c>
      <c r="F1095" s="115">
        <v>103.05</v>
      </c>
      <c r="G1095" s="121">
        <v>100.20610000000001</v>
      </c>
      <c r="H1095" s="115">
        <v>97.91</v>
      </c>
      <c r="I1095" s="118">
        <v>99.861800000000002</v>
      </c>
    </row>
    <row r="1096" spans="1:9">
      <c r="A1096" s="114">
        <v>40983</v>
      </c>
      <c r="B1096" s="115">
        <v>100.67</v>
      </c>
      <c r="C1096" s="115">
        <v>98.3005</v>
      </c>
      <c r="D1096" s="115">
        <v>98.929199999999994</v>
      </c>
      <c r="E1096" s="115">
        <v>99.722099999999998</v>
      </c>
      <c r="F1096" s="115">
        <v>101.298</v>
      </c>
      <c r="G1096" s="121">
        <v>100.1651</v>
      </c>
      <c r="H1096" s="115">
        <v>97.91</v>
      </c>
      <c r="I1096" s="118">
        <v>99.794399999999996</v>
      </c>
    </row>
    <row r="1097" spans="1:9">
      <c r="A1097" s="114">
        <v>40984</v>
      </c>
      <c r="B1097" s="115">
        <v>100.67</v>
      </c>
      <c r="C1097" s="115">
        <v>98.3018</v>
      </c>
      <c r="D1097" s="115">
        <v>99.034800000000004</v>
      </c>
      <c r="E1097" s="115">
        <v>99.784700000000001</v>
      </c>
      <c r="F1097" s="115">
        <v>101.31780000000001</v>
      </c>
      <c r="G1097" s="121">
        <v>100.16419999999999</v>
      </c>
      <c r="H1097" s="115">
        <v>97.88</v>
      </c>
      <c r="I1097" s="118">
        <v>99.794399999999996</v>
      </c>
    </row>
    <row r="1098" spans="1:9">
      <c r="A1098" s="114">
        <v>40987</v>
      </c>
      <c r="B1098" s="115">
        <v>100.67</v>
      </c>
      <c r="C1098" s="115">
        <v>98.300600000000003</v>
      </c>
      <c r="D1098" s="115">
        <v>99.034800000000004</v>
      </c>
      <c r="E1098" s="115">
        <v>99.815100000000001</v>
      </c>
      <c r="F1098" s="115">
        <v>101.2589</v>
      </c>
      <c r="G1098" s="121">
        <v>100.1117</v>
      </c>
      <c r="H1098" s="115" t="s">
        <v>625</v>
      </c>
      <c r="I1098" s="118">
        <v>99.816800000000001</v>
      </c>
    </row>
    <row r="1099" spans="1:9">
      <c r="A1099" s="114">
        <v>40988</v>
      </c>
      <c r="B1099" s="115">
        <v>100.67</v>
      </c>
      <c r="C1099" s="115">
        <v>98.300899999999999</v>
      </c>
      <c r="D1099" s="115">
        <v>99.034800000000004</v>
      </c>
      <c r="E1099" s="115">
        <v>100</v>
      </c>
      <c r="F1099" s="115">
        <v>101.22920000000001</v>
      </c>
      <c r="G1099" s="121">
        <v>100.16070000000001</v>
      </c>
      <c r="H1099" s="115">
        <v>97.89</v>
      </c>
      <c r="I1099" s="118">
        <v>99.682599999999994</v>
      </c>
    </row>
    <row r="1100" spans="1:9">
      <c r="A1100" s="114">
        <v>40989</v>
      </c>
      <c r="B1100" s="115">
        <v>100.67</v>
      </c>
      <c r="C1100" s="115">
        <v>98.481099999999998</v>
      </c>
      <c r="D1100" s="115">
        <v>99.034800000000004</v>
      </c>
      <c r="E1100" s="115">
        <v>99.777600000000007</v>
      </c>
      <c r="F1100" s="115">
        <v>101.1995</v>
      </c>
      <c r="G1100" s="121">
        <v>100.1079</v>
      </c>
      <c r="H1100" s="115">
        <v>97.88</v>
      </c>
      <c r="I1100" s="118">
        <v>99.735299999999995</v>
      </c>
    </row>
    <row r="1101" spans="1:9">
      <c r="A1101" s="114">
        <v>40990</v>
      </c>
      <c r="B1101" s="115">
        <v>100.67</v>
      </c>
      <c r="C1101" s="115">
        <v>98.301500000000004</v>
      </c>
      <c r="D1101" s="115">
        <v>99.034800000000004</v>
      </c>
      <c r="E1101" s="115">
        <v>100</v>
      </c>
      <c r="F1101" s="115">
        <v>101.2282</v>
      </c>
      <c r="G1101" s="121">
        <v>100.2208</v>
      </c>
      <c r="H1101" s="115">
        <v>97.91</v>
      </c>
      <c r="I1101" s="118">
        <v>99.693799999999996</v>
      </c>
    </row>
    <row r="1102" spans="1:9">
      <c r="A1102" s="114">
        <v>40991</v>
      </c>
      <c r="B1102" s="115">
        <v>100.67</v>
      </c>
      <c r="C1102" s="115">
        <v>98.304500000000004</v>
      </c>
      <c r="D1102" s="115">
        <v>99.034800000000004</v>
      </c>
      <c r="E1102" s="115">
        <v>99.905900000000003</v>
      </c>
      <c r="F1102" s="115">
        <v>101.3725</v>
      </c>
      <c r="G1102" s="121">
        <v>100.2807</v>
      </c>
      <c r="H1102" s="115">
        <v>97.91</v>
      </c>
      <c r="I1102" s="118">
        <v>99.805400000000006</v>
      </c>
    </row>
    <row r="1103" spans="1:9">
      <c r="A1103" s="114">
        <v>40994</v>
      </c>
      <c r="B1103" s="115">
        <v>100.67</v>
      </c>
      <c r="C1103" s="115">
        <v>98.537899999999993</v>
      </c>
      <c r="D1103" s="115">
        <v>99.034800000000004</v>
      </c>
      <c r="E1103" s="115">
        <v>99.905799999999999</v>
      </c>
      <c r="F1103" s="115">
        <v>101.4012</v>
      </c>
      <c r="G1103" s="121">
        <v>100.3823</v>
      </c>
      <c r="H1103" s="115">
        <v>97.91</v>
      </c>
      <c r="I1103" s="118">
        <v>99.905900000000003</v>
      </c>
    </row>
    <row r="1104" spans="1:9">
      <c r="A1104" s="114">
        <v>40995</v>
      </c>
      <c r="B1104" s="115">
        <v>100.67</v>
      </c>
      <c r="C1104" s="115">
        <v>98.537599999999998</v>
      </c>
      <c r="D1104" s="115">
        <v>99.034800000000004</v>
      </c>
      <c r="E1104" s="115">
        <v>99.905699999999996</v>
      </c>
      <c r="F1104" s="115">
        <v>101.3115</v>
      </c>
      <c r="G1104" s="121">
        <v>100.32129999999999</v>
      </c>
      <c r="H1104" s="115">
        <v>98.01</v>
      </c>
      <c r="I1104" s="118">
        <v>99.905900000000003</v>
      </c>
    </row>
    <row r="1105" spans="1:9">
      <c r="A1105" s="114">
        <v>40996</v>
      </c>
      <c r="B1105" s="115">
        <v>100.67</v>
      </c>
      <c r="C1105" s="115">
        <v>98.537800000000004</v>
      </c>
      <c r="D1105" s="115">
        <v>99.034800000000004</v>
      </c>
      <c r="E1105" s="115">
        <v>99.936000000000007</v>
      </c>
      <c r="F1105" s="115">
        <v>101.3126</v>
      </c>
      <c r="G1105" s="121">
        <v>100.25</v>
      </c>
      <c r="H1105" s="115">
        <v>98.02</v>
      </c>
      <c r="I1105" s="118">
        <v>99.995099999999994</v>
      </c>
    </row>
    <row r="1106" spans="1:9">
      <c r="A1106" s="114">
        <v>40997</v>
      </c>
      <c r="B1106" s="115">
        <v>100.67</v>
      </c>
      <c r="C1106" s="115">
        <v>98.301199999999994</v>
      </c>
      <c r="D1106" s="115">
        <v>99.034800000000004</v>
      </c>
      <c r="E1106" s="115">
        <v>99.864400000000003</v>
      </c>
      <c r="F1106" s="115">
        <v>101.3043</v>
      </c>
      <c r="G1106" s="121" t="s">
        <v>625</v>
      </c>
      <c r="H1106" s="115">
        <v>98.04</v>
      </c>
      <c r="I1106" s="118">
        <v>100.01730000000001</v>
      </c>
    </row>
    <row r="1107" spans="1:9">
      <c r="A1107" s="114">
        <v>40998</v>
      </c>
      <c r="B1107" s="115">
        <v>100.67</v>
      </c>
      <c r="C1107" s="115">
        <v>98.301400000000001</v>
      </c>
      <c r="D1107" s="115">
        <v>99.034800000000004</v>
      </c>
      <c r="E1107" s="115">
        <v>99.998400000000004</v>
      </c>
      <c r="F1107" s="115">
        <v>101.3022</v>
      </c>
      <c r="G1107" s="121" t="s">
        <v>625</v>
      </c>
      <c r="H1107" s="115">
        <v>98.06</v>
      </c>
      <c r="I1107" s="118">
        <v>100.0842</v>
      </c>
    </row>
    <row r="1108" spans="1:9">
      <c r="A1108" s="114">
        <v>40999</v>
      </c>
      <c r="B1108" s="115">
        <v>100.67</v>
      </c>
      <c r="C1108" s="115">
        <v>98.301400000000001</v>
      </c>
      <c r="D1108" s="115">
        <v>99.034800000000004</v>
      </c>
      <c r="E1108" s="115">
        <v>99.998400000000004</v>
      </c>
      <c r="F1108" s="115">
        <v>101.30029999999999</v>
      </c>
      <c r="G1108" s="121" t="s">
        <v>625</v>
      </c>
      <c r="H1108" s="115" t="e">
        <v>#N/A</v>
      </c>
      <c r="I1108" s="118">
        <v>99.389300000000006</v>
      </c>
    </row>
    <row r="1109" spans="1:9">
      <c r="A1109" s="114">
        <v>41000</v>
      </c>
      <c r="B1109" s="115">
        <v>100.67</v>
      </c>
      <c r="C1109" s="115">
        <v>98.305400000000006</v>
      </c>
      <c r="D1109" s="115">
        <v>99.034800000000004</v>
      </c>
      <c r="E1109" s="115">
        <v>99.993300000000005</v>
      </c>
      <c r="F1109" s="115">
        <v>101.31180000000001</v>
      </c>
      <c r="G1109" s="121" t="s">
        <v>625</v>
      </c>
      <c r="H1109" s="115" t="e">
        <v>#N/A</v>
      </c>
      <c r="I1109" s="118">
        <v>99.387699999999995</v>
      </c>
    </row>
    <row r="1110" spans="1:9">
      <c r="A1110" s="114">
        <v>41004</v>
      </c>
      <c r="B1110" s="115">
        <v>100.67</v>
      </c>
      <c r="C1110" s="115">
        <v>98.669899999999998</v>
      </c>
      <c r="D1110" s="115">
        <v>99.034800000000004</v>
      </c>
      <c r="E1110" s="115">
        <v>99.999300000000005</v>
      </c>
      <c r="F1110" s="115">
        <v>101.31180000000001</v>
      </c>
      <c r="G1110" s="121" t="s">
        <v>625</v>
      </c>
      <c r="H1110" s="115">
        <v>98.03</v>
      </c>
      <c r="I1110" s="118">
        <v>100.01649999999999</v>
      </c>
    </row>
    <row r="1111" spans="1:9">
      <c r="A1111" s="114">
        <v>41005</v>
      </c>
      <c r="B1111" s="115">
        <v>100.67</v>
      </c>
      <c r="C1111" s="115">
        <v>98.308899999999994</v>
      </c>
      <c r="D1111" s="115">
        <v>99.034800000000004</v>
      </c>
      <c r="E1111" s="115">
        <v>99.934799999999996</v>
      </c>
      <c r="F1111" s="115">
        <v>101.31180000000001</v>
      </c>
      <c r="G1111" s="121" t="s">
        <v>625</v>
      </c>
      <c r="H1111" s="115">
        <v>98.04</v>
      </c>
      <c r="I1111" s="118">
        <v>100.0162</v>
      </c>
    </row>
    <row r="1112" spans="1:9">
      <c r="A1112" s="114">
        <v>41008</v>
      </c>
      <c r="B1112" s="115">
        <v>100.67</v>
      </c>
      <c r="C1112" s="115">
        <v>98.302000000000007</v>
      </c>
      <c r="D1112" s="115">
        <v>99.034800000000004</v>
      </c>
      <c r="E1112" s="115">
        <v>99.998999999999995</v>
      </c>
      <c r="F1112" s="115">
        <v>101.3066</v>
      </c>
      <c r="G1112" s="121">
        <v>100.32080000000001</v>
      </c>
      <c r="H1112" s="115">
        <v>97.99</v>
      </c>
      <c r="I1112" s="118">
        <v>100.0162</v>
      </c>
    </row>
    <row r="1113" spans="1:9">
      <c r="A1113" s="114">
        <v>41009</v>
      </c>
      <c r="B1113" s="115">
        <v>100.67</v>
      </c>
      <c r="C1113" s="115">
        <v>98.302300000000002</v>
      </c>
      <c r="D1113" s="115">
        <v>99.034800000000004</v>
      </c>
      <c r="E1113" s="115">
        <v>99.934600000000003</v>
      </c>
      <c r="F1113" s="115">
        <v>101.3351</v>
      </c>
      <c r="G1113" s="121">
        <v>100.2803</v>
      </c>
      <c r="H1113" s="115">
        <v>97.96</v>
      </c>
      <c r="I1113" s="118">
        <v>100.1048</v>
      </c>
    </row>
    <row r="1114" spans="1:9">
      <c r="A1114" s="114">
        <v>41010</v>
      </c>
      <c r="B1114" s="115">
        <v>100.67</v>
      </c>
      <c r="C1114" s="115">
        <v>98.302300000000002</v>
      </c>
      <c r="D1114" s="115">
        <v>99.034800000000004</v>
      </c>
      <c r="E1114" s="115">
        <v>99.934600000000003</v>
      </c>
      <c r="F1114" s="115">
        <v>101.4216</v>
      </c>
      <c r="G1114" s="121">
        <v>100.3613</v>
      </c>
      <c r="H1114" s="115">
        <v>97.8</v>
      </c>
      <c r="I1114" s="118">
        <v>100.0834</v>
      </c>
    </row>
    <row r="1115" spans="1:9">
      <c r="A1115" s="114">
        <v>41011</v>
      </c>
      <c r="B1115" s="115">
        <v>100.67</v>
      </c>
      <c r="C1115" s="115">
        <v>98.302499999999995</v>
      </c>
      <c r="D1115" s="115">
        <v>99.034800000000004</v>
      </c>
      <c r="E1115" s="115">
        <v>99.934399999999997</v>
      </c>
      <c r="F1115" s="115">
        <v>101.2761</v>
      </c>
      <c r="G1115" s="121">
        <v>100.31059999999999</v>
      </c>
      <c r="H1115" s="115">
        <v>97.93</v>
      </c>
      <c r="I1115" s="118">
        <v>100.038</v>
      </c>
    </row>
    <row r="1116" spans="1:9">
      <c r="A1116" s="114">
        <v>41012</v>
      </c>
      <c r="B1116" s="115">
        <v>100.67</v>
      </c>
      <c r="C1116" s="115">
        <v>98.310900000000004</v>
      </c>
      <c r="D1116" s="115">
        <v>99.034800000000004</v>
      </c>
      <c r="E1116" s="115">
        <v>99.908100000000005</v>
      </c>
      <c r="F1116" s="115">
        <v>101.36150000000001</v>
      </c>
      <c r="G1116" s="121">
        <v>100.3207</v>
      </c>
      <c r="H1116" s="115">
        <v>97.88</v>
      </c>
      <c r="I1116" s="118">
        <v>100.0907</v>
      </c>
    </row>
    <row r="1117" spans="1:9">
      <c r="A1117" s="114">
        <v>41015</v>
      </c>
      <c r="B1117" s="115">
        <v>100.67</v>
      </c>
      <c r="C1117" s="115">
        <v>98.699600000000004</v>
      </c>
      <c r="D1117" s="115">
        <v>99.034800000000004</v>
      </c>
      <c r="E1117" s="115">
        <v>99.994399999999999</v>
      </c>
      <c r="F1117" s="115">
        <v>101.3899</v>
      </c>
      <c r="G1117" s="121">
        <v>100.3207</v>
      </c>
      <c r="H1117" s="115">
        <v>97.88</v>
      </c>
      <c r="I1117" s="118">
        <v>100.09229999999999</v>
      </c>
    </row>
    <row r="1118" spans="1:9">
      <c r="A1118" s="114">
        <v>41016</v>
      </c>
      <c r="B1118" s="115">
        <v>100.67</v>
      </c>
      <c r="C1118" s="115">
        <v>98.302300000000002</v>
      </c>
      <c r="D1118" s="115">
        <v>99.034800000000004</v>
      </c>
      <c r="E1118" s="115">
        <v>99.873599999999996</v>
      </c>
      <c r="F1118" s="115">
        <v>101.3899</v>
      </c>
      <c r="G1118" s="121">
        <v>100.4015</v>
      </c>
      <c r="H1118" s="115">
        <v>97.83</v>
      </c>
      <c r="I1118" s="118">
        <v>100.09310000000001</v>
      </c>
    </row>
    <row r="1119" spans="1:9">
      <c r="A1119" s="114">
        <v>41017</v>
      </c>
      <c r="B1119" s="115">
        <v>100.67</v>
      </c>
      <c r="C1119" s="115">
        <v>98.662400000000005</v>
      </c>
      <c r="D1119" s="115">
        <v>99.034800000000004</v>
      </c>
      <c r="E1119" s="115">
        <v>99.903499999999994</v>
      </c>
      <c r="F1119" s="115">
        <v>101.2732</v>
      </c>
      <c r="G1119" s="121">
        <v>100.2516</v>
      </c>
      <c r="H1119" s="115">
        <v>97.77</v>
      </c>
      <c r="I1119" s="118">
        <v>99.860699999999994</v>
      </c>
    </row>
    <row r="1120" spans="1:9">
      <c r="A1120" s="114">
        <v>41018</v>
      </c>
      <c r="B1120" s="115">
        <v>100.67</v>
      </c>
      <c r="C1120" s="115">
        <v>98.662999999999997</v>
      </c>
      <c r="D1120" s="115">
        <v>99.034800000000004</v>
      </c>
      <c r="E1120" s="115">
        <v>99.919300000000007</v>
      </c>
      <c r="F1120" s="115">
        <v>101.4046</v>
      </c>
      <c r="G1120" s="121" t="s">
        <v>625</v>
      </c>
      <c r="H1120" s="115">
        <v>97.83</v>
      </c>
      <c r="I1120" s="118">
        <v>99.958299999999994</v>
      </c>
    </row>
    <row r="1121" spans="1:9">
      <c r="A1121" s="114">
        <v>41019</v>
      </c>
      <c r="B1121" s="115">
        <v>100.67</v>
      </c>
      <c r="C1121" s="115">
        <v>98.670299999999997</v>
      </c>
      <c r="D1121" s="115">
        <v>99.034800000000004</v>
      </c>
      <c r="E1121" s="115">
        <v>99.8767</v>
      </c>
      <c r="F1121" s="115">
        <v>101.38679999999999</v>
      </c>
      <c r="G1121" s="121">
        <v>100.26</v>
      </c>
      <c r="H1121" s="115">
        <v>97.8</v>
      </c>
      <c r="I1121" s="118">
        <v>99.949100000000001</v>
      </c>
    </row>
    <row r="1122" spans="1:9">
      <c r="A1122" s="114">
        <v>41022</v>
      </c>
      <c r="B1122" s="115">
        <v>100.67</v>
      </c>
      <c r="C1122" s="115">
        <v>98.149299999999997</v>
      </c>
      <c r="D1122" s="115">
        <v>99.034800000000004</v>
      </c>
      <c r="E1122" s="115">
        <v>99.933300000000003</v>
      </c>
      <c r="F1122" s="115">
        <v>101.32850000000001</v>
      </c>
      <c r="G1122" s="121">
        <v>100.28019999999999</v>
      </c>
      <c r="H1122" s="115">
        <v>97.82</v>
      </c>
      <c r="I1122" s="118">
        <v>99.966200000000001</v>
      </c>
    </row>
    <row r="1123" spans="1:9">
      <c r="A1123" s="114">
        <v>41023</v>
      </c>
      <c r="B1123" s="115">
        <v>100.67</v>
      </c>
      <c r="C1123" s="115">
        <v>98.302999999999997</v>
      </c>
      <c r="D1123" s="115">
        <v>99.034800000000004</v>
      </c>
      <c r="E1123" s="115">
        <v>99.993499999999997</v>
      </c>
      <c r="F1123" s="115">
        <v>101.3857</v>
      </c>
      <c r="G1123" s="121">
        <v>100.3138</v>
      </c>
      <c r="H1123" s="115">
        <v>97.86</v>
      </c>
      <c r="I1123" s="118">
        <v>99.964799999999997</v>
      </c>
    </row>
    <row r="1124" spans="1:9">
      <c r="A1124" s="114">
        <v>41024</v>
      </c>
      <c r="B1124" s="115">
        <v>100.67</v>
      </c>
      <c r="C1124" s="115">
        <v>98.303600000000003</v>
      </c>
      <c r="D1124" s="115">
        <v>99.034800000000004</v>
      </c>
      <c r="E1124" s="115">
        <v>99.902900000000002</v>
      </c>
      <c r="F1124" s="115">
        <v>101.2987</v>
      </c>
      <c r="G1124" s="121" t="s">
        <v>625</v>
      </c>
      <c r="H1124" s="115">
        <v>97.88</v>
      </c>
      <c r="I1124" s="118">
        <v>99.970500000000001</v>
      </c>
    </row>
    <row r="1125" spans="1:9">
      <c r="A1125" s="114">
        <v>41025</v>
      </c>
      <c r="B1125" s="115">
        <v>100.67</v>
      </c>
      <c r="C1125" s="115">
        <v>98.3035</v>
      </c>
      <c r="D1125" s="115">
        <v>99.034800000000004</v>
      </c>
      <c r="E1125" s="115">
        <v>99.902900000000002</v>
      </c>
      <c r="F1125" s="115">
        <v>101.3847</v>
      </c>
      <c r="G1125" s="121">
        <v>100.33369999999999</v>
      </c>
      <c r="H1125" s="115">
        <v>97.87</v>
      </c>
      <c r="I1125" s="118">
        <v>99.6815</v>
      </c>
    </row>
    <row r="1126" spans="1:9">
      <c r="A1126" s="114">
        <v>41026</v>
      </c>
      <c r="B1126" s="115">
        <v>100.67</v>
      </c>
      <c r="C1126" s="115">
        <v>98.695899999999995</v>
      </c>
      <c r="D1126" s="115">
        <v>99.034800000000004</v>
      </c>
      <c r="E1126" s="115">
        <v>99.962999999999994</v>
      </c>
      <c r="F1126" s="115">
        <v>101.3847</v>
      </c>
      <c r="G1126" s="121">
        <v>100.3205</v>
      </c>
      <c r="H1126" s="115">
        <v>97.88</v>
      </c>
      <c r="I1126" s="118">
        <v>99.6815</v>
      </c>
    </row>
    <row r="1127" spans="1:9">
      <c r="A1127" s="114">
        <v>41027</v>
      </c>
      <c r="B1127" s="115">
        <v>100.67</v>
      </c>
      <c r="C1127" s="115">
        <v>98.6999</v>
      </c>
      <c r="D1127" s="115">
        <v>99.034800000000004</v>
      </c>
      <c r="E1127" s="115">
        <v>99.962999999999994</v>
      </c>
      <c r="F1127" s="115">
        <v>101.3847</v>
      </c>
      <c r="G1127" s="121" t="s">
        <v>625</v>
      </c>
      <c r="H1127" s="115" t="e">
        <v>#N/A</v>
      </c>
      <c r="I1127" s="118">
        <v>99.6815</v>
      </c>
    </row>
    <row r="1128" spans="1:9">
      <c r="A1128" s="114">
        <v>41031</v>
      </c>
      <c r="B1128" s="115">
        <v>100.67</v>
      </c>
      <c r="C1128" s="115">
        <v>98.207300000000004</v>
      </c>
      <c r="D1128" s="115">
        <v>99.034800000000004</v>
      </c>
      <c r="E1128" s="115">
        <v>100.0528</v>
      </c>
      <c r="F1128" s="115">
        <v>101.2037</v>
      </c>
      <c r="G1128" s="121" t="s">
        <v>625</v>
      </c>
      <c r="H1128" s="115">
        <v>97.88</v>
      </c>
      <c r="I1128" s="118">
        <v>100.03579999999999</v>
      </c>
    </row>
    <row r="1129" spans="1:9">
      <c r="A1129" s="114">
        <v>41032</v>
      </c>
      <c r="B1129" s="115">
        <v>100.67</v>
      </c>
      <c r="C1129" s="115">
        <v>98.633099999999999</v>
      </c>
      <c r="D1129" s="115">
        <v>99.034800000000004</v>
      </c>
      <c r="E1129" s="115">
        <v>100.0528</v>
      </c>
      <c r="F1129" s="115">
        <v>101.206</v>
      </c>
      <c r="G1129" s="121">
        <v>100.36069999999999</v>
      </c>
      <c r="H1129" s="115">
        <v>97.9</v>
      </c>
      <c r="I1129" s="118">
        <v>99.97</v>
      </c>
    </row>
    <row r="1130" spans="1:9">
      <c r="A1130" s="114">
        <v>41033</v>
      </c>
      <c r="B1130" s="115">
        <v>100.67</v>
      </c>
      <c r="C1130" s="115">
        <v>98.637500000000003</v>
      </c>
      <c r="D1130" s="115">
        <v>99.034800000000004</v>
      </c>
      <c r="E1130" s="115">
        <v>99.932100000000005</v>
      </c>
      <c r="F1130" s="115">
        <v>101.2067</v>
      </c>
      <c r="G1130" s="121">
        <v>100.3492</v>
      </c>
      <c r="H1130" s="115">
        <v>97.91</v>
      </c>
      <c r="I1130" s="118">
        <v>99.969899999999996</v>
      </c>
    </row>
    <row r="1131" spans="1:9">
      <c r="A1131" s="114">
        <v>41036</v>
      </c>
      <c r="B1131" s="115">
        <v>100.67</v>
      </c>
      <c r="C1131" s="115">
        <v>98.571200000000005</v>
      </c>
      <c r="D1131" s="115">
        <v>99.034800000000004</v>
      </c>
      <c r="E1131" s="115">
        <v>99.902000000000001</v>
      </c>
      <c r="F1131" s="115">
        <v>101.20910000000001</v>
      </c>
      <c r="G1131" s="121">
        <v>100.3365</v>
      </c>
      <c r="H1131" s="115" t="s">
        <v>625</v>
      </c>
      <c r="I1131" s="118">
        <v>99.9465</v>
      </c>
    </row>
    <row r="1132" spans="1:9">
      <c r="A1132" s="114">
        <v>41037</v>
      </c>
      <c r="B1132" s="115">
        <v>100.67</v>
      </c>
      <c r="C1132" s="115">
        <v>98.569800000000001</v>
      </c>
      <c r="D1132" s="115">
        <v>99.034800000000004</v>
      </c>
      <c r="E1132" s="115">
        <v>99.75</v>
      </c>
      <c r="F1132" s="115">
        <v>101.3498</v>
      </c>
      <c r="G1132" s="121" t="s">
        <v>625</v>
      </c>
      <c r="H1132" s="115">
        <v>97.94</v>
      </c>
      <c r="I1132" s="118">
        <v>99.969700000000003</v>
      </c>
    </row>
    <row r="1133" spans="1:9">
      <c r="A1133" s="114">
        <v>41038</v>
      </c>
      <c r="B1133" s="115">
        <v>100.67</v>
      </c>
      <c r="C1133" s="115">
        <v>98.569699999999997</v>
      </c>
      <c r="D1133" s="115">
        <v>99.034800000000004</v>
      </c>
      <c r="E1133" s="115">
        <v>99.75</v>
      </c>
      <c r="F1133" s="115">
        <v>101.378</v>
      </c>
      <c r="G1133" s="121">
        <v>100.3768</v>
      </c>
      <c r="H1133" s="115">
        <v>97.98</v>
      </c>
      <c r="I1133" s="118">
        <v>100.00239999999999</v>
      </c>
    </row>
    <row r="1134" spans="1:9">
      <c r="A1134" s="114">
        <v>41039</v>
      </c>
      <c r="B1134" s="115">
        <v>100.67</v>
      </c>
      <c r="C1134" s="115">
        <v>98.569599999999994</v>
      </c>
      <c r="D1134" s="115">
        <v>99.034800000000004</v>
      </c>
      <c r="E1134" s="115">
        <v>100.0518</v>
      </c>
      <c r="F1134" s="115">
        <v>101.4062</v>
      </c>
      <c r="G1134" s="121">
        <v>100.36060000000001</v>
      </c>
      <c r="H1134" s="115">
        <v>98.04</v>
      </c>
      <c r="I1134" s="118">
        <v>100.0788</v>
      </c>
    </row>
    <row r="1135" spans="1:9">
      <c r="A1135" s="114">
        <v>41040</v>
      </c>
      <c r="B1135" s="115">
        <v>100.67</v>
      </c>
      <c r="C1135" s="115">
        <v>98.570099999999996</v>
      </c>
      <c r="D1135" s="115">
        <v>99.034800000000004</v>
      </c>
      <c r="E1135" s="115">
        <v>100.29170000000001</v>
      </c>
      <c r="F1135" s="115">
        <v>101.6917</v>
      </c>
      <c r="G1135" s="121">
        <v>100.5692</v>
      </c>
      <c r="H1135" s="115">
        <v>98.19</v>
      </c>
      <c r="I1135" s="118">
        <v>100.4284</v>
      </c>
    </row>
    <row r="1136" spans="1:9">
      <c r="A1136" s="114">
        <v>41043</v>
      </c>
      <c r="B1136" s="115">
        <v>100.67</v>
      </c>
      <c r="C1136" s="115">
        <v>98.854299999999995</v>
      </c>
      <c r="D1136" s="115">
        <v>99.034800000000004</v>
      </c>
      <c r="E1136" s="115">
        <v>100.3818</v>
      </c>
      <c r="F1136" s="115">
        <v>101.8926</v>
      </c>
      <c r="G1136" s="121">
        <v>100.9697</v>
      </c>
      <c r="H1136" s="115">
        <v>98.33</v>
      </c>
      <c r="I1136" s="118">
        <v>100.7355</v>
      </c>
    </row>
    <row r="1137" spans="1:9">
      <c r="A1137" s="114">
        <v>41044</v>
      </c>
      <c r="B1137" s="115">
        <v>100.67</v>
      </c>
      <c r="C1137" s="115">
        <v>98.854100000000003</v>
      </c>
      <c r="D1137" s="115">
        <v>99.034800000000004</v>
      </c>
      <c r="E1137" s="115">
        <v>101.0159</v>
      </c>
      <c r="F1137" s="115">
        <v>102.383</v>
      </c>
      <c r="G1137" s="121">
        <v>101.2617</v>
      </c>
      <c r="H1137" s="115">
        <v>98.35</v>
      </c>
      <c r="I1137" s="118">
        <v>101.5748</v>
      </c>
    </row>
    <row r="1138" spans="1:9">
      <c r="A1138" s="114">
        <v>41045</v>
      </c>
      <c r="B1138" s="115">
        <v>100.67</v>
      </c>
      <c r="C1138" s="115">
        <v>98.853999999999999</v>
      </c>
      <c r="D1138" s="115">
        <v>99.303100000000001</v>
      </c>
      <c r="E1138" s="115">
        <v>99.9559</v>
      </c>
      <c r="F1138" s="115">
        <v>102.3733</v>
      </c>
      <c r="G1138" s="121">
        <v>101.5834</v>
      </c>
      <c r="H1138" s="115">
        <v>98.53</v>
      </c>
      <c r="I1138" s="118">
        <v>101.6183</v>
      </c>
    </row>
    <row r="1139" spans="1:9">
      <c r="A1139" s="114">
        <v>41046</v>
      </c>
      <c r="B1139" s="115">
        <v>100.67</v>
      </c>
      <c r="C1139" s="115">
        <v>99.896900000000002</v>
      </c>
      <c r="D1139" s="115">
        <v>99.303100000000001</v>
      </c>
      <c r="E1139" s="115">
        <v>100.2312</v>
      </c>
      <c r="F1139" s="115">
        <v>102.6812</v>
      </c>
      <c r="G1139" s="121">
        <v>101.4169</v>
      </c>
      <c r="H1139" s="115">
        <v>98.6</v>
      </c>
      <c r="I1139" s="118">
        <v>101.30710000000001</v>
      </c>
    </row>
    <row r="1140" spans="1:9">
      <c r="A1140" s="114">
        <v>41047</v>
      </c>
      <c r="B1140" s="115">
        <v>100.67</v>
      </c>
      <c r="C1140" s="115">
        <v>99.587699999999998</v>
      </c>
      <c r="D1140" s="115">
        <v>99.303100000000001</v>
      </c>
      <c r="E1140" s="115">
        <v>101.3169</v>
      </c>
      <c r="F1140" s="115">
        <v>102.52330000000001</v>
      </c>
      <c r="G1140" s="121">
        <v>101.5338</v>
      </c>
      <c r="H1140" s="115">
        <v>98.71</v>
      </c>
      <c r="I1140" s="118">
        <v>101.61450000000001</v>
      </c>
    </row>
    <row r="1141" spans="1:9">
      <c r="A1141" s="114">
        <v>41050</v>
      </c>
      <c r="B1141" s="115">
        <v>100.67</v>
      </c>
      <c r="C1141" s="115">
        <v>99.742000000000004</v>
      </c>
      <c r="D1141" s="115">
        <v>99.303100000000001</v>
      </c>
      <c r="E1141" s="115">
        <v>101.2556</v>
      </c>
      <c r="F1141" s="115">
        <v>102.4644</v>
      </c>
      <c r="G1141" s="121">
        <v>101.4007</v>
      </c>
      <c r="H1141" s="115">
        <v>98.9</v>
      </c>
      <c r="I1141" s="118">
        <v>101.4808</v>
      </c>
    </row>
    <row r="1142" spans="1:9">
      <c r="A1142" s="114">
        <v>41051</v>
      </c>
      <c r="B1142" s="115">
        <v>100.67</v>
      </c>
      <c r="C1142" s="115">
        <v>99.679400000000001</v>
      </c>
      <c r="D1142" s="115">
        <v>99.303100000000001</v>
      </c>
      <c r="E1142" s="115">
        <v>100.24339999999999</v>
      </c>
      <c r="F1142" s="115">
        <v>102.49250000000001</v>
      </c>
      <c r="G1142" s="121">
        <v>101.34780000000001</v>
      </c>
      <c r="H1142" s="115">
        <v>98.75</v>
      </c>
      <c r="I1142" s="118">
        <v>101.502</v>
      </c>
    </row>
    <row r="1143" spans="1:9">
      <c r="A1143" s="114">
        <v>41052</v>
      </c>
      <c r="B1143" s="115">
        <v>100.67</v>
      </c>
      <c r="C1143" s="115">
        <v>99.741799999999998</v>
      </c>
      <c r="D1143" s="115">
        <v>99.303100000000001</v>
      </c>
      <c r="E1143" s="115">
        <v>101.13379999999999</v>
      </c>
      <c r="F1143" s="115">
        <v>102.4915</v>
      </c>
      <c r="G1143" s="121">
        <v>101.5326</v>
      </c>
      <c r="H1143" s="115">
        <v>98.84</v>
      </c>
      <c r="I1143" s="118">
        <v>101.5675</v>
      </c>
    </row>
    <row r="1144" spans="1:9">
      <c r="A1144" s="114">
        <v>41053</v>
      </c>
      <c r="B1144" s="115">
        <v>100.67</v>
      </c>
      <c r="C1144" s="115">
        <v>99.729699999999994</v>
      </c>
      <c r="D1144" s="115">
        <v>99.303100000000001</v>
      </c>
      <c r="E1144" s="115">
        <v>101.5273</v>
      </c>
      <c r="F1144" s="115">
        <v>102.7222</v>
      </c>
      <c r="G1144" s="121">
        <v>101.4486</v>
      </c>
      <c r="H1144" s="115">
        <v>98.91</v>
      </c>
      <c r="I1144" s="118">
        <v>102.1434</v>
      </c>
    </row>
    <row r="1145" spans="1:9">
      <c r="A1145" s="114">
        <v>41054</v>
      </c>
      <c r="B1145" s="115">
        <v>100.67</v>
      </c>
      <c r="C1145" s="115">
        <v>100.1592</v>
      </c>
      <c r="D1145" s="115">
        <v>99.303100000000001</v>
      </c>
      <c r="E1145" s="115">
        <v>101.8603</v>
      </c>
      <c r="F1145" s="115">
        <v>102.9512</v>
      </c>
      <c r="G1145" s="121">
        <v>102.1597</v>
      </c>
      <c r="H1145" s="115">
        <v>99.05</v>
      </c>
      <c r="I1145" s="118">
        <v>102.34</v>
      </c>
    </row>
    <row r="1146" spans="1:9">
      <c r="A1146" s="114">
        <v>41057</v>
      </c>
      <c r="B1146" s="115">
        <v>100.67</v>
      </c>
      <c r="C1146" s="115">
        <v>100.2985</v>
      </c>
      <c r="D1146" s="115">
        <v>99.303100000000001</v>
      </c>
      <c r="E1146" s="115">
        <v>101.5551</v>
      </c>
      <c r="F1146" s="115">
        <v>103.0081</v>
      </c>
      <c r="G1146" s="121">
        <v>102.1705</v>
      </c>
      <c r="H1146" s="115">
        <v>99</v>
      </c>
      <c r="I1146" s="118">
        <v>102.13849999999999</v>
      </c>
    </row>
    <row r="1147" spans="1:9">
      <c r="A1147" s="114">
        <v>41058</v>
      </c>
      <c r="B1147" s="115">
        <v>100.67</v>
      </c>
      <c r="C1147" s="115">
        <v>100.27849999999999</v>
      </c>
      <c r="D1147" s="115">
        <v>99.303100000000001</v>
      </c>
      <c r="E1147" s="115">
        <v>101.4331</v>
      </c>
      <c r="F1147" s="115">
        <v>102.77500000000001</v>
      </c>
      <c r="G1147" s="121">
        <v>101.64579999999999</v>
      </c>
      <c r="H1147" s="115">
        <v>98.85</v>
      </c>
      <c r="I1147" s="118">
        <v>101.8934</v>
      </c>
    </row>
    <row r="1148" spans="1:9">
      <c r="A1148" s="114">
        <v>41059</v>
      </c>
      <c r="B1148" s="115">
        <v>100.67</v>
      </c>
      <c r="C1148" s="115">
        <v>100.2675</v>
      </c>
      <c r="D1148" s="115">
        <v>99.303100000000001</v>
      </c>
      <c r="E1148" s="115">
        <v>101.3719</v>
      </c>
      <c r="F1148" s="115">
        <v>102.80289999999999</v>
      </c>
      <c r="G1148" s="121">
        <v>101.6057</v>
      </c>
      <c r="H1148" s="115">
        <v>98.79</v>
      </c>
      <c r="I1148" s="118">
        <v>101.8934</v>
      </c>
    </row>
    <row r="1149" spans="1:9">
      <c r="A1149" s="114">
        <v>41060</v>
      </c>
      <c r="B1149" s="115">
        <v>100.67</v>
      </c>
      <c r="C1149" s="115">
        <v>100.0984</v>
      </c>
      <c r="D1149" s="115">
        <v>99.303100000000001</v>
      </c>
      <c r="E1149" s="115">
        <v>101.6443</v>
      </c>
      <c r="F1149" s="115">
        <v>103.0047</v>
      </c>
      <c r="G1149" s="121">
        <v>101.76990000000001</v>
      </c>
      <c r="H1149" s="115">
        <v>98.9</v>
      </c>
      <c r="I1149" s="118">
        <v>101.7366</v>
      </c>
    </row>
    <row r="1150" spans="1:9">
      <c r="A1150" s="114">
        <v>41061</v>
      </c>
      <c r="B1150" s="115">
        <v>100.67</v>
      </c>
      <c r="C1150" s="115">
        <v>100.2869</v>
      </c>
      <c r="D1150" s="115">
        <v>99.303100000000001</v>
      </c>
      <c r="E1150" s="115">
        <v>101.703</v>
      </c>
      <c r="F1150" s="115">
        <v>103.0013</v>
      </c>
      <c r="G1150" s="121">
        <v>101.7842</v>
      </c>
      <c r="H1150" s="115">
        <v>98.94</v>
      </c>
      <c r="I1150" s="118">
        <v>101.6455</v>
      </c>
    </row>
    <row r="1151" spans="1:9">
      <c r="A1151" s="114">
        <v>41064</v>
      </c>
      <c r="B1151" s="115">
        <v>100.67</v>
      </c>
      <c r="C1151" s="115">
        <v>100.3873</v>
      </c>
      <c r="D1151" s="115">
        <v>99.303100000000001</v>
      </c>
      <c r="E1151" s="115">
        <v>100.4962</v>
      </c>
      <c r="F1151" s="115">
        <v>102.97320000000001</v>
      </c>
      <c r="G1151" s="121">
        <v>101.7069</v>
      </c>
      <c r="H1151" s="115">
        <v>98.96</v>
      </c>
      <c r="I1151" s="118">
        <v>101.6447</v>
      </c>
    </row>
    <row r="1152" spans="1:9">
      <c r="A1152" s="114">
        <v>41065</v>
      </c>
      <c r="B1152" s="115">
        <v>100.67</v>
      </c>
      <c r="C1152" s="115">
        <v>100.3797</v>
      </c>
      <c r="D1152" s="115">
        <v>99.303100000000001</v>
      </c>
      <c r="E1152" s="115">
        <v>101.4894</v>
      </c>
      <c r="F1152" s="115">
        <v>101.4791</v>
      </c>
      <c r="G1152" s="121">
        <v>101.5322</v>
      </c>
      <c r="H1152" s="115">
        <v>98.89</v>
      </c>
      <c r="I1152" s="118">
        <v>101.4241</v>
      </c>
    </row>
    <row r="1153" spans="1:9">
      <c r="A1153" s="114">
        <v>41066</v>
      </c>
      <c r="B1153" s="115">
        <v>100.67</v>
      </c>
      <c r="C1153" s="115">
        <v>100.28740000000001</v>
      </c>
      <c r="D1153" s="115">
        <v>99.303100000000001</v>
      </c>
      <c r="E1153" s="115">
        <v>100.5</v>
      </c>
      <c r="F1153" s="115">
        <v>102.79559999999999</v>
      </c>
      <c r="G1153" s="121">
        <v>101.6086</v>
      </c>
      <c r="H1153" s="115">
        <v>98.89</v>
      </c>
      <c r="I1153" s="118">
        <v>101.3802</v>
      </c>
    </row>
    <row r="1154" spans="1:9">
      <c r="A1154" s="114">
        <v>41067</v>
      </c>
      <c r="B1154" s="115">
        <v>100.67</v>
      </c>
      <c r="C1154" s="115">
        <v>100.27500000000001</v>
      </c>
      <c r="D1154" s="115">
        <v>99.303100000000001</v>
      </c>
      <c r="E1154" s="115">
        <v>101.4277</v>
      </c>
      <c r="F1154" s="115">
        <v>102.82340000000001</v>
      </c>
      <c r="G1154" s="121">
        <v>101.5001</v>
      </c>
      <c r="H1154" s="115">
        <v>98.84</v>
      </c>
      <c r="I1154" s="118">
        <v>101.3348</v>
      </c>
    </row>
    <row r="1155" spans="1:9">
      <c r="A1155" s="114">
        <v>41068</v>
      </c>
      <c r="B1155" s="115">
        <v>100.67</v>
      </c>
      <c r="C1155" s="115">
        <v>100.26090000000001</v>
      </c>
      <c r="D1155" s="115">
        <v>99.303100000000001</v>
      </c>
      <c r="E1155" s="115">
        <v>101.72839999999999</v>
      </c>
      <c r="F1155" s="115">
        <v>103.1091</v>
      </c>
      <c r="G1155" s="121">
        <v>101.9508</v>
      </c>
      <c r="H1155" s="115">
        <v>99.1</v>
      </c>
      <c r="I1155" s="118">
        <v>101.5951</v>
      </c>
    </row>
    <row r="1156" spans="1:9">
      <c r="A1156" s="114">
        <v>41071</v>
      </c>
      <c r="B1156" s="115">
        <v>100.67</v>
      </c>
      <c r="C1156" s="115">
        <v>100.46469999999999</v>
      </c>
      <c r="D1156" s="115">
        <v>99.303100000000001</v>
      </c>
      <c r="E1156" s="115">
        <v>101.4255</v>
      </c>
      <c r="F1156" s="115">
        <v>102.8192</v>
      </c>
      <c r="G1156" s="121">
        <v>101.8432</v>
      </c>
      <c r="H1156" s="115">
        <v>98.95</v>
      </c>
      <c r="I1156" s="118">
        <v>101.2881</v>
      </c>
    </row>
    <row r="1157" spans="1:9">
      <c r="A1157" s="114">
        <v>41072</v>
      </c>
      <c r="B1157" s="115">
        <v>100.67</v>
      </c>
      <c r="C1157" s="115">
        <v>100.4648</v>
      </c>
      <c r="D1157" s="115">
        <v>99.303100000000001</v>
      </c>
      <c r="E1157" s="115">
        <v>101.4851</v>
      </c>
      <c r="F1157" s="115">
        <v>102.8181</v>
      </c>
      <c r="G1157" s="121">
        <v>101.7619</v>
      </c>
      <c r="H1157" s="115">
        <v>98.95</v>
      </c>
      <c r="I1157" s="118">
        <v>101.2873</v>
      </c>
    </row>
    <row r="1158" spans="1:9">
      <c r="A1158" s="114">
        <v>41073</v>
      </c>
      <c r="B1158" s="115">
        <v>100.67</v>
      </c>
      <c r="C1158" s="115">
        <v>100.20229999999999</v>
      </c>
      <c r="D1158" s="115">
        <v>99.303100000000001</v>
      </c>
      <c r="E1158" s="115">
        <v>101.2734</v>
      </c>
      <c r="F1158" s="115">
        <v>102.70189999999999</v>
      </c>
      <c r="G1158" s="121">
        <v>101.5643</v>
      </c>
      <c r="H1158" s="115">
        <v>98.88</v>
      </c>
      <c r="I1158" s="118">
        <v>101.00369999999999</v>
      </c>
    </row>
    <row r="1159" spans="1:9">
      <c r="A1159" s="114">
        <v>41074</v>
      </c>
      <c r="B1159" s="115">
        <v>100.67</v>
      </c>
      <c r="C1159" s="115">
        <v>100.0441</v>
      </c>
      <c r="D1159" s="115">
        <v>99.303100000000001</v>
      </c>
      <c r="E1159" s="115">
        <v>100.49809999999999</v>
      </c>
      <c r="F1159" s="115">
        <v>101.482</v>
      </c>
      <c r="G1159" s="121">
        <v>101.48869999999999</v>
      </c>
      <c r="H1159" s="115">
        <v>98.87</v>
      </c>
      <c r="I1159" s="118">
        <v>100.97280000000001</v>
      </c>
    </row>
    <row r="1160" spans="1:9">
      <c r="A1160" s="114">
        <v>41075</v>
      </c>
      <c r="B1160" s="115">
        <v>101.94</v>
      </c>
      <c r="C1160" s="115">
        <v>99.938999999999993</v>
      </c>
      <c r="D1160" s="115">
        <v>99.303100000000001</v>
      </c>
      <c r="E1160" s="115">
        <v>101.3856</v>
      </c>
      <c r="F1160" s="115">
        <v>101.4795</v>
      </c>
      <c r="G1160" s="121">
        <v>101.4466</v>
      </c>
      <c r="H1160" s="115">
        <v>98.87</v>
      </c>
      <c r="I1160" s="118">
        <v>101.0014</v>
      </c>
    </row>
    <row r="1161" spans="1:9">
      <c r="A1161" s="114">
        <v>41078</v>
      </c>
      <c r="B1161" s="115">
        <v>102.18</v>
      </c>
      <c r="C1161" s="115">
        <v>99.973399999999998</v>
      </c>
      <c r="D1161" s="115">
        <v>99.303100000000001</v>
      </c>
      <c r="E1161" s="115">
        <v>101.1506</v>
      </c>
      <c r="F1161" s="115">
        <v>101.4806</v>
      </c>
      <c r="G1161" s="121">
        <v>101.2863</v>
      </c>
      <c r="H1161" s="115">
        <v>98.864000000000004</v>
      </c>
      <c r="I1161" s="118">
        <v>100.8493</v>
      </c>
    </row>
    <row r="1162" spans="1:9">
      <c r="A1162" s="114">
        <v>41079</v>
      </c>
      <c r="B1162" s="115">
        <v>101.8</v>
      </c>
      <c r="C1162" s="115">
        <v>99.846800000000002</v>
      </c>
      <c r="D1162" s="115">
        <v>99.303100000000001</v>
      </c>
      <c r="E1162" s="115">
        <v>101.30029999999999</v>
      </c>
      <c r="F1162" s="115">
        <v>102.5812</v>
      </c>
      <c r="G1162" s="121">
        <v>101.22239999999999</v>
      </c>
      <c r="H1162" s="115">
        <v>98.85</v>
      </c>
      <c r="I1162" s="118">
        <v>100.8056</v>
      </c>
    </row>
    <row r="1163" spans="1:9">
      <c r="A1163" s="114">
        <v>41080</v>
      </c>
      <c r="B1163" s="115">
        <v>101.81</v>
      </c>
      <c r="C1163" s="115">
        <v>99.740600000000001</v>
      </c>
      <c r="D1163" s="115">
        <v>99.303100000000001</v>
      </c>
      <c r="E1163" s="115">
        <v>101.2397</v>
      </c>
      <c r="F1163" s="115">
        <v>101.4854</v>
      </c>
      <c r="G1163" s="121">
        <v>101.20269999999999</v>
      </c>
      <c r="H1163" s="115">
        <v>98.78</v>
      </c>
      <c r="I1163" s="118">
        <v>100.7835</v>
      </c>
    </row>
    <row r="1164" spans="1:9">
      <c r="A1164" s="114">
        <v>41081</v>
      </c>
      <c r="B1164" s="115">
        <v>101.82</v>
      </c>
      <c r="C1164" s="115">
        <v>99.678700000000006</v>
      </c>
      <c r="D1164" s="115">
        <v>99.303100000000001</v>
      </c>
      <c r="E1164" s="115">
        <v>100.5033</v>
      </c>
      <c r="F1164" s="115">
        <v>102.6909</v>
      </c>
      <c r="G1164" s="121">
        <v>101.41119999999999</v>
      </c>
      <c r="H1164" s="115">
        <v>98.92</v>
      </c>
      <c r="I1164" s="118">
        <v>100.88930000000001</v>
      </c>
    </row>
    <row r="1165" spans="1:9">
      <c r="A1165" s="114">
        <v>41085</v>
      </c>
      <c r="B1165" s="115">
        <v>101.94</v>
      </c>
      <c r="C1165" s="115">
        <v>99.773700000000005</v>
      </c>
      <c r="D1165" s="115">
        <v>99.303100000000001</v>
      </c>
      <c r="E1165" s="115">
        <v>101.5072</v>
      </c>
      <c r="F1165" s="115">
        <v>102.74720000000001</v>
      </c>
      <c r="G1165" s="121">
        <v>101.5826</v>
      </c>
      <c r="H1165" s="115">
        <v>98.926000000000002</v>
      </c>
      <c r="I1165" s="118">
        <v>101.0609</v>
      </c>
    </row>
    <row r="1166" spans="1:9">
      <c r="A1166" s="114">
        <v>41086</v>
      </c>
      <c r="B1166" s="115">
        <v>102.07</v>
      </c>
      <c r="C1166" s="115">
        <v>99.748500000000007</v>
      </c>
      <c r="D1166" s="115">
        <v>99.303100000000001</v>
      </c>
      <c r="E1166" s="115">
        <v>101.59739999999999</v>
      </c>
      <c r="F1166" s="115">
        <v>102.8321</v>
      </c>
      <c r="G1166" s="121">
        <v>101.6177</v>
      </c>
      <c r="H1166" s="115">
        <v>98.97</v>
      </c>
      <c r="I1166" s="118">
        <v>101.1255</v>
      </c>
    </row>
    <row r="1167" spans="1:9">
      <c r="A1167" s="114">
        <v>41087</v>
      </c>
      <c r="B1167" s="115">
        <v>102.22</v>
      </c>
      <c r="C1167" s="115">
        <v>99.850999999999999</v>
      </c>
      <c r="D1167" s="115">
        <v>99.303100000000001</v>
      </c>
      <c r="E1167" s="115">
        <v>101.7466</v>
      </c>
      <c r="F1167" s="115">
        <v>103.03189999999999</v>
      </c>
      <c r="G1167" s="121">
        <v>101.785</v>
      </c>
      <c r="H1167" s="115">
        <v>99.013999999999996</v>
      </c>
      <c r="I1167" s="118">
        <v>101.3194</v>
      </c>
    </row>
    <row r="1168" spans="1:9">
      <c r="A1168" s="114">
        <v>41088</v>
      </c>
      <c r="B1168" s="115">
        <v>102.37</v>
      </c>
      <c r="C1168" s="115">
        <v>100.0047</v>
      </c>
      <c r="D1168" s="115">
        <v>99.303100000000001</v>
      </c>
      <c r="E1168" s="115">
        <v>101.7761</v>
      </c>
      <c r="F1168" s="115">
        <v>102.2234</v>
      </c>
      <c r="G1168" s="121">
        <v>100.61750000000001</v>
      </c>
      <c r="H1168" s="115">
        <v>99.07</v>
      </c>
      <c r="I1168" s="118">
        <v>101.3835</v>
      </c>
    </row>
    <row r="1169" spans="1:23">
      <c r="A1169" s="114">
        <v>41089</v>
      </c>
      <c r="B1169" s="115">
        <v>102.48</v>
      </c>
      <c r="C1169" s="115">
        <v>100.0909</v>
      </c>
      <c r="D1169" s="115">
        <v>100.6567</v>
      </c>
      <c r="E1169" s="115">
        <v>101.83410000000001</v>
      </c>
      <c r="F1169" s="115">
        <v>103.0273</v>
      </c>
      <c r="G1169" s="121">
        <v>101.94159999999999</v>
      </c>
      <c r="H1169" s="115">
        <v>99.164000000000001</v>
      </c>
      <c r="I1169" s="118">
        <v>101.29470000000001</v>
      </c>
    </row>
    <row r="1170" spans="1:23">
      <c r="A1170" s="114">
        <v>41092</v>
      </c>
      <c r="B1170" s="115">
        <v>102.45</v>
      </c>
      <c r="C1170" s="115">
        <v>100.0972</v>
      </c>
      <c r="D1170" s="115">
        <v>100.6523</v>
      </c>
      <c r="E1170" s="115">
        <v>101.7732</v>
      </c>
      <c r="F1170" s="115">
        <v>102.2475</v>
      </c>
      <c r="G1170" s="121">
        <v>101.7715</v>
      </c>
      <c r="H1170" s="115">
        <v>99.19</v>
      </c>
      <c r="I1170" s="118">
        <v>101.2638</v>
      </c>
    </row>
    <row r="1171" spans="1:23">
      <c r="A1171" s="114">
        <v>41093</v>
      </c>
      <c r="B1171" s="115">
        <v>102.35</v>
      </c>
      <c r="C1171" s="115">
        <v>100.08320000000001</v>
      </c>
      <c r="D1171" s="115">
        <v>100.65130000000001</v>
      </c>
      <c r="E1171" s="115">
        <v>101.77249999999999</v>
      </c>
      <c r="F1171" s="115">
        <v>103.1397</v>
      </c>
      <c r="G1171" s="121">
        <v>101.645</v>
      </c>
      <c r="H1171" s="115">
        <v>99.298000000000002</v>
      </c>
      <c r="I1171" s="118">
        <v>101.3364</v>
      </c>
    </row>
    <row r="1172" spans="1:23">
      <c r="A1172" s="114">
        <v>41094</v>
      </c>
      <c r="B1172" s="115">
        <v>102.44</v>
      </c>
      <c r="C1172" s="115">
        <v>99.938100000000006</v>
      </c>
      <c r="D1172" s="115">
        <v>100.6495</v>
      </c>
      <c r="E1172" s="115">
        <v>101.86199999999999</v>
      </c>
      <c r="F1172" s="115">
        <v>102.25369999999999</v>
      </c>
      <c r="G1172" s="121">
        <v>101.7903</v>
      </c>
      <c r="H1172" s="115">
        <v>99.457999999999998</v>
      </c>
      <c r="I1172" s="118">
        <v>101.3623</v>
      </c>
    </row>
    <row r="1173" spans="1:23">
      <c r="A1173" s="112">
        <v>41095</v>
      </c>
      <c r="B1173" s="113">
        <v>102.42</v>
      </c>
      <c r="C1173" s="115">
        <v>100.0227</v>
      </c>
      <c r="D1173" s="115">
        <v>100.59950000000001</v>
      </c>
      <c r="E1173" s="115">
        <v>101.8312</v>
      </c>
      <c r="F1173" s="115">
        <v>102.2551</v>
      </c>
      <c r="G1173" s="123">
        <v>101.783</v>
      </c>
      <c r="H1173" s="115">
        <v>99.658000000000001</v>
      </c>
      <c r="I1173" s="118">
        <v>101.4556</v>
      </c>
      <c r="K1173" s="124">
        <f ca="1">H24</f>
        <v>5</v>
      </c>
      <c r="L1173" s="124">
        <f ca="1">H25</f>
        <v>5</v>
      </c>
      <c r="M1173" s="124">
        <f ca="1">H26</f>
        <v>10</v>
      </c>
      <c r="N1173" s="124">
        <f ca="1">H27</f>
        <v>15</v>
      </c>
      <c r="O1173" s="124">
        <f ca="1">H28</f>
        <v>2</v>
      </c>
      <c r="P1173" s="124">
        <f ca="1">H29</f>
        <v>15</v>
      </c>
      <c r="Q1173" s="3">
        <f ca="1">-ROUND(E40,0)</f>
        <v>-57</v>
      </c>
      <c r="R1173" s="3">
        <f ca="1">-E41</f>
        <v>15.53269384</v>
      </c>
      <c r="V1173" s="125" t="s">
        <v>626</v>
      </c>
      <c r="W1173" s="125" t="s">
        <v>627</v>
      </c>
    </row>
    <row r="1174" spans="1:23">
      <c r="A1174" s="114">
        <v>41096</v>
      </c>
      <c r="B1174" s="115">
        <v>102.48</v>
      </c>
      <c r="C1174" s="115">
        <v>100.0812</v>
      </c>
      <c r="D1174" s="115">
        <v>100.5963</v>
      </c>
      <c r="E1174" s="115">
        <v>102.0697</v>
      </c>
      <c r="F1174" s="115">
        <v>103.36320000000001</v>
      </c>
      <c r="G1174" s="121">
        <v>102.2958</v>
      </c>
      <c r="H1174" s="115">
        <v>99.658000000000001</v>
      </c>
      <c r="I1174" s="118">
        <v>101.6559</v>
      </c>
      <c r="K1174" s="120">
        <f ca="1">B1174-B1173</f>
        <v>6.0000000000002274E-2</v>
      </c>
      <c r="L1174" s="120">
        <f t="shared" ref="L1174:R1174" ca="1" si="11">C1174-C1173</f>
        <v>5.8499999999995111E-2</v>
      </c>
      <c r="M1174" s="120">
        <f t="shared" ca="1" si="11"/>
        <v>-3.200000000006753E-3</v>
      </c>
      <c r="N1174" s="120">
        <f t="shared" ca="1" si="11"/>
        <v>0.23850000000000193</v>
      </c>
      <c r="O1174" s="120">
        <f t="shared" ca="1" si="11"/>
        <v>1.1081000000000074</v>
      </c>
      <c r="P1174" s="120">
        <f t="shared" ca="1" si="11"/>
        <v>0.51279999999999859</v>
      </c>
      <c r="Q1174" s="120">
        <f t="shared" ca="1" si="11"/>
        <v>0</v>
      </c>
      <c r="R1174" s="120">
        <f t="shared" ca="1" si="11"/>
        <v>0.20029999999999859</v>
      </c>
    </row>
    <row r="1175" spans="1:23">
      <c r="A1175" s="114">
        <v>41099</v>
      </c>
      <c r="B1175" s="115">
        <v>102.71</v>
      </c>
      <c r="C1175" s="115">
        <v>100.206</v>
      </c>
      <c r="D1175" s="115">
        <v>100.89870000000001</v>
      </c>
      <c r="E1175" s="115">
        <v>102.37050000000001</v>
      </c>
      <c r="F1175" s="115">
        <v>103.5919</v>
      </c>
      <c r="G1175" s="121">
        <v>102.5003</v>
      </c>
      <c r="H1175" s="115">
        <v>99.61</v>
      </c>
      <c r="I1175" s="118">
        <v>101.76730000000001</v>
      </c>
      <c r="K1175" s="120">
        <f t="shared" ref="K1175:K1203" ca="1" si="12">B1175-B1174</f>
        <v>0.22999999999998977</v>
      </c>
      <c r="L1175" s="120">
        <f t="shared" ref="L1175:L1203" ca="1" si="13">C1175-C1174</f>
        <v>0.12480000000000757</v>
      </c>
      <c r="M1175" s="120">
        <f t="shared" ref="M1175:M1203" ca="1" si="14">D1175-D1174</f>
        <v>0.30240000000000578</v>
      </c>
      <c r="N1175" s="120">
        <f t="shared" ref="N1175:N1203" ca="1" si="15">E1175-E1174</f>
        <v>0.3008000000000095</v>
      </c>
      <c r="O1175" s="120">
        <f t="shared" ref="O1175:O1203" ca="1" si="16">F1175-F1174</f>
        <v>0.22869999999998925</v>
      </c>
      <c r="P1175" s="120">
        <f t="shared" ref="P1175:P1203" ca="1" si="17">G1175-G1174</f>
        <v>0.20449999999999591</v>
      </c>
      <c r="Q1175" s="120">
        <f t="shared" ref="Q1175:Q1203" ca="1" si="18">H1175-H1174</f>
        <v>-4.8000000000001819E-2</v>
      </c>
      <c r="R1175" s="120">
        <f t="shared" ref="R1175:R1203" ca="1" si="19">I1175-I1174</f>
        <v>0.11140000000000327</v>
      </c>
    </row>
    <row r="1176" spans="1:23">
      <c r="A1176" s="114">
        <v>41100</v>
      </c>
      <c r="B1176" s="115">
        <v>102.84</v>
      </c>
      <c r="C1176" s="115">
        <v>100.25369999999999</v>
      </c>
      <c r="D1176" s="115">
        <v>100.89870000000001</v>
      </c>
      <c r="E1176" s="115">
        <v>102.4905</v>
      </c>
      <c r="F1176" s="115">
        <v>103.6193</v>
      </c>
      <c r="G1176" s="121">
        <v>102.5081</v>
      </c>
      <c r="H1176" s="115">
        <v>99.7</v>
      </c>
      <c r="I1176" s="118">
        <v>101.91289999999999</v>
      </c>
      <c r="K1176" s="120">
        <f t="shared" ca="1" si="12"/>
        <v>0.13000000000000966</v>
      </c>
      <c r="L1176" s="120">
        <f t="shared" ca="1" si="13"/>
        <v>4.769999999999186E-2</v>
      </c>
      <c r="M1176" s="120">
        <f t="shared" ca="1" si="14"/>
        <v>0</v>
      </c>
      <c r="N1176" s="120">
        <f t="shared" ca="1" si="15"/>
        <v>0.11999999999999034</v>
      </c>
      <c r="O1176" s="120">
        <f t="shared" ca="1" si="16"/>
        <v>2.7400000000000091E-2</v>
      </c>
      <c r="P1176" s="120">
        <f t="shared" ca="1" si="17"/>
        <v>7.8000000000031378E-3</v>
      </c>
      <c r="Q1176" s="120">
        <f t="shared" ca="1" si="18"/>
        <v>9.0000000000003411E-2</v>
      </c>
      <c r="R1176" s="120">
        <f t="shared" ca="1" si="19"/>
        <v>0.14559999999998752</v>
      </c>
    </row>
    <row r="1177" spans="1:23">
      <c r="A1177" s="114">
        <v>41101</v>
      </c>
      <c r="B1177" s="115">
        <v>102.9</v>
      </c>
      <c r="C1177" s="115">
        <v>100.3229</v>
      </c>
      <c r="D1177" s="115">
        <v>100.89870000000001</v>
      </c>
      <c r="E1177" s="115">
        <v>102.4593</v>
      </c>
      <c r="F1177" s="115">
        <v>103.7619</v>
      </c>
      <c r="G1177" s="121">
        <v>102.5176</v>
      </c>
      <c r="H1177" s="115">
        <v>99.85</v>
      </c>
      <c r="I1177" s="118">
        <v>101.93380000000001</v>
      </c>
      <c r="K1177" s="120">
        <f t="shared" ca="1" si="12"/>
        <v>6.0000000000002274E-2</v>
      </c>
      <c r="L1177" s="120">
        <f t="shared" ca="1" si="13"/>
        <v>6.9200000000009254E-2</v>
      </c>
      <c r="M1177" s="120">
        <f t="shared" ca="1" si="14"/>
        <v>0</v>
      </c>
      <c r="N1177" s="120">
        <f t="shared" ca="1" si="15"/>
        <v>-3.119999999999834E-2</v>
      </c>
      <c r="O1177" s="120">
        <f t="shared" ca="1" si="16"/>
        <v>0.14260000000000161</v>
      </c>
      <c r="P1177" s="120">
        <f t="shared" ca="1" si="17"/>
        <v>9.5000000000027285E-3</v>
      </c>
      <c r="Q1177" s="120">
        <f t="shared" ca="1" si="18"/>
        <v>0.14999999999999147</v>
      </c>
      <c r="R1177" s="120">
        <f t="shared" ca="1" si="19"/>
        <v>2.0900000000011687E-2</v>
      </c>
    </row>
    <row r="1178" spans="1:23">
      <c r="A1178" s="114">
        <v>41102</v>
      </c>
      <c r="B1178" s="115">
        <v>102.96</v>
      </c>
      <c r="C1178" s="115">
        <v>100.39279999999999</v>
      </c>
      <c r="D1178" s="115">
        <v>100.8989</v>
      </c>
      <c r="E1178" s="115">
        <v>102.45829999999999</v>
      </c>
      <c r="F1178" s="115">
        <v>102.2542</v>
      </c>
      <c r="G1178" s="121">
        <v>102.6996</v>
      </c>
      <c r="H1178" s="115">
        <v>99.97</v>
      </c>
      <c r="I1178" s="118">
        <v>101.95440000000001</v>
      </c>
      <c r="K1178" s="120">
        <f t="shared" ca="1" si="12"/>
        <v>5.9999999999988063E-2</v>
      </c>
      <c r="L1178" s="120">
        <f t="shared" ca="1" si="13"/>
        <v>6.9899999999989859E-2</v>
      </c>
      <c r="M1178" s="120">
        <f t="shared" ca="1" si="14"/>
        <v>1.9999999999242846E-4</v>
      </c>
      <c r="N1178" s="120">
        <f t="shared" ca="1" si="15"/>
        <v>-1.0000000000047748E-3</v>
      </c>
      <c r="O1178" s="120">
        <f t="shared" ca="1" si="16"/>
        <v>-1.5076999999999998</v>
      </c>
      <c r="P1178" s="120">
        <f t="shared" ca="1" si="17"/>
        <v>0.18200000000000216</v>
      </c>
      <c r="Q1178" s="120">
        <f t="shared" ca="1" si="18"/>
        <v>0.12000000000000455</v>
      </c>
      <c r="R1178" s="120">
        <f t="shared" ca="1" si="19"/>
        <v>2.0600000000001728E-2</v>
      </c>
    </row>
    <row r="1179" spans="1:23">
      <c r="A1179" s="114">
        <v>41103</v>
      </c>
      <c r="B1179" s="115">
        <v>103.04</v>
      </c>
      <c r="C1179" s="115">
        <v>100.4141</v>
      </c>
      <c r="D1179" s="115">
        <v>101.2975</v>
      </c>
      <c r="E1179" s="115">
        <v>102.3824</v>
      </c>
      <c r="F1179" s="115">
        <v>103.6412</v>
      </c>
      <c r="G1179" s="121">
        <v>102.5274</v>
      </c>
      <c r="H1179" s="115">
        <v>99.89</v>
      </c>
      <c r="I1179" s="118">
        <v>101.9186</v>
      </c>
      <c r="K1179" s="120">
        <f t="shared" ca="1" si="12"/>
        <v>8.0000000000012506E-2</v>
      </c>
      <c r="L1179" s="120">
        <f t="shared" ca="1" si="13"/>
        <v>2.1300000000010755E-2</v>
      </c>
      <c r="M1179" s="120">
        <f t="shared" ca="1" si="14"/>
        <v>0.39860000000000184</v>
      </c>
      <c r="N1179" s="120">
        <f t="shared" ca="1" si="15"/>
        <v>-7.5899999999990087E-2</v>
      </c>
      <c r="O1179" s="120">
        <f t="shared" ca="1" si="16"/>
        <v>1.3870000000000005</v>
      </c>
      <c r="P1179" s="120">
        <f t="shared" ca="1" si="17"/>
        <v>-0.17220000000000368</v>
      </c>
      <c r="Q1179" s="120">
        <f t="shared" ca="1" si="18"/>
        <v>-7.9999999999998295E-2</v>
      </c>
      <c r="R1179" s="120">
        <f t="shared" ca="1" si="19"/>
        <v>-3.5800000000008936E-2</v>
      </c>
    </row>
    <row r="1180" spans="1:23">
      <c r="A1180" s="114">
        <v>41106</v>
      </c>
      <c r="B1180" s="115">
        <v>103.01</v>
      </c>
      <c r="C1180" s="115">
        <v>100.301</v>
      </c>
      <c r="D1180" s="115">
        <v>101.2991</v>
      </c>
      <c r="E1180" s="115">
        <v>102.2736</v>
      </c>
      <c r="F1180" s="115">
        <v>102.2518</v>
      </c>
      <c r="G1180" s="121">
        <v>102.4556</v>
      </c>
      <c r="H1180" s="115">
        <v>99.835999999999999</v>
      </c>
      <c r="I1180" s="118">
        <v>101.8205</v>
      </c>
      <c r="K1180" s="120">
        <f t="shared" ca="1" si="12"/>
        <v>-3.0000000000001137E-2</v>
      </c>
      <c r="L1180" s="120">
        <f t="shared" ca="1" si="13"/>
        <v>-0.11310000000000286</v>
      </c>
      <c r="M1180" s="120">
        <f t="shared" ca="1" si="14"/>
        <v>1.5999999999962711E-3</v>
      </c>
      <c r="N1180" s="120">
        <f t="shared" ca="1" si="15"/>
        <v>-0.10880000000000223</v>
      </c>
      <c r="O1180" s="120">
        <f t="shared" ca="1" si="16"/>
        <v>-1.3893999999999949</v>
      </c>
      <c r="P1180" s="120">
        <f t="shared" ca="1" si="17"/>
        <v>-7.1799999999996089E-2</v>
      </c>
      <c r="Q1180" s="120">
        <f t="shared" ca="1" si="18"/>
        <v>-5.4000000000002046E-2</v>
      </c>
      <c r="R1180" s="120">
        <f t="shared" ca="1" si="19"/>
        <v>-9.8100000000002296E-2</v>
      </c>
    </row>
    <row r="1181" spans="1:23">
      <c r="A1181" s="114">
        <v>41107</v>
      </c>
      <c r="B1181" s="115">
        <v>102.96</v>
      </c>
      <c r="C1181" s="115">
        <v>100.3403</v>
      </c>
      <c r="D1181" s="115">
        <v>101.1996</v>
      </c>
      <c r="E1181" s="115">
        <v>101.4982</v>
      </c>
      <c r="F1181" s="115">
        <v>103.46639999999999</v>
      </c>
      <c r="G1181" s="121">
        <v>102.31140000000001</v>
      </c>
      <c r="H1181" s="115">
        <v>99.798000000000002</v>
      </c>
      <c r="I1181" s="118">
        <v>101.77209999999999</v>
      </c>
      <c r="K1181" s="120">
        <f t="shared" ca="1" si="12"/>
        <v>-5.0000000000011369E-2</v>
      </c>
      <c r="L1181" s="120">
        <f t="shared" ca="1" si="13"/>
        <v>3.9299999999997226E-2</v>
      </c>
      <c r="M1181" s="120">
        <f t="shared" ca="1" si="14"/>
        <v>-9.9499999999991928E-2</v>
      </c>
      <c r="N1181" s="120">
        <f t="shared" ca="1" si="15"/>
        <v>-0.77540000000000475</v>
      </c>
      <c r="O1181" s="120">
        <f t="shared" ca="1" si="16"/>
        <v>1.2145999999999901</v>
      </c>
      <c r="P1181" s="120">
        <f t="shared" ca="1" si="17"/>
        <v>-0.14419999999999789</v>
      </c>
      <c r="Q1181" s="120">
        <f t="shared" ca="1" si="18"/>
        <v>-3.7999999999996703E-2</v>
      </c>
      <c r="R1181" s="120">
        <f t="shared" ca="1" si="19"/>
        <v>-4.8400000000000887E-2</v>
      </c>
      <c r="V1181" s="3">
        <f t="shared" ref="V1181:V1203" ca="1" si="20">SUMPRODUCT(K1181:P1181,$K$1173:$P$1173)/100+V1180</f>
        <v>-0.12413300000000049</v>
      </c>
      <c r="W1181" s="3">
        <f t="shared" ref="W1181:W1203" ca="1" si="21">SUMPRODUCT(K1181:R1181,$K$1173:$R$1173)/100+W1180</f>
        <v>-0.10999082381856251</v>
      </c>
    </row>
    <row r="1182" spans="1:23">
      <c r="A1182" s="114">
        <v>41108</v>
      </c>
      <c r="B1182" s="115">
        <v>102.86</v>
      </c>
      <c r="C1182" s="115">
        <v>100.4958</v>
      </c>
      <c r="D1182" s="115">
        <v>101.10039999999999</v>
      </c>
      <c r="E1182" s="115">
        <v>102.3019</v>
      </c>
      <c r="F1182" s="115">
        <v>102.2534</v>
      </c>
      <c r="G1182" s="121">
        <v>102.292</v>
      </c>
      <c r="H1182" s="115">
        <v>99.77</v>
      </c>
      <c r="I1182" s="118">
        <v>101.7754</v>
      </c>
      <c r="K1182" s="120">
        <f t="shared" ca="1" si="12"/>
        <v>-9.9999999999994316E-2</v>
      </c>
      <c r="L1182" s="120">
        <f t="shared" ca="1" si="13"/>
        <v>0.15550000000000352</v>
      </c>
      <c r="M1182" s="120">
        <f t="shared" ca="1" si="14"/>
        <v>-9.9200000000010391E-2</v>
      </c>
      <c r="N1182" s="120">
        <f t="shared" ca="1" si="15"/>
        <v>0.8037000000000063</v>
      </c>
      <c r="O1182" s="120">
        <f t="shared" ca="1" si="16"/>
        <v>-1.2129999999999939</v>
      </c>
      <c r="P1182" s="120">
        <f t="shared" ca="1" si="17"/>
        <v>-1.9400000000004525E-2</v>
      </c>
      <c r="Q1182" s="120">
        <f t="shared" ca="1" si="18"/>
        <v>-2.8000000000005798E-2</v>
      </c>
      <c r="R1182" s="120">
        <f t="shared" ca="1" si="19"/>
        <v>3.3000000000100727E-3</v>
      </c>
      <c r="V1182" s="3">
        <f t="shared" ca="1" si="20"/>
        <v>-3.7893000000000676E-2</v>
      </c>
      <c r="W1182" s="3">
        <f t="shared" ca="1" si="21"/>
        <v>-7.2782449218378314E-3</v>
      </c>
    </row>
    <row r="1183" spans="1:23">
      <c r="A1183" s="114">
        <v>41109</v>
      </c>
      <c r="B1183" s="115">
        <v>102.82</v>
      </c>
      <c r="C1183" s="115">
        <v>100.49169999999999</v>
      </c>
      <c r="D1183" s="115">
        <v>101.1009</v>
      </c>
      <c r="E1183" s="115">
        <v>101.4992</v>
      </c>
      <c r="F1183" s="115">
        <v>102.25579999999999</v>
      </c>
      <c r="G1183" s="121">
        <v>102.30289999999999</v>
      </c>
      <c r="H1183" s="115">
        <v>99.757999999999996</v>
      </c>
      <c r="I1183" s="118">
        <v>101.7313</v>
      </c>
      <c r="K1183" s="120">
        <f t="shared" ca="1" si="12"/>
        <v>-4.0000000000006253E-2</v>
      </c>
      <c r="L1183" s="120">
        <f t="shared" ca="1" si="13"/>
        <v>-4.1000000000082082E-3</v>
      </c>
      <c r="M1183" s="120">
        <f t="shared" ca="1" si="14"/>
        <v>5.0000000000238742E-4</v>
      </c>
      <c r="N1183" s="120">
        <f t="shared" ca="1" si="15"/>
        <v>-0.80270000000000152</v>
      </c>
      <c r="O1183" s="120">
        <f t="shared" ca="1" si="16"/>
        <v>2.3999999999944066E-3</v>
      </c>
      <c r="P1183" s="120">
        <f t="shared" ca="1" si="17"/>
        <v>1.089999999999236E-2</v>
      </c>
      <c r="Q1183" s="120">
        <f t="shared" ca="1" si="18"/>
        <v>-1.2000000000000455E-2</v>
      </c>
      <c r="R1183" s="120">
        <f t="shared" ca="1" si="19"/>
        <v>-4.410000000000025E-2</v>
      </c>
      <c r="V1183" s="3">
        <f t="shared" ca="1" si="20"/>
        <v>-0.15877000000000263</v>
      </c>
      <c r="W1183" s="3">
        <f t="shared" ca="1" si="21"/>
        <v>-0.12816516290527957</v>
      </c>
    </row>
    <row r="1184" spans="1:23">
      <c r="A1184" s="114">
        <v>41110</v>
      </c>
      <c r="B1184" s="115">
        <v>102.81</v>
      </c>
      <c r="C1184" s="115">
        <v>100.45569999999999</v>
      </c>
      <c r="D1184" s="115">
        <v>101.1044</v>
      </c>
      <c r="E1184" s="115">
        <v>101.4986</v>
      </c>
      <c r="F1184" s="115">
        <v>103.60290000000001</v>
      </c>
      <c r="G1184" s="121">
        <v>102.2991</v>
      </c>
      <c r="H1184" s="115">
        <v>99.738</v>
      </c>
      <c r="I1184" s="118">
        <v>101.74769999999999</v>
      </c>
      <c r="K1184" s="120">
        <f t="shared" ca="1" si="12"/>
        <v>-9.9999999999909051E-3</v>
      </c>
      <c r="L1184" s="120">
        <f t="shared" ca="1" si="13"/>
        <v>-3.6000000000001364E-2</v>
      </c>
      <c r="M1184" s="120">
        <f t="shared" ca="1" si="14"/>
        <v>3.5000000000025011E-3</v>
      </c>
      <c r="N1184" s="120">
        <f t="shared" ca="1" si="15"/>
        <v>-6.0000000000570708E-4</v>
      </c>
      <c r="O1184" s="120">
        <f t="shared" ca="1" si="16"/>
        <v>1.3471000000000117</v>
      </c>
      <c r="P1184" s="120">
        <f t="shared" ca="1" si="17"/>
        <v>-3.7999999999982492E-3</v>
      </c>
      <c r="Q1184" s="120">
        <f t="shared" ca="1" si="18"/>
        <v>-1.9999999999996021E-2</v>
      </c>
      <c r="R1184" s="120">
        <f t="shared" ca="1" si="19"/>
        <v>1.63999999999902E-2</v>
      </c>
      <c r="V1184" s="3">
        <f t="shared" ca="1" si="20"/>
        <v>-0.13443800000000236</v>
      </c>
      <c r="W1184" s="3">
        <f t="shared" ca="1" si="21"/>
        <v>-8.9885801115523078E-2</v>
      </c>
    </row>
    <row r="1185" spans="1:23">
      <c r="A1185" s="114">
        <v>41113</v>
      </c>
      <c r="B1185" s="115">
        <v>102.8</v>
      </c>
      <c r="C1185" s="115">
        <v>100.5035</v>
      </c>
      <c r="D1185" s="115">
        <v>101.20189999999999</v>
      </c>
      <c r="E1185" s="115">
        <v>101.50020000000001</v>
      </c>
      <c r="F1185" s="115">
        <v>102.2689</v>
      </c>
      <c r="G1185" s="121">
        <v>102.3032</v>
      </c>
      <c r="H1185" s="115">
        <v>99.768000000000001</v>
      </c>
      <c r="I1185" s="118">
        <v>101.7274</v>
      </c>
      <c r="K1185" s="120">
        <f t="shared" ca="1" si="12"/>
        <v>-1.0000000000005116E-2</v>
      </c>
      <c r="L1185" s="120">
        <f t="shared" ca="1" si="13"/>
        <v>4.7800000000009391E-2</v>
      </c>
      <c r="M1185" s="120">
        <f t="shared" ca="1" si="14"/>
        <v>9.7499999999996589E-2</v>
      </c>
      <c r="N1185" s="120">
        <f t="shared" ca="1" si="15"/>
        <v>1.6000000000104819E-3</v>
      </c>
      <c r="O1185" s="120">
        <f t="shared" ca="1" si="16"/>
        <v>-1.3340000000000032</v>
      </c>
      <c r="P1185" s="120">
        <f t="shared" ca="1" si="17"/>
        <v>4.1000000000082082E-3</v>
      </c>
      <c r="Q1185" s="120">
        <f t="shared" ca="1" si="18"/>
        <v>3.0000000000001137E-2</v>
      </c>
      <c r="R1185" s="120">
        <f t="shared" ca="1" si="19"/>
        <v>-2.0299999999991769E-2</v>
      </c>
      <c r="V1185" s="3">
        <f t="shared" ca="1" si="20"/>
        <v>-0.14862299999999976</v>
      </c>
      <c r="W1185" s="3">
        <f t="shared" ca="1" si="21"/>
        <v>-0.12432393796503984</v>
      </c>
    </row>
    <row r="1186" spans="1:23">
      <c r="A1186" s="114">
        <v>41114</v>
      </c>
      <c r="B1186" s="115">
        <v>102.83</v>
      </c>
      <c r="C1186" s="115">
        <v>100.4735</v>
      </c>
      <c r="D1186" s="115">
        <v>101.1005</v>
      </c>
      <c r="E1186" s="115">
        <v>101.4991</v>
      </c>
      <c r="F1186" s="115">
        <v>102.2713</v>
      </c>
      <c r="G1186" s="121">
        <v>102.30070000000001</v>
      </c>
      <c r="H1186" s="115">
        <v>99.84</v>
      </c>
      <c r="I1186" s="118">
        <v>101.765</v>
      </c>
      <c r="K1186" s="120">
        <f t="shared" ca="1" si="12"/>
        <v>3.0000000000001137E-2</v>
      </c>
      <c r="L1186" s="120">
        <f t="shared" ca="1" si="13"/>
        <v>-3.0000000000001137E-2</v>
      </c>
      <c r="M1186" s="120">
        <f t="shared" ca="1" si="14"/>
        <v>-0.10139999999999816</v>
      </c>
      <c r="N1186" s="120">
        <f t="shared" ca="1" si="15"/>
        <v>-1.1000000000080945E-3</v>
      </c>
      <c r="O1186" s="120">
        <f t="shared" ca="1" si="16"/>
        <v>2.3999999999944066E-3</v>
      </c>
      <c r="P1186" s="120">
        <f t="shared" ca="1" si="17"/>
        <v>-2.4999999999977263E-3</v>
      </c>
      <c r="Q1186" s="120">
        <f t="shared" ca="1" si="18"/>
        <v>7.2000000000002728E-2</v>
      </c>
      <c r="R1186" s="120">
        <f t="shared" ca="1" si="19"/>
        <v>3.7599999999997635E-2</v>
      </c>
      <c r="V1186" s="3">
        <f t="shared" ca="1" si="20"/>
        <v>-0.15925500000000056</v>
      </c>
      <c r="W1186" s="3">
        <f t="shared" ca="1" si="21"/>
        <v>-0.17015564508120257</v>
      </c>
    </row>
    <row r="1187" spans="1:23">
      <c r="A1187" s="114">
        <v>41115</v>
      </c>
      <c r="B1187" s="115">
        <v>102.84</v>
      </c>
      <c r="C1187" s="115">
        <v>100.4957</v>
      </c>
      <c r="D1187" s="115">
        <v>101.0997</v>
      </c>
      <c r="E1187" s="115">
        <v>102.17570000000001</v>
      </c>
      <c r="F1187" s="115">
        <v>102.27290000000001</v>
      </c>
      <c r="G1187" s="121">
        <v>102.3001</v>
      </c>
      <c r="H1187" s="115">
        <v>99.83</v>
      </c>
      <c r="I1187" s="118">
        <v>101.73399999999999</v>
      </c>
      <c r="K1187" s="120">
        <f t="shared" ca="1" si="12"/>
        <v>1.0000000000005116E-2</v>
      </c>
      <c r="L1187" s="120">
        <f t="shared" ca="1" si="13"/>
        <v>2.2199999999997999E-2</v>
      </c>
      <c r="M1187" s="120">
        <f t="shared" ca="1" si="14"/>
        <v>-7.9999999999813554E-4</v>
      </c>
      <c r="N1187" s="120">
        <f t="shared" ca="1" si="15"/>
        <v>0.67660000000000764</v>
      </c>
      <c r="O1187" s="120">
        <f t="shared" ca="1" si="16"/>
        <v>1.6000000000104819E-3</v>
      </c>
      <c r="P1187" s="120">
        <f t="shared" ca="1" si="17"/>
        <v>-6.0000000000570708E-4</v>
      </c>
      <c r="Q1187" s="120">
        <f t="shared" ca="1" si="18"/>
        <v>-1.0000000000005116E-2</v>
      </c>
      <c r="R1187" s="120">
        <f t="shared" ca="1" si="19"/>
        <v>-3.1000000000005912E-2</v>
      </c>
      <c r="V1187" s="3">
        <f t="shared" ca="1" si="20"/>
        <v>-5.6292999999999718E-2</v>
      </c>
      <c r="W1187" s="3">
        <f t="shared" ca="1" si="21"/>
        <v>-6.6308780171599718E-2</v>
      </c>
    </row>
    <row r="1188" spans="1:23">
      <c r="A1188" s="114">
        <v>41116</v>
      </c>
      <c r="B1188" s="115">
        <v>102.81</v>
      </c>
      <c r="C1188" s="115">
        <v>100.4041</v>
      </c>
      <c r="D1188" s="115">
        <v>101.0997</v>
      </c>
      <c r="E1188" s="115">
        <v>101.4983</v>
      </c>
      <c r="F1188" s="115">
        <v>102.2745</v>
      </c>
      <c r="G1188" s="121">
        <v>102.2991</v>
      </c>
      <c r="H1188" s="115">
        <v>99.82</v>
      </c>
      <c r="I1188" s="118">
        <v>101.7244</v>
      </c>
      <c r="K1188" s="120">
        <f t="shared" ca="1" si="12"/>
        <v>-3.0000000000001137E-2</v>
      </c>
      <c r="L1188" s="120">
        <f t="shared" ca="1" si="13"/>
        <v>-9.1599999999999682E-2</v>
      </c>
      <c r="M1188" s="120">
        <f t="shared" ca="1" si="14"/>
        <v>0</v>
      </c>
      <c r="N1188" s="120">
        <f t="shared" ca="1" si="15"/>
        <v>-0.67740000000000578</v>
      </c>
      <c r="O1188" s="120">
        <f t="shared" ca="1" si="16"/>
        <v>1.5999999999962711E-3</v>
      </c>
      <c r="P1188" s="120">
        <f t="shared" ca="1" si="17"/>
        <v>-1.0000000000047748E-3</v>
      </c>
      <c r="Q1188" s="120">
        <f t="shared" ca="1" si="18"/>
        <v>-1.0000000000005116E-2</v>
      </c>
      <c r="R1188" s="120">
        <f t="shared" ca="1" si="19"/>
        <v>-9.5999999999918373E-3</v>
      </c>
      <c r="V1188" s="3">
        <f t="shared" ca="1" si="20"/>
        <v>-0.16410100000000141</v>
      </c>
      <c r="W1188" s="3">
        <f t="shared" ca="1" si="21"/>
        <v>-0.16990791878023723</v>
      </c>
    </row>
    <row r="1189" spans="1:23">
      <c r="A1189" s="114">
        <v>41117</v>
      </c>
      <c r="B1189" s="115">
        <v>102.87</v>
      </c>
      <c r="C1189" s="115">
        <v>100.4045</v>
      </c>
      <c r="D1189" s="115">
        <v>101.0985</v>
      </c>
      <c r="E1189" s="115">
        <v>101.5</v>
      </c>
      <c r="F1189" s="115">
        <v>102.2726</v>
      </c>
      <c r="G1189" s="121">
        <v>102.0312</v>
      </c>
      <c r="H1189" s="115">
        <v>99.835999999999999</v>
      </c>
      <c r="I1189" s="118">
        <v>101.70010000000001</v>
      </c>
      <c r="K1189" s="120">
        <f t="shared" ca="1" si="12"/>
        <v>6.0000000000002274E-2</v>
      </c>
      <c r="L1189" s="120">
        <f t="shared" ca="1" si="13"/>
        <v>3.9999999999906777E-4</v>
      </c>
      <c r="M1189" s="120">
        <f t="shared" ca="1" si="14"/>
        <v>-1.1999999999972033E-3</v>
      </c>
      <c r="N1189" s="120">
        <f t="shared" ca="1" si="15"/>
        <v>1.6999999999995907E-3</v>
      </c>
      <c r="O1189" s="120">
        <f t="shared" ca="1" si="16"/>
        <v>-1.90000000000623E-3</v>
      </c>
      <c r="P1189" s="120">
        <f t="shared" ca="1" si="17"/>
        <v>-0.26789999999999736</v>
      </c>
      <c r="Q1189" s="120">
        <f t="shared" ca="1" si="18"/>
        <v>1.6000000000005343E-2</v>
      </c>
      <c r="R1189" s="120">
        <f t="shared" ca="1" si="19"/>
        <v>-2.4299999999996658E-2</v>
      </c>
      <c r="V1189" s="3">
        <f t="shared" ca="1" si="20"/>
        <v>-0.20116900000000085</v>
      </c>
      <c r="W1189" s="3">
        <f t="shared" ca="1" si="21"/>
        <v>-0.21987036338335919</v>
      </c>
    </row>
    <row r="1190" spans="1:23">
      <c r="A1190" s="114">
        <v>41120</v>
      </c>
      <c r="B1190" s="115">
        <v>102.77</v>
      </c>
      <c r="C1190" s="115">
        <v>99.901300000000006</v>
      </c>
      <c r="D1190" s="115">
        <v>100.99930000000001</v>
      </c>
      <c r="E1190" s="115">
        <v>102.1116</v>
      </c>
      <c r="F1190" s="115">
        <v>103.5064</v>
      </c>
      <c r="G1190" s="121">
        <v>102.2989</v>
      </c>
      <c r="H1190" s="115">
        <v>99.88</v>
      </c>
      <c r="I1190" s="118">
        <v>101.6564</v>
      </c>
      <c r="K1190" s="120">
        <f t="shared" ca="1" si="12"/>
        <v>-0.10000000000000853</v>
      </c>
      <c r="L1190" s="120">
        <f t="shared" ca="1" si="13"/>
        <v>-0.50319999999999254</v>
      </c>
      <c r="M1190" s="120">
        <f t="shared" ca="1" si="14"/>
        <v>-9.919999999999618E-2</v>
      </c>
      <c r="N1190" s="120">
        <f t="shared" ca="1" si="15"/>
        <v>0.6115999999999957</v>
      </c>
      <c r="O1190" s="120">
        <f t="shared" ca="1" si="16"/>
        <v>1.2338000000000022</v>
      </c>
      <c r="P1190" s="120">
        <f t="shared" ca="1" si="17"/>
        <v>0.26770000000000493</v>
      </c>
      <c r="Q1190" s="120">
        <f t="shared" ca="1" si="18"/>
        <v>4.399999999999693E-2</v>
      </c>
      <c r="R1190" s="120">
        <f t="shared" ca="1" si="19"/>
        <v>-4.3700000000001182E-2</v>
      </c>
      <c r="V1190" s="3">
        <f t="shared" ca="1" si="20"/>
        <v>-8.4678000000000378E-2</v>
      </c>
      <c r="W1190" s="3">
        <f t="shared" ca="1" si="21"/>
        <v>-0.13524715059143716</v>
      </c>
    </row>
    <row r="1191" spans="1:23">
      <c r="A1191" s="114">
        <v>41121</v>
      </c>
      <c r="B1191" s="115">
        <v>102.75</v>
      </c>
      <c r="C1191" s="115">
        <v>99.914900000000003</v>
      </c>
      <c r="D1191" s="115">
        <v>100.9995</v>
      </c>
      <c r="E1191" s="115">
        <v>101.9913</v>
      </c>
      <c r="F1191" s="115">
        <v>103.30589999999999</v>
      </c>
      <c r="G1191" s="121">
        <v>102.29949999999999</v>
      </c>
      <c r="H1191" s="115">
        <v>99.83</v>
      </c>
      <c r="I1191" s="118">
        <v>101.5489</v>
      </c>
      <c r="K1191" s="120">
        <f t="shared" ca="1" si="12"/>
        <v>-1.9999999999996021E-2</v>
      </c>
      <c r="L1191" s="120">
        <f t="shared" ca="1" si="13"/>
        <v>1.3599999999996726E-2</v>
      </c>
      <c r="M1191" s="120">
        <f t="shared" ca="1" si="14"/>
        <v>1.9999999999242846E-4</v>
      </c>
      <c r="N1191" s="120">
        <f t="shared" ca="1" si="15"/>
        <v>-0.1203000000000003</v>
      </c>
      <c r="O1191" s="120">
        <f t="shared" ca="1" si="16"/>
        <v>-0.20050000000000523</v>
      </c>
      <c r="P1191" s="120">
        <f t="shared" ca="1" si="17"/>
        <v>5.9999999999149622E-4</v>
      </c>
      <c r="Q1191" s="120">
        <f t="shared" ca="1" si="18"/>
        <v>-4.9999999999997158E-2</v>
      </c>
      <c r="R1191" s="120">
        <f t="shared" ca="1" si="19"/>
        <v>-0.10750000000000171</v>
      </c>
      <c r="V1191" s="3">
        <f t="shared" ca="1" si="20"/>
        <v>-0.10694300000000252</v>
      </c>
      <c r="W1191" s="3">
        <f t="shared" ca="1" si="21"/>
        <v>-0.14570979646944118</v>
      </c>
    </row>
    <row r="1192" spans="1:23">
      <c r="A1192" s="114">
        <v>41122</v>
      </c>
      <c r="B1192" s="115">
        <v>102.68</v>
      </c>
      <c r="C1192" s="115">
        <v>99.854799999999997</v>
      </c>
      <c r="D1192" s="115">
        <v>100.8995</v>
      </c>
      <c r="E1192" s="115">
        <v>101.93089999999999</v>
      </c>
      <c r="F1192" s="115">
        <v>102.2826</v>
      </c>
      <c r="G1192" s="121">
        <v>102.20050000000001</v>
      </c>
      <c r="H1192" s="115">
        <v>99.74</v>
      </c>
      <c r="I1192" s="118">
        <v>101.6332</v>
      </c>
      <c r="K1192" s="120">
        <f t="shared" ca="1" si="12"/>
        <v>-6.9999999999993179E-2</v>
      </c>
      <c r="L1192" s="120">
        <f t="shared" ca="1" si="13"/>
        <v>-6.0100000000005593E-2</v>
      </c>
      <c r="M1192" s="120">
        <f t="shared" ca="1" si="14"/>
        <v>-9.9999999999994316E-2</v>
      </c>
      <c r="N1192" s="120">
        <f t="shared" ca="1" si="15"/>
        <v>-6.0400000000001342E-2</v>
      </c>
      <c r="O1192" s="120">
        <f t="shared" ca="1" si="16"/>
        <v>-1.0232999999999919</v>
      </c>
      <c r="P1192" s="120">
        <f t="shared" ca="1" si="17"/>
        <v>-9.8999999999989541E-2</v>
      </c>
      <c r="Q1192" s="120">
        <f t="shared" ca="1" si="18"/>
        <v>-9.0000000000003411E-2</v>
      </c>
      <c r="R1192" s="120">
        <f t="shared" ca="1" si="19"/>
        <v>8.4299999999998931E-2</v>
      </c>
      <c r="V1192" s="3">
        <f t="shared" ca="1" si="20"/>
        <v>-0.16782400000000036</v>
      </c>
      <c r="W1192" s="3">
        <f t="shared" ca="1" si="21"/>
        <v>-0.14219673556231724</v>
      </c>
    </row>
    <row r="1193" spans="1:23">
      <c r="A1193" s="114">
        <v>41123</v>
      </c>
      <c r="B1193" s="115">
        <v>102.67</v>
      </c>
      <c r="C1193" s="115">
        <v>99.877700000000004</v>
      </c>
      <c r="D1193" s="115">
        <v>100.8993</v>
      </c>
      <c r="E1193" s="115">
        <v>101.9003</v>
      </c>
      <c r="F1193" s="115">
        <v>103.27500000000001</v>
      </c>
      <c r="G1193" s="121">
        <v>101.9978</v>
      </c>
      <c r="H1193" s="115">
        <v>99.688000000000002</v>
      </c>
      <c r="I1193" s="118">
        <v>101.6246</v>
      </c>
      <c r="K1193" s="120">
        <f t="shared" ca="1" si="12"/>
        <v>-1.0000000000005116E-2</v>
      </c>
      <c r="L1193" s="120">
        <f t="shared" ca="1" si="13"/>
        <v>2.2900000000007026E-2</v>
      </c>
      <c r="M1193" s="120">
        <f t="shared" ca="1" si="14"/>
        <v>-2.0000000000663931E-4</v>
      </c>
      <c r="N1193" s="120">
        <f t="shared" ca="1" si="15"/>
        <v>-3.0599999999992633E-2</v>
      </c>
      <c r="O1193" s="120">
        <f t="shared" ca="1" si="16"/>
        <v>0.9924000000000035</v>
      </c>
      <c r="P1193" s="120">
        <f t="shared" ca="1" si="17"/>
        <v>-0.20270000000000721</v>
      </c>
      <c r="Q1193" s="120">
        <f t="shared" ca="1" si="18"/>
        <v>-5.1999999999992497E-2</v>
      </c>
      <c r="R1193" s="120">
        <f t="shared" ca="1" si="19"/>
        <v>-8.6000000000012733E-3</v>
      </c>
      <c r="V1193" s="3">
        <f t="shared" ca="1" si="20"/>
        <v>-0.18234600000000084</v>
      </c>
      <c r="W1193" s="3">
        <f t="shared" ca="1" si="21"/>
        <v>-0.12841454723256218</v>
      </c>
    </row>
    <row r="1194" spans="1:23">
      <c r="A1194" s="112">
        <v>41124</v>
      </c>
      <c r="B1194" s="113">
        <v>102.7</v>
      </c>
      <c r="C1194" s="115">
        <v>99.866799999999998</v>
      </c>
      <c r="D1194" s="115">
        <v>100.8976</v>
      </c>
      <c r="E1194" s="115">
        <v>101.8683</v>
      </c>
      <c r="F1194" s="115">
        <v>103.30419999999999</v>
      </c>
      <c r="G1194" s="121">
        <v>101.8302</v>
      </c>
      <c r="H1194" s="115">
        <v>99.73</v>
      </c>
      <c r="I1194" s="118">
        <v>101.5444</v>
      </c>
      <c r="K1194" s="120">
        <f t="shared" ca="1" si="12"/>
        <v>3.0000000000001137E-2</v>
      </c>
      <c r="L1194" s="120">
        <f t="shared" ca="1" si="13"/>
        <v>-1.0900000000006571E-2</v>
      </c>
      <c r="M1194" s="120">
        <f t="shared" ca="1" si="14"/>
        <v>-1.6999999999995907E-3</v>
      </c>
      <c r="N1194" s="120">
        <f t="shared" ca="1" si="15"/>
        <v>-3.1999999999996476E-2</v>
      </c>
      <c r="O1194" s="120">
        <f t="shared" ca="1" si="16"/>
        <v>2.919999999998879E-2</v>
      </c>
      <c r="P1194" s="120">
        <f t="shared" ca="1" si="17"/>
        <v>-0.16759999999999309</v>
      </c>
      <c r="Q1194" s="120">
        <f t="shared" ca="1" si="18"/>
        <v>4.2000000000001592E-2</v>
      </c>
      <c r="R1194" s="120">
        <f t="shared" ca="1" si="19"/>
        <v>-8.0200000000004934E-2</v>
      </c>
      <c r="V1194" s="3">
        <f t="shared" ca="1" si="20"/>
        <v>-0.21091699999999974</v>
      </c>
      <c r="W1194" s="3">
        <f t="shared" ca="1" si="21"/>
        <v>-0.19338276769224275</v>
      </c>
    </row>
    <row r="1195" spans="1:23">
      <c r="A1195" s="114">
        <v>41127</v>
      </c>
      <c r="B1195" s="115">
        <v>102.68</v>
      </c>
      <c r="C1195" s="115">
        <v>99.802300000000002</v>
      </c>
      <c r="D1195" s="115">
        <v>100.8991</v>
      </c>
      <c r="E1195" s="115">
        <v>101.77849999999999</v>
      </c>
      <c r="F1195" s="115">
        <v>103.267</v>
      </c>
      <c r="G1195" s="121">
        <v>101.9511</v>
      </c>
      <c r="H1195" s="115">
        <v>99.697999999999993</v>
      </c>
      <c r="I1195" s="118">
        <v>101.379</v>
      </c>
      <c r="K1195" s="120">
        <f t="shared" ca="1" si="12"/>
        <v>-1.9999999999996021E-2</v>
      </c>
      <c r="L1195" s="120">
        <f t="shared" ca="1" si="13"/>
        <v>-6.4499999999995339E-2</v>
      </c>
      <c r="M1195" s="120">
        <f t="shared" ca="1" si="14"/>
        <v>1.5000000000071623E-3</v>
      </c>
      <c r="N1195" s="120">
        <f t="shared" ca="1" si="15"/>
        <v>-8.9800000000010982E-2</v>
      </c>
      <c r="O1195" s="120">
        <f t="shared" ca="1" si="16"/>
        <v>-3.7199999999998568E-2</v>
      </c>
      <c r="P1195" s="120">
        <f t="shared" ca="1" si="17"/>
        <v>0.12089999999999179</v>
      </c>
      <c r="Q1195" s="120">
        <f t="shared" ca="1" si="18"/>
        <v>-3.2000000000010687E-2</v>
      </c>
      <c r="R1195" s="120">
        <f t="shared" ca="1" si="19"/>
        <v>-0.16539999999999111</v>
      </c>
      <c r="V1195" s="3">
        <f t="shared" ca="1" si="20"/>
        <v>-0.21107100000000145</v>
      </c>
      <c r="W1195" s="3">
        <f t="shared" ca="1" si="21"/>
        <v>-0.20098784330359698</v>
      </c>
    </row>
    <row r="1196" spans="1:23">
      <c r="A1196" s="114">
        <v>41128</v>
      </c>
      <c r="B1196" s="115">
        <v>102.48</v>
      </c>
      <c r="C1196" s="115">
        <v>99.761799999999994</v>
      </c>
      <c r="D1196" s="115">
        <v>100.7993</v>
      </c>
      <c r="E1196" s="115">
        <v>101.5406</v>
      </c>
      <c r="F1196" s="115">
        <v>103.12730000000001</v>
      </c>
      <c r="G1196" s="121">
        <v>101.85550000000001</v>
      </c>
      <c r="H1196" s="115">
        <v>99.658000000000001</v>
      </c>
      <c r="I1196" s="118">
        <v>101.2462</v>
      </c>
      <c r="K1196" s="120">
        <f t="shared" ca="1" si="12"/>
        <v>-0.20000000000000284</v>
      </c>
      <c r="L1196" s="120">
        <f t="shared" ca="1" si="13"/>
        <v>-4.050000000000864E-2</v>
      </c>
      <c r="M1196" s="120">
        <f t="shared" ca="1" si="14"/>
        <v>-9.9800000000001887E-2</v>
      </c>
      <c r="N1196" s="120">
        <f t="shared" ca="1" si="15"/>
        <v>-0.23789999999999623</v>
      </c>
      <c r="O1196" s="120">
        <f t="shared" ca="1" si="16"/>
        <v>-0.13969999999999061</v>
      </c>
      <c r="P1196" s="120">
        <f t="shared" ca="1" si="17"/>
        <v>-9.5599999999990359E-2</v>
      </c>
      <c r="Q1196" s="120">
        <f t="shared" ca="1" si="18"/>
        <v>-3.9999999999992042E-2</v>
      </c>
      <c r="R1196" s="120">
        <f t="shared" ca="1" si="19"/>
        <v>-0.13280000000000314</v>
      </c>
      <c r="V1196" s="3">
        <f t="shared" ca="1" si="20"/>
        <v>-0.28589500000000001</v>
      </c>
      <c r="W1196" s="3">
        <f t="shared" ca="1" si="21"/>
        <v>-0.27363926072312056</v>
      </c>
    </row>
    <row r="1197" spans="1:23">
      <c r="A1197" s="114">
        <v>41129</v>
      </c>
      <c r="B1197" s="115">
        <v>102.45</v>
      </c>
      <c r="C1197" s="115">
        <v>99.677000000000007</v>
      </c>
      <c r="D1197" s="115">
        <v>100.699</v>
      </c>
      <c r="E1197" s="115">
        <v>101.363</v>
      </c>
      <c r="F1197" s="115">
        <v>102.658</v>
      </c>
      <c r="G1197" s="121">
        <v>101.855</v>
      </c>
      <c r="H1197" s="115">
        <v>99.382000000000005</v>
      </c>
      <c r="I1197" s="118">
        <v>101.379</v>
      </c>
      <c r="K1197" s="120">
        <f t="shared" ca="1" si="12"/>
        <v>-3.0000000000001137E-2</v>
      </c>
      <c r="L1197" s="120">
        <f t="shared" ca="1" si="13"/>
        <v>-8.4799999999987108E-2</v>
      </c>
      <c r="M1197" s="120">
        <f t="shared" ca="1" si="14"/>
        <v>-0.10030000000000427</v>
      </c>
      <c r="N1197" s="120">
        <f t="shared" ca="1" si="15"/>
        <v>-0.1775999999999982</v>
      </c>
      <c r="O1197" s="120">
        <f t="shared" ca="1" si="16"/>
        <v>-0.46930000000000405</v>
      </c>
      <c r="P1197" s="120">
        <f t="shared" ca="1" si="17"/>
        <v>-5.0000000000238742E-4</v>
      </c>
      <c r="Q1197" s="120">
        <f t="shared" ca="1" si="18"/>
        <v>-0.27599999999999625</v>
      </c>
      <c r="R1197" s="120">
        <f t="shared" ca="1" si="19"/>
        <v>0.13280000000000314</v>
      </c>
      <c r="V1197" s="3">
        <f t="shared" ca="1" si="20"/>
        <v>-0.33776600000000001</v>
      </c>
      <c r="W1197" s="3">
        <f t="shared" ca="1" si="21"/>
        <v>-0.14756284330360223</v>
      </c>
    </row>
    <row r="1198" spans="1:23">
      <c r="A1198" s="114">
        <v>41130</v>
      </c>
      <c r="B1198" s="115">
        <v>102.33</v>
      </c>
      <c r="C1198" s="115">
        <v>99.600999999999999</v>
      </c>
      <c r="D1198" s="115">
        <v>100.399</v>
      </c>
      <c r="E1198" s="115">
        <v>101.51</v>
      </c>
      <c r="F1198" s="115">
        <v>102.81699999999999</v>
      </c>
      <c r="G1198" s="121">
        <v>101.86199999999999</v>
      </c>
      <c r="H1198" s="115">
        <v>99.4</v>
      </c>
      <c r="I1198" s="118">
        <v>101.262</v>
      </c>
      <c r="K1198" s="120">
        <f t="shared" ca="1" si="12"/>
        <v>-0.12000000000000455</v>
      </c>
      <c r="L1198" s="120">
        <f t="shared" ca="1" si="13"/>
        <v>-7.6000000000007617E-2</v>
      </c>
      <c r="M1198" s="120">
        <f t="shared" ca="1" si="14"/>
        <v>-0.29999999999999716</v>
      </c>
      <c r="N1198" s="120">
        <f t="shared" ca="1" si="15"/>
        <v>0.14700000000000557</v>
      </c>
      <c r="O1198" s="120">
        <f t="shared" ca="1" si="16"/>
        <v>0.15899999999999181</v>
      </c>
      <c r="P1198" s="120">
        <f t="shared" ca="1" si="17"/>
        <v>6.9999999999907914E-3</v>
      </c>
      <c r="Q1198" s="120">
        <f t="shared" ca="1" si="18"/>
        <v>1.8000000000000682E-2</v>
      </c>
      <c r="R1198" s="120">
        <f t="shared" ca="1" si="19"/>
        <v>-0.11700000000000443</v>
      </c>
      <c r="V1198" s="3">
        <f t="shared" ca="1" si="20"/>
        <v>-0.35128600000000104</v>
      </c>
      <c r="W1198" s="3">
        <f t="shared" ca="1" si="21"/>
        <v>-0.18951609509640432</v>
      </c>
    </row>
    <row r="1199" spans="1:23">
      <c r="A1199" s="114">
        <v>41131</v>
      </c>
      <c r="B1199" s="115">
        <v>102.34</v>
      </c>
      <c r="C1199" s="115">
        <v>99.708399999999997</v>
      </c>
      <c r="D1199" s="115">
        <v>100.52679999999999</v>
      </c>
      <c r="E1199" s="115">
        <v>101.6854</v>
      </c>
      <c r="F1199" s="115">
        <v>103.0932</v>
      </c>
      <c r="G1199" s="121">
        <v>101.99299999999999</v>
      </c>
      <c r="H1199" s="115">
        <v>99.29</v>
      </c>
      <c r="I1199" s="118">
        <v>101.3058</v>
      </c>
      <c r="K1199" s="120">
        <f t="shared" ca="1" si="12"/>
        <v>1.0000000000005116E-2</v>
      </c>
      <c r="L1199" s="120">
        <f t="shared" ca="1" si="13"/>
        <v>0.10739999999999839</v>
      </c>
      <c r="M1199" s="120">
        <f t="shared" ca="1" si="14"/>
        <v>0.12779999999999347</v>
      </c>
      <c r="N1199" s="120">
        <f t="shared" ca="1" si="15"/>
        <v>0.17539999999999623</v>
      </c>
      <c r="O1199" s="120">
        <f t="shared" ca="1" si="16"/>
        <v>0.27620000000000289</v>
      </c>
      <c r="P1199" s="120">
        <f t="shared" ca="1" si="17"/>
        <v>0.13100000000000023</v>
      </c>
      <c r="Q1199" s="120">
        <f t="shared" ca="1" si="18"/>
        <v>-0.10999999999999943</v>
      </c>
      <c r="R1199" s="120">
        <f t="shared" ca="1" si="19"/>
        <v>4.3800000000004502E-2</v>
      </c>
      <c r="V1199" s="3">
        <f t="shared" ca="1" si="20"/>
        <v>-0.28115200000000201</v>
      </c>
      <c r="W1199" s="3">
        <f t="shared" ca="1" si="21"/>
        <v>-4.9878775194484914E-2</v>
      </c>
    </row>
    <row r="1200" spans="1:23">
      <c r="A1200" s="114">
        <v>41134</v>
      </c>
      <c r="B1200" s="115">
        <v>102.37</v>
      </c>
      <c r="C1200" s="115">
        <v>99.767899999999997</v>
      </c>
      <c r="D1200" s="115">
        <v>100.55</v>
      </c>
      <c r="E1200" s="115">
        <v>101.4478</v>
      </c>
      <c r="F1200" s="115">
        <v>102.28570000000001</v>
      </c>
      <c r="G1200" s="121">
        <v>101.9603</v>
      </c>
      <c r="H1200" s="115">
        <v>99.236000000000004</v>
      </c>
      <c r="I1200" s="118">
        <v>101.1913</v>
      </c>
      <c r="K1200" s="120">
        <f t="shared" ca="1" si="12"/>
        <v>3.0000000000001137E-2</v>
      </c>
      <c r="L1200" s="120">
        <f t="shared" ca="1" si="13"/>
        <v>5.9499999999999886E-2</v>
      </c>
      <c r="M1200" s="120">
        <f t="shared" ca="1" si="14"/>
        <v>2.3200000000002774E-2</v>
      </c>
      <c r="N1200" s="120">
        <f t="shared" ca="1" si="15"/>
        <v>-0.23760000000000048</v>
      </c>
      <c r="O1200" s="120">
        <f t="shared" ca="1" si="16"/>
        <v>-0.80749999999999034</v>
      </c>
      <c r="P1200" s="120">
        <f t="shared" ca="1" si="17"/>
        <v>-3.2699999999991292E-2</v>
      </c>
      <c r="Q1200" s="120">
        <f t="shared" ca="1" si="18"/>
        <v>-5.4000000000002046E-2</v>
      </c>
      <c r="R1200" s="120">
        <f t="shared" ca="1" si="19"/>
        <v>-0.11450000000000671</v>
      </c>
      <c r="V1200" s="3">
        <f t="shared" ca="1" si="20"/>
        <v>-0.33105200000000023</v>
      </c>
      <c r="W1200" s="3">
        <f t="shared" ca="1" si="21"/>
        <v>-8.6783709641283041E-2</v>
      </c>
    </row>
    <row r="1201" spans="1:24">
      <c r="A1201" s="114">
        <v>41135</v>
      </c>
      <c r="B1201" s="115">
        <v>102.33</v>
      </c>
      <c r="C1201" s="115">
        <v>99.601600000000005</v>
      </c>
      <c r="D1201" s="115">
        <v>100.4019</v>
      </c>
      <c r="E1201" s="115">
        <v>101.35939999999999</v>
      </c>
      <c r="F1201" s="115">
        <v>102.75320000000001</v>
      </c>
      <c r="G1201" s="121">
        <v>101.9511</v>
      </c>
      <c r="H1201" s="115">
        <v>99.18</v>
      </c>
      <c r="I1201" s="118">
        <v>101.0519</v>
      </c>
      <c r="K1201" s="120">
        <f t="shared" ca="1" si="12"/>
        <v>-4.0000000000006253E-2</v>
      </c>
      <c r="L1201" s="120">
        <f t="shared" ca="1" si="13"/>
        <v>-0.16629999999999256</v>
      </c>
      <c r="M1201" s="120">
        <f t="shared" ca="1" si="14"/>
        <v>-0.14809999999999945</v>
      </c>
      <c r="N1201" s="120">
        <f t="shared" ca="1" si="15"/>
        <v>-8.840000000000714E-2</v>
      </c>
      <c r="O1201" s="120">
        <f t="shared" ca="1" si="16"/>
        <v>0.46750000000000114</v>
      </c>
      <c r="P1201" s="120">
        <f t="shared" ca="1" si="17"/>
        <v>-9.2000000000069804E-3</v>
      </c>
      <c r="Q1201" s="120">
        <f t="shared" ca="1" si="18"/>
        <v>-5.5999999999997385E-2</v>
      </c>
      <c r="R1201" s="120">
        <f t="shared" ca="1" si="19"/>
        <v>-0.13939999999999486</v>
      </c>
      <c r="V1201" s="3">
        <f t="shared" ca="1" si="20"/>
        <v>-0.3614670000000022</v>
      </c>
      <c r="W1201" s="3">
        <f t="shared" ca="1" si="21"/>
        <v>-0.10693128485424572</v>
      </c>
    </row>
    <row r="1202" spans="1:24">
      <c r="A1202" s="114">
        <v>41136</v>
      </c>
      <c r="B1202" s="115">
        <v>102.21</v>
      </c>
      <c r="C1202" s="115">
        <v>99.582999999999998</v>
      </c>
      <c r="D1202" s="115">
        <v>100.402</v>
      </c>
      <c r="E1202" s="115">
        <v>101.315</v>
      </c>
      <c r="F1202" s="115">
        <v>102.48699999999999</v>
      </c>
      <c r="G1202" s="121">
        <v>101.855</v>
      </c>
      <c r="H1202" s="115">
        <v>99.126000000000005</v>
      </c>
      <c r="I1202" s="118">
        <v>100.8</v>
      </c>
      <c r="K1202" s="120">
        <f t="shared" ca="1" si="12"/>
        <v>-0.12000000000000455</v>
      </c>
      <c r="L1202" s="120">
        <f t="shared" ca="1" si="13"/>
        <v>-1.8600000000006389E-2</v>
      </c>
      <c r="M1202" s="120">
        <f t="shared" ca="1" si="14"/>
        <v>1.0000000000331966E-4</v>
      </c>
      <c r="N1202" s="120">
        <f t="shared" ca="1" si="15"/>
        <v>-4.4399999999995998E-2</v>
      </c>
      <c r="O1202" s="120">
        <f t="shared" ca="1" si="16"/>
        <v>-0.26620000000001198</v>
      </c>
      <c r="P1202" s="120">
        <f t="shared" ca="1" si="17"/>
        <v>-9.6099999999992747E-2</v>
      </c>
      <c r="Q1202" s="120">
        <f t="shared" ca="1" si="18"/>
        <v>-5.4000000000002046E-2</v>
      </c>
      <c r="R1202" s="120">
        <f t="shared" ca="1" si="19"/>
        <v>-0.25190000000000623</v>
      </c>
      <c r="V1202" s="3">
        <f t="shared" ca="1" si="20"/>
        <v>-0.39478600000000097</v>
      </c>
      <c r="W1202" s="3">
        <f t="shared" ca="1" si="21"/>
        <v>-0.14859714063720428</v>
      </c>
    </row>
    <row r="1203" spans="1:24">
      <c r="A1203" s="114">
        <v>41137</v>
      </c>
      <c r="B1203" s="115">
        <v>101.83</v>
      </c>
      <c r="C1203" s="115">
        <v>99.462000000000003</v>
      </c>
      <c r="D1203" s="115">
        <v>100.333</v>
      </c>
      <c r="E1203" s="115">
        <v>101.499</v>
      </c>
      <c r="F1203" s="115">
        <v>102.583</v>
      </c>
      <c r="G1203" s="121">
        <v>101.854</v>
      </c>
      <c r="H1203" s="115">
        <v>99.05</v>
      </c>
      <c r="I1203" s="118">
        <v>100.8</v>
      </c>
      <c r="K1203" s="120">
        <f t="shared" ca="1" si="12"/>
        <v>-0.37999999999999545</v>
      </c>
      <c r="L1203" s="120">
        <f t="shared" ca="1" si="13"/>
        <v>-0.12099999999999511</v>
      </c>
      <c r="M1203" s="120">
        <f t="shared" ca="1" si="14"/>
        <v>-6.9000000000002615E-2</v>
      </c>
      <c r="N1203" s="120">
        <f t="shared" ca="1" si="15"/>
        <v>0.1839999999999975</v>
      </c>
      <c r="O1203" s="120">
        <f t="shared" ca="1" si="16"/>
        <v>9.6000000000003638E-2</v>
      </c>
      <c r="P1203" s="120">
        <f t="shared" ca="1" si="17"/>
        <v>-1.0000000000047748E-3</v>
      </c>
      <c r="Q1203" s="120">
        <f t="shared" ca="1" si="18"/>
        <v>-7.6000000000007617E-2</v>
      </c>
      <c r="R1203" s="120">
        <f t="shared" ca="1" si="19"/>
        <v>0</v>
      </c>
      <c r="V1203" s="3">
        <f t="shared" ca="1" si="20"/>
        <v>-0.39736600000000177</v>
      </c>
      <c r="W1203" s="3">
        <f t="shared" ca="1" si="21"/>
        <v>-0.10785714063720075</v>
      </c>
    </row>
    <row r="1204" spans="1:24">
      <c r="A1204" s="114">
        <v>41138</v>
      </c>
      <c r="B1204" s="115">
        <v>101.95</v>
      </c>
      <c r="C1204" s="115">
        <v>99.418999999999997</v>
      </c>
      <c r="D1204" s="115">
        <v>100.06</v>
      </c>
      <c r="E1204" s="115">
        <v>101.21</v>
      </c>
      <c r="F1204" s="115">
        <v>102.55500000000001</v>
      </c>
      <c r="G1204" s="121">
        <v>101.8064</v>
      </c>
      <c r="H1204" s="115">
        <v>98.95</v>
      </c>
      <c r="I1204" s="118">
        <v>100.756</v>
      </c>
    </row>
    <row r="1205" spans="1:24">
      <c r="A1205" s="111"/>
      <c r="B1205" s="115"/>
      <c r="C1205" s="115"/>
      <c r="D1205" s="115"/>
      <c r="E1205" s="115"/>
      <c r="F1205" s="115"/>
      <c r="G1205" s="121"/>
      <c r="H1205" s="118"/>
      <c r="V1205" s="3">
        <f ca="1">_xlfn.STDEV.P(V1181:V1203)</f>
        <v>0.10635389839811422</v>
      </c>
      <c r="W1205" s="3">
        <f ca="1">_xlfn.STDEV.P(W1181:W1203)</f>
        <v>5.712390654310024E-2</v>
      </c>
      <c r="X1205" s="3">
        <v>5.74275533360952E-2</v>
      </c>
    </row>
    <row r="1206" spans="1:24">
      <c r="A1206" s="111"/>
      <c r="B1206" s="115"/>
      <c r="C1206" s="115"/>
      <c r="D1206" s="115"/>
      <c r="E1206" s="115"/>
      <c r="F1206" s="115"/>
      <c r="G1206" s="121"/>
      <c r="H1206" s="118"/>
      <c r="V1206" s="3">
        <f ca="1">V1203</f>
        <v>-0.39736600000000177</v>
      </c>
      <c r="W1206" s="3">
        <f ca="1">W1203</f>
        <v>-0.10785714063720075</v>
      </c>
      <c r="X1206" s="3">
        <v>-4.3660000000011329E-3</v>
      </c>
    </row>
    <row r="1207" spans="1:24">
      <c r="A1207" s="111"/>
      <c r="B1207" s="115"/>
      <c r="C1207" s="115"/>
      <c r="D1207" s="115"/>
      <c r="E1207" s="115"/>
      <c r="F1207" s="115"/>
      <c r="G1207" s="115"/>
      <c r="H1207" s="118"/>
    </row>
    <row r="1208" spans="1:24">
      <c r="A1208" s="111"/>
      <c r="B1208" s="115"/>
      <c r="C1208" s="115"/>
      <c r="D1208" s="115"/>
      <c r="E1208" s="115"/>
      <c r="F1208" s="115"/>
      <c r="G1208" s="115"/>
      <c r="H1208" s="118"/>
    </row>
    <row r="1209" spans="1:24">
      <c r="A1209" s="111"/>
      <c r="B1209" s="115"/>
      <c r="C1209" s="115"/>
      <c r="D1209" s="115"/>
      <c r="E1209" s="115"/>
      <c r="F1209" s="115"/>
      <c r="G1209" s="115"/>
      <c r="H1209" s="118"/>
    </row>
    <row r="1210" spans="1:24" ht="26.25" customHeight="1">
      <c r="A1210" s="111"/>
      <c r="B1210" s="115"/>
      <c r="C1210" s="115"/>
      <c r="D1210" s="115"/>
      <c r="E1210" s="115"/>
      <c r="F1210" s="115"/>
      <c r="G1210" s="115"/>
      <c r="H1210" s="118"/>
      <c r="M1210" s="138"/>
      <c r="N1210" s="139" t="s">
        <v>643</v>
      </c>
      <c r="O1210" s="139" t="s">
        <v>645</v>
      </c>
      <c r="P1210" s="139" t="s">
        <v>646</v>
      </c>
    </row>
    <row r="1211" spans="1:24" ht="21.75" customHeight="1">
      <c r="A1211" s="114">
        <v>41061</v>
      </c>
      <c r="B1211" s="115"/>
      <c r="C1211" s="115"/>
      <c r="D1211" s="115"/>
      <c r="E1211" s="115"/>
      <c r="F1211" s="115"/>
      <c r="G1211" s="115"/>
      <c r="H1211" s="118"/>
      <c r="M1211" s="140" t="s">
        <v>1326</v>
      </c>
      <c r="N1211" s="141">
        <f ca="1">V1206</f>
        <v>-0.39736600000000177</v>
      </c>
      <c r="O1211" s="141">
        <f ca="1">X1206</f>
        <v>-4.3660000000011329E-3</v>
      </c>
      <c r="P1211" s="141">
        <f ca="1">W1206</f>
        <v>-0.10785714063720075</v>
      </c>
    </row>
    <row r="1212" spans="1:24" ht="24.75" customHeight="1" thickBot="1">
      <c r="A1212" s="114">
        <v>41064</v>
      </c>
      <c r="B1212" s="115"/>
      <c r="C1212" s="115"/>
      <c r="D1212" s="115"/>
      <c r="E1212" s="115"/>
      <c r="F1212" s="161">
        <f ca="1">F1150</f>
        <v>103.0013</v>
      </c>
      <c r="G1212" s="162" t="str">
        <f ca="1">B2374</f>
        <v>-</v>
      </c>
      <c r="H1212" s="161">
        <f ca="1">H1150</f>
        <v>98.94</v>
      </c>
      <c r="M1212" s="142" t="s">
        <v>644</v>
      </c>
      <c r="N1212" s="143">
        <f ca="1">V1205</f>
        <v>0.10635389839811422</v>
      </c>
      <c r="O1212" s="144">
        <f ca="1">X1205</f>
        <v>5.74275533360952E-2</v>
      </c>
      <c r="P1212" s="143">
        <f ca="1">W1205</f>
        <v>5.712390654310024E-2</v>
      </c>
    </row>
    <row r="1213" spans="1:24">
      <c r="A1213" s="114">
        <v>41065</v>
      </c>
      <c r="B1213" s="115"/>
      <c r="C1213" s="115"/>
      <c r="D1213" s="115"/>
      <c r="E1213" s="115"/>
      <c r="F1213" s="161">
        <f t="shared" ref="F1213:F1265" ca="1" si="22">F1151</f>
        <v>102.97320000000001</v>
      </c>
      <c r="G1213" s="162" t="str">
        <f t="shared" ref="G1213:G1265" ca="1" si="23">B2375</f>
        <v>-</v>
      </c>
      <c r="H1213" s="161">
        <f t="shared" ref="H1213:H1265" ca="1" si="24">H1151</f>
        <v>98.96</v>
      </c>
    </row>
    <row r="1214" spans="1:24">
      <c r="A1214" s="114">
        <v>41066</v>
      </c>
      <c r="B1214" s="115"/>
      <c r="C1214" s="115"/>
      <c r="D1214" s="115"/>
      <c r="E1214" s="115"/>
      <c r="F1214" s="161">
        <f t="shared" ca="1" si="22"/>
        <v>101.4791</v>
      </c>
      <c r="G1214" s="162" t="str">
        <f t="shared" ca="1" si="23"/>
        <v>-</v>
      </c>
      <c r="H1214" s="161">
        <f t="shared" ca="1" si="24"/>
        <v>98.89</v>
      </c>
    </row>
    <row r="1215" spans="1:24">
      <c r="A1215" s="114">
        <v>41067</v>
      </c>
      <c r="B1215" s="115"/>
      <c r="C1215" s="115"/>
      <c r="D1215" s="115"/>
      <c r="E1215" s="115"/>
      <c r="F1215" s="161">
        <f t="shared" ca="1" si="22"/>
        <v>102.79559999999999</v>
      </c>
      <c r="G1215" s="162" t="str">
        <f t="shared" ca="1" si="23"/>
        <v>-</v>
      </c>
      <c r="H1215" s="161">
        <f t="shared" ca="1" si="24"/>
        <v>98.89</v>
      </c>
    </row>
    <row r="1216" spans="1:24">
      <c r="A1216" s="114">
        <v>41068</v>
      </c>
      <c r="B1216" s="115"/>
      <c r="C1216" s="115"/>
      <c r="D1216" s="115"/>
      <c r="E1216" s="115"/>
      <c r="F1216" s="161">
        <f t="shared" ca="1" si="22"/>
        <v>102.82340000000001</v>
      </c>
      <c r="G1216" s="162" t="str">
        <f t="shared" ca="1" si="23"/>
        <v>-</v>
      </c>
      <c r="H1216" s="161">
        <f t="shared" ca="1" si="24"/>
        <v>98.84</v>
      </c>
    </row>
    <row r="1217" spans="1:8">
      <c r="A1217" s="114">
        <v>41071</v>
      </c>
      <c r="B1217" s="115"/>
      <c r="C1217" s="115"/>
      <c r="D1217" s="115"/>
      <c r="E1217" s="115"/>
      <c r="F1217" s="161">
        <f t="shared" ca="1" si="22"/>
        <v>103.1091</v>
      </c>
      <c r="G1217" s="162" t="str">
        <f t="shared" ca="1" si="23"/>
        <v>-</v>
      </c>
      <c r="H1217" s="161">
        <f t="shared" ca="1" si="24"/>
        <v>99.1</v>
      </c>
    </row>
    <row r="1218" spans="1:8">
      <c r="A1218" s="114">
        <v>41072</v>
      </c>
      <c r="B1218" s="115"/>
      <c r="C1218" s="115"/>
      <c r="D1218" s="115"/>
      <c r="E1218" s="115"/>
      <c r="F1218" s="161">
        <f t="shared" ca="1" si="22"/>
        <v>102.8192</v>
      </c>
      <c r="G1218" s="162" t="str">
        <f t="shared" ca="1" si="23"/>
        <v>-</v>
      </c>
      <c r="H1218" s="161">
        <f t="shared" ca="1" si="24"/>
        <v>98.95</v>
      </c>
    </row>
    <row r="1219" spans="1:8">
      <c r="A1219" s="114">
        <v>41073</v>
      </c>
      <c r="B1219" s="115"/>
      <c r="C1219" s="115"/>
      <c r="D1219" s="115"/>
      <c r="E1219" s="115"/>
      <c r="F1219" s="161">
        <f t="shared" ca="1" si="22"/>
        <v>102.8181</v>
      </c>
      <c r="G1219" s="162" t="str">
        <f t="shared" ca="1" si="23"/>
        <v>-</v>
      </c>
      <c r="H1219" s="161">
        <f t="shared" ca="1" si="24"/>
        <v>98.95</v>
      </c>
    </row>
    <row r="1220" spans="1:8">
      <c r="A1220" s="114">
        <v>41074</v>
      </c>
      <c r="B1220" s="115"/>
      <c r="C1220" s="115"/>
      <c r="D1220" s="115"/>
      <c r="E1220" s="115"/>
      <c r="F1220" s="161">
        <f t="shared" ca="1" si="22"/>
        <v>102.70189999999999</v>
      </c>
      <c r="G1220" s="162">
        <f t="shared" ca="1" si="23"/>
        <v>99.8035</v>
      </c>
      <c r="H1220" s="161">
        <f t="shared" ca="1" si="24"/>
        <v>98.88</v>
      </c>
    </row>
    <row r="1221" spans="1:8">
      <c r="A1221" s="114">
        <v>41075</v>
      </c>
      <c r="B1221" s="115"/>
      <c r="C1221" s="115"/>
      <c r="D1221" s="115"/>
      <c r="E1221" s="115"/>
      <c r="F1221" s="161">
        <f t="shared" ca="1" si="22"/>
        <v>101.482</v>
      </c>
      <c r="G1221" s="162">
        <f t="shared" ca="1" si="23"/>
        <v>97.866900000000001</v>
      </c>
      <c r="H1221" s="161">
        <f t="shared" ca="1" si="24"/>
        <v>98.87</v>
      </c>
    </row>
    <row r="1222" spans="1:8">
      <c r="A1222" s="114">
        <v>41078</v>
      </c>
      <c r="B1222" s="115"/>
      <c r="C1222" s="115"/>
      <c r="D1222" s="115"/>
      <c r="E1222" s="115"/>
      <c r="F1222" s="161">
        <f t="shared" ca="1" si="22"/>
        <v>101.4795</v>
      </c>
      <c r="G1222" s="162" t="str">
        <f t="shared" ca="1" si="23"/>
        <v>-</v>
      </c>
      <c r="H1222" s="161">
        <f t="shared" ca="1" si="24"/>
        <v>98.87</v>
      </c>
    </row>
    <row r="1223" spans="1:8">
      <c r="A1223" s="114">
        <v>41079</v>
      </c>
      <c r="B1223" s="115"/>
      <c r="C1223" s="115"/>
      <c r="D1223" s="115"/>
      <c r="E1223" s="115"/>
      <c r="F1223" s="161">
        <f t="shared" ca="1" si="22"/>
        <v>101.4806</v>
      </c>
      <c r="G1223" s="162" t="str">
        <f t="shared" ca="1" si="23"/>
        <v>-</v>
      </c>
      <c r="H1223" s="161">
        <f t="shared" ca="1" si="24"/>
        <v>98.864000000000004</v>
      </c>
    </row>
    <row r="1224" spans="1:8">
      <c r="A1224" s="114">
        <v>41080</v>
      </c>
      <c r="B1224" s="115"/>
      <c r="C1224" s="115"/>
      <c r="D1224" s="115"/>
      <c r="E1224" s="115"/>
      <c r="F1224" s="161">
        <f t="shared" ca="1" si="22"/>
        <v>102.5812</v>
      </c>
      <c r="G1224" s="162">
        <f t="shared" ca="1" si="23"/>
        <v>99.349800000000002</v>
      </c>
      <c r="H1224" s="161">
        <f t="shared" ca="1" si="24"/>
        <v>98.85</v>
      </c>
    </row>
    <row r="1225" spans="1:8">
      <c r="A1225" s="114">
        <v>41081</v>
      </c>
      <c r="B1225" s="115"/>
      <c r="C1225" s="115"/>
      <c r="D1225" s="115"/>
      <c r="E1225" s="115"/>
      <c r="F1225" s="161">
        <f t="shared" ca="1" si="22"/>
        <v>101.4854</v>
      </c>
      <c r="G1225" s="162">
        <f t="shared" ca="1" si="23"/>
        <v>99.500799999999998</v>
      </c>
      <c r="H1225" s="161">
        <f t="shared" ca="1" si="24"/>
        <v>98.78</v>
      </c>
    </row>
    <row r="1226" spans="1:8">
      <c r="A1226" s="114">
        <v>41085</v>
      </c>
      <c r="B1226" s="115"/>
      <c r="C1226" s="115"/>
      <c r="D1226" s="115"/>
      <c r="E1226" s="115"/>
      <c r="F1226" s="161">
        <f t="shared" ca="1" si="22"/>
        <v>102.6909</v>
      </c>
      <c r="G1226" s="162">
        <f t="shared" ca="1" si="23"/>
        <v>99.509600000000006</v>
      </c>
      <c r="H1226" s="161">
        <f t="shared" ca="1" si="24"/>
        <v>98.92</v>
      </c>
    </row>
    <row r="1227" spans="1:8">
      <c r="A1227" s="114">
        <v>41086</v>
      </c>
      <c r="B1227" s="115"/>
      <c r="C1227" s="115"/>
      <c r="D1227" s="115"/>
      <c r="E1227" s="115"/>
      <c r="F1227" s="161">
        <f t="shared" ca="1" si="22"/>
        <v>102.74720000000001</v>
      </c>
      <c r="G1227" s="162">
        <f t="shared" ca="1" si="23"/>
        <v>99.632300000000001</v>
      </c>
      <c r="H1227" s="161">
        <f t="shared" ca="1" si="24"/>
        <v>98.926000000000002</v>
      </c>
    </row>
    <row r="1228" spans="1:8">
      <c r="A1228" s="114">
        <v>41087</v>
      </c>
      <c r="B1228" s="115"/>
      <c r="C1228" s="115"/>
      <c r="D1228" s="115"/>
      <c r="E1228" s="115"/>
      <c r="F1228" s="161">
        <f t="shared" ca="1" si="22"/>
        <v>102.8321</v>
      </c>
      <c r="G1228" s="162">
        <f t="shared" ca="1" si="23"/>
        <v>99.711299999999994</v>
      </c>
      <c r="H1228" s="161">
        <f t="shared" ca="1" si="24"/>
        <v>98.97</v>
      </c>
    </row>
    <row r="1229" spans="1:8">
      <c r="A1229" s="114">
        <v>41088</v>
      </c>
      <c r="B1229" s="115"/>
      <c r="C1229" s="115"/>
      <c r="D1229" s="115"/>
      <c r="E1229" s="115"/>
      <c r="F1229" s="161">
        <f t="shared" ca="1" si="22"/>
        <v>103.03189999999999</v>
      </c>
      <c r="G1229" s="162">
        <f t="shared" ca="1" si="23"/>
        <v>99.885400000000004</v>
      </c>
      <c r="H1229" s="161">
        <f t="shared" ca="1" si="24"/>
        <v>99.013999999999996</v>
      </c>
    </row>
    <row r="1230" spans="1:8">
      <c r="A1230" s="114">
        <v>41089</v>
      </c>
      <c r="B1230" s="115"/>
      <c r="C1230" s="115"/>
      <c r="D1230" s="115"/>
      <c r="E1230" s="115"/>
      <c r="F1230" s="161">
        <f t="shared" ca="1" si="22"/>
        <v>102.2234</v>
      </c>
      <c r="G1230" s="162">
        <f t="shared" ca="1" si="23"/>
        <v>100.1152</v>
      </c>
      <c r="H1230" s="161">
        <f t="shared" ca="1" si="24"/>
        <v>99.07</v>
      </c>
    </row>
    <row r="1231" spans="1:8">
      <c r="A1231" s="114">
        <v>41092</v>
      </c>
      <c r="B1231" s="115"/>
      <c r="C1231" s="115"/>
      <c r="D1231" s="115"/>
      <c r="E1231" s="115"/>
      <c r="F1231" s="161">
        <f t="shared" ca="1" si="22"/>
        <v>103.0273</v>
      </c>
      <c r="G1231" s="162">
        <f t="shared" ca="1" si="23"/>
        <v>100.1103</v>
      </c>
      <c r="H1231" s="161">
        <f t="shared" ca="1" si="24"/>
        <v>99.164000000000001</v>
      </c>
    </row>
    <row r="1232" spans="1:8">
      <c r="A1232" s="114">
        <v>41093</v>
      </c>
      <c r="B1232" s="115"/>
      <c r="C1232" s="115"/>
      <c r="D1232" s="115"/>
      <c r="E1232" s="115"/>
      <c r="F1232" s="161">
        <f t="shared" ca="1" si="22"/>
        <v>102.2475</v>
      </c>
      <c r="G1232" s="162">
        <f t="shared" ca="1" si="23"/>
        <v>100.2231</v>
      </c>
      <c r="H1232" s="161">
        <f t="shared" ca="1" si="24"/>
        <v>99.19</v>
      </c>
    </row>
    <row r="1233" spans="1:8">
      <c r="A1233" s="114">
        <v>41094</v>
      </c>
      <c r="B1233" s="115"/>
      <c r="C1233" s="115"/>
      <c r="D1233" s="115"/>
      <c r="E1233" s="115"/>
      <c r="F1233" s="161">
        <f t="shared" ca="1" si="22"/>
        <v>103.1397</v>
      </c>
      <c r="G1233" s="162">
        <f t="shared" ca="1" si="23"/>
        <v>100.154</v>
      </c>
      <c r="H1233" s="161">
        <f t="shared" ca="1" si="24"/>
        <v>99.298000000000002</v>
      </c>
    </row>
    <row r="1234" spans="1:8">
      <c r="A1234" s="112">
        <v>41095</v>
      </c>
      <c r="B1234" s="115"/>
      <c r="C1234" s="115"/>
      <c r="D1234" s="115"/>
      <c r="E1234" s="115"/>
      <c r="F1234" s="161">
        <f t="shared" ca="1" si="22"/>
        <v>102.25369999999999</v>
      </c>
      <c r="G1234" s="162">
        <f t="shared" ca="1" si="23"/>
        <v>100.1781</v>
      </c>
      <c r="H1234" s="161">
        <f t="shared" ca="1" si="24"/>
        <v>99.457999999999998</v>
      </c>
    </row>
    <row r="1235" spans="1:8">
      <c r="A1235" s="114">
        <v>41096</v>
      </c>
      <c r="B1235" s="115"/>
      <c r="C1235" s="115"/>
      <c r="D1235" s="115"/>
      <c r="E1235" s="115"/>
      <c r="F1235" s="161">
        <f t="shared" ca="1" si="22"/>
        <v>102.2551</v>
      </c>
      <c r="G1235" s="162">
        <f t="shared" ca="1" si="23"/>
        <v>100.22880000000001</v>
      </c>
      <c r="H1235" s="161">
        <f t="shared" ca="1" si="24"/>
        <v>99.658000000000001</v>
      </c>
    </row>
    <row r="1236" spans="1:8">
      <c r="A1236" s="114">
        <v>41099</v>
      </c>
      <c r="B1236" s="115"/>
      <c r="C1236" s="115"/>
      <c r="D1236" s="115"/>
      <c r="E1236" s="115"/>
      <c r="F1236" s="161">
        <f t="shared" ca="1" si="22"/>
        <v>103.36320000000001</v>
      </c>
      <c r="G1236" s="162">
        <f t="shared" ca="1" si="23"/>
        <v>100.26220000000001</v>
      </c>
      <c r="H1236" s="161">
        <f t="shared" ca="1" si="24"/>
        <v>99.658000000000001</v>
      </c>
    </row>
    <row r="1237" spans="1:8">
      <c r="A1237" s="114">
        <v>41100</v>
      </c>
      <c r="B1237" s="115"/>
      <c r="C1237" s="115"/>
      <c r="D1237" s="115"/>
      <c r="E1237" s="115"/>
      <c r="F1237" s="161">
        <f t="shared" ca="1" si="22"/>
        <v>103.5919</v>
      </c>
      <c r="G1237" s="162">
        <f t="shared" ca="1" si="23"/>
        <v>100.4559</v>
      </c>
      <c r="H1237" s="161">
        <f t="shared" ca="1" si="24"/>
        <v>99.61</v>
      </c>
    </row>
    <row r="1238" spans="1:8">
      <c r="A1238" s="114">
        <v>41101</v>
      </c>
      <c r="B1238" s="115"/>
      <c r="C1238" s="115"/>
      <c r="D1238" s="115"/>
      <c r="E1238" s="115"/>
      <c r="F1238" s="161">
        <f t="shared" ca="1" si="22"/>
        <v>103.6193</v>
      </c>
      <c r="G1238" s="162">
        <f t="shared" ca="1" si="23"/>
        <v>100.6481</v>
      </c>
      <c r="H1238" s="161">
        <f t="shared" ca="1" si="24"/>
        <v>99.7</v>
      </c>
    </row>
    <row r="1239" spans="1:8">
      <c r="A1239" s="114">
        <v>41102</v>
      </c>
      <c r="B1239" s="115"/>
      <c r="C1239" s="115"/>
      <c r="D1239" s="115"/>
      <c r="E1239" s="115"/>
      <c r="F1239" s="161">
        <f t="shared" ca="1" si="22"/>
        <v>103.7619</v>
      </c>
      <c r="G1239" s="162">
        <f t="shared" ca="1" si="23"/>
        <v>100.73635</v>
      </c>
      <c r="H1239" s="161">
        <f t="shared" ca="1" si="24"/>
        <v>99.85</v>
      </c>
    </row>
    <row r="1240" spans="1:8">
      <c r="A1240" s="114">
        <v>41103</v>
      </c>
      <c r="B1240" s="115"/>
      <c r="C1240" s="115"/>
      <c r="D1240" s="115"/>
      <c r="E1240" s="115"/>
      <c r="F1240" s="161">
        <f t="shared" ca="1" si="22"/>
        <v>102.2542</v>
      </c>
      <c r="G1240" s="162">
        <f t="shared" ca="1" si="23"/>
        <v>100.8246</v>
      </c>
      <c r="H1240" s="161">
        <f t="shared" ca="1" si="24"/>
        <v>99.97</v>
      </c>
    </row>
    <row r="1241" spans="1:8">
      <c r="A1241" s="114">
        <v>41106</v>
      </c>
      <c r="B1241" s="115"/>
      <c r="C1241" s="115"/>
      <c r="D1241" s="115"/>
      <c r="E1241" s="115"/>
      <c r="F1241" s="161">
        <f t="shared" ca="1" si="22"/>
        <v>103.6412</v>
      </c>
      <c r="G1241" s="162">
        <f t="shared" ca="1" si="23"/>
        <v>100.8408</v>
      </c>
      <c r="H1241" s="161">
        <f t="shared" ca="1" si="24"/>
        <v>99.89</v>
      </c>
    </row>
    <row r="1242" spans="1:8">
      <c r="A1242" s="114">
        <v>41107</v>
      </c>
      <c r="B1242" s="115"/>
      <c r="C1242" s="115"/>
      <c r="D1242" s="115"/>
      <c r="E1242" s="115"/>
      <c r="F1242" s="161">
        <f t="shared" ca="1" si="22"/>
        <v>102.2518</v>
      </c>
      <c r="G1242" s="162">
        <f t="shared" ca="1" si="23"/>
        <v>100.6981</v>
      </c>
      <c r="H1242" s="161">
        <f t="shared" ca="1" si="24"/>
        <v>99.835999999999999</v>
      </c>
    </row>
    <row r="1243" spans="1:8">
      <c r="A1243" s="114">
        <v>41108</v>
      </c>
      <c r="B1243" s="115"/>
      <c r="C1243" s="115"/>
      <c r="D1243" s="115"/>
      <c r="E1243" s="115"/>
      <c r="F1243" s="161">
        <f t="shared" ca="1" si="22"/>
        <v>103.46639999999999</v>
      </c>
      <c r="G1243" s="162">
        <f t="shared" ca="1" si="23"/>
        <v>100.1919</v>
      </c>
      <c r="H1243" s="161">
        <f t="shared" ca="1" si="24"/>
        <v>99.798000000000002</v>
      </c>
    </row>
    <row r="1244" spans="1:8">
      <c r="A1244" s="114">
        <v>41109</v>
      </c>
      <c r="B1244" s="115"/>
      <c r="C1244" s="115"/>
      <c r="D1244" s="115"/>
      <c r="E1244" s="115"/>
      <c r="F1244" s="161">
        <f t="shared" ca="1" si="22"/>
        <v>102.2534</v>
      </c>
      <c r="G1244" s="162">
        <f t="shared" ca="1" si="23"/>
        <v>100.48779999999999</v>
      </c>
      <c r="H1244" s="161">
        <f t="shared" ca="1" si="24"/>
        <v>99.77</v>
      </c>
    </row>
    <row r="1245" spans="1:8">
      <c r="A1245" s="114">
        <v>41110</v>
      </c>
      <c r="B1245" s="115"/>
      <c r="C1245" s="115"/>
      <c r="D1245" s="115"/>
      <c r="E1245" s="115"/>
      <c r="F1245" s="161">
        <f t="shared" ca="1" si="22"/>
        <v>102.25579999999999</v>
      </c>
      <c r="G1245" s="162">
        <f t="shared" ca="1" si="23"/>
        <v>99.466300000000004</v>
      </c>
      <c r="H1245" s="161">
        <f t="shared" ca="1" si="24"/>
        <v>99.757999999999996</v>
      </c>
    </row>
    <row r="1246" spans="1:8">
      <c r="A1246" s="114">
        <v>41113</v>
      </c>
      <c r="B1246" s="115"/>
      <c r="C1246" s="115"/>
      <c r="D1246" s="115"/>
      <c r="E1246" s="115"/>
      <c r="F1246" s="161">
        <f t="shared" ca="1" si="22"/>
        <v>103.60290000000001</v>
      </c>
      <c r="G1246" s="162">
        <f t="shared" ca="1" si="23"/>
        <v>100.2225</v>
      </c>
      <c r="H1246" s="161">
        <f t="shared" ca="1" si="24"/>
        <v>99.738</v>
      </c>
    </row>
    <row r="1247" spans="1:8">
      <c r="A1247" s="114">
        <v>41114</v>
      </c>
      <c r="B1247" s="115"/>
      <c r="C1247" s="115"/>
      <c r="D1247" s="115"/>
      <c r="E1247" s="115"/>
      <c r="F1247" s="161">
        <f t="shared" ca="1" si="22"/>
        <v>102.2689</v>
      </c>
      <c r="G1247" s="162">
        <f t="shared" ca="1" si="23"/>
        <v>100.24939999999999</v>
      </c>
      <c r="H1247" s="161">
        <f t="shared" ca="1" si="24"/>
        <v>99.768000000000001</v>
      </c>
    </row>
    <row r="1248" spans="1:8">
      <c r="A1248" s="114">
        <v>41115</v>
      </c>
      <c r="B1248" s="115"/>
      <c r="C1248" s="115"/>
      <c r="D1248" s="115"/>
      <c r="E1248" s="115"/>
      <c r="F1248" s="161">
        <f t="shared" ca="1" si="22"/>
        <v>102.2713</v>
      </c>
      <c r="G1248" s="162">
        <f t="shared" ca="1" si="23"/>
        <v>100.57380000000001</v>
      </c>
      <c r="H1248" s="161">
        <f t="shared" ca="1" si="24"/>
        <v>99.84</v>
      </c>
    </row>
    <row r="1249" spans="1:8">
      <c r="A1249" s="114">
        <v>41116</v>
      </c>
      <c r="B1249" s="115"/>
      <c r="C1249" s="115"/>
      <c r="D1249" s="115"/>
      <c r="E1249" s="115"/>
      <c r="F1249" s="161">
        <f t="shared" ca="1" si="22"/>
        <v>102.27290000000001</v>
      </c>
      <c r="G1249" s="162">
        <f t="shared" ca="1" si="23"/>
        <v>100.2163</v>
      </c>
      <c r="H1249" s="161">
        <f t="shared" ca="1" si="24"/>
        <v>99.83</v>
      </c>
    </row>
    <row r="1250" spans="1:8">
      <c r="A1250" s="114">
        <v>41117</v>
      </c>
      <c r="B1250" s="115"/>
      <c r="C1250" s="115"/>
      <c r="D1250" s="115"/>
      <c r="E1250" s="115"/>
      <c r="F1250" s="161">
        <f t="shared" ca="1" si="22"/>
        <v>102.2745</v>
      </c>
      <c r="G1250" s="162">
        <f t="shared" ca="1" si="23"/>
        <v>100.2166</v>
      </c>
      <c r="H1250" s="161">
        <f t="shared" ca="1" si="24"/>
        <v>99.82</v>
      </c>
    </row>
    <row r="1251" spans="1:8">
      <c r="A1251" s="114">
        <v>41120</v>
      </c>
      <c r="B1251" s="115"/>
      <c r="C1251" s="115"/>
      <c r="D1251" s="115"/>
      <c r="E1251" s="115"/>
      <c r="F1251" s="161">
        <f t="shared" ca="1" si="22"/>
        <v>102.2726</v>
      </c>
      <c r="G1251" s="162">
        <f t="shared" ca="1" si="23"/>
        <v>100.20659999999999</v>
      </c>
      <c r="H1251" s="161">
        <f t="shared" ca="1" si="24"/>
        <v>99.835999999999999</v>
      </c>
    </row>
    <row r="1252" spans="1:8">
      <c r="A1252" s="114">
        <v>41121</v>
      </c>
      <c r="B1252" s="115"/>
      <c r="C1252" s="115"/>
      <c r="D1252" s="115"/>
      <c r="E1252" s="115"/>
      <c r="F1252" s="161">
        <f t="shared" ca="1" si="22"/>
        <v>103.5064</v>
      </c>
      <c r="G1252" s="162">
        <f t="shared" ca="1" si="23"/>
        <v>100.2161</v>
      </c>
      <c r="H1252" s="161">
        <f t="shared" ca="1" si="24"/>
        <v>99.88</v>
      </c>
    </row>
    <row r="1253" spans="1:8">
      <c r="A1253" s="114">
        <v>41122</v>
      </c>
      <c r="B1253" s="115"/>
      <c r="C1253" s="115"/>
      <c r="D1253" s="115"/>
      <c r="E1253" s="115"/>
      <c r="F1253" s="161">
        <f t="shared" ca="1" si="22"/>
        <v>103.30589999999999</v>
      </c>
      <c r="G1253" s="162">
        <f t="shared" ca="1" si="23"/>
        <v>100.20529999999999</v>
      </c>
      <c r="H1253" s="161">
        <f t="shared" ca="1" si="24"/>
        <v>99.83</v>
      </c>
    </row>
    <row r="1254" spans="1:8">
      <c r="A1254" s="114">
        <v>41123</v>
      </c>
      <c r="B1254" s="115"/>
      <c r="C1254" s="115"/>
      <c r="D1254" s="115"/>
      <c r="E1254" s="115"/>
      <c r="F1254" s="161">
        <f t="shared" ca="1" si="22"/>
        <v>102.2826</v>
      </c>
      <c r="G1254" s="162">
        <f t="shared" ca="1" si="23"/>
        <v>100.161</v>
      </c>
      <c r="H1254" s="161">
        <f t="shared" ca="1" si="24"/>
        <v>99.74</v>
      </c>
    </row>
    <row r="1255" spans="1:8">
      <c r="A1255" s="112">
        <v>41124</v>
      </c>
      <c r="B1255" s="115"/>
      <c r="C1255" s="115"/>
      <c r="D1255" s="115"/>
      <c r="E1255" s="115"/>
      <c r="F1255" s="161">
        <f t="shared" ca="1" si="22"/>
        <v>103.27500000000001</v>
      </c>
      <c r="G1255" s="162">
        <f t="shared" ca="1" si="23"/>
        <v>100.15560000000001</v>
      </c>
      <c r="H1255" s="161">
        <f t="shared" ca="1" si="24"/>
        <v>99.688000000000002</v>
      </c>
    </row>
    <row r="1256" spans="1:8">
      <c r="A1256" s="114">
        <v>41127</v>
      </c>
      <c r="B1256" s="115"/>
      <c r="C1256" s="115"/>
      <c r="D1256" s="115"/>
      <c r="E1256" s="115"/>
      <c r="F1256" s="161">
        <f t="shared" ca="1" si="22"/>
        <v>103.30419999999999</v>
      </c>
      <c r="G1256" s="162">
        <f t="shared" ca="1" si="23"/>
        <v>100.1604</v>
      </c>
      <c r="H1256" s="161">
        <f t="shared" ca="1" si="24"/>
        <v>99.73</v>
      </c>
    </row>
    <row r="1257" spans="1:8">
      <c r="A1257" s="114">
        <v>41128</v>
      </c>
      <c r="B1257" s="115"/>
      <c r="C1257" s="115"/>
      <c r="D1257" s="115"/>
      <c r="E1257" s="115"/>
      <c r="F1257" s="161">
        <f t="shared" ca="1" si="22"/>
        <v>103.267</v>
      </c>
      <c r="G1257" s="162">
        <f t="shared" ca="1" si="23"/>
        <v>100.1621</v>
      </c>
      <c r="H1257" s="161">
        <f t="shared" ca="1" si="24"/>
        <v>99.697999999999993</v>
      </c>
    </row>
    <row r="1258" spans="1:8">
      <c r="A1258" s="114">
        <v>41129</v>
      </c>
      <c r="B1258" s="115"/>
      <c r="C1258" s="115"/>
      <c r="D1258" s="115"/>
      <c r="E1258" s="115"/>
      <c r="F1258" s="161">
        <f t="shared" ca="1" si="22"/>
        <v>103.12730000000001</v>
      </c>
      <c r="G1258" s="162">
        <f t="shared" ca="1" si="23"/>
        <v>100.13209999999999</v>
      </c>
      <c r="H1258" s="161">
        <f t="shared" ca="1" si="24"/>
        <v>99.658000000000001</v>
      </c>
    </row>
    <row r="1259" spans="1:8">
      <c r="A1259" s="114">
        <v>41130</v>
      </c>
      <c r="B1259" s="115"/>
      <c r="C1259" s="115"/>
      <c r="D1259" s="115"/>
      <c r="E1259" s="115"/>
      <c r="F1259" s="161">
        <f t="shared" ca="1" si="22"/>
        <v>102.658</v>
      </c>
      <c r="G1259" s="162">
        <f t="shared" ca="1" si="23"/>
        <v>100.09455</v>
      </c>
      <c r="H1259" s="161">
        <f t="shared" ca="1" si="24"/>
        <v>99.382000000000005</v>
      </c>
    </row>
    <row r="1260" spans="1:8">
      <c r="A1260" s="114">
        <v>41131</v>
      </c>
      <c r="B1260" s="115"/>
      <c r="C1260" s="115"/>
      <c r="D1260" s="115"/>
      <c r="E1260" s="115"/>
      <c r="F1260" s="161">
        <f t="shared" ca="1" si="22"/>
        <v>102.81699999999999</v>
      </c>
      <c r="G1260" s="162">
        <f t="shared" ca="1" si="23"/>
        <v>100.057</v>
      </c>
      <c r="H1260" s="161">
        <f t="shared" ca="1" si="24"/>
        <v>99.4</v>
      </c>
    </row>
    <row r="1261" spans="1:8">
      <c r="A1261" s="114">
        <v>41134</v>
      </c>
      <c r="B1261" s="115"/>
      <c r="C1261" s="115"/>
      <c r="D1261" s="115"/>
      <c r="E1261" s="115"/>
      <c r="F1261" s="161">
        <f t="shared" ca="1" si="22"/>
        <v>103.0932</v>
      </c>
      <c r="G1261" s="162">
        <f t="shared" ca="1" si="23"/>
        <v>100.0677</v>
      </c>
      <c r="H1261" s="161">
        <f t="shared" ca="1" si="24"/>
        <v>99.29</v>
      </c>
    </row>
    <row r="1262" spans="1:8">
      <c r="A1262" s="114">
        <v>41135</v>
      </c>
      <c r="B1262" s="115"/>
      <c r="C1262" s="115"/>
      <c r="D1262" s="115"/>
      <c r="E1262" s="115"/>
      <c r="F1262" s="161">
        <f t="shared" ca="1" si="22"/>
        <v>102.28570000000001</v>
      </c>
      <c r="G1262" s="162">
        <f t="shared" ca="1" si="23"/>
        <v>100.0775</v>
      </c>
      <c r="H1262" s="161">
        <f t="shared" ca="1" si="24"/>
        <v>99.236000000000004</v>
      </c>
    </row>
    <row r="1263" spans="1:8">
      <c r="A1263" s="114">
        <v>41136</v>
      </c>
      <c r="B1263" s="115"/>
      <c r="C1263" s="115"/>
      <c r="D1263" s="115"/>
      <c r="E1263" s="115"/>
      <c r="F1263" s="161">
        <f t="shared" ca="1" si="22"/>
        <v>102.75320000000001</v>
      </c>
      <c r="G1263" s="162">
        <f t="shared" ca="1" si="23"/>
        <v>100.0355</v>
      </c>
      <c r="H1263" s="161">
        <f t="shared" ca="1" si="24"/>
        <v>99.18</v>
      </c>
    </row>
    <row r="1264" spans="1:8">
      <c r="A1264" s="114">
        <v>41137</v>
      </c>
      <c r="B1264" s="115"/>
      <c r="C1264" s="115"/>
      <c r="D1264" s="115"/>
      <c r="E1264" s="115"/>
      <c r="F1264" s="161">
        <f t="shared" ca="1" si="22"/>
        <v>102.48699999999999</v>
      </c>
      <c r="G1264" s="162">
        <f t="shared" ca="1" si="23"/>
        <v>99.822000000000003</v>
      </c>
      <c r="H1264" s="161">
        <f t="shared" ca="1" si="24"/>
        <v>99.126000000000005</v>
      </c>
    </row>
    <row r="1265" spans="1:8">
      <c r="A1265" s="114">
        <v>41138</v>
      </c>
      <c r="B1265" s="115"/>
      <c r="C1265" s="115"/>
      <c r="D1265" s="115"/>
      <c r="E1265" s="115"/>
      <c r="F1265" s="161">
        <f t="shared" ca="1" si="22"/>
        <v>102.583</v>
      </c>
      <c r="G1265" s="162">
        <f t="shared" ca="1" si="23"/>
        <v>99.966999999999999</v>
      </c>
      <c r="H1265" s="161">
        <f t="shared" ca="1" si="24"/>
        <v>99.05</v>
      </c>
    </row>
    <row r="1266" spans="1:8">
      <c r="B1266" s="115"/>
      <c r="C1266" s="115"/>
      <c r="D1266" s="115"/>
      <c r="E1266" s="115"/>
      <c r="F1266" s="115"/>
      <c r="G1266" s="115"/>
      <c r="H1266" s="118"/>
    </row>
    <row r="1267" spans="1:8">
      <c r="B1267" s="115"/>
      <c r="C1267" s="115"/>
      <c r="D1267" s="115"/>
      <c r="E1267" s="115"/>
      <c r="F1267" s="115"/>
      <c r="G1267" s="115"/>
      <c r="H1267" s="118"/>
    </row>
    <row r="1268" spans="1:8">
      <c r="B1268" s="115"/>
      <c r="C1268" s="115"/>
      <c r="D1268" s="115"/>
      <c r="E1268" s="115"/>
      <c r="F1268" s="115"/>
      <c r="G1268" s="115"/>
      <c r="H1268" s="118"/>
    </row>
    <row r="1269" spans="1:8">
      <c r="B1269" s="115"/>
      <c r="C1269" s="115"/>
      <c r="D1269" s="115"/>
      <c r="E1269" s="115"/>
      <c r="F1269" s="115"/>
      <c r="G1269" s="115"/>
      <c r="H1269" s="118"/>
    </row>
    <row r="1270" spans="1:8">
      <c r="B1270" s="157" t="s">
        <v>649</v>
      </c>
      <c r="C1270" s="115"/>
      <c r="D1270" s="115"/>
      <c r="E1270" s="115"/>
      <c r="F1270" s="115"/>
      <c r="G1270" s="115"/>
      <c r="H1270" s="118"/>
    </row>
    <row r="1271" spans="1:8">
      <c r="A1271" s="159">
        <v>39449</v>
      </c>
      <c r="B1271" s="94" t="s">
        <v>650</v>
      </c>
      <c r="C1271" s="115"/>
      <c r="D1271" s="115"/>
      <c r="E1271" s="115"/>
      <c r="F1271" s="115"/>
      <c r="G1271" s="115"/>
      <c r="H1271" s="118"/>
    </row>
    <row r="1272" spans="1:8">
      <c r="A1272" s="159">
        <v>39450</v>
      </c>
      <c r="B1272" s="94" t="s">
        <v>650</v>
      </c>
      <c r="C1272" s="115"/>
      <c r="D1272" s="115"/>
      <c r="E1272" s="115"/>
      <c r="F1272" s="115"/>
      <c r="G1272" s="115"/>
      <c r="H1272" s="118"/>
    </row>
    <row r="1273" spans="1:8">
      <c r="A1273" s="159">
        <v>39451</v>
      </c>
      <c r="B1273" s="94" t="s">
        <v>650</v>
      </c>
      <c r="C1273" s="115"/>
      <c r="D1273" s="115"/>
      <c r="E1273" s="115"/>
      <c r="F1273" s="115"/>
      <c r="G1273" s="115"/>
      <c r="H1273" s="118"/>
    </row>
    <row r="1274" spans="1:8">
      <c r="A1274" s="159">
        <v>39454</v>
      </c>
      <c r="B1274" s="94" t="s">
        <v>650</v>
      </c>
      <c r="C1274" s="115"/>
      <c r="D1274" s="115"/>
      <c r="E1274" s="115"/>
      <c r="F1274" s="115"/>
      <c r="G1274" s="115"/>
      <c r="H1274" s="118"/>
    </row>
    <row r="1275" spans="1:8">
      <c r="A1275" s="159">
        <v>39455</v>
      </c>
      <c r="B1275" s="94" t="s">
        <v>650</v>
      </c>
      <c r="C1275" s="115"/>
      <c r="D1275" s="115"/>
      <c r="E1275" s="115"/>
      <c r="F1275" s="115"/>
      <c r="G1275" s="115"/>
      <c r="H1275" s="118"/>
    </row>
    <row r="1276" spans="1:8">
      <c r="A1276" s="159">
        <v>39456</v>
      </c>
      <c r="B1276" s="94" t="s">
        <v>650</v>
      </c>
      <c r="C1276" s="115"/>
      <c r="D1276" s="115"/>
      <c r="E1276" s="115"/>
      <c r="F1276" s="115"/>
      <c r="G1276" s="115"/>
      <c r="H1276" s="118"/>
    </row>
    <row r="1277" spans="1:8">
      <c r="A1277" s="159">
        <v>39457</v>
      </c>
      <c r="B1277" s="94" t="s">
        <v>650</v>
      </c>
      <c r="C1277" s="115"/>
      <c r="D1277" s="115"/>
      <c r="E1277" s="115"/>
      <c r="F1277" s="115"/>
      <c r="G1277" s="115"/>
      <c r="H1277" s="118"/>
    </row>
    <row r="1278" spans="1:8">
      <c r="A1278" s="159">
        <v>39458</v>
      </c>
      <c r="B1278" s="94" t="s">
        <v>650</v>
      </c>
      <c r="C1278" s="115"/>
      <c r="D1278" s="115"/>
      <c r="E1278" s="115"/>
      <c r="F1278" s="115"/>
      <c r="G1278" s="115"/>
      <c r="H1278" s="118"/>
    </row>
    <row r="1279" spans="1:8">
      <c r="A1279" s="159">
        <v>39461</v>
      </c>
      <c r="B1279" s="94" t="s">
        <v>650</v>
      </c>
      <c r="C1279" s="115"/>
      <c r="D1279" s="115"/>
      <c r="E1279" s="115"/>
      <c r="F1279" s="115"/>
      <c r="G1279" s="115"/>
      <c r="H1279" s="118"/>
    </row>
    <row r="1280" spans="1:8">
      <c r="A1280" s="159">
        <v>39462</v>
      </c>
      <c r="B1280" s="94" t="s">
        <v>650</v>
      </c>
      <c r="C1280" s="115"/>
      <c r="D1280" s="115"/>
      <c r="E1280" s="115"/>
      <c r="F1280" s="115"/>
      <c r="G1280" s="115"/>
      <c r="H1280" s="118"/>
    </row>
    <row r="1281" spans="1:2">
      <c r="A1281" s="159">
        <v>39463</v>
      </c>
      <c r="B1281" s="94" t="s">
        <v>650</v>
      </c>
    </row>
    <row r="1282" spans="1:2">
      <c r="A1282" s="159">
        <v>39464</v>
      </c>
      <c r="B1282" s="94" t="s">
        <v>650</v>
      </c>
    </row>
    <row r="1283" spans="1:2">
      <c r="A1283" s="159">
        <v>39465</v>
      </c>
      <c r="B1283" s="94" t="s">
        <v>650</v>
      </c>
    </row>
    <row r="1284" spans="1:2">
      <c r="A1284" s="159">
        <v>39468</v>
      </c>
      <c r="B1284" s="94" t="s">
        <v>650</v>
      </c>
    </row>
    <row r="1285" spans="1:2">
      <c r="A1285" s="159">
        <v>39469</v>
      </c>
      <c r="B1285" s="94" t="s">
        <v>650</v>
      </c>
    </row>
    <row r="1286" spans="1:2">
      <c r="A1286" s="159">
        <v>39470</v>
      </c>
      <c r="B1286" s="94" t="s">
        <v>650</v>
      </c>
    </row>
    <row r="1287" spans="1:2">
      <c r="A1287" s="159">
        <v>39471</v>
      </c>
      <c r="B1287" s="94" t="s">
        <v>650</v>
      </c>
    </row>
    <row r="1288" spans="1:2">
      <c r="A1288" s="159">
        <v>39472</v>
      </c>
      <c r="B1288" s="94" t="s">
        <v>650</v>
      </c>
    </row>
    <row r="1289" spans="1:2">
      <c r="A1289" s="159">
        <v>39475</v>
      </c>
      <c r="B1289" s="94" t="s">
        <v>650</v>
      </c>
    </row>
    <row r="1290" spans="1:2">
      <c r="A1290" s="159">
        <v>39476</v>
      </c>
      <c r="B1290" s="94" t="s">
        <v>650</v>
      </c>
    </row>
    <row r="1291" spans="1:2">
      <c r="A1291" s="159">
        <v>39477</v>
      </c>
      <c r="B1291" s="94" t="s">
        <v>650</v>
      </c>
    </row>
    <row r="1292" spans="1:2">
      <c r="A1292" s="159">
        <v>39478</v>
      </c>
      <c r="B1292" s="94" t="s">
        <v>650</v>
      </c>
    </row>
    <row r="1293" spans="1:2">
      <c r="A1293" s="159">
        <v>39479</v>
      </c>
      <c r="B1293" s="94" t="s">
        <v>650</v>
      </c>
    </row>
    <row r="1294" spans="1:2">
      <c r="A1294" s="159">
        <v>39480</v>
      </c>
      <c r="B1294" s="94" t="s">
        <v>650</v>
      </c>
    </row>
    <row r="1295" spans="1:2">
      <c r="A1295" s="159">
        <v>39481</v>
      </c>
      <c r="B1295" s="94" t="s">
        <v>650</v>
      </c>
    </row>
    <row r="1296" spans="1:2">
      <c r="A1296" s="159">
        <v>39482</v>
      </c>
      <c r="B1296" s="94" t="s">
        <v>650</v>
      </c>
    </row>
    <row r="1297" spans="1:2">
      <c r="A1297" s="159">
        <v>39483</v>
      </c>
      <c r="B1297" s="94" t="s">
        <v>650</v>
      </c>
    </row>
    <row r="1298" spans="1:2">
      <c r="A1298" s="159">
        <v>39491</v>
      </c>
      <c r="B1298" s="94" t="s">
        <v>650</v>
      </c>
    </row>
    <row r="1299" spans="1:2">
      <c r="A1299" s="159">
        <v>39492</v>
      </c>
      <c r="B1299" s="94" t="s">
        <v>650</v>
      </c>
    </row>
    <row r="1300" spans="1:2">
      <c r="A1300" s="159">
        <v>39493</v>
      </c>
      <c r="B1300" s="94" t="s">
        <v>650</v>
      </c>
    </row>
    <row r="1301" spans="1:2">
      <c r="A1301" s="159">
        <v>39496</v>
      </c>
      <c r="B1301" s="94" t="s">
        <v>650</v>
      </c>
    </row>
    <row r="1302" spans="1:2">
      <c r="A1302" s="159">
        <v>39497</v>
      </c>
      <c r="B1302" s="94" t="s">
        <v>650</v>
      </c>
    </row>
    <row r="1303" spans="1:2">
      <c r="A1303" s="159">
        <v>39498</v>
      </c>
      <c r="B1303" s="94" t="s">
        <v>650</v>
      </c>
    </row>
    <row r="1304" spans="1:2">
      <c r="A1304" s="159">
        <v>39499</v>
      </c>
      <c r="B1304" s="94" t="s">
        <v>650</v>
      </c>
    </row>
    <row r="1305" spans="1:2">
      <c r="A1305" s="159">
        <v>39500</v>
      </c>
      <c r="B1305" s="94" t="s">
        <v>650</v>
      </c>
    </row>
    <row r="1306" spans="1:2">
      <c r="A1306" s="159">
        <v>39503</v>
      </c>
      <c r="B1306" s="94" t="s">
        <v>650</v>
      </c>
    </row>
    <row r="1307" spans="1:2">
      <c r="A1307" s="159">
        <v>39504</v>
      </c>
      <c r="B1307" s="94" t="s">
        <v>650</v>
      </c>
    </row>
    <row r="1308" spans="1:2">
      <c r="A1308" s="159">
        <v>39505</v>
      </c>
      <c r="B1308" s="94" t="s">
        <v>650</v>
      </c>
    </row>
    <row r="1309" spans="1:2">
      <c r="A1309" s="159">
        <v>39506</v>
      </c>
      <c r="B1309" s="94" t="s">
        <v>650</v>
      </c>
    </row>
    <row r="1310" spans="1:2">
      <c r="A1310" s="159">
        <v>39507</v>
      </c>
      <c r="B1310" s="94" t="s">
        <v>650</v>
      </c>
    </row>
    <row r="1311" spans="1:2">
      <c r="A1311" s="159">
        <v>39510</v>
      </c>
      <c r="B1311" s="94" t="s">
        <v>650</v>
      </c>
    </row>
    <row r="1312" spans="1:2">
      <c r="A1312" s="159">
        <v>39511</v>
      </c>
      <c r="B1312" s="94" t="s">
        <v>650</v>
      </c>
    </row>
    <row r="1313" spans="1:2">
      <c r="A1313" s="159">
        <v>39512</v>
      </c>
      <c r="B1313" s="94" t="s">
        <v>650</v>
      </c>
    </row>
    <row r="1314" spans="1:2">
      <c r="A1314" s="159">
        <v>39513</v>
      </c>
      <c r="B1314" s="94" t="s">
        <v>650</v>
      </c>
    </row>
    <row r="1315" spans="1:2">
      <c r="A1315" s="159">
        <v>39514</v>
      </c>
      <c r="B1315" s="94" t="s">
        <v>650</v>
      </c>
    </row>
    <row r="1316" spans="1:2">
      <c r="A1316" s="159">
        <v>39517</v>
      </c>
      <c r="B1316" s="94" t="s">
        <v>650</v>
      </c>
    </row>
    <row r="1317" spans="1:2">
      <c r="A1317" s="159">
        <v>39518</v>
      </c>
      <c r="B1317" s="94" t="s">
        <v>650</v>
      </c>
    </row>
    <row r="1318" spans="1:2">
      <c r="A1318" s="159">
        <v>39519</v>
      </c>
      <c r="B1318" s="94" t="s">
        <v>650</v>
      </c>
    </row>
    <row r="1319" spans="1:2">
      <c r="A1319" s="159">
        <v>39520</v>
      </c>
      <c r="B1319" s="94" t="s">
        <v>650</v>
      </c>
    </row>
    <row r="1320" spans="1:2">
      <c r="A1320" s="159">
        <v>39521</v>
      </c>
      <c r="B1320" s="94" t="s">
        <v>650</v>
      </c>
    </row>
    <row r="1321" spans="1:2">
      <c r="A1321" s="159">
        <v>39524</v>
      </c>
      <c r="B1321" s="94" t="s">
        <v>650</v>
      </c>
    </row>
    <row r="1322" spans="1:2">
      <c r="A1322" s="159">
        <v>39525</v>
      </c>
      <c r="B1322" s="94" t="s">
        <v>650</v>
      </c>
    </row>
    <row r="1323" spans="1:2">
      <c r="A1323" s="159">
        <v>39526</v>
      </c>
      <c r="B1323" s="94" t="s">
        <v>650</v>
      </c>
    </row>
    <row r="1324" spans="1:2">
      <c r="A1324" s="159">
        <v>39527</v>
      </c>
      <c r="B1324" s="94" t="s">
        <v>650</v>
      </c>
    </row>
    <row r="1325" spans="1:2">
      <c r="A1325" s="159">
        <v>39528</v>
      </c>
      <c r="B1325" s="94" t="s">
        <v>650</v>
      </c>
    </row>
    <row r="1326" spans="1:2">
      <c r="A1326" s="159">
        <v>39531</v>
      </c>
      <c r="B1326" s="94" t="s">
        <v>650</v>
      </c>
    </row>
    <row r="1327" spans="1:2">
      <c r="A1327" s="159">
        <v>39532</v>
      </c>
      <c r="B1327" s="94" t="s">
        <v>650</v>
      </c>
    </row>
    <row r="1328" spans="1:2">
      <c r="A1328" s="159">
        <v>39533</v>
      </c>
      <c r="B1328" s="94" t="s">
        <v>650</v>
      </c>
    </row>
    <row r="1329" spans="1:2">
      <c r="A1329" s="159">
        <v>39534</v>
      </c>
      <c r="B1329" s="94" t="s">
        <v>650</v>
      </c>
    </row>
    <row r="1330" spans="1:2">
      <c r="A1330" s="159">
        <v>39535</v>
      </c>
      <c r="B1330" s="94" t="s">
        <v>650</v>
      </c>
    </row>
    <row r="1331" spans="1:2">
      <c r="A1331" s="159">
        <v>39538</v>
      </c>
      <c r="B1331" s="94" t="s">
        <v>650</v>
      </c>
    </row>
    <row r="1332" spans="1:2">
      <c r="A1332" s="159">
        <v>39539</v>
      </c>
      <c r="B1332" s="94" t="s">
        <v>650</v>
      </c>
    </row>
    <row r="1333" spans="1:2">
      <c r="A1333" s="159">
        <v>39540</v>
      </c>
      <c r="B1333" s="94" t="s">
        <v>650</v>
      </c>
    </row>
    <row r="1334" spans="1:2">
      <c r="A1334" s="159">
        <v>39541</v>
      </c>
      <c r="B1334" s="94" t="s">
        <v>650</v>
      </c>
    </row>
    <row r="1335" spans="1:2">
      <c r="A1335" s="159">
        <v>39545</v>
      </c>
      <c r="B1335" s="94" t="s">
        <v>650</v>
      </c>
    </row>
    <row r="1336" spans="1:2">
      <c r="A1336" s="159">
        <v>39546</v>
      </c>
      <c r="B1336" s="94" t="s">
        <v>650</v>
      </c>
    </row>
    <row r="1337" spans="1:2">
      <c r="A1337" s="159">
        <v>39547</v>
      </c>
      <c r="B1337" s="94" t="s">
        <v>650</v>
      </c>
    </row>
    <row r="1338" spans="1:2">
      <c r="A1338" s="159">
        <v>39548</v>
      </c>
      <c r="B1338" s="94" t="s">
        <v>650</v>
      </c>
    </row>
    <row r="1339" spans="1:2">
      <c r="A1339" s="159">
        <v>39549</v>
      </c>
      <c r="B1339" s="94" t="s">
        <v>650</v>
      </c>
    </row>
    <row r="1340" spans="1:2">
      <c r="A1340" s="159">
        <v>39552</v>
      </c>
      <c r="B1340" s="94" t="s">
        <v>650</v>
      </c>
    </row>
    <row r="1341" spans="1:2">
      <c r="A1341" s="159">
        <v>39553</v>
      </c>
      <c r="B1341" s="94" t="s">
        <v>650</v>
      </c>
    </row>
    <row r="1342" spans="1:2">
      <c r="A1342" s="159">
        <v>39554</v>
      </c>
      <c r="B1342" s="94" t="s">
        <v>650</v>
      </c>
    </row>
    <row r="1343" spans="1:2">
      <c r="A1343" s="159">
        <v>39555</v>
      </c>
      <c r="B1343" s="94" t="s">
        <v>650</v>
      </c>
    </row>
    <row r="1344" spans="1:2">
      <c r="A1344" s="159">
        <v>39556</v>
      </c>
      <c r="B1344" s="94" t="s">
        <v>650</v>
      </c>
    </row>
    <row r="1345" spans="1:2">
      <c r="A1345" s="159">
        <v>39559</v>
      </c>
      <c r="B1345" s="94" t="s">
        <v>650</v>
      </c>
    </row>
    <row r="1346" spans="1:2">
      <c r="A1346" s="159">
        <v>39560</v>
      </c>
      <c r="B1346" s="94" t="s">
        <v>650</v>
      </c>
    </row>
    <row r="1347" spans="1:2">
      <c r="A1347" s="159">
        <v>39561</v>
      </c>
      <c r="B1347" s="94" t="s">
        <v>650</v>
      </c>
    </row>
    <row r="1348" spans="1:2">
      <c r="A1348" s="159">
        <v>39562</v>
      </c>
      <c r="B1348" s="94" t="s">
        <v>650</v>
      </c>
    </row>
    <row r="1349" spans="1:2">
      <c r="A1349" s="159">
        <v>39563</v>
      </c>
      <c r="B1349" s="94" t="s">
        <v>650</v>
      </c>
    </row>
    <row r="1350" spans="1:2">
      <c r="A1350" s="159">
        <v>39566</v>
      </c>
      <c r="B1350" s="94" t="s">
        <v>650</v>
      </c>
    </row>
    <row r="1351" spans="1:2">
      <c r="A1351" s="159">
        <v>39567</v>
      </c>
      <c r="B1351" s="94" t="s">
        <v>650</v>
      </c>
    </row>
    <row r="1352" spans="1:2">
      <c r="A1352" s="159">
        <v>39568</v>
      </c>
      <c r="B1352" s="94" t="s">
        <v>650</v>
      </c>
    </row>
    <row r="1353" spans="1:2">
      <c r="A1353" s="159">
        <v>39572</v>
      </c>
      <c r="B1353" s="94" t="s">
        <v>650</v>
      </c>
    </row>
    <row r="1354" spans="1:2">
      <c r="A1354" s="159">
        <v>39573</v>
      </c>
      <c r="B1354" s="94" t="s">
        <v>650</v>
      </c>
    </row>
    <row r="1355" spans="1:2">
      <c r="A1355" s="159">
        <v>39574</v>
      </c>
      <c r="B1355" s="94" t="s">
        <v>650</v>
      </c>
    </row>
    <row r="1356" spans="1:2">
      <c r="A1356" s="159">
        <v>39575</v>
      </c>
      <c r="B1356" s="94" t="s">
        <v>650</v>
      </c>
    </row>
    <row r="1357" spans="1:2">
      <c r="A1357" s="159">
        <v>39576</v>
      </c>
      <c r="B1357" s="94" t="s">
        <v>650</v>
      </c>
    </row>
    <row r="1358" spans="1:2">
      <c r="A1358" s="159">
        <v>39577</v>
      </c>
      <c r="B1358" s="94" t="s">
        <v>650</v>
      </c>
    </row>
    <row r="1359" spans="1:2">
      <c r="A1359" s="159">
        <v>39580</v>
      </c>
      <c r="B1359" s="94" t="s">
        <v>650</v>
      </c>
    </row>
    <row r="1360" spans="1:2">
      <c r="A1360" s="159">
        <v>39581</v>
      </c>
      <c r="B1360" s="94" t="s">
        <v>650</v>
      </c>
    </row>
    <row r="1361" spans="1:2">
      <c r="A1361" s="159">
        <v>39582</v>
      </c>
      <c r="B1361" s="94" t="s">
        <v>650</v>
      </c>
    </row>
    <row r="1362" spans="1:2">
      <c r="A1362" s="159">
        <v>39583</v>
      </c>
      <c r="B1362" s="94" t="s">
        <v>650</v>
      </c>
    </row>
    <row r="1363" spans="1:2">
      <c r="A1363" s="159">
        <v>39584</v>
      </c>
      <c r="B1363" s="94" t="s">
        <v>650</v>
      </c>
    </row>
    <row r="1364" spans="1:2">
      <c r="A1364" s="159">
        <v>39587</v>
      </c>
      <c r="B1364" s="94" t="s">
        <v>650</v>
      </c>
    </row>
    <row r="1365" spans="1:2">
      <c r="A1365" s="159">
        <v>39588</v>
      </c>
      <c r="B1365" s="94" t="s">
        <v>650</v>
      </c>
    </row>
    <row r="1366" spans="1:2">
      <c r="A1366" s="159">
        <v>39589</v>
      </c>
      <c r="B1366" s="94" t="s">
        <v>650</v>
      </c>
    </row>
    <row r="1367" spans="1:2">
      <c r="A1367" s="159">
        <v>39590</v>
      </c>
      <c r="B1367" s="94" t="s">
        <v>650</v>
      </c>
    </row>
    <row r="1368" spans="1:2">
      <c r="A1368" s="159">
        <v>39591</v>
      </c>
      <c r="B1368" s="94" t="s">
        <v>650</v>
      </c>
    </row>
    <row r="1369" spans="1:2">
      <c r="A1369" s="159">
        <v>39594</v>
      </c>
      <c r="B1369" s="94" t="s">
        <v>650</v>
      </c>
    </row>
    <row r="1370" spans="1:2">
      <c r="A1370" s="159">
        <v>39595</v>
      </c>
      <c r="B1370" s="94" t="s">
        <v>650</v>
      </c>
    </row>
    <row r="1371" spans="1:2">
      <c r="A1371" s="159">
        <v>39596</v>
      </c>
      <c r="B1371" s="94" t="s">
        <v>650</v>
      </c>
    </row>
    <row r="1372" spans="1:2">
      <c r="A1372" s="159">
        <v>39597</v>
      </c>
      <c r="B1372" s="94" t="s">
        <v>650</v>
      </c>
    </row>
    <row r="1373" spans="1:2">
      <c r="A1373" s="159">
        <v>39598</v>
      </c>
      <c r="B1373" s="94" t="s">
        <v>650</v>
      </c>
    </row>
    <row r="1374" spans="1:2">
      <c r="A1374" s="159">
        <v>39601</v>
      </c>
      <c r="B1374" s="94" t="s">
        <v>650</v>
      </c>
    </row>
    <row r="1375" spans="1:2">
      <c r="A1375" s="159">
        <v>39602</v>
      </c>
      <c r="B1375" s="94" t="s">
        <v>650</v>
      </c>
    </row>
    <row r="1376" spans="1:2">
      <c r="A1376" s="159">
        <v>39603</v>
      </c>
      <c r="B1376" s="94" t="s">
        <v>650</v>
      </c>
    </row>
    <row r="1377" spans="1:2">
      <c r="A1377" s="159">
        <v>39604</v>
      </c>
      <c r="B1377" s="94" t="s">
        <v>650</v>
      </c>
    </row>
    <row r="1378" spans="1:2">
      <c r="A1378" s="159">
        <v>39605</v>
      </c>
      <c r="B1378" s="94" t="s">
        <v>650</v>
      </c>
    </row>
    <row r="1379" spans="1:2">
      <c r="A1379" s="159">
        <v>39609</v>
      </c>
      <c r="B1379" s="94" t="s">
        <v>650</v>
      </c>
    </row>
    <row r="1380" spans="1:2">
      <c r="A1380" s="159">
        <v>39610</v>
      </c>
      <c r="B1380" s="94" t="s">
        <v>650</v>
      </c>
    </row>
    <row r="1381" spans="1:2">
      <c r="A1381" s="159">
        <v>39611</v>
      </c>
      <c r="B1381" s="94" t="s">
        <v>650</v>
      </c>
    </row>
    <row r="1382" spans="1:2">
      <c r="A1382" s="159">
        <v>39612</v>
      </c>
      <c r="B1382" s="94" t="s">
        <v>650</v>
      </c>
    </row>
    <row r="1383" spans="1:2">
      <c r="A1383" s="159">
        <v>39615</v>
      </c>
      <c r="B1383" s="94" t="s">
        <v>650</v>
      </c>
    </row>
    <row r="1384" spans="1:2">
      <c r="A1384" s="159">
        <v>39616</v>
      </c>
      <c r="B1384" s="94" t="s">
        <v>650</v>
      </c>
    </row>
    <row r="1385" spans="1:2">
      <c r="A1385" s="159">
        <v>39617</v>
      </c>
      <c r="B1385" s="94" t="s">
        <v>650</v>
      </c>
    </row>
    <row r="1386" spans="1:2">
      <c r="A1386" s="159">
        <v>39618</v>
      </c>
      <c r="B1386" s="94" t="s">
        <v>650</v>
      </c>
    </row>
    <row r="1387" spans="1:2">
      <c r="A1387" s="159">
        <v>39619</v>
      </c>
      <c r="B1387" s="94" t="s">
        <v>650</v>
      </c>
    </row>
    <row r="1388" spans="1:2">
      <c r="A1388" s="159">
        <v>39622</v>
      </c>
      <c r="B1388" s="94" t="s">
        <v>650</v>
      </c>
    </row>
    <row r="1389" spans="1:2">
      <c r="A1389" s="159">
        <v>39623</v>
      </c>
      <c r="B1389" s="94" t="s">
        <v>650</v>
      </c>
    </row>
    <row r="1390" spans="1:2">
      <c r="A1390" s="159">
        <v>39624</v>
      </c>
      <c r="B1390" s="94" t="s">
        <v>650</v>
      </c>
    </row>
    <row r="1391" spans="1:2">
      <c r="A1391" s="159">
        <v>39625</v>
      </c>
      <c r="B1391" s="94" t="s">
        <v>650</v>
      </c>
    </row>
    <row r="1392" spans="1:2">
      <c r="A1392" s="159">
        <v>39626</v>
      </c>
      <c r="B1392" s="94" t="s">
        <v>650</v>
      </c>
    </row>
    <row r="1393" spans="1:2">
      <c r="A1393" s="159">
        <v>39629</v>
      </c>
      <c r="B1393" s="94" t="s">
        <v>650</v>
      </c>
    </row>
    <row r="1394" spans="1:2">
      <c r="A1394" s="159">
        <v>39630</v>
      </c>
      <c r="B1394" s="94" t="s">
        <v>650</v>
      </c>
    </row>
    <row r="1395" spans="1:2">
      <c r="A1395" s="159">
        <v>39631</v>
      </c>
      <c r="B1395" s="94" t="s">
        <v>650</v>
      </c>
    </row>
    <row r="1396" spans="1:2">
      <c r="A1396" s="159">
        <v>39632</v>
      </c>
      <c r="B1396" s="94" t="s">
        <v>650</v>
      </c>
    </row>
    <row r="1397" spans="1:2">
      <c r="A1397" s="159">
        <v>39633</v>
      </c>
      <c r="B1397" s="94" t="s">
        <v>650</v>
      </c>
    </row>
    <row r="1398" spans="1:2">
      <c r="A1398" s="159">
        <v>39636</v>
      </c>
      <c r="B1398" s="94" t="s">
        <v>650</v>
      </c>
    </row>
    <row r="1399" spans="1:2">
      <c r="A1399" s="159">
        <v>39637</v>
      </c>
      <c r="B1399" s="94" t="s">
        <v>650</v>
      </c>
    </row>
    <row r="1400" spans="1:2">
      <c r="A1400" s="159">
        <v>39638</v>
      </c>
      <c r="B1400" s="94" t="s">
        <v>650</v>
      </c>
    </row>
    <row r="1401" spans="1:2">
      <c r="A1401" s="159">
        <v>39639</v>
      </c>
      <c r="B1401" s="94" t="s">
        <v>650</v>
      </c>
    </row>
    <row r="1402" spans="1:2">
      <c r="A1402" s="159">
        <v>39640</v>
      </c>
      <c r="B1402" s="94" t="s">
        <v>650</v>
      </c>
    </row>
    <row r="1403" spans="1:2">
      <c r="A1403" s="159">
        <v>39643</v>
      </c>
      <c r="B1403" s="94" t="s">
        <v>650</v>
      </c>
    </row>
    <row r="1404" spans="1:2">
      <c r="A1404" s="159">
        <v>39644</v>
      </c>
      <c r="B1404" s="94" t="s">
        <v>650</v>
      </c>
    </row>
    <row r="1405" spans="1:2">
      <c r="A1405" s="159">
        <v>39645</v>
      </c>
      <c r="B1405" s="94" t="s">
        <v>650</v>
      </c>
    </row>
    <row r="1406" spans="1:2">
      <c r="A1406" s="159">
        <v>39646</v>
      </c>
      <c r="B1406" s="94" t="s">
        <v>650</v>
      </c>
    </row>
    <row r="1407" spans="1:2">
      <c r="A1407" s="159">
        <v>39647</v>
      </c>
      <c r="B1407" s="94" t="s">
        <v>650</v>
      </c>
    </row>
    <row r="1408" spans="1:2">
      <c r="A1408" s="159">
        <v>39650</v>
      </c>
      <c r="B1408" s="94" t="s">
        <v>650</v>
      </c>
    </row>
    <row r="1409" spans="1:2">
      <c r="A1409" s="159">
        <v>39651</v>
      </c>
      <c r="B1409" s="94" t="s">
        <v>650</v>
      </c>
    </row>
    <row r="1410" spans="1:2">
      <c r="A1410" s="159">
        <v>39652</v>
      </c>
      <c r="B1410" s="94" t="s">
        <v>650</v>
      </c>
    </row>
    <row r="1411" spans="1:2">
      <c r="A1411" s="159">
        <v>39653</v>
      </c>
      <c r="B1411" s="94" t="s">
        <v>650</v>
      </c>
    </row>
    <row r="1412" spans="1:2">
      <c r="A1412" s="159">
        <v>39654</v>
      </c>
      <c r="B1412" s="94" t="s">
        <v>650</v>
      </c>
    </row>
    <row r="1413" spans="1:2">
      <c r="A1413" s="159">
        <v>39657</v>
      </c>
      <c r="B1413" s="94" t="s">
        <v>650</v>
      </c>
    </row>
    <row r="1414" spans="1:2">
      <c r="A1414" s="159">
        <v>39658</v>
      </c>
      <c r="B1414" s="94" t="s">
        <v>650</v>
      </c>
    </row>
    <row r="1415" spans="1:2">
      <c r="A1415" s="159">
        <v>39659</v>
      </c>
      <c r="B1415" s="94" t="s">
        <v>650</v>
      </c>
    </row>
    <row r="1416" spans="1:2">
      <c r="A1416" s="159">
        <v>39660</v>
      </c>
      <c r="B1416" s="94" t="s">
        <v>650</v>
      </c>
    </row>
    <row r="1417" spans="1:2">
      <c r="A1417" s="159">
        <v>39661</v>
      </c>
      <c r="B1417" s="94" t="s">
        <v>650</v>
      </c>
    </row>
    <row r="1418" spans="1:2">
      <c r="A1418" s="159">
        <v>39664</v>
      </c>
      <c r="B1418" s="94" t="s">
        <v>650</v>
      </c>
    </row>
    <row r="1419" spans="1:2">
      <c r="A1419" s="159">
        <v>39665</v>
      </c>
      <c r="B1419" s="94" t="s">
        <v>650</v>
      </c>
    </row>
    <row r="1420" spans="1:2">
      <c r="A1420" s="159">
        <v>39666</v>
      </c>
      <c r="B1420" s="94" t="s">
        <v>650</v>
      </c>
    </row>
    <row r="1421" spans="1:2">
      <c r="A1421" s="159">
        <v>39667</v>
      </c>
      <c r="B1421" s="94" t="s">
        <v>650</v>
      </c>
    </row>
    <row r="1422" spans="1:2">
      <c r="A1422" s="159">
        <v>39668</v>
      </c>
      <c r="B1422" s="94" t="s">
        <v>650</v>
      </c>
    </row>
    <row r="1423" spans="1:2">
      <c r="A1423" s="159">
        <v>39671</v>
      </c>
      <c r="B1423" s="94" t="s">
        <v>650</v>
      </c>
    </row>
    <row r="1424" spans="1:2">
      <c r="A1424" s="159">
        <v>39672</v>
      </c>
      <c r="B1424" s="94" t="s">
        <v>650</v>
      </c>
    </row>
    <row r="1425" spans="1:2">
      <c r="A1425" s="159">
        <v>39673</v>
      </c>
      <c r="B1425" s="94" t="s">
        <v>650</v>
      </c>
    </row>
    <row r="1426" spans="1:2">
      <c r="A1426" s="159">
        <v>39674</v>
      </c>
      <c r="B1426" s="94" t="s">
        <v>650</v>
      </c>
    </row>
    <row r="1427" spans="1:2">
      <c r="A1427" s="159">
        <v>39675</v>
      </c>
      <c r="B1427" s="94" t="s">
        <v>650</v>
      </c>
    </row>
    <row r="1428" spans="1:2">
      <c r="A1428" s="159">
        <v>39678</v>
      </c>
      <c r="B1428" s="94" t="s">
        <v>650</v>
      </c>
    </row>
    <row r="1429" spans="1:2">
      <c r="A1429" s="159">
        <v>39679</v>
      </c>
      <c r="B1429" s="94" t="s">
        <v>650</v>
      </c>
    </row>
    <row r="1430" spans="1:2">
      <c r="A1430" s="159">
        <v>39680</v>
      </c>
      <c r="B1430" s="94" t="s">
        <v>650</v>
      </c>
    </row>
    <row r="1431" spans="1:2">
      <c r="A1431" s="159">
        <v>39681</v>
      </c>
      <c r="B1431" s="94" t="s">
        <v>650</v>
      </c>
    </row>
    <row r="1432" spans="1:2">
      <c r="A1432" s="159">
        <v>39682</v>
      </c>
      <c r="B1432" s="94" t="s">
        <v>650</v>
      </c>
    </row>
    <row r="1433" spans="1:2">
      <c r="A1433" s="159">
        <v>39685</v>
      </c>
      <c r="B1433" s="94" t="s">
        <v>650</v>
      </c>
    </row>
    <row r="1434" spans="1:2">
      <c r="A1434" s="159">
        <v>39686</v>
      </c>
      <c r="B1434" s="94" t="s">
        <v>650</v>
      </c>
    </row>
    <row r="1435" spans="1:2">
      <c r="A1435" s="159">
        <v>39687</v>
      </c>
      <c r="B1435" s="94" t="s">
        <v>650</v>
      </c>
    </row>
    <row r="1436" spans="1:2">
      <c r="A1436" s="159">
        <v>39688</v>
      </c>
      <c r="B1436" s="94" t="s">
        <v>650</v>
      </c>
    </row>
    <row r="1437" spans="1:2">
      <c r="A1437" s="159">
        <v>39689</v>
      </c>
      <c r="B1437" s="94" t="s">
        <v>650</v>
      </c>
    </row>
    <row r="1438" spans="1:2">
      <c r="A1438" s="159">
        <v>39692</v>
      </c>
      <c r="B1438" s="94" t="s">
        <v>650</v>
      </c>
    </row>
    <row r="1439" spans="1:2">
      <c r="A1439" s="159">
        <v>39693</v>
      </c>
      <c r="B1439" s="94" t="s">
        <v>650</v>
      </c>
    </row>
    <row r="1440" spans="1:2">
      <c r="A1440" s="159">
        <v>39694</v>
      </c>
      <c r="B1440" s="94" t="s">
        <v>650</v>
      </c>
    </row>
    <row r="1441" spans="1:2">
      <c r="A1441" s="159">
        <v>39695</v>
      </c>
      <c r="B1441" s="94" t="s">
        <v>650</v>
      </c>
    </row>
    <row r="1442" spans="1:2">
      <c r="A1442" s="159">
        <v>39696</v>
      </c>
      <c r="B1442" s="94" t="s">
        <v>650</v>
      </c>
    </row>
    <row r="1443" spans="1:2">
      <c r="A1443" s="159">
        <v>39699</v>
      </c>
      <c r="B1443" s="94" t="s">
        <v>650</v>
      </c>
    </row>
    <row r="1444" spans="1:2">
      <c r="A1444" s="159">
        <v>39700</v>
      </c>
      <c r="B1444" s="94" t="s">
        <v>650</v>
      </c>
    </row>
    <row r="1445" spans="1:2">
      <c r="A1445" s="159">
        <v>39701</v>
      </c>
      <c r="B1445" s="94" t="s">
        <v>650</v>
      </c>
    </row>
    <row r="1446" spans="1:2">
      <c r="A1446" s="159">
        <v>39702</v>
      </c>
      <c r="B1446" s="94" t="s">
        <v>650</v>
      </c>
    </row>
    <row r="1447" spans="1:2">
      <c r="A1447" s="159">
        <v>39703</v>
      </c>
      <c r="B1447" s="94" t="s">
        <v>650</v>
      </c>
    </row>
    <row r="1448" spans="1:2">
      <c r="A1448" s="159">
        <v>39707</v>
      </c>
      <c r="B1448" s="94" t="s">
        <v>650</v>
      </c>
    </row>
    <row r="1449" spans="1:2">
      <c r="A1449" s="159">
        <v>39708</v>
      </c>
      <c r="B1449" s="94" t="s">
        <v>650</v>
      </c>
    </row>
    <row r="1450" spans="1:2">
      <c r="A1450" s="159">
        <v>39709</v>
      </c>
      <c r="B1450" s="94" t="s">
        <v>650</v>
      </c>
    </row>
    <row r="1451" spans="1:2">
      <c r="A1451" s="159">
        <v>39710</v>
      </c>
      <c r="B1451" s="94" t="s">
        <v>650</v>
      </c>
    </row>
    <row r="1452" spans="1:2">
      <c r="A1452" s="159">
        <v>39713</v>
      </c>
      <c r="B1452" s="94" t="s">
        <v>650</v>
      </c>
    </row>
    <row r="1453" spans="1:2">
      <c r="A1453" s="159">
        <v>39714</v>
      </c>
      <c r="B1453" s="94" t="s">
        <v>650</v>
      </c>
    </row>
    <row r="1454" spans="1:2">
      <c r="A1454" s="159">
        <v>39715</v>
      </c>
      <c r="B1454" s="94" t="s">
        <v>650</v>
      </c>
    </row>
    <row r="1455" spans="1:2">
      <c r="A1455" s="159">
        <v>39716</v>
      </c>
      <c r="B1455" s="94" t="s">
        <v>650</v>
      </c>
    </row>
    <row r="1456" spans="1:2">
      <c r="A1456" s="159">
        <v>39717</v>
      </c>
      <c r="B1456" s="94" t="s">
        <v>650</v>
      </c>
    </row>
    <row r="1457" spans="1:2">
      <c r="A1457" s="159">
        <v>39718</v>
      </c>
      <c r="B1457" s="94" t="s">
        <v>650</v>
      </c>
    </row>
    <row r="1458" spans="1:2">
      <c r="A1458" s="159">
        <v>39719</v>
      </c>
      <c r="B1458" s="94" t="s">
        <v>650</v>
      </c>
    </row>
    <row r="1459" spans="1:2">
      <c r="A1459" s="159">
        <v>39727</v>
      </c>
      <c r="B1459" s="94" t="s">
        <v>650</v>
      </c>
    </row>
    <row r="1460" spans="1:2">
      <c r="A1460" s="159">
        <v>39728</v>
      </c>
      <c r="B1460" s="94" t="s">
        <v>650</v>
      </c>
    </row>
    <row r="1461" spans="1:2">
      <c r="A1461" s="159">
        <v>39729</v>
      </c>
      <c r="B1461" s="94" t="s">
        <v>650</v>
      </c>
    </row>
    <row r="1462" spans="1:2">
      <c r="A1462" s="159">
        <v>39730</v>
      </c>
      <c r="B1462" s="94" t="s">
        <v>650</v>
      </c>
    </row>
    <row r="1463" spans="1:2">
      <c r="A1463" s="159">
        <v>39731</v>
      </c>
      <c r="B1463" s="94" t="s">
        <v>650</v>
      </c>
    </row>
    <row r="1464" spans="1:2">
      <c r="A1464" s="159">
        <v>39734</v>
      </c>
      <c r="B1464" s="94" t="s">
        <v>650</v>
      </c>
    </row>
    <row r="1465" spans="1:2">
      <c r="A1465" s="159">
        <v>39735</v>
      </c>
      <c r="B1465" s="94" t="s">
        <v>650</v>
      </c>
    </row>
    <row r="1466" spans="1:2">
      <c r="A1466" s="159">
        <v>39736</v>
      </c>
      <c r="B1466" s="94" t="s">
        <v>650</v>
      </c>
    </row>
    <row r="1467" spans="1:2">
      <c r="A1467" s="159">
        <v>39737</v>
      </c>
      <c r="B1467" s="94" t="s">
        <v>650</v>
      </c>
    </row>
    <row r="1468" spans="1:2">
      <c r="A1468" s="159">
        <v>39738</v>
      </c>
      <c r="B1468" s="94" t="s">
        <v>650</v>
      </c>
    </row>
    <row r="1469" spans="1:2">
      <c r="A1469" s="159">
        <v>39741</v>
      </c>
      <c r="B1469" s="94" t="s">
        <v>650</v>
      </c>
    </row>
    <row r="1470" spans="1:2">
      <c r="A1470" s="159">
        <v>39742</v>
      </c>
      <c r="B1470" s="94" t="s">
        <v>650</v>
      </c>
    </row>
    <row r="1471" spans="1:2">
      <c r="A1471" s="159">
        <v>39743</v>
      </c>
      <c r="B1471" s="94" t="s">
        <v>650</v>
      </c>
    </row>
    <row r="1472" spans="1:2">
      <c r="A1472" s="159">
        <v>39744</v>
      </c>
      <c r="B1472" s="94" t="s">
        <v>650</v>
      </c>
    </row>
    <row r="1473" spans="1:2">
      <c r="A1473" s="159">
        <v>39745</v>
      </c>
      <c r="B1473" s="94" t="s">
        <v>650</v>
      </c>
    </row>
    <row r="1474" spans="1:2">
      <c r="A1474" s="159">
        <v>39748</v>
      </c>
      <c r="B1474" s="94" t="s">
        <v>650</v>
      </c>
    </row>
    <row r="1475" spans="1:2">
      <c r="A1475" s="159">
        <v>39749</v>
      </c>
      <c r="B1475" s="94" t="s">
        <v>650</v>
      </c>
    </row>
    <row r="1476" spans="1:2">
      <c r="A1476" s="159">
        <v>39750</v>
      </c>
      <c r="B1476" s="94" t="s">
        <v>650</v>
      </c>
    </row>
    <row r="1477" spans="1:2">
      <c r="A1477" s="159">
        <v>39751</v>
      </c>
      <c r="B1477" s="94" t="s">
        <v>650</v>
      </c>
    </row>
    <row r="1478" spans="1:2">
      <c r="A1478" s="159">
        <v>39752</v>
      </c>
      <c r="B1478" s="94" t="s">
        <v>650</v>
      </c>
    </row>
    <row r="1479" spans="1:2">
      <c r="A1479" s="159">
        <v>39755</v>
      </c>
      <c r="B1479" s="94" t="s">
        <v>650</v>
      </c>
    </row>
    <row r="1480" spans="1:2">
      <c r="A1480" s="159">
        <v>39756</v>
      </c>
      <c r="B1480" s="94" t="s">
        <v>650</v>
      </c>
    </row>
    <row r="1481" spans="1:2">
      <c r="A1481" s="159">
        <v>39757</v>
      </c>
      <c r="B1481" s="94" t="s">
        <v>650</v>
      </c>
    </row>
    <row r="1482" spans="1:2">
      <c r="A1482" s="159">
        <v>39758</v>
      </c>
      <c r="B1482" s="94" t="s">
        <v>650</v>
      </c>
    </row>
    <row r="1483" spans="1:2">
      <c r="A1483" s="159">
        <v>39759</v>
      </c>
      <c r="B1483" s="94" t="s">
        <v>650</v>
      </c>
    </row>
    <row r="1484" spans="1:2">
      <c r="A1484" s="159">
        <v>39762</v>
      </c>
      <c r="B1484" s="94" t="s">
        <v>650</v>
      </c>
    </row>
    <row r="1485" spans="1:2">
      <c r="A1485" s="159">
        <v>39763</v>
      </c>
      <c r="B1485" s="94" t="s">
        <v>650</v>
      </c>
    </row>
    <row r="1486" spans="1:2">
      <c r="A1486" s="159">
        <v>39764</v>
      </c>
      <c r="B1486" s="94" t="s">
        <v>650</v>
      </c>
    </row>
    <row r="1487" spans="1:2">
      <c r="A1487" s="159">
        <v>39765</v>
      </c>
      <c r="B1487" s="94" t="s">
        <v>650</v>
      </c>
    </row>
    <row r="1488" spans="1:2">
      <c r="A1488" s="159">
        <v>39766</v>
      </c>
      <c r="B1488" s="94" t="s">
        <v>650</v>
      </c>
    </row>
    <row r="1489" spans="1:2">
      <c r="A1489" s="159">
        <v>39769</v>
      </c>
      <c r="B1489" s="94" t="s">
        <v>650</v>
      </c>
    </row>
    <row r="1490" spans="1:2">
      <c r="A1490" s="159">
        <v>39770</v>
      </c>
      <c r="B1490" s="94" t="s">
        <v>650</v>
      </c>
    </row>
    <row r="1491" spans="1:2">
      <c r="A1491" s="159">
        <v>39771</v>
      </c>
      <c r="B1491" s="94" t="s">
        <v>650</v>
      </c>
    </row>
    <row r="1492" spans="1:2">
      <c r="A1492" s="159">
        <v>39772</v>
      </c>
      <c r="B1492" s="94" t="s">
        <v>650</v>
      </c>
    </row>
    <row r="1493" spans="1:2">
      <c r="A1493" s="159">
        <v>39773</v>
      </c>
      <c r="B1493" s="94" t="s">
        <v>650</v>
      </c>
    </row>
    <row r="1494" spans="1:2">
      <c r="A1494" s="159">
        <v>39776</v>
      </c>
      <c r="B1494" s="94" t="s">
        <v>650</v>
      </c>
    </row>
    <row r="1495" spans="1:2">
      <c r="A1495" s="159">
        <v>39777</v>
      </c>
      <c r="B1495" s="94" t="s">
        <v>650</v>
      </c>
    </row>
    <row r="1496" spans="1:2">
      <c r="A1496" s="159">
        <v>39778</v>
      </c>
      <c r="B1496" s="94" t="s">
        <v>650</v>
      </c>
    </row>
    <row r="1497" spans="1:2">
      <c r="A1497" s="159">
        <v>39779</v>
      </c>
      <c r="B1497" s="94" t="s">
        <v>650</v>
      </c>
    </row>
    <row r="1498" spans="1:2">
      <c r="A1498" s="159">
        <v>39780</v>
      </c>
      <c r="B1498" s="94" t="s">
        <v>650</v>
      </c>
    </row>
    <row r="1499" spans="1:2">
      <c r="A1499" s="159">
        <v>39783</v>
      </c>
      <c r="B1499" s="94" t="s">
        <v>650</v>
      </c>
    </row>
    <row r="1500" spans="1:2">
      <c r="A1500" s="159">
        <v>39784</v>
      </c>
      <c r="B1500" s="94" t="s">
        <v>650</v>
      </c>
    </row>
    <row r="1501" spans="1:2">
      <c r="A1501" s="159">
        <v>39785</v>
      </c>
      <c r="B1501" s="94" t="s">
        <v>650</v>
      </c>
    </row>
    <row r="1502" spans="1:2">
      <c r="A1502" s="159">
        <v>39786</v>
      </c>
      <c r="B1502" s="94" t="s">
        <v>650</v>
      </c>
    </row>
    <row r="1503" spans="1:2">
      <c r="A1503" s="159">
        <v>39787</v>
      </c>
      <c r="B1503" s="94" t="s">
        <v>650</v>
      </c>
    </row>
    <row r="1504" spans="1:2">
      <c r="A1504" s="159">
        <v>39790</v>
      </c>
      <c r="B1504" s="94" t="s">
        <v>650</v>
      </c>
    </row>
    <row r="1505" spans="1:2">
      <c r="A1505" s="159">
        <v>39791</v>
      </c>
      <c r="B1505" s="94" t="s">
        <v>650</v>
      </c>
    </row>
    <row r="1506" spans="1:2">
      <c r="A1506" s="159">
        <v>39792</v>
      </c>
      <c r="B1506" s="94" t="s">
        <v>650</v>
      </c>
    </row>
    <row r="1507" spans="1:2">
      <c r="A1507" s="159">
        <v>39793</v>
      </c>
      <c r="B1507" s="94" t="s">
        <v>650</v>
      </c>
    </row>
    <row r="1508" spans="1:2">
      <c r="A1508" s="159">
        <v>39794</v>
      </c>
      <c r="B1508" s="94" t="s">
        <v>650</v>
      </c>
    </row>
    <row r="1509" spans="1:2">
      <c r="A1509" s="159">
        <v>39797</v>
      </c>
      <c r="B1509" s="94" t="s">
        <v>650</v>
      </c>
    </row>
    <row r="1510" spans="1:2">
      <c r="A1510" s="159">
        <v>39798</v>
      </c>
      <c r="B1510" s="94" t="s">
        <v>650</v>
      </c>
    </row>
    <row r="1511" spans="1:2">
      <c r="A1511" s="159">
        <v>39799</v>
      </c>
      <c r="B1511" s="94" t="s">
        <v>650</v>
      </c>
    </row>
    <row r="1512" spans="1:2">
      <c r="A1512" s="159">
        <v>39800</v>
      </c>
      <c r="B1512" s="94" t="s">
        <v>650</v>
      </c>
    </row>
    <row r="1513" spans="1:2">
      <c r="A1513" s="159">
        <v>39801</v>
      </c>
      <c r="B1513" s="94" t="s">
        <v>650</v>
      </c>
    </row>
    <row r="1514" spans="1:2">
      <c r="A1514" s="159">
        <v>39804</v>
      </c>
      <c r="B1514" s="94" t="s">
        <v>650</v>
      </c>
    </row>
    <row r="1515" spans="1:2">
      <c r="A1515" s="159">
        <v>39805</v>
      </c>
      <c r="B1515" s="94" t="s">
        <v>650</v>
      </c>
    </row>
    <row r="1516" spans="1:2">
      <c r="A1516" s="159">
        <v>39806</v>
      </c>
      <c r="B1516" s="94" t="s">
        <v>650</v>
      </c>
    </row>
    <row r="1517" spans="1:2">
      <c r="A1517" s="159">
        <v>39807</v>
      </c>
      <c r="B1517" s="94" t="s">
        <v>650</v>
      </c>
    </row>
    <row r="1518" spans="1:2">
      <c r="A1518" s="159">
        <v>39808</v>
      </c>
      <c r="B1518" s="94" t="s">
        <v>650</v>
      </c>
    </row>
    <row r="1519" spans="1:2">
      <c r="A1519" s="159">
        <v>39811</v>
      </c>
      <c r="B1519" s="94" t="s">
        <v>650</v>
      </c>
    </row>
    <row r="1520" spans="1:2">
      <c r="A1520" s="159">
        <v>39812</v>
      </c>
      <c r="B1520" s="94" t="s">
        <v>650</v>
      </c>
    </row>
    <row r="1521" spans="1:2">
      <c r="A1521" s="159">
        <v>39813</v>
      </c>
      <c r="B1521" s="94" t="s">
        <v>650</v>
      </c>
    </row>
    <row r="1522" spans="1:2">
      <c r="A1522" s="159">
        <v>39817</v>
      </c>
      <c r="B1522" s="94" t="s">
        <v>650</v>
      </c>
    </row>
    <row r="1523" spans="1:2">
      <c r="A1523" s="159">
        <v>39818</v>
      </c>
      <c r="B1523" s="94" t="s">
        <v>650</v>
      </c>
    </row>
    <row r="1524" spans="1:2">
      <c r="A1524" s="159">
        <v>39819</v>
      </c>
      <c r="B1524" s="94" t="s">
        <v>650</v>
      </c>
    </row>
    <row r="1525" spans="1:2">
      <c r="A1525" s="159">
        <v>39820</v>
      </c>
      <c r="B1525" s="94" t="s">
        <v>650</v>
      </c>
    </row>
    <row r="1526" spans="1:2">
      <c r="A1526" s="159">
        <v>39821</v>
      </c>
      <c r="B1526" s="94" t="s">
        <v>650</v>
      </c>
    </row>
    <row r="1527" spans="1:2">
      <c r="A1527" s="159">
        <v>39822</v>
      </c>
      <c r="B1527" s="94" t="s">
        <v>650</v>
      </c>
    </row>
    <row r="1528" spans="1:2">
      <c r="A1528" s="159">
        <v>39825</v>
      </c>
      <c r="B1528" s="94" t="s">
        <v>650</v>
      </c>
    </row>
    <row r="1529" spans="1:2">
      <c r="A1529" s="159">
        <v>39826</v>
      </c>
      <c r="B1529" s="94" t="s">
        <v>650</v>
      </c>
    </row>
    <row r="1530" spans="1:2">
      <c r="A1530" s="159">
        <v>39827</v>
      </c>
      <c r="B1530" s="94" t="s">
        <v>650</v>
      </c>
    </row>
    <row r="1531" spans="1:2">
      <c r="A1531" s="159">
        <v>39828</v>
      </c>
      <c r="B1531" s="94" t="s">
        <v>650</v>
      </c>
    </row>
    <row r="1532" spans="1:2">
      <c r="A1532" s="159">
        <v>39829</v>
      </c>
      <c r="B1532" s="94" t="s">
        <v>650</v>
      </c>
    </row>
    <row r="1533" spans="1:2">
      <c r="A1533" s="159">
        <v>39832</v>
      </c>
      <c r="B1533" s="94" t="s">
        <v>650</v>
      </c>
    </row>
    <row r="1534" spans="1:2">
      <c r="A1534" s="159">
        <v>39833</v>
      </c>
      <c r="B1534" s="94" t="s">
        <v>650</v>
      </c>
    </row>
    <row r="1535" spans="1:2">
      <c r="A1535" s="159">
        <v>39834</v>
      </c>
      <c r="B1535" s="94" t="s">
        <v>650</v>
      </c>
    </row>
    <row r="1536" spans="1:2">
      <c r="A1536" s="159">
        <v>39835</v>
      </c>
      <c r="B1536" s="94" t="s">
        <v>650</v>
      </c>
    </row>
    <row r="1537" spans="1:2">
      <c r="A1537" s="159">
        <v>39836</v>
      </c>
      <c r="B1537" s="94" t="s">
        <v>650</v>
      </c>
    </row>
    <row r="1538" spans="1:2">
      <c r="A1538" s="159">
        <v>39837</v>
      </c>
      <c r="B1538" s="94" t="s">
        <v>650</v>
      </c>
    </row>
    <row r="1539" spans="1:2">
      <c r="A1539" s="159">
        <v>39845</v>
      </c>
      <c r="B1539" s="94" t="s">
        <v>650</v>
      </c>
    </row>
    <row r="1540" spans="1:2">
      <c r="A1540" s="159">
        <v>39846</v>
      </c>
      <c r="B1540" s="94" t="s">
        <v>650</v>
      </c>
    </row>
    <row r="1541" spans="1:2">
      <c r="A1541" s="159">
        <v>39847</v>
      </c>
      <c r="B1541" s="94" t="s">
        <v>650</v>
      </c>
    </row>
    <row r="1542" spans="1:2">
      <c r="A1542" s="159">
        <v>39848</v>
      </c>
      <c r="B1542" s="94" t="s">
        <v>650</v>
      </c>
    </row>
    <row r="1543" spans="1:2">
      <c r="A1543" s="159">
        <v>39849</v>
      </c>
      <c r="B1543" s="94" t="s">
        <v>650</v>
      </c>
    </row>
    <row r="1544" spans="1:2">
      <c r="A1544" s="159">
        <v>39850</v>
      </c>
      <c r="B1544" s="94" t="s">
        <v>650</v>
      </c>
    </row>
    <row r="1545" spans="1:2">
      <c r="A1545" s="159">
        <v>39853</v>
      </c>
      <c r="B1545" s="94" t="s">
        <v>650</v>
      </c>
    </row>
    <row r="1546" spans="1:2">
      <c r="A1546" s="159">
        <v>39854</v>
      </c>
      <c r="B1546" s="94" t="s">
        <v>650</v>
      </c>
    </row>
    <row r="1547" spans="1:2">
      <c r="A1547" s="159">
        <v>39855</v>
      </c>
      <c r="B1547" s="94" t="s">
        <v>650</v>
      </c>
    </row>
    <row r="1548" spans="1:2">
      <c r="A1548" s="159">
        <v>39856</v>
      </c>
      <c r="B1548" s="94" t="s">
        <v>650</v>
      </c>
    </row>
    <row r="1549" spans="1:2">
      <c r="A1549" s="159">
        <v>39857</v>
      </c>
      <c r="B1549" s="94" t="s">
        <v>650</v>
      </c>
    </row>
    <row r="1550" spans="1:2">
      <c r="A1550" s="159">
        <v>39860</v>
      </c>
      <c r="B1550" s="94" t="s">
        <v>650</v>
      </c>
    </row>
    <row r="1551" spans="1:2">
      <c r="A1551" s="159">
        <v>39861</v>
      </c>
      <c r="B1551" s="94" t="s">
        <v>650</v>
      </c>
    </row>
    <row r="1552" spans="1:2">
      <c r="A1552" s="159">
        <v>39862</v>
      </c>
      <c r="B1552" s="94" t="s">
        <v>650</v>
      </c>
    </row>
    <row r="1553" spans="1:2">
      <c r="A1553" s="159">
        <v>39863</v>
      </c>
      <c r="B1553" s="94" t="s">
        <v>650</v>
      </c>
    </row>
    <row r="1554" spans="1:2">
      <c r="A1554" s="159">
        <v>39864</v>
      </c>
      <c r="B1554" s="94" t="s">
        <v>650</v>
      </c>
    </row>
    <row r="1555" spans="1:2">
      <c r="A1555" s="159">
        <v>39867</v>
      </c>
      <c r="B1555" s="94" t="s">
        <v>650</v>
      </c>
    </row>
    <row r="1556" spans="1:2">
      <c r="A1556" s="159">
        <v>39868</v>
      </c>
      <c r="B1556" s="94" t="s">
        <v>650</v>
      </c>
    </row>
    <row r="1557" spans="1:2">
      <c r="A1557" s="159">
        <v>39869</v>
      </c>
      <c r="B1557" s="94" t="s">
        <v>650</v>
      </c>
    </row>
    <row r="1558" spans="1:2">
      <c r="A1558" s="159">
        <v>39870</v>
      </c>
      <c r="B1558" s="94" t="s">
        <v>650</v>
      </c>
    </row>
    <row r="1559" spans="1:2">
      <c r="A1559" s="159">
        <v>39871</v>
      </c>
      <c r="B1559" s="94" t="s">
        <v>650</v>
      </c>
    </row>
    <row r="1560" spans="1:2">
      <c r="A1560" s="159">
        <v>39874</v>
      </c>
      <c r="B1560" s="94" t="s">
        <v>650</v>
      </c>
    </row>
    <row r="1561" spans="1:2">
      <c r="A1561" s="159">
        <v>39875</v>
      </c>
      <c r="B1561" s="94" t="s">
        <v>650</v>
      </c>
    </row>
    <row r="1562" spans="1:2">
      <c r="A1562" s="159">
        <v>39876</v>
      </c>
      <c r="B1562" s="94" t="s">
        <v>650</v>
      </c>
    </row>
    <row r="1563" spans="1:2">
      <c r="A1563" s="159">
        <v>39877</v>
      </c>
      <c r="B1563" s="94" t="s">
        <v>650</v>
      </c>
    </row>
    <row r="1564" spans="1:2">
      <c r="A1564" s="159">
        <v>39878</v>
      </c>
      <c r="B1564" s="94" t="s">
        <v>650</v>
      </c>
    </row>
    <row r="1565" spans="1:2">
      <c r="A1565" s="159">
        <v>39881</v>
      </c>
      <c r="B1565" s="94" t="s">
        <v>650</v>
      </c>
    </row>
    <row r="1566" spans="1:2">
      <c r="A1566" s="159">
        <v>39882</v>
      </c>
      <c r="B1566" s="94" t="s">
        <v>650</v>
      </c>
    </row>
    <row r="1567" spans="1:2">
      <c r="A1567" s="159">
        <v>39883</v>
      </c>
      <c r="B1567" s="94" t="s">
        <v>650</v>
      </c>
    </row>
    <row r="1568" spans="1:2">
      <c r="A1568" s="159">
        <v>39884</v>
      </c>
      <c r="B1568" s="94" t="s">
        <v>650</v>
      </c>
    </row>
    <row r="1569" spans="1:2">
      <c r="A1569" s="159">
        <v>39885</v>
      </c>
      <c r="B1569" s="94" t="s">
        <v>650</v>
      </c>
    </row>
    <row r="1570" spans="1:2">
      <c r="A1570" s="159">
        <v>39888</v>
      </c>
      <c r="B1570" s="94" t="s">
        <v>650</v>
      </c>
    </row>
    <row r="1571" spans="1:2">
      <c r="A1571" s="159">
        <v>39889</v>
      </c>
      <c r="B1571" s="94" t="s">
        <v>650</v>
      </c>
    </row>
    <row r="1572" spans="1:2">
      <c r="A1572" s="159">
        <v>39890</v>
      </c>
      <c r="B1572" s="94" t="s">
        <v>650</v>
      </c>
    </row>
    <row r="1573" spans="1:2">
      <c r="A1573" s="159">
        <v>39891</v>
      </c>
      <c r="B1573" s="94" t="s">
        <v>650</v>
      </c>
    </row>
    <row r="1574" spans="1:2">
      <c r="A1574" s="159">
        <v>39892</v>
      </c>
      <c r="B1574" s="94" t="s">
        <v>650</v>
      </c>
    </row>
    <row r="1575" spans="1:2">
      <c r="A1575" s="159">
        <v>39895</v>
      </c>
      <c r="B1575" s="94" t="s">
        <v>650</v>
      </c>
    </row>
    <row r="1576" spans="1:2">
      <c r="A1576" s="159">
        <v>39896</v>
      </c>
      <c r="B1576" s="94" t="s">
        <v>650</v>
      </c>
    </row>
    <row r="1577" spans="1:2">
      <c r="A1577" s="159">
        <v>39897</v>
      </c>
      <c r="B1577" s="94" t="s">
        <v>650</v>
      </c>
    </row>
    <row r="1578" spans="1:2">
      <c r="A1578" s="159">
        <v>39898</v>
      </c>
      <c r="B1578" s="94" t="s">
        <v>650</v>
      </c>
    </row>
    <row r="1579" spans="1:2">
      <c r="A1579" s="159">
        <v>39899</v>
      </c>
      <c r="B1579" s="94" t="s">
        <v>650</v>
      </c>
    </row>
    <row r="1580" spans="1:2">
      <c r="A1580" s="159">
        <v>39902</v>
      </c>
      <c r="B1580" s="94" t="s">
        <v>650</v>
      </c>
    </row>
    <row r="1581" spans="1:2">
      <c r="A1581" s="159">
        <v>39903</v>
      </c>
      <c r="B1581" s="94" t="s">
        <v>650</v>
      </c>
    </row>
    <row r="1582" spans="1:2">
      <c r="A1582" s="159">
        <v>39904</v>
      </c>
      <c r="B1582" s="94" t="s">
        <v>650</v>
      </c>
    </row>
    <row r="1583" spans="1:2">
      <c r="A1583" s="159">
        <v>39905</v>
      </c>
      <c r="B1583" s="94" t="s">
        <v>650</v>
      </c>
    </row>
    <row r="1584" spans="1:2">
      <c r="A1584" s="159">
        <v>39906</v>
      </c>
      <c r="B1584" s="94" t="s">
        <v>650</v>
      </c>
    </row>
    <row r="1585" spans="1:2">
      <c r="A1585" s="159">
        <v>39910</v>
      </c>
      <c r="B1585" s="94" t="s">
        <v>650</v>
      </c>
    </row>
    <row r="1586" spans="1:2">
      <c r="A1586" s="159">
        <v>39911</v>
      </c>
      <c r="B1586" s="94" t="s">
        <v>650</v>
      </c>
    </row>
    <row r="1587" spans="1:2">
      <c r="A1587" s="159">
        <v>39912</v>
      </c>
      <c r="B1587" s="94" t="s">
        <v>650</v>
      </c>
    </row>
    <row r="1588" spans="1:2">
      <c r="A1588" s="159">
        <v>39913</v>
      </c>
      <c r="B1588" s="94" t="s">
        <v>650</v>
      </c>
    </row>
    <row r="1589" spans="1:2">
      <c r="A1589" s="159">
        <v>39916</v>
      </c>
      <c r="B1589" s="94" t="s">
        <v>650</v>
      </c>
    </row>
    <row r="1590" spans="1:2">
      <c r="A1590" s="159">
        <v>39917</v>
      </c>
      <c r="B1590" s="94" t="s">
        <v>650</v>
      </c>
    </row>
    <row r="1591" spans="1:2">
      <c r="A1591" s="159">
        <v>39918</v>
      </c>
      <c r="B1591" s="94" t="s">
        <v>650</v>
      </c>
    </row>
    <row r="1592" spans="1:2">
      <c r="A1592" s="159">
        <v>39919</v>
      </c>
      <c r="B1592" s="94" t="s">
        <v>650</v>
      </c>
    </row>
    <row r="1593" spans="1:2">
      <c r="A1593" s="159">
        <v>39920</v>
      </c>
      <c r="B1593" s="94" t="s">
        <v>650</v>
      </c>
    </row>
    <row r="1594" spans="1:2">
      <c r="A1594" s="159">
        <v>39923</v>
      </c>
      <c r="B1594" s="94" t="s">
        <v>650</v>
      </c>
    </row>
    <row r="1595" spans="1:2">
      <c r="A1595" s="159">
        <v>39924</v>
      </c>
      <c r="B1595" s="94" t="s">
        <v>650</v>
      </c>
    </row>
    <row r="1596" spans="1:2">
      <c r="A1596" s="159">
        <v>39925</v>
      </c>
      <c r="B1596" s="94" t="s">
        <v>650</v>
      </c>
    </row>
    <row r="1597" spans="1:2">
      <c r="A1597" s="159">
        <v>39926</v>
      </c>
      <c r="B1597" s="94" t="s">
        <v>650</v>
      </c>
    </row>
    <row r="1598" spans="1:2">
      <c r="A1598" s="159">
        <v>39927</v>
      </c>
      <c r="B1598" s="94" t="s">
        <v>650</v>
      </c>
    </row>
    <row r="1599" spans="1:2">
      <c r="A1599" s="159">
        <v>39930</v>
      </c>
      <c r="B1599" s="94" t="s">
        <v>650</v>
      </c>
    </row>
    <row r="1600" spans="1:2">
      <c r="A1600" s="159">
        <v>39931</v>
      </c>
      <c r="B1600" s="94" t="s">
        <v>650</v>
      </c>
    </row>
    <row r="1601" spans="1:2">
      <c r="A1601" s="159">
        <v>39932</v>
      </c>
      <c r="B1601" s="94" t="s">
        <v>650</v>
      </c>
    </row>
    <row r="1602" spans="1:2">
      <c r="A1602" s="159">
        <v>39933</v>
      </c>
      <c r="B1602" s="94" t="s">
        <v>650</v>
      </c>
    </row>
    <row r="1603" spans="1:2">
      <c r="A1603" s="159">
        <v>39937</v>
      </c>
      <c r="B1603" s="94" t="s">
        <v>650</v>
      </c>
    </row>
    <row r="1604" spans="1:2">
      <c r="A1604" s="159">
        <v>39938</v>
      </c>
      <c r="B1604" s="94" t="s">
        <v>650</v>
      </c>
    </row>
    <row r="1605" spans="1:2">
      <c r="A1605" s="159">
        <v>39939</v>
      </c>
      <c r="B1605" s="94" t="s">
        <v>650</v>
      </c>
    </row>
    <row r="1606" spans="1:2">
      <c r="A1606" s="159">
        <v>39940</v>
      </c>
      <c r="B1606" s="94" t="s">
        <v>650</v>
      </c>
    </row>
    <row r="1607" spans="1:2">
      <c r="A1607" s="159">
        <v>39941</v>
      </c>
      <c r="B1607" s="94" t="s">
        <v>650</v>
      </c>
    </row>
    <row r="1608" spans="1:2">
      <c r="A1608" s="159">
        <v>39944</v>
      </c>
      <c r="B1608" s="94" t="s">
        <v>650</v>
      </c>
    </row>
    <row r="1609" spans="1:2">
      <c r="A1609" s="159">
        <v>39945</v>
      </c>
      <c r="B1609" s="94" t="s">
        <v>650</v>
      </c>
    </row>
    <row r="1610" spans="1:2">
      <c r="A1610" s="159">
        <v>39946</v>
      </c>
      <c r="B1610" s="94" t="s">
        <v>650</v>
      </c>
    </row>
    <row r="1611" spans="1:2">
      <c r="A1611" s="159">
        <v>39947</v>
      </c>
      <c r="B1611" s="94" t="s">
        <v>650</v>
      </c>
    </row>
    <row r="1612" spans="1:2">
      <c r="A1612" s="159">
        <v>39948</v>
      </c>
      <c r="B1612" s="94" t="s">
        <v>650</v>
      </c>
    </row>
    <row r="1613" spans="1:2">
      <c r="A1613" s="159">
        <v>39951</v>
      </c>
      <c r="B1613" s="94" t="s">
        <v>650</v>
      </c>
    </row>
    <row r="1614" spans="1:2">
      <c r="A1614" s="159">
        <v>39952</v>
      </c>
      <c r="B1614" s="94" t="s">
        <v>650</v>
      </c>
    </row>
    <row r="1615" spans="1:2">
      <c r="A1615" s="159">
        <v>39953</v>
      </c>
      <c r="B1615" s="94" t="s">
        <v>650</v>
      </c>
    </row>
    <row r="1616" spans="1:2">
      <c r="A1616" s="159">
        <v>39954</v>
      </c>
      <c r="B1616" s="94" t="s">
        <v>650</v>
      </c>
    </row>
    <row r="1617" spans="1:2">
      <c r="A1617" s="159">
        <v>39955</v>
      </c>
      <c r="B1617" s="94" t="s">
        <v>650</v>
      </c>
    </row>
    <row r="1618" spans="1:2">
      <c r="A1618" s="159">
        <v>39958</v>
      </c>
      <c r="B1618" s="94" t="s">
        <v>650</v>
      </c>
    </row>
    <row r="1619" spans="1:2">
      <c r="A1619" s="159">
        <v>39959</v>
      </c>
      <c r="B1619" s="94" t="s">
        <v>650</v>
      </c>
    </row>
    <row r="1620" spans="1:2">
      <c r="A1620" s="159">
        <v>39960</v>
      </c>
      <c r="B1620" s="94" t="s">
        <v>650</v>
      </c>
    </row>
    <row r="1621" spans="1:2">
      <c r="A1621" s="159">
        <v>39964</v>
      </c>
      <c r="B1621" s="94" t="s">
        <v>650</v>
      </c>
    </row>
    <row r="1622" spans="1:2">
      <c r="A1622" s="159">
        <v>39965</v>
      </c>
      <c r="B1622" s="94" t="s">
        <v>650</v>
      </c>
    </row>
    <row r="1623" spans="1:2">
      <c r="A1623" s="159">
        <v>39966</v>
      </c>
      <c r="B1623" s="94" t="s">
        <v>650</v>
      </c>
    </row>
    <row r="1624" spans="1:2">
      <c r="A1624" s="159">
        <v>39967</v>
      </c>
      <c r="B1624" s="94" t="s">
        <v>650</v>
      </c>
    </row>
    <row r="1625" spans="1:2">
      <c r="A1625" s="159">
        <v>39968</v>
      </c>
      <c r="B1625" s="94" t="s">
        <v>650</v>
      </c>
    </row>
    <row r="1626" spans="1:2">
      <c r="A1626" s="159">
        <v>39969</v>
      </c>
      <c r="B1626" s="94" t="s">
        <v>650</v>
      </c>
    </row>
    <row r="1627" spans="1:2">
      <c r="A1627" s="159">
        <v>39972</v>
      </c>
      <c r="B1627" s="94" t="s">
        <v>650</v>
      </c>
    </row>
    <row r="1628" spans="1:2">
      <c r="A1628" s="159">
        <v>39973</v>
      </c>
      <c r="B1628" s="94" t="s">
        <v>650</v>
      </c>
    </row>
    <row r="1629" spans="1:2">
      <c r="A1629" s="159">
        <v>39974</v>
      </c>
      <c r="B1629" s="94" t="s">
        <v>650</v>
      </c>
    </row>
    <row r="1630" spans="1:2">
      <c r="A1630" s="159">
        <v>39975</v>
      </c>
      <c r="B1630" s="94" t="s">
        <v>650</v>
      </c>
    </row>
    <row r="1631" spans="1:2">
      <c r="A1631" s="159">
        <v>39976</v>
      </c>
      <c r="B1631" s="94" t="s">
        <v>650</v>
      </c>
    </row>
    <row r="1632" spans="1:2">
      <c r="A1632" s="159">
        <v>39979</v>
      </c>
      <c r="B1632" s="94" t="s">
        <v>650</v>
      </c>
    </row>
    <row r="1633" spans="1:2">
      <c r="A1633" s="159">
        <v>39980</v>
      </c>
      <c r="B1633" s="94" t="s">
        <v>650</v>
      </c>
    </row>
    <row r="1634" spans="1:2">
      <c r="A1634" s="159">
        <v>39981</v>
      </c>
      <c r="B1634" s="94" t="s">
        <v>650</v>
      </c>
    </row>
    <row r="1635" spans="1:2">
      <c r="A1635" s="159">
        <v>39982</v>
      </c>
      <c r="B1635" s="94" t="s">
        <v>650</v>
      </c>
    </row>
    <row r="1636" spans="1:2">
      <c r="A1636" s="159">
        <v>39983</v>
      </c>
      <c r="B1636" s="94" t="s">
        <v>650</v>
      </c>
    </row>
    <row r="1637" spans="1:2">
      <c r="A1637" s="159">
        <v>39986</v>
      </c>
      <c r="B1637" s="94" t="s">
        <v>650</v>
      </c>
    </row>
    <row r="1638" spans="1:2">
      <c r="A1638" s="159">
        <v>39987</v>
      </c>
      <c r="B1638" s="94" t="s">
        <v>650</v>
      </c>
    </row>
    <row r="1639" spans="1:2">
      <c r="A1639" s="159">
        <v>39988</v>
      </c>
      <c r="B1639" s="94" t="s">
        <v>650</v>
      </c>
    </row>
    <row r="1640" spans="1:2">
      <c r="A1640" s="159">
        <v>39989</v>
      </c>
      <c r="B1640" s="94" t="s">
        <v>650</v>
      </c>
    </row>
    <row r="1641" spans="1:2">
      <c r="A1641" s="159">
        <v>39990</v>
      </c>
      <c r="B1641" s="94" t="s">
        <v>650</v>
      </c>
    </row>
    <row r="1642" spans="1:2">
      <c r="A1642" s="159">
        <v>39993</v>
      </c>
      <c r="B1642" s="94" t="s">
        <v>650</v>
      </c>
    </row>
    <row r="1643" spans="1:2">
      <c r="A1643" s="159">
        <v>39994</v>
      </c>
      <c r="B1643" s="94" t="s">
        <v>650</v>
      </c>
    </row>
    <row r="1644" spans="1:2">
      <c r="A1644" s="159">
        <v>39995</v>
      </c>
      <c r="B1644" s="94" t="s">
        <v>650</v>
      </c>
    </row>
    <row r="1645" spans="1:2">
      <c r="A1645" s="159">
        <v>39996</v>
      </c>
      <c r="B1645" s="94" t="s">
        <v>650</v>
      </c>
    </row>
    <row r="1646" spans="1:2">
      <c r="A1646" s="159">
        <v>39997</v>
      </c>
      <c r="B1646" s="94" t="s">
        <v>650</v>
      </c>
    </row>
    <row r="1647" spans="1:2">
      <c r="A1647" s="159">
        <v>40000</v>
      </c>
      <c r="B1647" s="94" t="s">
        <v>650</v>
      </c>
    </row>
    <row r="1648" spans="1:2">
      <c r="A1648" s="159">
        <v>40001</v>
      </c>
      <c r="B1648" s="94" t="s">
        <v>650</v>
      </c>
    </row>
    <row r="1649" spans="1:2">
      <c r="A1649" s="159">
        <v>40002</v>
      </c>
      <c r="B1649" s="94" t="s">
        <v>650</v>
      </c>
    </row>
    <row r="1650" spans="1:2">
      <c r="A1650" s="159">
        <v>40003</v>
      </c>
      <c r="B1650" s="94" t="s">
        <v>650</v>
      </c>
    </row>
    <row r="1651" spans="1:2">
      <c r="A1651" s="159">
        <v>40004</v>
      </c>
      <c r="B1651" s="94" t="s">
        <v>650</v>
      </c>
    </row>
    <row r="1652" spans="1:2">
      <c r="A1652" s="159">
        <v>40007</v>
      </c>
      <c r="B1652" s="94" t="s">
        <v>650</v>
      </c>
    </row>
    <row r="1653" spans="1:2">
      <c r="A1653" s="159">
        <v>40008</v>
      </c>
      <c r="B1653" s="94" t="s">
        <v>650</v>
      </c>
    </row>
    <row r="1654" spans="1:2">
      <c r="A1654" s="159">
        <v>40009</v>
      </c>
      <c r="B1654" s="94" t="s">
        <v>650</v>
      </c>
    </row>
    <row r="1655" spans="1:2">
      <c r="A1655" s="159">
        <v>40010</v>
      </c>
      <c r="B1655" s="94" t="s">
        <v>650</v>
      </c>
    </row>
    <row r="1656" spans="1:2">
      <c r="A1656" s="159">
        <v>40011</v>
      </c>
      <c r="B1656" s="94" t="s">
        <v>650</v>
      </c>
    </row>
    <row r="1657" spans="1:2">
      <c r="A1657" s="159">
        <v>40014</v>
      </c>
      <c r="B1657" s="94" t="s">
        <v>650</v>
      </c>
    </row>
    <row r="1658" spans="1:2">
      <c r="A1658" s="159">
        <v>40015</v>
      </c>
      <c r="B1658" s="94" t="s">
        <v>650</v>
      </c>
    </row>
    <row r="1659" spans="1:2">
      <c r="A1659" s="159">
        <v>40016</v>
      </c>
      <c r="B1659" s="94" t="s">
        <v>650</v>
      </c>
    </row>
    <row r="1660" spans="1:2">
      <c r="A1660" s="159">
        <v>40017</v>
      </c>
      <c r="B1660" s="94" t="s">
        <v>650</v>
      </c>
    </row>
    <row r="1661" spans="1:2">
      <c r="A1661" s="159">
        <v>40018</v>
      </c>
      <c r="B1661" s="94" t="s">
        <v>650</v>
      </c>
    </row>
    <row r="1662" spans="1:2">
      <c r="A1662" s="159">
        <v>40021</v>
      </c>
      <c r="B1662" s="94" t="s">
        <v>650</v>
      </c>
    </row>
    <row r="1663" spans="1:2">
      <c r="A1663" s="159">
        <v>40022</v>
      </c>
      <c r="B1663" s="94" t="s">
        <v>650</v>
      </c>
    </row>
    <row r="1664" spans="1:2">
      <c r="A1664" s="159">
        <v>40023</v>
      </c>
      <c r="B1664" s="94" t="s">
        <v>650</v>
      </c>
    </row>
    <row r="1665" spans="1:2">
      <c r="A1665" s="159">
        <v>40024</v>
      </c>
      <c r="B1665" s="94" t="s">
        <v>650</v>
      </c>
    </row>
    <row r="1666" spans="1:2">
      <c r="A1666" s="159">
        <v>40025</v>
      </c>
      <c r="B1666" s="94" t="s">
        <v>650</v>
      </c>
    </row>
    <row r="1667" spans="1:2">
      <c r="A1667" s="159">
        <v>40028</v>
      </c>
      <c r="B1667" s="94" t="s">
        <v>650</v>
      </c>
    </row>
    <row r="1668" spans="1:2">
      <c r="A1668" s="159">
        <v>40029</v>
      </c>
      <c r="B1668" s="94" t="s">
        <v>650</v>
      </c>
    </row>
    <row r="1669" spans="1:2">
      <c r="A1669" s="159">
        <v>40030</v>
      </c>
      <c r="B1669" s="94" t="s">
        <v>650</v>
      </c>
    </row>
    <row r="1670" spans="1:2">
      <c r="A1670" s="159">
        <v>40031</v>
      </c>
      <c r="B1670" s="94" t="s">
        <v>650</v>
      </c>
    </row>
    <row r="1671" spans="1:2">
      <c r="A1671" s="159">
        <v>40032</v>
      </c>
      <c r="B1671" s="94" t="s">
        <v>650</v>
      </c>
    </row>
    <row r="1672" spans="1:2">
      <c r="A1672" s="159">
        <v>40035</v>
      </c>
      <c r="B1672" s="94" t="s">
        <v>650</v>
      </c>
    </row>
    <row r="1673" spans="1:2">
      <c r="A1673" s="159">
        <v>40036</v>
      </c>
      <c r="B1673" s="94" t="s">
        <v>650</v>
      </c>
    </row>
    <row r="1674" spans="1:2">
      <c r="A1674" s="159">
        <v>40037</v>
      </c>
      <c r="B1674" s="94" t="s">
        <v>650</v>
      </c>
    </row>
    <row r="1675" spans="1:2">
      <c r="A1675" s="159">
        <v>40038</v>
      </c>
      <c r="B1675" s="94" t="s">
        <v>650</v>
      </c>
    </row>
    <row r="1676" spans="1:2">
      <c r="A1676" s="159">
        <v>40039</v>
      </c>
      <c r="B1676" s="94" t="s">
        <v>650</v>
      </c>
    </row>
    <row r="1677" spans="1:2">
      <c r="A1677" s="159">
        <v>40042</v>
      </c>
      <c r="B1677" s="94" t="s">
        <v>650</v>
      </c>
    </row>
    <row r="1678" spans="1:2">
      <c r="A1678" s="159">
        <v>40043</v>
      </c>
      <c r="B1678" s="94" t="s">
        <v>650</v>
      </c>
    </row>
    <row r="1679" spans="1:2">
      <c r="A1679" s="159">
        <v>40044</v>
      </c>
      <c r="B1679" s="94" t="s">
        <v>650</v>
      </c>
    </row>
    <row r="1680" spans="1:2">
      <c r="A1680" s="159">
        <v>40045</v>
      </c>
      <c r="B1680" s="94" t="s">
        <v>650</v>
      </c>
    </row>
    <row r="1681" spans="1:2">
      <c r="A1681" s="159">
        <v>40046</v>
      </c>
      <c r="B1681" s="94" t="s">
        <v>650</v>
      </c>
    </row>
    <row r="1682" spans="1:2">
      <c r="A1682" s="159">
        <v>40049</v>
      </c>
      <c r="B1682" s="94" t="s">
        <v>650</v>
      </c>
    </row>
    <row r="1683" spans="1:2">
      <c r="A1683" s="159">
        <v>40050</v>
      </c>
      <c r="B1683" s="94" t="s">
        <v>650</v>
      </c>
    </row>
    <row r="1684" spans="1:2">
      <c r="A1684" s="159">
        <v>40051</v>
      </c>
      <c r="B1684" s="94" t="s">
        <v>650</v>
      </c>
    </row>
    <row r="1685" spans="1:2">
      <c r="A1685" s="159">
        <v>40052</v>
      </c>
      <c r="B1685" s="94" t="s">
        <v>650</v>
      </c>
    </row>
    <row r="1686" spans="1:2">
      <c r="A1686" s="159">
        <v>40053</v>
      </c>
      <c r="B1686" s="94" t="s">
        <v>650</v>
      </c>
    </row>
    <row r="1687" spans="1:2">
      <c r="A1687" s="159">
        <v>40056</v>
      </c>
      <c r="B1687" s="94" t="s">
        <v>650</v>
      </c>
    </row>
    <row r="1688" spans="1:2">
      <c r="A1688" s="159">
        <v>40057</v>
      </c>
      <c r="B1688" s="94" t="s">
        <v>650</v>
      </c>
    </row>
    <row r="1689" spans="1:2">
      <c r="A1689" s="159">
        <v>40058</v>
      </c>
      <c r="B1689" s="94" t="s">
        <v>650</v>
      </c>
    </row>
    <row r="1690" spans="1:2">
      <c r="A1690" s="159">
        <v>40059</v>
      </c>
      <c r="B1690" s="94" t="s">
        <v>650</v>
      </c>
    </row>
    <row r="1691" spans="1:2">
      <c r="A1691" s="159">
        <v>40060</v>
      </c>
      <c r="B1691" s="94" t="s">
        <v>650</v>
      </c>
    </row>
    <row r="1692" spans="1:2">
      <c r="A1692" s="159">
        <v>40063</v>
      </c>
      <c r="B1692" s="94" t="s">
        <v>650</v>
      </c>
    </row>
    <row r="1693" spans="1:2">
      <c r="A1693" s="159">
        <v>40064</v>
      </c>
      <c r="B1693" s="94" t="s">
        <v>650</v>
      </c>
    </row>
    <row r="1694" spans="1:2">
      <c r="A1694" s="159">
        <v>40065</v>
      </c>
      <c r="B1694" s="94" t="s">
        <v>650</v>
      </c>
    </row>
    <row r="1695" spans="1:2">
      <c r="A1695" s="159">
        <v>40066</v>
      </c>
      <c r="B1695" s="94" t="s">
        <v>650</v>
      </c>
    </row>
    <row r="1696" spans="1:2">
      <c r="A1696" s="159">
        <v>40067</v>
      </c>
      <c r="B1696" s="94" t="s">
        <v>650</v>
      </c>
    </row>
    <row r="1697" spans="1:2">
      <c r="A1697" s="159">
        <v>40070</v>
      </c>
      <c r="B1697" s="94" t="s">
        <v>650</v>
      </c>
    </row>
    <row r="1698" spans="1:2">
      <c r="A1698" s="159">
        <v>40071</v>
      </c>
      <c r="B1698" s="94" t="s">
        <v>650</v>
      </c>
    </row>
    <row r="1699" spans="1:2">
      <c r="A1699" s="159">
        <v>40072</v>
      </c>
      <c r="B1699" s="94" t="s">
        <v>650</v>
      </c>
    </row>
    <row r="1700" spans="1:2">
      <c r="A1700" s="159">
        <v>40073</v>
      </c>
      <c r="B1700" s="94" t="s">
        <v>650</v>
      </c>
    </row>
    <row r="1701" spans="1:2">
      <c r="A1701" s="159">
        <v>40074</v>
      </c>
      <c r="B1701" s="94" t="s">
        <v>650</v>
      </c>
    </row>
    <row r="1702" spans="1:2">
      <c r="A1702" s="159">
        <v>40077</v>
      </c>
      <c r="B1702" s="94" t="s">
        <v>650</v>
      </c>
    </row>
    <row r="1703" spans="1:2">
      <c r="A1703" s="159">
        <v>40078</v>
      </c>
      <c r="B1703" s="94" t="s">
        <v>650</v>
      </c>
    </row>
    <row r="1704" spans="1:2">
      <c r="A1704" s="159">
        <v>40079</v>
      </c>
      <c r="B1704" s="94" t="s">
        <v>650</v>
      </c>
    </row>
    <row r="1705" spans="1:2">
      <c r="A1705" s="159">
        <v>40080</v>
      </c>
      <c r="B1705" s="94" t="s">
        <v>650</v>
      </c>
    </row>
    <row r="1706" spans="1:2">
      <c r="A1706" s="159">
        <v>40081</v>
      </c>
      <c r="B1706" s="94" t="s">
        <v>650</v>
      </c>
    </row>
    <row r="1707" spans="1:2">
      <c r="A1707" s="159">
        <v>40083</v>
      </c>
      <c r="B1707" s="94" t="s">
        <v>650</v>
      </c>
    </row>
    <row r="1708" spans="1:2">
      <c r="A1708" s="159">
        <v>40084</v>
      </c>
      <c r="B1708" s="94" t="s">
        <v>650</v>
      </c>
    </row>
    <row r="1709" spans="1:2">
      <c r="A1709" s="159">
        <v>40085</v>
      </c>
      <c r="B1709" s="94" t="s">
        <v>650</v>
      </c>
    </row>
    <row r="1710" spans="1:2">
      <c r="A1710" s="159">
        <v>40086</v>
      </c>
      <c r="B1710" s="94" t="s">
        <v>650</v>
      </c>
    </row>
    <row r="1711" spans="1:2">
      <c r="A1711" s="159">
        <v>40095</v>
      </c>
      <c r="B1711" s="94" t="s">
        <v>650</v>
      </c>
    </row>
    <row r="1712" spans="1:2">
      <c r="A1712" s="159">
        <v>40096</v>
      </c>
      <c r="B1712" s="94" t="s">
        <v>650</v>
      </c>
    </row>
    <row r="1713" spans="1:2">
      <c r="A1713" s="159">
        <v>40098</v>
      </c>
      <c r="B1713" s="94" t="s">
        <v>650</v>
      </c>
    </row>
    <row r="1714" spans="1:2">
      <c r="A1714" s="159">
        <v>40099</v>
      </c>
      <c r="B1714" s="94" t="s">
        <v>650</v>
      </c>
    </row>
    <row r="1715" spans="1:2">
      <c r="A1715" s="159">
        <v>40100</v>
      </c>
      <c r="B1715" s="94" t="s">
        <v>650</v>
      </c>
    </row>
    <row r="1716" spans="1:2">
      <c r="A1716" s="159">
        <v>40101</v>
      </c>
      <c r="B1716" s="94" t="s">
        <v>650</v>
      </c>
    </row>
    <row r="1717" spans="1:2">
      <c r="A1717" s="159">
        <v>40102</v>
      </c>
      <c r="B1717" s="94" t="s">
        <v>650</v>
      </c>
    </row>
    <row r="1718" spans="1:2">
      <c r="A1718" s="159">
        <v>40105</v>
      </c>
      <c r="B1718" s="94" t="s">
        <v>650</v>
      </c>
    </row>
    <row r="1719" spans="1:2">
      <c r="A1719" s="159">
        <v>40106</v>
      </c>
      <c r="B1719" s="94" t="s">
        <v>650</v>
      </c>
    </row>
    <row r="1720" spans="1:2">
      <c r="A1720" s="159">
        <v>40107</v>
      </c>
      <c r="B1720" s="94" t="s">
        <v>650</v>
      </c>
    </row>
    <row r="1721" spans="1:2">
      <c r="A1721" s="159">
        <v>40108</v>
      </c>
      <c r="B1721" s="94" t="s">
        <v>650</v>
      </c>
    </row>
    <row r="1722" spans="1:2">
      <c r="A1722" s="159">
        <v>40109</v>
      </c>
      <c r="B1722" s="94" t="s">
        <v>650</v>
      </c>
    </row>
    <row r="1723" spans="1:2">
      <c r="A1723" s="159">
        <v>40112</v>
      </c>
      <c r="B1723" s="94" t="s">
        <v>650</v>
      </c>
    </row>
    <row r="1724" spans="1:2">
      <c r="A1724" s="159">
        <v>40113</v>
      </c>
      <c r="B1724" s="94" t="s">
        <v>650</v>
      </c>
    </row>
    <row r="1725" spans="1:2">
      <c r="A1725" s="159">
        <v>40114</v>
      </c>
      <c r="B1725" s="94" t="s">
        <v>650</v>
      </c>
    </row>
    <row r="1726" spans="1:2">
      <c r="A1726" s="159">
        <v>40115</v>
      </c>
      <c r="B1726" s="94" t="s">
        <v>650</v>
      </c>
    </row>
    <row r="1727" spans="1:2">
      <c r="A1727" s="159">
        <v>40116</v>
      </c>
      <c r="B1727" s="94" t="s">
        <v>650</v>
      </c>
    </row>
    <row r="1728" spans="1:2">
      <c r="A1728" s="159">
        <v>40119</v>
      </c>
      <c r="B1728" s="94" t="s">
        <v>650</v>
      </c>
    </row>
    <row r="1729" spans="1:2">
      <c r="A1729" s="159">
        <v>40120</v>
      </c>
      <c r="B1729" s="94" t="s">
        <v>650</v>
      </c>
    </row>
    <row r="1730" spans="1:2">
      <c r="A1730" s="159">
        <v>40121</v>
      </c>
      <c r="B1730" s="94" t="s">
        <v>650</v>
      </c>
    </row>
    <row r="1731" spans="1:2">
      <c r="A1731" s="159">
        <v>40122</v>
      </c>
      <c r="B1731" s="94" t="s">
        <v>650</v>
      </c>
    </row>
    <row r="1732" spans="1:2">
      <c r="A1732" s="159">
        <v>40123</v>
      </c>
      <c r="B1732" s="94" t="s">
        <v>650</v>
      </c>
    </row>
    <row r="1733" spans="1:2">
      <c r="A1733" s="159">
        <v>40126</v>
      </c>
      <c r="B1733" s="94" t="s">
        <v>650</v>
      </c>
    </row>
    <row r="1734" spans="1:2">
      <c r="A1734" s="159">
        <v>40127</v>
      </c>
      <c r="B1734" s="94" t="s">
        <v>650</v>
      </c>
    </row>
    <row r="1735" spans="1:2">
      <c r="A1735" s="159">
        <v>40128</v>
      </c>
      <c r="B1735" s="94" t="s">
        <v>650</v>
      </c>
    </row>
    <row r="1736" spans="1:2">
      <c r="A1736" s="159">
        <v>40129</v>
      </c>
      <c r="B1736" s="94" t="s">
        <v>650</v>
      </c>
    </row>
    <row r="1737" spans="1:2">
      <c r="A1737" s="159">
        <v>40130</v>
      </c>
      <c r="B1737" s="94" t="s">
        <v>650</v>
      </c>
    </row>
    <row r="1738" spans="1:2">
      <c r="A1738" s="159">
        <v>40133</v>
      </c>
      <c r="B1738" s="94" t="s">
        <v>650</v>
      </c>
    </row>
    <row r="1739" spans="1:2">
      <c r="A1739" s="159">
        <v>40134</v>
      </c>
      <c r="B1739" s="94" t="s">
        <v>650</v>
      </c>
    </row>
    <row r="1740" spans="1:2">
      <c r="A1740" s="159">
        <v>40135</v>
      </c>
      <c r="B1740" s="94" t="s">
        <v>650</v>
      </c>
    </row>
    <row r="1741" spans="1:2">
      <c r="A1741" s="159">
        <v>40136</v>
      </c>
      <c r="B1741" s="94" t="s">
        <v>650</v>
      </c>
    </row>
    <row r="1742" spans="1:2">
      <c r="A1742" s="159">
        <v>40137</v>
      </c>
      <c r="B1742" s="94" t="s">
        <v>650</v>
      </c>
    </row>
    <row r="1743" spans="1:2">
      <c r="A1743" s="159">
        <v>40140</v>
      </c>
      <c r="B1743" s="94" t="s">
        <v>650</v>
      </c>
    </row>
    <row r="1744" spans="1:2">
      <c r="A1744" s="159">
        <v>40141</v>
      </c>
      <c r="B1744" s="94" t="s">
        <v>650</v>
      </c>
    </row>
    <row r="1745" spans="1:2">
      <c r="A1745" s="159">
        <v>40142</v>
      </c>
      <c r="B1745" s="94" t="s">
        <v>650</v>
      </c>
    </row>
    <row r="1746" spans="1:2">
      <c r="A1746" s="159">
        <v>40143</v>
      </c>
      <c r="B1746" s="94" t="s">
        <v>650</v>
      </c>
    </row>
    <row r="1747" spans="1:2">
      <c r="A1747" s="159">
        <v>40144</v>
      </c>
      <c r="B1747" s="94" t="s">
        <v>650</v>
      </c>
    </row>
    <row r="1748" spans="1:2">
      <c r="A1748" s="159">
        <v>40147</v>
      </c>
      <c r="B1748" s="94" t="s">
        <v>650</v>
      </c>
    </row>
    <row r="1749" spans="1:2">
      <c r="A1749" s="159">
        <v>40148</v>
      </c>
      <c r="B1749" s="94" t="s">
        <v>650</v>
      </c>
    </row>
    <row r="1750" spans="1:2">
      <c r="A1750" s="159">
        <v>40149</v>
      </c>
      <c r="B1750" s="94" t="s">
        <v>650</v>
      </c>
    </row>
    <row r="1751" spans="1:2">
      <c r="A1751" s="159">
        <v>40150</v>
      </c>
      <c r="B1751" s="94" t="s">
        <v>650</v>
      </c>
    </row>
    <row r="1752" spans="1:2">
      <c r="A1752" s="159">
        <v>40151</v>
      </c>
      <c r="B1752" s="94" t="s">
        <v>650</v>
      </c>
    </row>
    <row r="1753" spans="1:2">
      <c r="A1753" s="159">
        <v>40154</v>
      </c>
      <c r="B1753" s="94" t="s">
        <v>650</v>
      </c>
    </row>
    <row r="1754" spans="1:2">
      <c r="A1754" s="159">
        <v>40155</v>
      </c>
      <c r="B1754" s="94" t="s">
        <v>650</v>
      </c>
    </row>
    <row r="1755" spans="1:2">
      <c r="A1755" s="159">
        <v>40156</v>
      </c>
      <c r="B1755" s="94" t="s">
        <v>650</v>
      </c>
    </row>
    <row r="1756" spans="1:2">
      <c r="A1756" s="159">
        <v>40157</v>
      </c>
      <c r="B1756" s="94" t="s">
        <v>650</v>
      </c>
    </row>
    <row r="1757" spans="1:2">
      <c r="A1757" s="159">
        <v>40158</v>
      </c>
      <c r="B1757" s="94" t="s">
        <v>650</v>
      </c>
    </row>
    <row r="1758" spans="1:2">
      <c r="A1758" s="159">
        <v>40161</v>
      </c>
      <c r="B1758" s="94" t="s">
        <v>650</v>
      </c>
    </row>
    <row r="1759" spans="1:2">
      <c r="A1759" s="159">
        <v>40162</v>
      </c>
      <c r="B1759" s="94" t="s">
        <v>650</v>
      </c>
    </row>
    <row r="1760" spans="1:2">
      <c r="A1760" s="159">
        <v>40163</v>
      </c>
      <c r="B1760" s="94" t="s">
        <v>650</v>
      </c>
    </row>
    <row r="1761" spans="1:2">
      <c r="A1761" s="159">
        <v>40164</v>
      </c>
      <c r="B1761" s="94" t="s">
        <v>650</v>
      </c>
    </row>
    <row r="1762" spans="1:2">
      <c r="A1762" s="159">
        <v>40165</v>
      </c>
      <c r="B1762" s="94" t="s">
        <v>650</v>
      </c>
    </row>
    <row r="1763" spans="1:2">
      <c r="A1763" s="159">
        <v>40168</v>
      </c>
      <c r="B1763" s="94" t="s">
        <v>650</v>
      </c>
    </row>
    <row r="1764" spans="1:2">
      <c r="A1764" s="159">
        <v>40169</v>
      </c>
      <c r="B1764" s="94" t="s">
        <v>650</v>
      </c>
    </row>
    <row r="1765" spans="1:2">
      <c r="A1765" s="159">
        <v>40170</v>
      </c>
      <c r="B1765" s="94" t="s">
        <v>650</v>
      </c>
    </row>
    <row r="1766" spans="1:2">
      <c r="A1766" s="159">
        <v>40171</v>
      </c>
      <c r="B1766" s="94" t="s">
        <v>650</v>
      </c>
    </row>
    <row r="1767" spans="1:2">
      <c r="A1767" s="159">
        <v>40172</v>
      </c>
      <c r="B1767" s="94" t="s">
        <v>650</v>
      </c>
    </row>
    <row r="1768" spans="1:2">
      <c r="A1768" s="159">
        <v>40175</v>
      </c>
      <c r="B1768" s="94" t="s">
        <v>650</v>
      </c>
    </row>
    <row r="1769" spans="1:2">
      <c r="A1769" s="159">
        <v>40176</v>
      </c>
      <c r="B1769" s="94" t="s">
        <v>650</v>
      </c>
    </row>
    <row r="1770" spans="1:2">
      <c r="A1770" s="159">
        <v>40177</v>
      </c>
      <c r="B1770" s="94" t="s">
        <v>650</v>
      </c>
    </row>
    <row r="1771" spans="1:2">
      <c r="A1771" s="159">
        <v>40178</v>
      </c>
      <c r="B1771" s="94" t="s">
        <v>650</v>
      </c>
    </row>
    <row r="1772" spans="1:2">
      <c r="A1772" s="159">
        <v>40182</v>
      </c>
      <c r="B1772" s="94" t="s">
        <v>650</v>
      </c>
    </row>
    <row r="1773" spans="1:2">
      <c r="A1773" s="159">
        <v>40183</v>
      </c>
      <c r="B1773" s="94" t="s">
        <v>650</v>
      </c>
    </row>
    <row r="1774" spans="1:2">
      <c r="A1774" s="159">
        <v>40184</v>
      </c>
      <c r="B1774" s="94" t="s">
        <v>650</v>
      </c>
    </row>
    <row r="1775" spans="1:2">
      <c r="A1775" s="159">
        <v>40185</v>
      </c>
      <c r="B1775" s="94" t="s">
        <v>650</v>
      </c>
    </row>
    <row r="1776" spans="1:2">
      <c r="A1776" s="159">
        <v>40186</v>
      </c>
      <c r="B1776" s="94" t="s">
        <v>650</v>
      </c>
    </row>
    <row r="1777" spans="1:2">
      <c r="A1777" s="159">
        <v>40189</v>
      </c>
      <c r="B1777" s="94" t="s">
        <v>650</v>
      </c>
    </row>
    <row r="1778" spans="1:2">
      <c r="A1778" s="159">
        <v>40190</v>
      </c>
      <c r="B1778" s="94" t="s">
        <v>650</v>
      </c>
    </row>
    <row r="1779" spans="1:2">
      <c r="A1779" s="159">
        <v>40191</v>
      </c>
      <c r="B1779" s="94" t="s">
        <v>650</v>
      </c>
    </row>
    <row r="1780" spans="1:2">
      <c r="A1780" s="159">
        <v>40192</v>
      </c>
      <c r="B1780" s="94" t="s">
        <v>650</v>
      </c>
    </row>
    <row r="1781" spans="1:2">
      <c r="A1781" s="159">
        <v>40193</v>
      </c>
      <c r="B1781" s="94" t="s">
        <v>650</v>
      </c>
    </row>
    <row r="1782" spans="1:2">
      <c r="A1782" s="159">
        <v>40196</v>
      </c>
      <c r="B1782" s="94" t="s">
        <v>650</v>
      </c>
    </row>
    <row r="1783" spans="1:2">
      <c r="A1783" s="159">
        <v>40197</v>
      </c>
      <c r="B1783" s="94" t="s">
        <v>650</v>
      </c>
    </row>
    <row r="1784" spans="1:2">
      <c r="A1784" s="159">
        <v>40198</v>
      </c>
      <c r="B1784" s="94" t="s">
        <v>650</v>
      </c>
    </row>
    <row r="1785" spans="1:2">
      <c r="A1785" s="159">
        <v>40199</v>
      </c>
      <c r="B1785" s="94" t="s">
        <v>650</v>
      </c>
    </row>
    <row r="1786" spans="1:2">
      <c r="A1786" s="159">
        <v>40200</v>
      </c>
      <c r="B1786" s="94" t="s">
        <v>650</v>
      </c>
    </row>
    <row r="1787" spans="1:2">
      <c r="A1787" s="159">
        <v>40203</v>
      </c>
      <c r="B1787" s="94" t="s">
        <v>650</v>
      </c>
    </row>
    <row r="1788" spans="1:2">
      <c r="A1788" s="159">
        <v>40204</v>
      </c>
      <c r="B1788" s="94" t="s">
        <v>650</v>
      </c>
    </row>
    <row r="1789" spans="1:2">
      <c r="A1789" s="159">
        <v>40205</v>
      </c>
      <c r="B1789" s="94" t="s">
        <v>650</v>
      </c>
    </row>
    <row r="1790" spans="1:2">
      <c r="A1790" s="159">
        <v>40206</v>
      </c>
      <c r="B1790" s="94" t="s">
        <v>650</v>
      </c>
    </row>
    <row r="1791" spans="1:2">
      <c r="A1791" s="159">
        <v>40207</v>
      </c>
      <c r="B1791" s="94" t="s">
        <v>650</v>
      </c>
    </row>
    <row r="1792" spans="1:2">
      <c r="A1792" s="159">
        <v>40210</v>
      </c>
      <c r="B1792" s="94" t="s">
        <v>650</v>
      </c>
    </row>
    <row r="1793" spans="1:2">
      <c r="A1793" s="159">
        <v>40211</v>
      </c>
      <c r="B1793" s="94" t="s">
        <v>650</v>
      </c>
    </row>
    <row r="1794" spans="1:2">
      <c r="A1794" s="159">
        <v>40212</v>
      </c>
      <c r="B1794" s="94" t="s">
        <v>650</v>
      </c>
    </row>
    <row r="1795" spans="1:2">
      <c r="A1795" s="159">
        <v>40213</v>
      </c>
      <c r="B1795" s="94" t="s">
        <v>650</v>
      </c>
    </row>
    <row r="1796" spans="1:2">
      <c r="A1796" s="159">
        <v>40214</v>
      </c>
      <c r="B1796" s="94" t="s">
        <v>650</v>
      </c>
    </row>
    <row r="1797" spans="1:2">
      <c r="A1797" s="159">
        <v>40217</v>
      </c>
      <c r="B1797" s="94" t="s">
        <v>650</v>
      </c>
    </row>
    <row r="1798" spans="1:2">
      <c r="A1798" s="159">
        <v>40218</v>
      </c>
      <c r="B1798" s="94" t="s">
        <v>650</v>
      </c>
    </row>
    <row r="1799" spans="1:2">
      <c r="A1799" s="159">
        <v>40219</v>
      </c>
      <c r="B1799" s="94" t="s">
        <v>650</v>
      </c>
    </row>
    <row r="1800" spans="1:2">
      <c r="A1800" s="159">
        <v>40220</v>
      </c>
      <c r="B1800" s="94" t="s">
        <v>650</v>
      </c>
    </row>
    <row r="1801" spans="1:2">
      <c r="A1801" s="159">
        <v>40221</v>
      </c>
      <c r="B1801" s="94" t="s">
        <v>650</v>
      </c>
    </row>
    <row r="1802" spans="1:2">
      <c r="A1802" s="159">
        <v>40229</v>
      </c>
      <c r="B1802" s="94" t="s">
        <v>650</v>
      </c>
    </row>
    <row r="1803" spans="1:2">
      <c r="A1803" s="159">
        <v>40230</v>
      </c>
      <c r="B1803" s="94" t="s">
        <v>650</v>
      </c>
    </row>
    <row r="1804" spans="1:2">
      <c r="A1804" s="159">
        <v>40231</v>
      </c>
      <c r="B1804" s="94" t="s">
        <v>650</v>
      </c>
    </row>
    <row r="1805" spans="1:2">
      <c r="A1805" s="159">
        <v>40232</v>
      </c>
      <c r="B1805" s="94" t="s">
        <v>650</v>
      </c>
    </row>
    <row r="1806" spans="1:2">
      <c r="A1806" s="159">
        <v>40233</v>
      </c>
      <c r="B1806" s="94" t="s">
        <v>650</v>
      </c>
    </row>
    <row r="1807" spans="1:2">
      <c r="A1807" s="159">
        <v>40234</v>
      </c>
      <c r="B1807" s="94" t="s">
        <v>650</v>
      </c>
    </row>
    <row r="1808" spans="1:2">
      <c r="A1808" s="159">
        <v>40235</v>
      </c>
      <c r="B1808" s="94" t="s">
        <v>650</v>
      </c>
    </row>
    <row r="1809" spans="1:2">
      <c r="A1809" s="159">
        <v>40238</v>
      </c>
      <c r="B1809" s="94" t="s">
        <v>650</v>
      </c>
    </row>
    <row r="1810" spans="1:2">
      <c r="A1810" s="159">
        <v>40239</v>
      </c>
      <c r="B1810" s="94" t="s">
        <v>650</v>
      </c>
    </row>
    <row r="1811" spans="1:2">
      <c r="A1811" s="159">
        <v>40240</v>
      </c>
      <c r="B1811" s="94" t="s">
        <v>650</v>
      </c>
    </row>
    <row r="1812" spans="1:2">
      <c r="A1812" s="159">
        <v>40241</v>
      </c>
      <c r="B1812" s="94" t="s">
        <v>650</v>
      </c>
    </row>
    <row r="1813" spans="1:2">
      <c r="A1813" s="159">
        <v>40242</v>
      </c>
      <c r="B1813" s="94" t="s">
        <v>650</v>
      </c>
    </row>
    <row r="1814" spans="1:2">
      <c r="A1814" s="159">
        <v>40245</v>
      </c>
      <c r="B1814" s="94" t="s">
        <v>650</v>
      </c>
    </row>
    <row r="1815" spans="1:2">
      <c r="A1815" s="159">
        <v>40246</v>
      </c>
      <c r="B1815" s="94" t="s">
        <v>650</v>
      </c>
    </row>
    <row r="1816" spans="1:2">
      <c r="A1816" s="159">
        <v>40247</v>
      </c>
      <c r="B1816" s="94" t="s">
        <v>650</v>
      </c>
    </row>
    <row r="1817" spans="1:2">
      <c r="A1817" s="159">
        <v>40248</v>
      </c>
      <c r="B1817" s="94" t="s">
        <v>650</v>
      </c>
    </row>
    <row r="1818" spans="1:2">
      <c r="A1818" s="159">
        <v>40249</v>
      </c>
      <c r="B1818" s="94" t="s">
        <v>650</v>
      </c>
    </row>
    <row r="1819" spans="1:2">
      <c r="A1819" s="159">
        <v>40252</v>
      </c>
      <c r="B1819" s="94" t="s">
        <v>650</v>
      </c>
    </row>
    <row r="1820" spans="1:2">
      <c r="A1820" s="159">
        <v>40253</v>
      </c>
      <c r="B1820" s="94" t="s">
        <v>650</v>
      </c>
    </row>
    <row r="1821" spans="1:2">
      <c r="A1821" s="159">
        <v>40254</v>
      </c>
      <c r="B1821" s="94" t="s">
        <v>650</v>
      </c>
    </row>
    <row r="1822" spans="1:2">
      <c r="A1822" s="159">
        <v>40255</v>
      </c>
      <c r="B1822" s="94" t="s">
        <v>650</v>
      </c>
    </row>
    <row r="1823" spans="1:2">
      <c r="A1823" s="159">
        <v>40256</v>
      </c>
      <c r="B1823" s="94" t="s">
        <v>650</v>
      </c>
    </row>
    <row r="1824" spans="1:2">
      <c r="A1824" s="159">
        <v>40259</v>
      </c>
      <c r="B1824" s="94" t="s">
        <v>650</v>
      </c>
    </row>
    <row r="1825" spans="1:2">
      <c r="A1825" s="159">
        <v>40260</v>
      </c>
      <c r="B1825" s="94" t="s">
        <v>650</v>
      </c>
    </row>
    <row r="1826" spans="1:2">
      <c r="A1826" s="159">
        <v>40261</v>
      </c>
      <c r="B1826" s="94" t="s">
        <v>650</v>
      </c>
    </row>
    <row r="1827" spans="1:2">
      <c r="A1827" s="159">
        <v>40262</v>
      </c>
      <c r="B1827" s="94" t="s">
        <v>650</v>
      </c>
    </row>
    <row r="1828" spans="1:2">
      <c r="A1828" s="159">
        <v>40263</v>
      </c>
      <c r="B1828" s="94" t="s">
        <v>650</v>
      </c>
    </row>
    <row r="1829" spans="1:2">
      <c r="A1829" s="159">
        <v>40266</v>
      </c>
      <c r="B1829" s="94" t="s">
        <v>650</v>
      </c>
    </row>
    <row r="1830" spans="1:2">
      <c r="A1830" s="159">
        <v>40267</v>
      </c>
      <c r="B1830" s="94" t="s">
        <v>650</v>
      </c>
    </row>
    <row r="1831" spans="1:2">
      <c r="A1831" s="159">
        <v>40268</v>
      </c>
      <c r="B1831" s="94" t="s">
        <v>650</v>
      </c>
    </row>
    <row r="1832" spans="1:2">
      <c r="A1832" s="159">
        <v>40269</v>
      </c>
      <c r="B1832" s="94" t="s">
        <v>650</v>
      </c>
    </row>
    <row r="1833" spans="1:2">
      <c r="A1833" s="159">
        <v>40270</v>
      </c>
      <c r="B1833" s="94" t="s">
        <v>650</v>
      </c>
    </row>
    <row r="1834" spans="1:2">
      <c r="A1834" s="159">
        <v>40274</v>
      </c>
      <c r="B1834" s="94" t="s">
        <v>650</v>
      </c>
    </row>
    <row r="1835" spans="1:2">
      <c r="A1835" s="159">
        <v>40275</v>
      </c>
      <c r="B1835" s="94" t="s">
        <v>650</v>
      </c>
    </row>
    <row r="1836" spans="1:2">
      <c r="A1836" s="159">
        <v>40276</v>
      </c>
      <c r="B1836" s="94" t="s">
        <v>650</v>
      </c>
    </row>
    <row r="1837" spans="1:2">
      <c r="A1837" s="159">
        <v>40277</v>
      </c>
      <c r="B1837" s="94" t="s">
        <v>650</v>
      </c>
    </row>
    <row r="1838" spans="1:2">
      <c r="A1838" s="159">
        <v>40280</v>
      </c>
      <c r="B1838" s="94" t="s">
        <v>650</v>
      </c>
    </row>
    <row r="1839" spans="1:2">
      <c r="A1839" s="159">
        <v>40281</v>
      </c>
      <c r="B1839" s="94" t="s">
        <v>650</v>
      </c>
    </row>
    <row r="1840" spans="1:2">
      <c r="A1840" s="159">
        <v>40282</v>
      </c>
      <c r="B1840" s="94" t="s">
        <v>650</v>
      </c>
    </row>
    <row r="1841" spans="1:2">
      <c r="A1841" s="159">
        <v>40283</v>
      </c>
      <c r="B1841" s="94" t="s">
        <v>650</v>
      </c>
    </row>
    <row r="1842" spans="1:2">
      <c r="A1842" s="159">
        <v>40284</v>
      </c>
      <c r="B1842" s="94" t="s">
        <v>650</v>
      </c>
    </row>
    <row r="1843" spans="1:2">
      <c r="A1843" s="159">
        <v>40287</v>
      </c>
      <c r="B1843" s="94" t="s">
        <v>650</v>
      </c>
    </row>
    <row r="1844" spans="1:2">
      <c r="A1844" s="159">
        <v>40288</v>
      </c>
      <c r="B1844" s="94" t="s">
        <v>650</v>
      </c>
    </row>
    <row r="1845" spans="1:2">
      <c r="A1845" s="159">
        <v>40289</v>
      </c>
      <c r="B1845" s="94" t="s">
        <v>650</v>
      </c>
    </row>
    <row r="1846" spans="1:2">
      <c r="A1846" s="159">
        <v>40290</v>
      </c>
      <c r="B1846" s="94" t="s">
        <v>650</v>
      </c>
    </row>
    <row r="1847" spans="1:2">
      <c r="A1847" s="159">
        <v>40291</v>
      </c>
      <c r="B1847" s="94" t="s">
        <v>650</v>
      </c>
    </row>
    <row r="1848" spans="1:2">
      <c r="A1848" s="159">
        <v>40294</v>
      </c>
      <c r="B1848" s="94" t="s">
        <v>650</v>
      </c>
    </row>
    <row r="1849" spans="1:2">
      <c r="A1849" s="159">
        <v>40295</v>
      </c>
      <c r="B1849" s="94" t="s">
        <v>650</v>
      </c>
    </row>
    <row r="1850" spans="1:2">
      <c r="A1850" s="159">
        <v>40296</v>
      </c>
      <c r="B1850" s="94" t="s">
        <v>650</v>
      </c>
    </row>
    <row r="1851" spans="1:2">
      <c r="A1851" s="159">
        <v>40297</v>
      </c>
      <c r="B1851" s="94" t="s">
        <v>650</v>
      </c>
    </row>
    <row r="1852" spans="1:2">
      <c r="A1852" s="159">
        <v>40298</v>
      </c>
      <c r="B1852" s="94" t="s">
        <v>650</v>
      </c>
    </row>
    <row r="1853" spans="1:2">
      <c r="A1853" s="159">
        <v>40302</v>
      </c>
      <c r="B1853" s="94" t="s">
        <v>650</v>
      </c>
    </row>
    <row r="1854" spans="1:2">
      <c r="A1854" s="159">
        <v>40303</v>
      </c>
      <c r="B1854" s="94" t="s">
        <v>650</v>
      </c>
    </row>
    <row r="1855" spans="1:2">
      <c r="A1855" s="159">
        <v>40304</v>
      </c>
      <c r="B1855" s="94" t="s">
        <v>650</v>
      </c>
    </row>
    <row r="1856" spans="1:2">
      <c r="A1856" s="159">
        <v>40305</v>
      </c>
      <c r="B1856" s="94" t="s">
        <v>650</v>
      </c>
    </row>
    <row r="1857" spans="1:2">
      <c r="A1857" s="159">
        <v>40308</v>
      </c>
      <c r="B1857" s="94" t="s">
        <v>650</v>
      </c>
    </row>
    <row r="1858" spans="1:2">
      <c r="A1858" s="159">
        <v>40309</v>
      </c>
      <c r="B1858" s="94" t="s">
        <v>650</v>
      </c>
    </row>
    <row r="1859" spans="1:2">
      <c r="A1859" s="159">
        <v>40310</v>
      </c>
      <c r="B1859" s="94" t="s">
        <v>650</v>
      </c>
    </row>
    <row r="1860" spans="1:2">
      <c r="A1860" s="159">
        <v>40311</v>
      </c>
      <c r="B1860" s="94" t="s">
        <v>650</v>
      </c>
    </row>
    <row r="1861" spans="1:2">
      <c r="A1861" s="159">
        <v>40312</v>
      </c>
      <c r="B1861" s="94" t="s">
        <v>650</v>
      </c>
    </row>
    <row r="1862" spans="1:2">
      <c r="A1862" s="159">
        <v>40315</v>
      </c>
      <c r="B1862" s="94" t="s">
        <v>650</v>
      </c>
    </row>
    <row r="1863" spans="1:2">
      <c r="A1863" s="159">
        <v>40316</v>
      </c>
      <c r="B1863" s="94" t="s">
        <v>650</v>
      </c>
    </row>
    <row r="1864" spans="1:2">
      <c r="A1864" s="159">
        <v>40317</v>
      </c>
      <c r="B1864" s="94" t="s">
        <v>650</v>
      </c>
    </row>
    <row r="1865" spans="1:2">
      <c r="A1865" s="159">
        <v>40318</v>
      </c>
      <c r="B1865" s="94" t="s">
        <v>650</v>
      </c>
    </row>
    <row r="1866" spans="1:2">
      <c r="A1866" s="159">
        <v>40319</v>
      </c>
      <c r="B1866" s="94" t="s">
        <v>650</v>
      </c>
    </row>
    <row r="1867" spans="1:2">
      <c r="A1867" s="159">
        <v>40322</v>
      </c>
      <c r="B1867" s="94" t="s">
        <v>650</v>
      </c>
    </row>
    <row r="1868" spans="1:2">
      <c r="A1868" s="159">
        <v>40323</v>
      </c>
      <c r="B1868" s="94" t="s">
        <v>650</v>
      </c>
    </row>
    <row r="1869" spans="1:2">
      <c r="A1869" s="159">
        <v>40324</v>
      </c>
      <c r="B1869" s="94" t="s">
        <v>650</v>
      </c>
    </row>
    <row r="1870" spans="1:2">
      <c r="A1870" s="159">
        <v>40325</v>
      </c>
      <c r="B1870" s="94" t="s">
        <v>650</v>
      </c>
    </row>
    <row r="1871" spans="1:2">
      <c r="A1871" s="159">
        <v>40326</v>
      </c>
      <c r="B1871" s="94" t="s">
        <v>650</v>
      </c>
    </row>
    <row r="1872" spans="1:2">
      <c r="A1872" s="159">
        <v>40329</v>
      </c>
      <c r="B1872" s="94" t="s">
        <v>650</v>
      </c>
    </row>
    <row r="1873" spans="1:2">
      <c r="A1873" s="159">
        <v>40330</v>
      </c>
      <c r="B1873" s="94" t="s">
        <v>650</v>
      </c>
    </row>
    <row r="1874" spans="1:2">
      <c r="A1874" s="159">
        <v>40331</v>
      </c>
      <c r="B1874" s="94" t="s">
        <v>650</v>
      </c>
    </row>
    <row r="1875" spans="1:2">
      <c r="A1875" s="159">
        <v>40332</v>
      </c>
      <c r="B1875" s="94" t="s">
        <v>650</v>
      </c>
    </row>
    <row r="1876" spans="1:2">
      <c r="A1876" s="159">
        <v>40333</v>
      </c>
      <c r="B1876" s="94" t="s">
        <v>650</v>
      </c>
    </row>
    <row r="1877" spans="1:2">
      <c r="A1877" s="159">
        <v>40336</v>
      </c>
      <c r="B1877" s="94" t="s">
        <v>650</v>
      </c>
    </row>
    <row r="1878" spans="1:2">
      <c r="A1878" s="159">
        <v>40337</v>
      </c>
      <c r="B1878" s="94" t="s">
        <v>650</v>
      </c>
    </row>
    <row r="1879" spans="1:2">
      <c r="A1879" s="159">
        <v>40338</v>
      </c>
      <c r="B1879" s="94" t="s">
        <v>650</v>
      </c>
    </row>
    <row r="1880" spans="1:2">
      <c r="A1880" s="159">
        <v>40339</v>
      </c>
      <c r="B1880" s="94" t="s">
        <v>650</v>
      </c>
    </row>
    <row r="1881" spans="1:2">
      <c r="A1881" s="159">
        <v>40340</v>
      </c>
      <c r="B1881" s="94" t="s">
        <v>650</v>
      </c>
    </row>
    <row r="1882" spans="1:2">
      <c r="A1882" s="159">
        <v>40341</v>
      </c>
      <c r="B1882" s="94" t="s">
        <v>650</v>
      </c>
    </row>
    <row r="1883" spans="1:2">
      <c r="A1883" s="159">
        <v>40342</v>
      </c>
      <c r="B1883" s="94" t="s">
        <v>650</v>
      </c>
    </row>
    <row r="1884" spans="1:2">
      <c r="A1884" s="159">
        <v>40346</v>
      </c>
      <c r="B1884" s="94" t="s">
        <v>650</v>
      </c>
    </row>
    <row r="1885" spans="1:2">
      <c r="A1885" s="159">
        <v>40347</v>
      </c>
      <c r="B1885" s="94" t="s">
        <v>650</v>
      </c>
    </row>
    <row r="1886" spans="1:2">
      <c r="A1886" s="159">
        <v>40350</v>
      </c>
      <c r="B1886" s="94" t="s">
        <v>650</v>
      </c>
    </row>
    <row r="1887" spans="1:2">
      <c r="A1887" s="159">
        <v>40351</v>
      </c>
      <c r="B1887" s="94" t="s">
        <v>650</v>
      </c>
    </row>
    <row r="1888" spans="1:2">
      <c r="A1888" s="159">
        <v>40352</v>
      </c>
      <c r="B1888" s="94" t="s">
        <v>650</v>
      </c>
    </row>
    <row r="1889" spans="1:2">
      <c r="A1889" s="159">
        <v>40353</v>
      </c>
      <c r="B1889" s="94" t="s">
        <v>650</v>
      </c>
    </row>
    <row r="1890" spans="1:2">
      <c r="A1890" s="159">
        <v>40354</v>
      </c>
      <c r="B1890" s="94" t="s">
        <v>650</v>
      </c>
    </row>
    <row r="1891" spans="1:2">
      <c r="A1891" s="159">
        <v>40357</v>
      </c>
      <c r="B1891" s="94" t="s">
        <v>650</v>
      </c>
    </row>
    <row r="1892" spans="1:2">
      <c r="A1892" s="159">
        <v>40358</v>
      </c>
      <c r="B1892" s="94" t="s">
        <v>650</v>
      </c>
    </row>
    <row r="1893" spans="1:2">
      <c r="A1893" s="159">
        <v>40359</v>
      </c>
      <c r="B1893" s="94" t="s">
        <v>650</v>
      </c>
    </row>
    <row r="1894" spans="1:2">
      <c r="A1894" s="159">
        <v>40360</v>
      </c>
      <c r="B1894" s="94" t="s">
        <v>650</v>
      </c>
    </row>
    <row r="1895" spans="1:2">
      <c r="A1895" s="159">
        <v>40361</v>
      </c>
      <c r="B1895" s="94" t="s">
        <v>650</v>
      </c>
    </row>
    <row r="1896" spans="1:2">
      <c r="A1896" s="159">
        <v>40364</v>
      </c>
      <c r="B1896" s="94" t="s">
        <v>650</v>
      </c>
    </row>
    <row r="1897" spans="1:2">
      <c r="A1897" s="159">
        <v>40365</v>
      </c>
      <c r="B1897" s="94" t="s">
        <v>650</v>
      </c>
    </row>
    <row r="1898" spans="1:2">
      <c r="A1898" s="159">
        <v>40366</v>
      </c>
      <c r="B1898" s="94" t="s">
        <v>650</v>
      </c>
    </row>
    <row r="1899" spans="1:2">
      <c r="A1899" s="159">
        <v>40367</v>
      </c>
      <c r="B1899" s="94" t="s">
        <v>650</v>
      </c>
    </row>
    <row r="1900" spans="1:2">
      <c r="A1900" s="159">
        <v>40368</v>
      </c>
      <c r="B1900" s="94" t="s">
        <v>650</v>
      </c>
    </row>
    <row r="1901" spans="1:2">
      <c r="A1901" s="159">
        <v>40371</v>
      </c>
      <c r="B1901" s="94" t="s">
        <v>650</v>
      </c>
    </row>
    <row r="1902" spans="1:2">
      <c r="A1902" s="159">
        <v>40372</v>
      </c>
      <c r="B1902" s="94" t="s">
        <v>650</v>
      </c>
    </row>
    <row r="1903" spans="1:2">
      <c r="A1903" s="159">
        <v>40373</v>
      </c>
      <c r="B1903" s="94" t="s">
        <v>650</v>
      </c>
    </row>
    <row r="1904" spans="1:2">
      <c r="A1904" s="159">
        <v>40374</v>
      </c>
      <c r="B1904" s="94" t="s">
        <v>650</v>
      </c>
    </row>
    <row r="1905" spans="1:2">
      <c r="A1905" s="159">
        <v>40375</v>
      </c>
      <c r="B1905" s="94" t="s">
        <v>650</v>
      </c>
    </row>
    <row r="1906" spans="1:2">
      <c r="A1906" s="159">
        <v>40378</v>
      </c>
      <c r="B1906" s="94" t="s">
        <v>650</v>
      </c>
    </row>
    <row r="1907" spans="1:2">
      <c r="A1907" s="159">
        <v>40379</v>
      </c>
      <c r="B1907" s="94" t="s">
        <v>650</v>
      </c>
    </row>
    <row r="1908" spans="1:2">
      <c r="A1908" s="159">
        <v>40380</v>
      </c>
      <c r="B1908" s="94" t="s">
        <v>650</v>
      </c>
    </row>
    <row r="1909" spans="1:2">
      <c r="A1909" s="159">
        <v>40381</v>
      </c>
      <c r="B1909" s="94" t="s">
        <v>650</v>
      </c>
    </row>
    <row r="1910" spans="1:2">
      <c r="A1910" s="159">
        <v>40382</v>
      </c>
      <c r="B1910" s="94" t="s">
        <v>650</v>
      </c>
    </row>
    <row r="1911" spans="1:2">
      <c r="A1911" s="159">
        <v>40385</v>
      </c>
      <c r="B1911" s="94" t="s">
        <v>650</v>
      </c>
    </row>
    <row r="1912" spans="1:2">
      <c r="A1912" s="159">
        <v>40386</v>
      </c>
      <c r="B1912" s="94" t="s">
        <v>650</v>
      </c>
    </row>
    <row r="1913" spans="1:2">
      <c r="A1913" s="159">
        <v>40387</v>
      </c>
      <c r="B1913" s="94" t="s">
        <v>650</v>
      </c>
    </row>
    <row r="1914" spans="1:2">
      <c r="A1914" s="159">
        <v>40388</v>
      </c>
      <c r="B1914" s="94" t="s">
        <v>650</v>
      </c>
    </row>
    <row r="1915" spans="1:2">
      <c r="A1915" s="159">
        <v>40389</v>
      </c>
      <c r="B1915" s="94" t="s">
        <v>650</v>
      </c>
    </row>
    <row r="1916" spans="1:2">
      <c r="A1916" s="159">
        <v>40392</v>
      </c>
      <c r="B1916" s="94" t="s">
        <v>650</v>
      </c>
    </row>
    <row r="1917" spans="1:2">
      <c r="A1917" s="159">
        <v>40393</v>
      </c>
      <c r="B1917" s="94" t="s">
        <v>650</v>
      </c>
    </row>
    <row r="1918" spans="1:2">
      <c r="A1918" s="159">
        <v>40394</v>
      </c>
      <c r="B1918" s="94" t="s">
        <v>650</v>
      </c>
    </row>
    <row r="1919" spans="1:2">
      <c r="A1919" s="159">
        <v>40395</v>
      </c>
      <c r="B1919" s="94" t="s">
        <v>650</v>
      </c>
    </row>
    <row r="1920" spans="1:2">
      <c r="A1920" s="159">
        <v>40396</v>
      </c>
      <c r="B1920" s="94" t="s">
        <v>650</v>
      </c>
    </row>
    <row r="1921" spans="1:2">
      <c r="A1921" s="159">
        <v>40399</v>
      </c>
      <c r="B1921" s="94" t="s">
        <v>650</v>
      </c>
    </row>
    <row r="1922" spans="1:2">
      <c r="A1922" s="159">
        <v>40400</v>
      </c>
      <c r="B1922" s="94" t="s">
        <v>650</v>
      </c>
    </row>
    <row r="1923" spans="1:2">
      <c r="A1923" s="159">
        <v>40401</v>
      </c>
      <c r="B1923" s="94" t="s">
        <v>650</v>
      </c>
    </row>
    <row r="1924" spans="1:2">
      <c r="A1924" s="159">
        <v>40402</v>
      </c>
      <c r="B1924" s="94" t="s">
        <v>650</v>
      </c>
    </row>
    <row r="1925" spans="1:2">
      <c r="A1925" s="159">
        <v>40403</v>
      </c>
      <c r="B1925" s="94" t="s">
        <v>650</v>
      </c>
    </row>
    <row r="1926" spans="1:2">
      <c r="A1926" s="159">
        <v>40406</v>
      </c>
      <c r="B1926" s="94" t="s">
        <v>650</v>
      </c>
    </row>
    <row r="1927" spans="1:2">
      <c r="A1927" s="159">
        <v>40407</v>
      </c>
      <c r="B1927" s="94" t="s">
        <v>650</v>
      </c>
    </row>
    <row r="1928" spans="1:2">
      <c r="A1928" s="159">
        <v>40408</v>
      </c>
      <c r="B1928" s="94" t="s">
        <v>650</v>
      </c>
    </row>
    <row r="1929" spans="1:2">
      <c r="A1929" s="159">
        <v>40409</v>
      </c>
      <c r="B1929" s="94" t="s">
        <v>650</v>
      </c>
    </row>
    <row r="1930" spans="1:2">
      <c r="A1930" s="159">
        <v>40410</v>
      </c>
      <c r="B1930" s="94" t="s">
        <v>650</v>
      </c>
    </row>
    <row r="1931" spans="1:2">
      <c r="A1931" s="159">
        <v>40413</v>
      </c>
      <c r="B1931" s="94" t="s">
        <v>650</v>
      </c>
    </row>
    <row r="1932" spans="1:2">
      <c r="A1932" s="159">
        <v>40414</v>
      </c>
      <c r="B1932" s="94" t="s">
        <v>650</v>
      </c>
    </row>
    <row r="1933" spans="1:2">
      <c r="A1933" s="159">
        <v>40415</v>
      </c>
      <c r="B1933" s="94" t="s">
        <v>650</v>
      </c>
    </row>
    <row r="1934" spans="1:2">
      <c r="A1934" s="159">
        <v>40416</v>
      </c>
      <c r="B1934" s="94" t="s">
        <v>650</v>
      </c>
    </row>
    <row r="1935" spans="1:2">
      <c r="A1935" s="159">
        <v>40417</v>
      </c>
      <c r="B1935" s="94" t="s">
        <v>650</v>
      </c>
    </row>
    <row r="1936" spans="1:2">
      <c r="A1936" s="159">
        <v>40420</v>
      </c>
      <c r="B1936" s="94" t="s">
        <v>650</v>
      </c>
    </row>
    <row r="1937" spans="1:2">
      <c r="A1937" s="159">
        <v>40421</v>
      </c>
      <c r="B1937" s="94" t="s">
        <v>650</v>
      </c>
    </row>
    <row r="1938" spans="1:2">
      <c r="A1938" s="159">
        <v>40422</v>
      </c>
      <c r="B1938" s="94" t="s">
        <v>650</v>
      </c>
    </row>
    <row r="1939" spans="1:2">
      <c r="A1939" s="159">
        <v>40423</v>
      </c>
      <c r="B1939" s="94" t="s">
        <v>650</v>
      </c>
    </row>
    <row r="1940" spans="1:2">
      <c r="A1940" s="159">
        <v>40424</v>
      </c>
      <c r="B1940" s="94" t="s">
        <v>650</v>
      </c>
    </row>
    <row r="1941" spans="1:2">
      <c r="A1941" s="159">
        <v>40427</v>
      </c>
      <c r="B1941" s="94" t="s">
        <v>650</v>
      </c>
    </row>
    <row r="1942" spans="1:2">
      <c r="A1942" s="159">
        <v>40428</v>
      </c>
      <c r="B1942" s="94" t="s">
        <v>650</v>
      </c>
    </row>
    <row r="1943" spans="1:2">
      <c r="A1943" s="159">
        <v>40429</v>
      </c>
      <c r="B1943" s="94" t="s">
        <v>650</v>
      </c>
    </row>
    <row r="1944" spans="1:2">
      <c r="A1944" s="159">
        <v>40430</v>
      </c>
      <c r="B1944" s="94" t="s">
        <v>650</v>
      </c>
    </row>
    <row r="1945" spans="1:2">
      <c r="A1945" s="159">
        <v>40431</v>
      </c>
      <c r="B1945" s="94" t="s">
        <v>650</v>
      </c>
    </row>
    <row r="1946" spans="1:2">
      <c r="A1946" s="159">
        <v>40434</v>
      </c>
      <c r="B1946" s="94" t="s">
        <v>650</v>
      </c>
    </row>
    <row r="1947" spans="1:2">
      <c r="A1947" s="159">
        <v>40435</v>
      </c>
      <c r="B1947" s="94" t="s">
        <v>650</v>
      </c>
    </row>
    <row r="1948" spans="1:2">
      <c r="A1948" s="159">
        <v>40436</v>
      </c>
      <c r="B1948" s="94" t="s">
        <v>650</v>
      </c>
    </row>
    <row r="1949" spans="1:2">
      <c r="A1949" s="159">
        <v>40437</v>
      </c>
      <c r="B1949" s="94" t="s">
        <v>650</v>
      </c>
    </row>
    <row r="1950" spans="1:2">
      <c r="A1950" s="159">
        <v>40438</v>
      </c>
      <c r="B1950" s="94" t="s">
        <v>650</v>
      </c>
    </row>
    <row r="1951" spans="1:2">
      <c r="A1951" s="159">
        <v>40440</v>
      </c>
      <c r="B1951" s="94" t="s">
        <v>650</v>
      </c>
    </row>
    <row r="1952" spans="1:2">
      <c r="A1952" s="159">
        <v>40441</v>
      </c>
      <c r="B1952" s="94" t="s">
        <v>650</v>
      </c>
    </row>
    <row r="1953" spans="1:2">
      <c r="A1953" s="159">
        <v>40442</v>
      </c>
      <c r="B1953" s="94" t="s">
        <v>650</v>
      </c>
    </row>
    <row r="1954" spans="1:2">
      <c r="A1954" s="159">
        <v>40446</v>
      </c>
      <c r="B1954" s="94" t="s">
        <v>650</v>
      </c>
    </row>
    <row r="1955" spans="1:2">
      <c r="A1955" s="159">
        <v>40447</v>
      </c>
      <c r="B1955" s="94" t="s">
        <v>650</v>
      </c>
    </row>
    <row r="1956" spans="1:2">
      <c r="A1956" s="159">
        <v>40448</v>
      </c>
      <c r="B1956" s="94" t="s">
        <v>650</v>
      </c>
    </row>
    <row r="1957" spans="1:2">
      <c r="A1957" s="159">
        <v>40449</v>
      </c>
      <c r="B1957" s="94" t="s">
        <v>650</v>
      </c>
    </row>
    <row r="1958" spans="1:2">
      <c r="A1958" s="159">
        <v>40450</v>
      </c>
      <c r="B1958" s="94" t="s">
        <v>650</v>
      </c>
    </row>
    <row r="1959" spans="1:2">
      <c r="A1959" s="159">
        <v>40451</v>
      </c>
      <c r="B1959" s="94" t="s">
        <v>650</v>
      </c>
    </row>
    <row r="1960" spans="1:2">
      <c r="A1960" s="159">
        <v>40459</v>
      </c>
      <c r="B1960" s="94" t="s">
        <v>650</v>
      </c>
    </row>
    <row r="1961" spans="1:2">
      <c r="A1961" s="159">
        <v>40460</v>
      </c>
      <c r="B1961" s="94" t="s">
        <v>650</v>
      </c>
    </row>
    <row r="1962" spans="1:2">
      <c r="A1962" s="159">
        <v>40462</v>
      </c>
      <c r="B1962" s="94" t="s">
        <v>650</v>
      </c>
    </row>
    <row r="1963" spans="1:2">
      <c r="A1963" s="159">
        <v>40463</v>
      </c>
      <c r="B1963" s="94" t="s">
        <v>650</v>
      </c>
    </row>
    <row r="1964" spans="1:2">
      <c r="A1964" s="159">
        <v>40464</v>
      </c>
      <c r="B1964" s="94" t="s">
        <v>650</v>
      </c>
    </row>
    <row r="1965" spans="1:2">
      <c r="A1965" s="159">
        <v>40465</v>
      </c>
      <c r="B1965" s="94" t="s">
        <v>650</v>
      </c>
    </row>
    <row r="1966" spans="1:2">
      <c r="A1966" s="159">
        <v>40466</v>
      </c>
      <c r="B1966" s="94" t="s">
        <v>650</v>
      </c>
    </row>
    <row r="1967" spans="1:2">
      <c r="A1967" s="159">
        <v>40469</v>
      </c>
      <c r="B1967" s="94" t="s">
        <v>650</v>
      </c>
    </row>
    <row r="1968" spans="1:2">
      <c r="A1968" s="159">
        <v>40470</v>
      </c>
      <c r="B1968" s="94" t="s">
        <v>650</v>
      </c>
    </row>
    <row r="1969" spans="1:2">
      <c r="A1969" s="159">
        <v>40471</v>
      </c>
      <c r="B1969" s="94" t="s">
        <v>650</v>
      </c>
    </row>
    <row r="1970" spans="1:2">
      <c r="A1970" s="159">
        <v>40472</v>
      </c>
      <c r="B1970" s="94" t="s">
        <v>650</v>
      </c>
    </row>
    <row r="1971" spans="1:2">
      <c r="A1971" s="159">
        <v>40473</v>
      </c>
      <c r="B1971" s="94" t="s">
        <v>650</v>
      </c>
    </row>
    <row r="1972" spans="1:2">
      <c r="A1972" s="159">
        <v>40476</v>
      </c>
      <c r="B1972" s="94" t="s">
        <v>650</v>
      </c>
    </row>
    <row r="1973" spans="1:2">
      <c r="A1973" s="159">
        <v>40477</v>
      </c>
      <c r="B1973" s="94" t="s">
        <v>650</v>
      </c>
    </row>
    <row r="1974" spans="1:2">
      <c r="A1974" s="159">
        <v>40478</v>
      </c>
      <c r="B1974" s="94" t="s">
        <v>650</v>
      </c>
    </row>
    <row r="1975" spans="1:2">
      <c r="A1975" s="159">
        <v>40479</v>
      </c>
      <c r="B1975" s="94" t="s">
        <v>650</v>
      </c>
    </row>
    <row r="1976" spans="1:2">
      <c r="A1976" s="159">
        <v>40480</v>
      </c>
      <c r="B1976" s="94" t="s">
        <v>650</v>
      </c>
    </row>
    <row r="1977" spans="1:2">
      <c r="A1977" s="159">
        <v>40483</v>
      </c>
      <c r="B1977" s="94" t="s">
        <v>650</v>
      </c>
    </row>
    <row r="1978" spans="1:2">
      <c r="A1978" s="159">
        <v>40484</v>
      </c>
      <c r="B1978" s="94" t="s">
        <v>650</v>
      </c>
    </row>
    <row r="1979" spans="1:2">
      <c r="A1979" s="159">
        <v>40485</v>
      </c>
      <c r="B1979" s="94" t="s">
        <v>650</v>
      </c>
    </row>
    <row r="1980" spans="1:2">
      <c r="A1980" s="159">
        <v>40486</v>
      </c>
      <c r="B1980" s="94" t="s">
        <v>650</v>
      </c>
    </row>
    <row r="1981" spans="1:2">
      <c r="A1981" s="159">
        <v>40487</v>
      </c>
      <c r="B1981" s="94" t="s">
        <v>650</v>
      </c>
    </row>
    <row r="1982" spans="1:2">
      <c r="A1982" s="159">
        <v>40490</v>
      </c>
      <c r="B1982" s="94" t="s">
        <v>650</v>
      </c>
    </row>
    <row r="1983" spans="1:2">
      <c r="A1983" s="159">
        <v>40491</v>
      </c>
      <c r="B1983" s="94" t="s">
        <v>650</v>
      </c>
    </row>
    <row r="1984" spans="1:2">
      <c r="A1984" s="159">
        <v>40492</v>
      </c>
      <c r="B1984" s="94" t="s">
        <v>650</v>
      </c>
    </row>
    <row r="1985" spans="1:2">
      <c r="A1985" s="159">
        <v>40493</v>
      </c>
      <c r="B1985" s="94" t="s">
        <v>650</v>
      </c>
    </row>
    <row r="1986" spans="1:2">
      <c r="A1986" s="159">
        <v>40494</v>
      </c>
      <c r="B1986" s="94" t="s">
        <v>650</v>
      </c>
    </row>
    <row r="1987" spans="1:2">
      <c r="A1987" s="159">
        <v>40497</v>
      </c>
      <c r="B1987" s="94" t="s">
        <v>650</v>
      </c>
    </row>
    <row r="1988" spans="1:2">
      <c r="A1988" s="159">
        <v>40498</v>
      </c>
      <c r="B1988" s="94" t="s">
        <v>650</v>
      </c>
    </row>
    <row r="1989" spans="1:2">
      <c r="A1989" s="159">
        <v>40499</v>
      </c>
      <c r="B1989" s="94" t="s">
        <v>650</v>
      </c>
    </row>
    <row r="1990" spans="1:2">
      <c r="A1990" s="159">
        <v>40500</v>
      </c>
      <c r="B1990" s="94" t="s">
        <v>650</v>
      </c>
    </row>
    <row r="1991" spans="1:2">
      <c r="A1991" s="159">
        <v>40501</v>
      </c>
      <c r="B1991" s="94" t="s">
        <v>650</v>
      </c>
    </row>
    <row r="1992" spans="1:2">
      <c r="A1992" s="159">
        <v>40504</v>
      </c>
      <c r="B1992" s="94" t="s">
        <v>650</v>
      </c>
    </row>
    <row r="1993" spans="1:2">
      <c r="A1993" s="159">
        <v>40505</v>
      </c>
      <c r="B1993" s="94" t="s">
        <v>650</v>
      </c>
    </row>
    <row r="1994" spans="1:2">
      <c r="A1994" s="159">
        <v>40506</v>
      </c>
      <c r="B1994" s="94" t="s">
        <v>650</v>
      </c>
    </row>
    <row r="1995" spans="1:2">
      <c r="A1995" s="159">
        <v>40507</v>
      </c>
      <c r="B1995" s="94" t="s">
        <v>650</v>
      </c>
    </row>
    <row r="1996" spans="1:2">
      <c r="A1996" s="159">
        <v>40508</v>
      </c>
      <c r="B1996" s="94" t="s">
        <v>650</v>
      </c>
    </row>
    <row r="1997" spans="1:2">
      <c r="A1997" s="159">
        <v>40511</v>
      </c>
      <c r="B1997" s="94" t="s">
        <v>650</v>
      </c>
    </row>
    <row r="1998" spans="1:2">
      <c r="A1998" s="159">
        <v>40512</v>
      </c>
      <c r="B1998" s="94" t="s">
        <v>650</v>
      </c>
    </row>
    <row r="1999" spans="1:2">
      <c r="A1999" s="159">
        <v>40513</v>
      </c>
      <c r="B1999" s="94" t="s">
        <v>650</v>
      </c>
    </row>
    <row r="2000" spans="1:2">
      <c r="A2000" s="159">
        <v>40514</v>
      </c>
      <c r="B2000" s="94" t="s">
        <v>650</v>
      </c>
    </row>
    <row r="2001" spans="1:2">
      <c r="A2001" s="159">
        <v>40515</v>
      </c>
      <c r="B2001" s="94" t="s">
        <v>650</v>
      </c>
    </row>
    <row r="2002" spans="1:2">
      <c r="A2002" s="159">
        <v>40518</v>
      </c>
      <c r="B2002" s="94" t="s">
        <v>650</v>
      </c>
    </row>
    <row r="2003" spans="1:2">
      <c r="A2003" s="159">
        <v>40519</v>
      </c>
      <c r="B2003" s="94" t="s">
        <v>650</v>
      </c>
    </row>
    <row r="2004" spans="1:2">
      <c r="A2004" s="159">
        <v>40520</v>
      </c>
      <c r="B2004" s="94" t="s">
        <v>650</v>
      </c>
    </row>
    <row r="2005" spans="1:2">
      <c r="A2005" s="159">
        <v>40521</v>
      </c>
      <c r="B2005" s="94" t="s">
        <v>650</v>
      </c>
    </row>
    <row r="2006" spans="1:2">
      <c r="A2006" s="159">
        <v>40522</v>
      </c>
      <c r="B2006" s="94" t="s">
        <v>650</v>
      </c>
    </row>
    <row r="2007" spans="1:2">
      <c r="A2007" s="159">
        <v>40525</v>
      </c>
      <c r="B2007" s="94" t="s">
        <v>650</v>
      </c>
    </row>
    <row r="2008" spans="1:2">
      <c r="A2008" s="159">
        <v>40526</v>
      </c>
      <c r="B2008" s="94" t="s">
        <v>650</v>
      </c>
    </row>
    <row r="2009" spans="1:2">
      <c r="A2009" s="159">
        <v>40527</v>
      </c>
      <c r="B2009" s="94" t="s">
        <v>650</v>
      </c>
    </row>
    <row r="2010" spans="1:2">
      <c r="A2010" s="159">
        <v>40528</v>
      </c>
      <c r="B2010" s="94" t="s">
        <v>650</v>
      </c>
    </row>
    <row r="2011" spans="1:2">
      <c r="A2011" s="159">
        <v>40529</v>
      </c>
      <c r="B2011" s="94" t="s">
        <v>650</v>
      </c>
    </row>
    <row r="2012" spans="1:2">
      <c r="A2012" s="159">
        <v>40532</v>
      </c>
      <c r="B2012" s="94" t="s">
        <v>650</v>
      </c>
    </row>
    <row r="2013" spans="1:2">
      <c r="A2013" s="159">
        <v>40533</v>
      </c>
      <c r="B2013" s="94" t="s">
        <v>650</v>
      </c>
    </row>
    <row r="2014" spans="1:2">
      <c r="A2014" s="159">
        <v>40534</v>
      </c>
      <c r="B2014" s="94" t="s">
        <v>650</v>
      </c>
    </row>
    <row r="2015" spans="1:2">
      <c r="A2015" s="159">
        <v>40535</v>
      </c>
      <c r="B2015" s="94" t="s">
        <v>650</v>
      </c>
    </row>
    <row r="2016" spans="1:2">
      <c r="A2016" s="159">
        <v>40536</v>
      </c>
      <c r="B2016" s="94" t="s">
        <v>650</v>
      </c>
    </row>
    <row r="2017" spans="1:2">
      <c r="A2017" s="159">
        <v>40539</v>
      </c>
      <c r="B2017" s="94" t="s">
        <v>650</v>
      </c>
    </row>
    <row r="2018" spans="1:2">
      <c r="A2018" s="159">
        <v>40540</v>
      </c>
      <c r="B2018" s="94" t="s">
        <v>650</v>
      </c>
    </row>
    <row r="2019" spans="1:2">
      <c r="A2019" s="159">
        <v>40541</v>
      </c>
      <c r="B2019" s="94" t="s">
        <v>650</v>
      </c>
    </row>
    <row r="2020" spans="1:2">
      <c r="A2020" s="159">
        <v>40542</v>
      </c>
      <c r="B2020" s="94" t="s">
        <v>650</v>
      </c>
    </row>
    <row r="2021" spans="1:2">
      <c r="A2021" s="159">
        <v>40543</v>
      </c>
      <c r="B2021" s="94" t="s">
        <v>650</v>
      </c>
    </row>
    <row r="2022" spans="1:2">
      <c r="A2022" s="159">
        <v>40547</v>
      </c>
      <c r="B2022" s="94" t="s">
        <v>650</v>
      </c>
    </row>
    <row r="2023" spans="1:2">
      <c r="A2023" s="159">
        <v>40548</v>
      </c>
      <c r="B2023" s="94" t="s">
        <v>650</v>
      </c>
    </row>
    <row r="2024" spans="1:2">
      <c r="A2024" s="159">
        <v>40549</v>
      </c>
      <c r="B2024" s="94" t="s">
        <v>650</v>
      </c>
    </row>
    <row r="2025" spans="1:2">
      <c r="A2025" s="159">
        <v>40550</v>
      </c>
      <c r="B2025" s="94" t="s">
        <v>650</v>
      </c>
    </row>
    <row r="2026" spans="1:2">
      <c r="A2026" s="159">
        <v>40553</v>
      </c>
      <c r="B2026" s="94" t="s">
        <v>650</v>
      </c>
    </row>
    <row r="2027" spans="1:2">
      <c r="A2027" s="159">
        <v>40554</v>
      </c>
      <c r="B2027" s="94" t="s">
        <v>650</v>
      </c>
    </row>
    <row r="2028" spans="1:2">
      <c r="A2028" s="159">
        <v>40555</v>
      </c>
      <c r="B2028" s="94" t="s">
        <v>650</v>
      </c>
    </row>
    <row r="2029" spans="1:2">
      <c r="A2029" s="159">
        <v>40556</v>
      </c>
      <c r="B2029" s="94" t="s">
        <v>650</v>
      </c>
    </row>
    <row r="2030" spans="1:2">
      <c r="A2030" s="159">
        <v>40557</v>
      </c>
      <c r="B2030" s="94" t="s">
        <v>650</v>
      </c>
    </row>
    <row r="2031" spans="1:2">
      <c r="A2031" s="159">
        <v>40560</v>
      </c>
      <c r="B2031" s="94" t="s">
        <v>650</v>
      </c>
    </row>
    <row r="2032" spans="1:2">
      <c r="A2032" s="159">
        <v>40561</v>
      </c>
      <c r="B2032" s="94" t="s">
        <v>650</v>
      </c>
    </row>
    <row r="2033" spans="1:2">
      <c r="A2033" s="159">
        <v>40562</v>
      </c>
      <c r="B2033" s="94" t="s">
        <v>650</v>
      </c>
    </row>
    <row r="2034" spans="1:2">
      <c r="A2034" s="159">
        <v>40563</v>
      </c>
      <c r="B2034" s="94" t="s">
        <v>650</v>
      </c>
    </row>
    <row r="2035" spans="1:2">
      <c r="A2035" s="159">
        <v>40564</v>
      </c>
      <c r="B2035" s="94" t="s">
        <v>650</v>
      </c>
    </row>
    <row r="2036" spans="1:2">
      <c r="A2036" s="159">
        <v>40567</v>
      </c>
      <c r="B2036" s="94" t="s">
        <v>650</v>
      </c>
    </row>
    <row r="2037" spans="1:2">
      <c r="A2037" s="159">
        <v>40568</v>
      </c>
      <c r="B2037" s="94" t="s">
        <v>650</v>
      </c>
    </row>
    <row r="2038" spans="1:2">
      <c r="A2038" s="159">
        <v>40569</v>
      </c>
      <c r="B2038" s="94" t="s">
        <v>650</v>
      </c>
    </row>
    <row r="2039" spans="1:2">
      <c r="A2039" s="159">
        <v>40570</v>
      </c>
      <c r="B2039" s="94" t="s">
        <v>650</v>
      </c>
    </row>
    <row r="2040" spans="1:2">
      <c r="A2040" s="159">
        <v>40571</v>
      </c>
      <c r="B2040" s="94" t="s">
        <v>650</v>
      </c>
    </row>
    <row r="2041" spans="1:2">
      <c r="A2041" s="159">
        <v>40573</v>
      </c>
      <c r="B2041" s="94" t="s">
        <v>650</v>
      </c>
    </row>
    <row r="2042" spans="1:2">
      <c r="A2042" s="159">
        <v>40574</v>
      </c>
      <c r="B2042" s="94" t="s">
        <v>650</v>
      </c>
    </row>
    <row r="2043" spans="1:2">
      <c r="A2043" s="159">
        <v>40575</v>
      </c>
      <c r="B2043" s="94" t="s">
        <v>650</v>
      </c>
    </row>
    <row r="2044" spans="1:2">
      <c r="A2044" s="159">
        <v>40583</v>
      </c>
      <c r="B2044" s="94" t="s">
        <v>650</v>
      </c>
    </row>
    <row r="2045" spans="1:2">
      <c r="A2045" s="159">
        <v>40584</v>
      </c>
      <c r="B2045" s="94" t="s">
        <v>650</v>
      </c>
    </row>
    <row r="2046" spans="1:2">
      <c r="A2046" s="159">
        <v>40585</v>
      </c>
      <c r="B2046" s="94" t="s">
        <v>650</v>
      </c>
    </row>
    <row r="2047" spans="1:2">
      <c r="A2047" s="159">
        <v>40586</v>
      </c>
      <c r="B2047" s="94" t="s">
        <v>650</v>
      </c>
    </row>
    <row r="2048" spans="1:2">
      <c r="A2048" s="159">
        <v>40588</v>
      </c>
      <c r="B2048" s="94" t="s">
        <v>650</v>
      </c>
    </row>
    <row r="2049" spans="1:2">
      <c r="A2049" s="159">
        <v>40589</v>
      </c>
      <c r="B2049" s="94" t="s">
        <v>650</v>
      </c>
    </row>
    <row r="2050" spans="1:2">
      <c r="A2050" s="159">
        <v>40590</v>
      </c>
      <c r="B2050" s="94" t="s">
        <v>650</v>
      </c>
    </row>
    <row r="2051" spans="1:2">
      <c r="A2051" s="159">
        <v>40591</v>
      </c>
      <c r="B2051" s="94" t="s">
        <v>650</v>
      </c>
    </row>
    <row r="2052" spans="1:2">
      <c r="A2052" s="159">
        <v>40592</v>
      </c>
      <c r="B2052" s="94" t="s">
        <v>650</v>
      </c>
    </row>
    <row r="2053" spans="1:2">
      <c r="A2053" s="159">
        <v>40595</v>
      </c>
      <c r="B2053" s="94" t="s">
        <v>650</v>
      </c>
    </row>
    <row r="2054" spans="1:2">
      <c r="A2054" s="159">
        <v>40596</v>
      </c>
      <c r="B2054" s="94" t="s">
        <v>650</v>
      </c>
    </row>
    <row r="2055" spans="1:2">
      <c r="A2055" s="159">
        <v>40597</v>
      </c>
      <c r="B2055" s="94" t="s">
        <v>650</v>
      </c>
    </row>
    <row r="2056" spans="1:2">
      <c r="A2056" s="159">
        <v>40598</v>
      </c>
      <c r="B2056" s="94" t="s">
        <v>650</v>
      </c>
    </row>
    <row r="2057" spans="1:2">
      <c r="A2057" s="159">
        <v>40599</v>
      </c>
      <c r="B2057" s="94" t="s">
        <v>650</v>
      </c>
    </row>
    <row r="2058" spans="1:2">
      <c r="A2058" s="159">
        <v>40602</v>
      </c>
      <c r="B2058" s="94" t="s">
        <v>650</v>
      </c>
    </row>
    <row r="2059" spans="1:2">
      <c r="A2059" s="159">
        <v>40603</v>
      </c>
      <c r="B2059" s="94" t="s">
        <v>650</v>
      </c>
    </row>
    <row r="2060" spans="1:2">
      <c r="A2060" s="159">
        <v>40604</v>
      </c>
      <c r="B2060" s="94" t="s">
        <v>650</v>
      </c>
    </row>
    <row r="2061" spans="1:2">
      <c r="A2061" s="159">
        <v>40605</v>
      </c>
      <c r="B2061" s="94" t="s">
        <v>650</v>
      </c>
    </row>
    <row r="2062" spans="1:2">
      <c r="A2062" s="159">
        <v>40606</v>
      </c>
      <c r="B2062" s="94" t="s">
        <v>650</v>
      </c>
    </row>
    <row r="2063" spans="1:2">
      <c r="A2063" s="159">
        <v>40609</v>
      </c>
      <c r="B2063" s="94" t="s">
        <v>650</v>
      </c>
    </row>
    <row r="2064" spans="1:2">
      <c r="A2064" s="159">
        <v>40610</v>
      </c>
      <c r="B2064" s="94" t="s">
        <v>650</v>
      </c>
    </row>
    <row r="2065" spans="1:2">
      <c r="A2065" s="159">
        <v>40611</v>
      </c>
      <c r="B2065" s="94" t="s">
        <v>650</v>
      </c>
    </row>
    <row r="2066" spans="1:2">
      <c r="A2066" s="159">
        <v>40612</v>
      </c>
      <c r="B2066" s="94" t="s">
        <v>650</v>
      </c>
    </row>
    <row r="2067" spans="1:2">
      <c r="A2067" s="159">
        <v>40613</v>
      </c>
      <c r="B2067" s="94" t="s">
        <v>650</v>
      </c>
    </row>
    <row r="2068" spans="1:2">
      <c r="A2068" s="159">
        <v>40616</v>
      </c>
      <c r="B2068" s="94" t="s">
        <v>650</v>
      </c>
    </row>
    <row r="2069" spans="1:2">
      <c r="A2069" s="159">
        <v>40617</v>
      </c>
      <c r="B2069" s="94" t="s">
        <v>650</v>
      </c>
    </row>
    <row r="2070" spans="1:2">
      <c r="A2070" s="159">
        <v>40618</v>
      </c>
      <c r="B2070" s="94" t="s">
        <v>650</v>
      </c>
    </row>
    <row r="2071" spans="1:2">
      <c r="A2071" s="159">
        <v>40619</v>
      </c>
      <c r="B2071" s="94" t="s">
        <v>650</v>
      </c>
    </row>
    <row r="2072" spans="1:2">
      <c r="A2072" s="159">
        <v>40620</v>
      </c>
      <c r="B2072" s="94" t="s">
        <v>650</v>
      </c>
    </row>
    <row r="2073" spans="1:2">
      <c r="A2073" s="159">
        <v>40623</v>
      </c>
      <c r="B2073" s="94" t="s">
        <v>650</v>
      </c>
    </row>
    <row r="2074" spans="1:2">
      <c r="A2074" s="159">
        <v>40624</v>
      </c>
      <c r="B2074" s="94" t="s">
        <v>650</v>
      </c>
    </row>
    <row r="2075" spans="1:2">
      <c r="A2075" s="159">
        <v>40625</v>
      </c>
      <c r="B2075" s="94" t="s">
        <v>650</v>
      </c>
    </row>
    <row r="2076" spans="1:2">
      <c r="A2076" s="159">
        <v>40626</v>
      </c>
      <c r="B2076" s="94" t="s">
        <v>650</v>
      </c>
    </row>
    <row r="2077" spans="1:2">
      <c r="A2077" s="159">
        <v>40627</v>
      </c>
      <c r="B2077" s="94" t="s">
        <v>650</v>
      </c>
    </row>
    <row r="2078" spans="1:2">
      <c r="A2078" s="159">
        <v>40630</v>
      </c>
      <c r="B2078" s="94" t="s">
        <v>650</v>
      </c>
    </row>
    <row r="2079" spans="1:2">
      <c r="A2079" s="159">
        <v>40631</v>
      </c>
      <c r="B2079" s="94" t="s">
        <v>650</v>
      </c>
    </row>
    <row r="2080" spans="1:2">
      <c r="A2080" s="159">
        <v>40632</v>
      </c>
      <c r="B2080" s="94" t="s">
        <v>650</v>
      </c>
    </row>
    <row r="2081" spans="1:2">
      <c r="A2081" s="159">
        <v>40633</v>
      </c>
      <c r="B2081" s="94" t="s">
        <v>650</v>
      </c>
    </row>
    <row r="2082" spans="1:2">
      <c r="A2082" s="159">
        <v>40634</v>
      </c>
      <c r="B2082" s="94" t="s">
        <v>650</v>
      </c>
    </row>
    <row r="2083" spans="1:2">
      <c r="A2083" s="159">
        <v>40635</v>
      </c>
      <c r="B2083" s="94" t="s">
        <v>650</v>
      </c>
    </row>
    <row r="2084" spans="1:2">
      <c r="A2084" s="159">
        <v>40639</v>
      </c>
      <c r="B2084" s="94" t="s">
        <v>650</v>
      </c>
    </row>
    <row r="2085" spans="1:2">
      <c r="A2085" s="159">
        <v>40640</v>
      </c>
      <c r="B2085" s="94" t="s">
        <v>650</v>
      </c>
    </row>
    <row r="2086" spans="1:2">
      <c r="A2086" s="159">
        <v>40641</v>
      </c>
      <c r="B2086" s="94" t="s">
        <v>650</v>
      </c>
    </row>
    <row r="2087" spans="1:2">
      <c r="A2087" s="159">
        <v>40644</v>
      </c>
      <c r="B2087" s="94" t="s">
        <v>650</v>
      </c>
    </row>
    <row r="2088" spans="1:2">
      <c r="A2088" s="159">
        <v>40645</v>
      </c>
      <c r="B2088" s="94" t="s">
        <v>650</v>
      </c>
    </row>
    <row r="2089" spans="1:2">
      <c r="A2089" s="159">
        <v>40646</v>
      </c>
      <c r="B2089" s="94" t="s">
        <v>650</v>
      </c>
    </row>
    <row r="2090" spans="1:2">
      <c r="A2090" s="159">
        <v>40647</v>
      </c>
      <c r="B2090" s="94" t="s">
        <v>650</v>
      </c>
    </row>
    <row r="2091" spans="1:2">
      <c r="A2091" s="159">
        <v>40648</v>
      </c>
      <c r="B2091" s="94" t="s">
        <v>650</v>
      </c>
    </row>
    <row r="2092" spans="1:2">
      <c r="A2092" s="159">
        <v>40651</v>
      </c>
      <c r="B2092" s="94" t="s">
        <v>650</v>
      </c>
    </row>
    <row r="2093" spans="1:2">
      <c r="A2093" s="159">
        <v>40652</v>
      </c>
      <c r="B2093" s="94" t="s">
        <v>650</v>
      </c>
    </row>
    <row r="2094" spans="1:2">
      <c r="A2094" s="159">
        <v>40653</v>
      </c>
      <c r="B2094" s="94" t="s">
        <v>650</v>
      </c>
    </row>
    <row r="2095" spans="1:2">
      <c r="A2095" s="159">
        <v>40654</v>
      </c>
      <c r="B2095" s="94" t="s">
        <v>650</v>
      </c>
    </row>
    <row r="2096" spans="1:2">
      <c r="A2096" s="159">
        <v>40655</v>
      </c>
      <c r="B2096" s="94" t="s">
        <v>650</v>
      </c>
    </row>
    <row r="2097" spans="1:2">
      <c r="A2097" s="159">
        <v>40658</v>
      </c>
      <c r="B2097" s="94" t="s">
        <v>650</v>
      </c>
    </row>
    <row r="2098" spans="1:2">
      <c r="A2098" s="159">
        <v>40659</v>
      </c>
      <c r="B2098" s="94" t="s">
        <v>650</v>
      </c>
    </row>
    <row r="2099" spans="1:2">
      <c r="A2099" s="159">
        <v>40660</v>
      </c>
      <c r="B2099" s="94" t="s">
        <v>650</v>
      </c>
    </row>
    <row r="2100" spans="1:2">
      <c r="A2100" s="159">
        <v>40661</v>
      </c>
      <c r="B2100" s="94" t="s">
        <v>650</v>
      </c>
    </row>
    <row r="2101" spans="1:2">
      <c r="A2101" s="159">
        <v>40662</v>
      </c>
      <c r="B2101" s="94" t="s">
        <v>650</v>
      </c>
    </row>
    <row r="2102" spans="1:2">
      <c r="A2102" s="159">
        <v>40666</v>
      </c>
      <c r="B2102" s="94" t="s">
        <v>650</v>
      </c>
    </row>
    <row r="2103" spans="1:2">
      <c r="A2103" s="159">
        <v>40667</v>
      </c>
      <c r="B2103" s="94" t="s">
        <v>650</v>
      </c>
    </row>
    <row r="2104" spans="1:2">
      <c r="A2104" s="159">
        <v>40668</v>
      </c>
      <c r="B2104" s="94" t="s">
        <v>650</v>
      </c>
    </row>
    <row r="2105" spans="1:2">
      <c r="A2105" s="159">
        <v>40669</v>
      </c>
      <c r="B2105" s="94" t="s">
        <v>650</v>
      </c>
    </row>
    <row r="2106" spans="1:2">
      <c r="A2106" s="159">
        <v>40672</v>
      </c>
      <c r="B2106" s="94" t="s">
        <v>650</v>
      </c>
    </row>
    <row r="2107" spans="1:2">
      <c r="A2107" s="159">
        <v>40673</v>
      </c>
      <c r="B2107" s="94" t="s">
        <v>650</v>
      </c>
    </row>
    <row r="2108" spans="1:2">
      <c r="A2108" s="159">
        <v>40674</v>
      </c>
      <c r="B2108" s="94" t="s">
        <v>650</v>
      </c>
    </row>
    <row r="2109" spans="1:2">
      <c r="A2109" s="159">
        <v>40675</v>
      </c>
      <c r="B2109" s="94" t="s">
        <v>650</v>
      </c>
    </row>
    <row r="2110" spans="1:2">
      <c r="A2110" s="159">
        <v>40676</v>
      </c>
      <c r="B2110" s="94" t="s">
        <v>650</v>
      </c>
    </row>
    <row r="2111" spans="1:2">
      <c r="A2111" s="159">
        <v>40679</v>
      </c>
      <c r="B2111" s="94" t="s">
        <v>650</v>
      </c>
    </row>
    <row r="2112" spans="1:2">
      <c r="A2112" s="159">
        <v>40680</v>
      </c>
      <c r="B2112" s="94" t="s">
        <v>650</v>
      </c>
    </row>
    <row r="2113" spans="1:2">
      <c r="A2113" s="159">
        <v>40681</v>
      </c>
      <c r="B2113" s="94" t="s">
        <v>650</v>
      </c>
    </row>
    <row r="2114" spans="1:2">
      <c r="A2114" s="159">
        <v>40682</v>
      </c>
      <c r="B2114" s="94" t="s">
        <v>650</v>
      </c>
    </row>
    <row r="2115" spans="1:2">
      <c r="A2115" s="159">
        <v>40683</v>
      </c>
      <c r="B2115" s="94" t="s">
        <v>650</v>
      </c>
    </row>
    <row r="2116" spans="1:2">
      <c r="A2116" s="159">
        <v>40686</v>
      </c>
      <c r="B2116" s="94" t="s">
        <v>650</v>
      </c>
    </row>
    <row r="2117" spans="1:2">
      <c r="A2117" s="159">
        <v>40687</v>
      </c>
      <c r="B2117" s="94" t="s">
        <v>650</v>
      </c>
    </row>
    <row r="2118" spans="1:2">
      <c r="A2118" s="159">
        <v>40688</v>
      </c>
      <c r="B2118" s="94" t="s">
        <v>650</v>
      </c>
    </row>
    <row r="2119" spans="1:2">
      <c r="A2119" s="159">
        <v>40689</v>
      </c>
      <c r="B2119" s="94" t="s">
        <v>650</v>
      </c>
    </row>
    <row r="2120" spans="1:2">
      <c r="A2120" s="159">
        <v>40690</v>
      </c>
      <c r="B2120" s="94" t="s">
        <v>650</v>
      </c>
    </row>
    <row r="2121" spans="1:2">
      <c r="A2121" s="159">
        <v>40693</v>
      </c>
      <c r="B2121" s="94" t="s">
        <v>650</v>
      </c>
    </row>
    <row r="2122" spans="1:2">
      <c r="A2122" s="159">
        <v>40694</v>
      </c>
      <c r="B2122" s="94" t="s">
        <v>650</v>
      </c>
    </row>
    <row r="2123" spans="1:2">
      <c r="A2123" s="159">
        <v>40695</v>
      </c>
      <c r="B2123" s="94" t="s">
        <v>650</v>
      </c>
    </row>
    <row r="2124" spans="1:2">
      <c r="A2124" s="159">
        <v>40696</v>
      </c>
      <c r="B2124" s="94" t="s">
        <v>650</v>
      </c>
    </row>
    <row r="2125" spans="1:2">
      <c r="A2125" s="159">
        <v>40697</v>
      </c>
      <c r="B2125" s="94" t="s">
        <v>650</v>
      </c>
    </row>
    <row r="2126" spans="1:2">
      <c r="A2126" s="159">
        <v>40701</v>
      </c>
      <c r="B2126" s="94" t="s">
        <v>650</v>
      </c>
    </row>
    <row r="2127" spans="1:2">
      <c r="A2127" s="159">
        <v>40702</v>
      </c>
      <c r="B2127" s="94" t="s">
        <v>650</v>
      </c>
    </row>
    <row r="2128" spans="1:2">
      <c r="A2128" s="159">
        <v>40703</v>
      </c>
      <c r="B2128" s="94" t="s">
        <v>650</v>
      </c>
    </row>
    <row r="2129" spans="1:2">
      <c r="A2129" s="159">
        <v>40704</v>
      </c>
      <c r="B2129" s="94" t="s">
        <v>650</v>
      </c>
    </row>
    <row r="2130" spans="1:2">
      <c r="A2130" s="159">
        <v>40707</v>
      </c>
      <c r="B2130" s="94" t="s">
        <v>650</v>
      </c>
    </row>
    <row r="2131" spans="1:2">
      <c r="A2131" s="159">
        <v>40708</v>
      </c>
      <c r="B2131" s="94" t="s">
        <v>650</v>
      </c>
    </row>
    <row r="2132" spans="1:2">
      <c r="A2132" s="159">
        <v>40709</v>
      </c>
      <c r="B2132" s="94" t="s">
        <v>650</v>
      </c>
    </row>
    <row r="2133" spans="1:2">
      <c r="A2133" s="159">
        <v>40710</v>
      </c>
      <c r="B2133" s="94" t="s">
        <v>650</v>
      </c>
    </row>
    <row r="2134" spans="1:2">
      <c r="A2134" s="159">
        <v>40711</v>
      </c>
      <c r="B2134" s="94" t="s">
        <v>650</v>
      </c>
    </row>
    <row r="2135" spans="1:2">
      <c r="A2135" s="159">
        <v>40714</v>
      </c>
      <c r="B2135" s="94" t="s">
        <v>650</v>
      </c>
    </row>
    <row r="2136" spans="1:2">
      <c r="A2136" s="159">
        <v>40715</v>
      </c>
      <c r="B2136" s="94" t="s">
        <v>650</v>
      </c>
    </row>
    <row r="2137" spans="1:2">
      <c r="A2137" s="159">
        <v>40716</v>
      </c>
      <c r="B2137" s="94" t="s">
        <v>650</v>
      </c>
    </row>
    <row r="2138" spans="1:2">
      <c r="A2138" s="159">
        <v>40717</v>
      </c>
      <c r="B2138" s="94" t="s">
        <v>650</v>
      </c>
    </row>
    <row r="2139" spans="1:2">
      <c r="A2139" s="159">
        <v>40718</v>
      </c>
      <c r="B2139" s="94" t="s">
        <v>650</v>
      </c>
    </row>
    <row r="2140" spans="1:2">
      <c r="A2140" s="159">
        <v>40721</v>
      </c>
      <c r="B2140" s="94" t="s">
        <v>650</v>
      </c>
    </row>
    <row r="2141" spans="1:2">
      <c r="A2141" s="159">
        <v>40722</v>
      </c>
      <c r="B2141" s="94" t="s">
        <v>650</v>
      </c>
    </row>
    <row r="2142" spans="1:2">
      <c r="A2142" s="159">
        <v>40723</v>
      </c>
      <c r="B2142" s="94" t="s">
        <v>650</v>
      </c>
    </row>
    <row r="2143" spans="1:2">
      <c r="A2143" s="159">
        <v>40724</v>
      </c>
      <c r="B2143" s="94" t="s">
        <v>650</v>
      </c>
    </row>
    <row r="2144" spans="1:2">
      <c r="A2144" s="159">
        <v>40725</v>
      </c>
      <c r="B2144" s="94" t="s">
        <v>650</v>
      </c>
    </row>
    <row r="2145" spans="1:2">
      <c r="A2145" s="159">
        <v>40728</v>
      </c>
      <c r="B2145" s="94" t="s">
        <v>650</v>
      </c>
    </row>
    <row r="2146" spans="1:2">
      <c r="A2146" s="159">
        <v>40729</v>
      </c>
      <c r="B2146" s="94" t="s">
        <v>650</v>
      </c>
    </row>
    <row r="2147" spans="1:2">
      <c r="A2147" s="159">
        <v>40730</v>
      </c>
      <c r="B2147" s="94" t="s">
        <v>650</v>
      </c>
    </row>
    <row r="2148" spans="1:2">
      <c r="A2148" s="159">
        <v>40731</v>
      </c>
      <c r="B2148" s="94" t="s">
        <v>650</v>
      </c>
    </row>
    <row r="2149" spans="1:2">
      <c r="A2149" s="159">
        <v>40732</v>
      </c>
      <c r="B2149" s="94" t="s">
        <v>650</v>
      </c>
    </row>
    <row r="2150" spans="1:2">
      <c r="A2150" s="159">
        <v>40735</v>
      </c>
      <c r="B2150" s="94" t="s">
        <v>650</v>
      </c>
    </row>
    <row r="2151" spans="1:2">
      <c r="A2151" s="159">
        <v>40736</v>
      </c>
      <c r="B2151" s="94" t="s">
        <v>650</v>
      </c>
    </row>
    <row r="2152" spans="1:2">
      <c r="A2152" s="159">
        <v>40737</v>
      </c>
      <c r="B2152" s="94" t="s">
        <v>650</v>
      </c>
    </row>
    <row r="2153" spans="1:2">
      <c r="A2153" s="159">
        <v>40738</v>
      </c>
      <c r="B2153" s="94" t="s">
        <v>650</v>
      </c>
    </row>
    <row r="2154" spans="1:2">
      <c r="A2154" s="159">
        <v>40739</v>
      </c>
      <c r="B2154" s="94" t="s">
        <v>650</v>
      </c>
    </row>
    <row r="2155" spans="1:2">
      <c r="A2155" s="159">
        <v>40742</v>
      </c>
      <c r="B2155" s="94" t="s">
        <v>650</v>
      </c>
    </row>
    <row r="2156" spans="1:2">
      <c r="A2156" s="159">
        <v>40743</v>
      </c>
      <c r="B2156" s="94" t="s">
        <v>650</v>
      </c>
    </row>
    <row r="2157" spans="1:2">
      <c r="A2157" s="159">
        <v>40744</v>
      </c>
      <c r="B2157" s="94" t="s">
        <v>650</v>
      </c>
    </row>
    <row r="2158" spans="1:2">
      <c r="A2158" s="159">
        <v>40745</v>
      </c>
      <c r="B2158" s="94" t="s">
        <v>650</v>
      </c>
    </row>
    <row r="2159" spans="1:2">
      <c r="A2159" s="159">
        <v>40746</v>
      </c>
      <c r="B2159" s="94" t="s">
        <v>650</v>
      </c>
    </row>
    <row r="2160" spans="1:2">
      <c r="A2160" s="159">
        <v>40749</v>
      </c>
      <c r="B2160" s="94" t="s">
        <v>650</v>
      </c>
    </row>
    <row r="2161" spans="1:2">
      <c r="A2161" s="159">
        <v>40750</v>
      </c>
      <c r="B2161" s="94" t="s">
        <v>650</v>
      </c>
    </row>
    <row r="2162" spans="1:2">
      <c r="A2162" s="159">
        <v>40751</v>
      </c>
      <c r="B2162" s="94" t="s">
        <v>650</v>
      </c>
    </row>
    <row r="2163" spans="1:2">
      <c r="A2163" s="159">
        <v>40752</v>
      </c>
      <c r="B2163" s="94" t="s">
        <v>650</v>
      </c>
    </row>
    <row r="2164" spans="1:2">
      <c r="A2164" s="159">
        <v>40753</v>
      </c>
      <c r="B2164" s="94" t="s">
        <v>650</v>
      </c>
    </row>
    <row r="2165" spans="1:2">
      <c r="A2165" s="159">
        <v>40756</v>
      </c>
      <c r="B2165" s="94" t="s">
        <v>650</v>
      </c>
    </row>
    <row r="2166" spans="1:2">
      <c r="A2166" s="159">
        <v>40757</v>
      </c>
      <c r="B2166" s="94" t="s">
        <v>650</v>
      </c>
    </row>
    <row r="2167" spans="1:2">
      <c r="A2167" s="159">
        <v>40758</v>
      </c>
      <c r="B2167" s="94" t="s">
        <v>650</v>
      </c>
    </row>
    <row r="2168" spans="1:2">
      <c r="A2168" s="159">
        <v>40759</v>
      </c>
      <c r="B2168" s="94" t="s">
        <v>650</v>
      </c>
    </row>
    <row r="2169" spans="1:2">
      <c r="A2169" s="159">
        <v>40760</v>
      </c>
      <c r="B2169" s="94" t="s">
        <v>650</v>
      </c>
    </row>
    <row r="2170" spans="1:2">
      <c r="A2170" s="159">
        <v>40763</v>
      </c>
      <c r="B2170" s="94" t="s">
        <v>650</v>
      </c>
    </row>
    <row r="2171" spans="1:2">
      <c r="A2171" s="159">
        <v>40764</v>
      </c>
      <c r="B2171" s="94" t="s">
        <v>650</v>
      </c>
    </row>
    <row r="2172" spans="1:2">
      <c r="A2172" s="159">
        <v>40765</v>
      </c>
      <c r="B2172" s="94" t="s">
        <v>650</v>
      </c>
    </row>
    <row r="2173" spans="1:2">
      <c r="A2173" s="159">
        <v>40766</v>
      </c>
      <c r="B2173" s="94" t="s">
        <v>650</v>
      </c>
    </row>
    <row r="2174" spans="1:2">
      <c r="A2174" s="159">
        <v>40767</v>
      </c>
      <c r="B2174" s="94" t="s">
        <v>650</v>
      </c>
    </row>
    <row r="2175" spans="1:2">
      <c r="A2175" s="159">
        <v>40770</v>
      </c>
      <c r="B2175" s="94" t="s">
        <v>650</v>
      </c>
    </row>
    <row r="2176" spans="1:2">
      <c r="A2176" s="159">
        <v>40771</v>
      </c>
      <c r="B2176" s="94" t="s">
        <v>650</v>
      </c>
    </row>
    <row r="2177" spans="1:2">
      <c r="A2177" s="159">
        <v>40772</v>
      </c>
      <c r="B2177" s="94" t="s">
        <v>650</v>
      </c>
    </row>
    <row r="2178" spans="1:2">
      <c r="A2178" s="159">
        <v>40773</v>
      </c>
      <c r="B2178" s="94" t="s">
        <v>650</v>
      </c>
    </row>
    <row r="2179" spans="1:2">
      <c r="A2179" s="159">
        <v>40774</v>
      </c>
      <c r="B2179" s="94" t="s">
        <v>650</v>
      </c>
    </row>
    <row r="2180" spans="1:2">
      <c r="A2180" s="159">
        <v>40777</v>
      </c>
      <c r="B2180" s="94" t="s">
        <v>650</v>
      </c>
    </row>
    <row r="2181" spans="1:2">
      <c r="A2181" s="159">
        <v>40778</v>
      </c>
      <c r="B2181" s="94" t="s">
        <v>650</v>
      </c>
    </row>
    <row r="2182" spans="1:2">
      <c r="A2182" s="159">
        <v>40779</v>
      </c>
      <c r="B2182" s="94" t="s">
        <v>650</v>
      </c>
    </row>
    <row r="2183" spans="1:2">
      <c r="A2183" s="159">
        <v>40780</v>
      </c>
      <c r="B2183" s="94" t="s">
        <v>650</v>
      </c>
    </row>
    <row r="2184" spans="1:2">
      <c r="A2184" s="159">
        <v>40781</v>
      </c>
      <c r="B2184" s="94" t="s">
        <v>650</v>
      </c>
    </row>
    <row r="2185" spans="1:2">
      <c r="A2185" s="159">
        <v>40784</v>
      </c>
      <c r="B2185" s="94" t="s">
        <v>650</v>
      </c>
    </row>
    <row r="2186" spans="1:2">
      <c r="A2186" s="159">
        <v>40785</v>
      </c>
      <c r="B2186" s="94" t="s">
        <v>650</v>
      </c>
    </row>
    <row r="2187" spans="1:2">
      <c r="A2187" s="159">
        <v>40786</v>
      </c>
      <c r="B2187" s="94" t="s">
        <v>650</v>
      </c>
    </row>
    <row r="2188" spans="1:2">
      <c r="A2188" s="159">
        <v>40787</v>
      </c>
      <c r="B2188" s="94" t="s">
        <v>650</v>
      </c>
    </row>
    <row r="2189" spans="1:2">
      <c r="A2189" s="159">
        <v>40788</v>
      </c>
      <c r="B2189" s="94" t="s">
        <v>650</v>
      </c>
    </row>
    <row r="2190" spans="1:2">
      <c r="A2190" s="159">
        <v>40791</v>
      </c>
      <c r="B2190" s="94" t="s">
        <v>650</v>
      </c>
    </row>
    <row r="2191" spans="1:2">
      <c r="A2191" s="159">
        <v>40792</v>
      </c>
      <c r="B2191" s="94" t="s">
        <v>650</v>
      </c>
    </row>
    <row r="2192" spans="1:2">
      <c r="A2192" s="159">
        <v>40793</v>
      </c>
      <c r="B2192" s="94" t="s">
        <v>650</v>
      </c>
    </row>
    <row r="2193" spans="1:2">
      <c r="A2193" s="159">
        <v>40794</v>
      </c>
      <c r="B2193" s="94" t="s">
        <v>650</v>
      </c>
    </row>
    <row r="2194" spans="1:2">
      <c r="A2194" s="159">
        <v>40795</v>
      </c>
      <c r="B2194" s="94" t="s">
        <v>650</v>
      </c>
    </row>
    <row r="2195" spans="1:2">
      <c r="A2195" s="159">
        <v>40799</v>
      </c>
      <c r="B2195" s="94" t="s">
        <v>650</v>
      </c>
    </row>
    <row r="2196" spans="1:2">
      <c r="A2196" s="159">
        <v>40800</v>
      </c>
      <c r="B2196" s="94" t="s">
        <v>650</v>
      </c>
    </row>
    <row r="2197" spans="1:2">
      <c r="A2197" s="159">
        <v>40801</v>
      </c>
      <c r="B2197" s="94" t="s">
        <v>650</v>
      </c>
    </row>
    <row r="2198" spans="1:2">
      <c r="A2198" s="159">
        <v>40802</v>
      </c>
      <c r="B2198" s="94" t="s">
        <v>650</v>
      </c>
    </row>
    <row r="2199" spans="1:2">
      <c r="A2199" s="159">
        <v>40805</v>
      </c>
      <c r="B2199" s="94" t="s">
        <v>650</v>
      </c>
    </row>
    <row r="2200" spans="1:2">
      <c r="A2200" s="159">
        <v>40806</v>
      </c>
      <c r="B2200" s="94" t="s">
        <v>650</v>
      </c>
    </row>
    <row r="2201" spans="1:2">
      <c r="A2201" s="159">
        <v>40807</v>
      </c>
      <c r="B2201" s="94" t="s">
        <v>650</v>
      </c>
    </row>
    <row r="2202" spans="1:2">
      <c r="A2202" s="159">
        <v>40808</v>
      </c>
      <c r="B2202" s="94" t="s">
        <v>650</v>
      </c>
    </row>
    <row r="2203" spans="1:2">
      <c r="A2203" s="159">
        <v>40809</v>
      </c>
      <c r="B2203" s="94" t="s">
        <v>650</v>
      </c>
    </row>
    <row r="2204" spans="1:2">
      <c r="A2204" s="159">
        <v>40812</v>
      </c>
      <c r="B2204" s="94" t="s">
        <v>650</v>
      </c>
    </row>
    <row r="2205" spans="1:2">
      <c r="A2205" s="159">
        <v>40813</v>
      </c>
      <c r="B2205" s="94" t="s">
        <v>650</v>
      </c>
    </row>
    <row r="2206" spans="1:2">
      <c r="A2206" s="159">
        <v>40814</v>
      </c>
      <c r="B2206" s="94" t="s">
        <v>650</v>
      </c>
    </row>
    <row r="2207" spans="1:2">
      <c r="A2207" s="159">
        <v>40815</v>
      </c>
      <c r="B2207" s="94" t="s">
        <v>650</v>
      </c>
    </row>
    <row r="2208" spans="1:2">
      <c r="A2208" s="159">
        <v>40816</v>
      </c>
      <c r="B2208" s="94" t="s">
        <v>650</v>
      </c>
    </row>
    <row r="2209" spans="1:2">
      <c r="A2209" s="159">
        <v>40824</v>
      </c>
      <c r="B2209" s="94" t="s">
        <v>650</v>
      </c>
    </row>
    <row r="2210" spans="1:2">
      <c r="A2210" s="159">
        <v>40825</v>
      </c>
      <c r="B2210" s="94" t="s">
        <v>650</v>
      </c>
    </row>
    <row r="2211" spans="1:2">
      <c r="A2211" s="159">
        <v>40826</v>
      </c>
      <c r="B2211" s="94" t="s">
        <v>650</v>
      </c>
    </row>
    <row r="2212" spans="1:2">
      <c r="A2212" s="159">
        <v>40827</v>
      </c>
      <c r="B2212" s="94" t="s">
        <v>650</v>
      </c>
    </row>
    <row r="2213" spans="1:2">
      <c r="A2213" s="159">
        <v>40828</v>
      </c>
      <c r="B2213" s="94" t="s">
        <v>650</v>
      </c>
    </row>
    <row r="2214" spans="1:2">
      <c r="A2214" s="159">
        <v>40829</v>
      </c>
      <c r="B2214" s="94" t="s">
        <v>650</v>
      </c>
    </row>
    <row r="2215" spans="1:2">
      <c r="A2215" s="159">
        <v>40830</v>
      </c>
      <c r="B2215" s="94" t="s">
        <v>650</v>
      </c>
    </row>
    <row r="2216" spans="1:2">
      <c r="A2216" s="159">
        <v>40833</v>
      </c>
      <c r="B2216" s="94" t="s">
        <v>650</v>
      </c>
    </row>
    <row r="2217" spans="1:2">
      <c r="A2217" s="159">
        <v>40834</v>
      </c>
      <c r="B2217" s="94" t="s">
        <v>650</v>
      </c>
    </row>
    <row r="2218" spans="1:2">
      <c r="A2218" s="159">
        <v>40835</v>
      </c>
      <c r="B2218" s="94" t="s">
        <v>650</v>
      </c>
    </row>
    <row r="2219" spans="1:2">
      <c r="A2219" s="159">
        <v>40836</v>
      </c>
      <c r="B2219" s="94" t="s">
        <v>650</v>
      </c>
    </row>
    <row r="2220" spans="1:2">
      <c r="A2220" s="159">
        <v>40837</v>
      </c>
      <c r="B2220" s="94" t="s">
        <v>650</v>
      </c>
    </row>
    <row r="2221" spans="1:2">
      <c r="A2221" s="159">
        <v>40840</v>
      </c>
      <c r="B2221" s="94" t="s">
        <v>650</v>
      </c>
    </row>
    <row r="2222" spans="1:2">
      <c r="A2222" s="159">
        <v>40841</v>
      </c>
      <c r="B2222" s="94" t="s">
        <v>650</v>
      </c>
    </row>
    <row r="2223" spans="1:2">
      <c r="A2223" s="159">
        <v>40842</v>
      </c>
      <c r="B2223" s="94" t="s">
        <v>650</v>
      </c>
    </row>
    <row r="2224" spans="1:2">
      <c r="A2224" s="159">
        <v>40843</v>
      </c>
      <c r="B2224" s="94" t="s">
        <v>650</v>
      </c>
    </row>
    <row r="2225" spans="1:2">
      <c r="A2225" s="159">
        <v>40844</v>
      </c>
      <c r="B2225" s="94" t="s">
        <v>650</v>
      </c>
    </row>
    <row r="2226" spans="1:2">
      <c r="A2226" s="159">
        <v>40847</v>
      </c>
      <c r="B2226" s="94" t="s">
        <v>650</v>
      </c>
    </row>
    <row r="2227" spans="1:2">
      <c r="A2227" s="159">
        <v>40848</v>
      </c>
      <c r="B2227" s="94" t="s">
        <v>650</v>
      </c>
    </row>
    <row r="2228" spans="1:2">
      <c r="A2228" s="159">
        <v>40849</v>
      </c>
      <c r="B2228" s="94" t="s">
        <v>650</v>
      </c>
    </row>
    <row r="2229" spans="1:2">
      <c r="A2229" s="159">
        <v>40850</v>
      </c>
      <c r="B2229" s="94" t="s">
        <v>650</v>
      </c>
    </row>
    <row r="2230" spans="1:2">
      <c r="A2230" s="159">
        <v>40851</v>
      </c>
      <c r="B2230" s="94" t="s">
        <v>650</v>
      </c>
    </row>
    <row r="2231" spans="1:2">
      <c r="A2231" s="159">
        <v>40854</v>
      </c>
      <c r="B2231" s="94" t="s">
        <v>650</v>
      </c>
    </row>
    <row r="2232" spans="1:2">
      <c r="A2232" s="159">
        <v>40855</v>
      </c>
      <c r="B2232" s="94" t="s">
        <v>650</v>
      </c>
    </row>
    <row r="2233" spans="1:2">
      <c r="A2233" s="159">
        <v>40856</v>
      </c>
      <c r="B2233" s="94" t="s">
        <v>650</v>
      </c>
    </row>
    <row r="2234" spans="1:2">
      <c r="A2234" s="159">
        <v>40857</v>
      </c>
      <c r="B2234" s="94" t="s">
        <v>650</v>
      </c>
    </row>
    <row r="2235" spans="1:2">
      <c r="A2235" s="159">
        <v>40858</v>
      </c>
      <c r="B2235" s="94" t="s">
        <v>650</v>
      </c>
    </row>
    <row r="2236" spans="1:2">
      <c r="A2236" s="159">
        <v>40861</v>
      </c>
      <c r="B2236" s="94" t="s">
        <v>650</v>
      </c>
    </row>
    <row r="2237" spans="1:2">
      <c r="A2237" s="159">
        <v>40862</v>
      </c>
      <c r="B2237" s="94" t="s">
        <v>650</v>
      </c>
    </row>
    <row r="2238" spans="1:2">
      <c r="A2238" s="159">
        <v>40863</v>
      </c>
      <c r="B2238" s="94" t="s">
        <v>650</v>
      </c>
    </row>
    <row r="2239" spans="1:2">
      <c r="A2239" s="159">
        <v>40864</v>
      </c>
      <c r="B2239" s="94" t="s">
        <v>650</v>
      </c>
    </row>
    <row r="2240" spans="1:2">
      <c r="A2240" s="159">
        <v>40865</v>
      </c>
      <c r="B2240" s="94" t="s">
        <v>650</v>
      </c>
    </row>
    <row r="2241" spans="1:2">
      <c r="A2241" s="159">
        <v>40868</v>
      </c>
      <c r="B2241" s="94" t="s">
        <v>650</v>
      </c>
    </row>
    <row r="2242" spans="1:2">
      <c r="A2242" s="159">
        <v>40869</v>
      </c>
      <c r="B2242" s="94" t="s">
        <v>650</v>
      </c>
    </row>
    <row r="2243" spans="1:2">
      <c r="A2243" s="159">
        <v>40870</v>
      </c>
      <c r="B2243" s="94" t="s">
        <v>650</v>
      </c>
    </row>
    <row r="2244" spans="1:2">
      <c r="A2244" s="159">
        <v>40871</v>
      </c>
      <c r="B2244" s="94" t="s">
        <v>650</v>
      </c>
    </row>
    <row r="2245" spans="1:2">
      <c r="A2245" s="159">
        <v>40872</v>
      </c>
      <c r="B2245" s="94" t="s">
        <v>650</v>
      </c>
    </row>
    <row r="2246" spans="1:2">
      <c r="A2246" s="159">
        <v>40875</v>
      </c>
      <c r="B2246" s="94" t="s">
        <v>650</v>
      </c>
    </row>
    <row r="2247" spans="1:2">
      <c r="A2247" s="159">
        <v>40876</v>
      </c>
      <c r="B2247" s="94" t="s">
        <v>650</v>
      </c>
    </row>
    <row r="2248" spans="1:2">
      <c r="A2248" s="159">
        <v>40877</v>
      </c>
      <c r="B2248" s="94" t="s">
        <v>650</v>
      </c>
    </row>
    <row r="2249" spans="1:2">
      <c r="A2249" s="159">
        <v>40878</v>
      </c>
      <c r="B2249" s="94" t="s">
        <v>650</v>
      </c>
    </row>
    <row r="2250" spans="1:2">
      <c r="A2250" s="159">
        <v>40879</v>
      </c>
      <c r="B2250" s="94" t="s">
        <v>650</v>
      </c>
    </row>
    <row r="2251" spans="1:2">
      <c r="A2251" s="159">
        <v>40882</v>
      </c>
      <c r="B2251" s="94" t="s">
        <v>650</v>
      </c>
    </row>
    <row r="2252" spans="1:2">
      <c r="A2252" s="159">
        <v>40883</v>
      </c>
      <c r="B2252" s="94" t="s">
        <v>650</v>
      </c>
    </row>
    <row r="2253" spans="1:2">
      <c r="A2253" s="159">
        <v>40884</v>
      </c>
      <c r="B2253" s="94" t="s">
        <v>650</v>
      </c>
    </row>
    <row r="2254" spans="1:2">
      <c r="A2254" s="159">
        <v>40885</v>
      </c>
      <c r="B2254" s="94" t="s">
        <v>650</v>
      </c>
    </row>
    <row r="2255" spans="1:2">
      <c r="A2255" s="159">
        <v>40886</v>
      </c>
      <c r="B2255" s="94" t="s">
        <v>650</v>
      </c>
    </row>
    <row r="2256" spans="1:2">
      <c r="A2256" s="159">
        <v>40889</v>
      </c>
      <c r="B2256" s="94" t="s">
        <v>650</v>
      </c>
    </row>
    <row r="2257" spans="1:2">
      <c r="A2257" s="159">
        <v>40890</v>
      </c>
      <c r="B2257" s="94" t="s">
        <v>650</v>
      </c>
    </row>
    <row r="2258" spans="1:2">
      <c r="A2258" s="159">
        <v>40891</v>
      </c>
      <c r="B2258" s="94" t="s">
        <v>650</v>
      </c>
    </row>
    <row r="2259" spans="1:2">
      <c r="A2259" s="159">
        <v>40892</v>
      </c>
      <c r="B2259" s="94" t="s">
        <v>650</v>
      </c>
    </row>
    <row r="2260" spans="1:2">
      <c r="A2260" s="159">
        <v>40893</v>
      </c>
      <c r="B2260" s="94" t="s">
        <v>650</v>
      </c>
    </row>
    <row r="2261" spans="1:2">
      <c r="A2261" s="159">
        <v>40896</v>
      </c>
      <c r="B2261" s="94" t="s">
        <v>650</v>
      </c>
    </row>
    <row r="2262" spans="1:2">
      <c r="A2262" s="159">
        <v>40897</v>
      </c>
      <c r="B2262" s="94" t="s">
        <v>650</v>
      </c>
    </row>
    <row r="2263" spans="1:2">
      <c r="A2263" s="159">
        <v>40898</v>
      </c>
      <c r="B2263" s="94" t="s">
        <v>650</v>
      </c>
    </row>
    <row r="2264" spans="1:2">
      <c r="A2264" s="159">
        <v>40899</v>
      </c>
      <c r="B2264" s="94" t="s">
        <v>650</v>
      </c>
    </row>
    <row r="2265" spans="1:2">
      <c r="A2265" s="159">
        <v>40900</v>
      </c>
      <c r="B2265" s="94" t="s">
        <v>650</v>
      </c>
    </row>
    <row r="2266" spans="1:2">
      <c r="A2266" s="159">
        <v>40903</v>
      </c>
      <c r="B2266" s="94" t="s">
        <v>650</v>
      </c>
    </row>
    <row r="2267" spans="1:2">
      <c r="A2267" s="159">
        <v>40904</v>
      </c>
      <c r="B2267" s="94" t="s">
        <v>650</v>
      </c>
    </row>
    <row r="2268" spans="1:2">
      <c r="A2268" s="159">
        <v>40905</v>
      </c>
      <c r="B2268" s="94" t="s">
        <v>650</v>
      </c>
    </row>
    <row r="2269" spans="1:2">
      <c r="A2269" s="159">
        <v>40906</v>
      </c>
      <c r="B2269" s="94" t="s">
        <v>650</v>
      </c>
    </row>
    <row r="2270" spans="1:2">
      <c r="A2270" s="159">
        <v>40907</v>
      </c>
      <c r="B2270" s="94" t="s">
        <v>650</v>
      </c>
    </row>
    <row r="2271" spans="1:2">
      <c r="A2271" s="159">
        <v>40908</v>
      </c>
      <c r="B2271" s="94" t="s">
        <v>650</v>
      </c>
    </row>
    <row r="2272" spans="1:2">
      <c r="A2272" s="159">
        <v>40912</v>
      </c>
      <c r="B2272" s="94" t="s">
        <v>650</v>
      </c>
    </row>
    <row r="2273" spans="1:2">
      <c r="A2273" s="159">
        <v>40913</v>
      </c>
      <c r="B2273" s="94" t="s">
        <v>650</v>
      </c>
    </row>
    <row r="2274" spans="1:2">
      <c r="A2274" s="159">
        <v>40914</v>
      </c>
      <c r="B2274" s="94" t="s">
        <v>650</v>
      </c>
    </row>
    <row r="2275" spans="1:2">
      <c r="A2275" s="159">
        <v>40917</v>
      </c>
      <c r="B2275" s="94" t="s">
        <v>650</v>
      </c>
    </row>
    <row r="2276" spans="1:2">
      <c r="A2276" s="159">
        <v>40918</v>
      </c>
      <c r="B2276" s="94" t="s">
        <v>650</v>
      </c>
    </row>
    <row r="2277" spans="1:2">
      <c r="A2277" s="159">
        <v>40919</v>
      </c>
      <c r="B2277" s="94" t="s">
        <v>650</v>
      </c>
    </row>
    <row r="2278" spans="1:2">
      <c r="A2278" s="159">
        <v>40920</v>
      </c>
      <c r="B2278" s="94" t="s">
        <v>650</v>
      </c>
    </row>
    <row r="2279" spans="1:2">
      <c r="A2279" s="159">
        <v>40921</v>
      </c>
      <c r="B2279" s="94" t="s">
        <v>650</v>
      </c>
    </row>
    <row r="2280" spans="1:2">
      <c r="A2280" s="159">
        <v>40924</v>
      </c>
      <c r="B2280" s="94" t="s">
        <v>650</v>
      </c>
    </row>
    <row r="2281" spans="1:2">
      <c r="A2281" s="159">
        <v>40925</v>
      </c>
      <c r="B2281" s="94" t="s">
        <v>650</v>
      </c>
    </row>
    <row r="2282" spans="1:2">
      <c r="A2282" s="159">
        <v>40926</v>
      </c>
      <c r="B2282" s="94" t="s">
        <v>650</v>
      </c>
    </row>
    <row r="2283" spans="1:2">
      <c r="A2283" s="159">
        <v>40927</v>
      </c>
      <c r="B2283" s="94" t="s">
        <v>650</v>
      </c>
    </row>
    <row r="2284" spans="1:2">
      <c r="A2284" s="159">
        <v>40928</v>
      </c>
      <c r="B2284" s="94" t="s">
        <v>650</v>
      </c>
    </row>
    <row r="2285" spans="1:2">
      <c r="A2285" s="159">
        <v>40929</v>
      </c>
      <c r="B2285" s="94" t="s">
        <v>650</v>
      </c>
    </row>
    <row r="2286" spans="1:2">
      <c r="A2286" s="159">
        <v>40937</v>
      </c>
      <c r="B2286" s="94" t="s">
        <v>650</v>
      </c>
    </row>
    <row r="2287" spans="1:2">
      <c r="A2287" s="159">
        <v>40938</v>
      </c>
      <c r="B2287" s="94" t="s">
        <v>650</v>
      </c>
    </row>
    <row r="2288" spans="1:2">
      <c r="A2288" s="159">
        <v>40939</v>
      </c>
      <c r="B2288" s="94" t="s">
        <v>650</v>
      </c>
    </row>
    <row r="2289" spans="1:2">
      <c r="A2289" s="159">
        <v>40940</v>
      </c>
      <c r="B2289" s="94" t="s">
        <v>650</v>
      </c>
    </row>
    <row r="2290" spans="1:2">
      <c r="A2290" s="159">
        <v>40941</v>
      </c>
      <c r="B2290" s="94" t="s">
        <v>650</v>
      </c>
    </row>
    <row r="2291" spans="1:2">
      <c r="A2291" s="159">
        <v>40942</v>
      </c>
      <c r="B2291" s="94" t="s">
        <v>650</v>
      </c>
    </row>
    <row r="2292" spans="1:2">
      <c r="A2292" s="159">
        <v>40945</v>
      </c>
      <c r="B2292" s="94" t="s">
        <v>650</v>
      </c>
    </row>
    <row r="2293" spans="1:2">
      <c r="A2293" s="159">
        <v>40946</v>
      </c>
      <c r="B2293" s="94" t="s">
        <v>650</v>
      </c>
    </row>
    <row r="2294" spans="1:2">
      <c r="A2294" s="159">
        <v>40947</v>
      </c>
      <c r="B2294" s="94" t="s">
        <v>650</v>
      </c>
    </row>
    <row r="2295" spans="1:2">
      <c r="A2295" s="159">
        <v>40948</v>
      </c>
      <c r="B2295" s="94" t="s">
        <v>650</v>
      </c>
    </row>
    <row r="2296" spans="1:2">
      <c r="A2296" s="159">
        <v>40949</v>
      </c>
      <c r="B2296" s="94" t="s">
        <v>650</v>
      </c>
    </row>
    <row r="2297" spans="1:2">
      <c r="A2297" s="159">
        <v>40952</v>
      </c>
      <c r="B2297" s="94" t="s">
        <v>650</v>
      </c>
    </row>
    <row r="2298" spans="1:2">
      <c r="A2298" s="159">
        <v>40953</v>
      </c>
      <c r="B2298" s="94" t="s">
        <v>650</v>
      </c>
    </row>
    <row r="2299" spans="1:2">
      <c r="A2299" s="159">
        <v>40954</v>
      </c>
      <c r="B2299" s="94" t="s">
        <v>650</v>
      </c>
    </row>
    <row r="2300" spans="1:2">
      <c r="A2300" s="159">
        <v>40955</v>
      </c>
      <c r="B2300" s="94" t="s">
        <v>650</v>
      </c>
    </row>
    <row r="2301" spans="1:2">
      <c r="A2301" s="159">
        <v>40956</v>
      </c>
      <c r="B2301" s="94" t="s">
        <v>650</v>
      </c>
    </row>
    <row r="2302" spans="1:2">
      <c r="A2302" s="159">
        <v>40959</v>
      </c>
      <c r="B2302" s="94" t="s">
        <v>650</v>
      </c>
    </row>
    <row r="2303" spans="1:2">
      <c r="A2303" s="159">
        <v>40960</v>
      </c>
      <c r="B2303" s="94" t="s">
        <v>650</v>
      </c>
    </row>
    <row r="2304" spans="1:2">
      <c r="A2304" s="159">
        <v>40961</v>
      </c>
      <c r="B2304" s="94" t="s">
        <v>650</v>
      </c>
    </row>
    <row r="2305" spans="1:2">
      <c r="A2305" s="159">
        <v>40962</v>
      </c>
      <c r="B2305" s="94" t="s">
        <v>650</v>
      </c>
    </row>
    <row r="2306" spans="1:2">
      <c r="A2306" s="159">
        <v>40963</v>
      </c>
      <c r="B2306" s="94" t="s">
        <v>650</v>
      </c>
    </row>
    <row r="2307" spans="1:2">
      <c r="A2307" s="159">
        <v>40966</v>
      </c>
      <c r="B2307" s="94" t="s">
        <v>650</v>
      </c>
    </row>
    <row r="2308" spans="1:2">
      <c r="A2308" s="159">
        <v>40967</v>
      </c>
      <c r="B2308" s="94" t="s">
        <v>650</v>
      </c>
    </row>
    <row r="2309" spans="1:2">
      <c r="A2309" s="159">
        <v>40968</v>
      </c>
      <c r="B2309" s="94" t="s">
        <v>650</v>
      </c>
    </row>
    <row r="2310" spans="1:2">
      <c r="A2310" s="159">
        <v>40969</v>
      </c>
      <c r="B2310" s="94" t="s">
        <v>650</v>
      </c>
    </row>
    <row r="2311" spans="1:2">
      <c r="A2311" s="159">
        <v>40970</v>
      </c>
      <c r="B2311" s="94" t="s">
        <v>650</v>
      </c>
    </row>
    <row r="2312" spans="1:2">
      <c r="A2312" s="159">
        <v>40973</v>
      </c>
      <c r="B2312" s="94" t="s">
        <v>650</v>
      </c>
    </row>
    <row r="2313" spans="1:2">
      <c r="A2313" s="159">
        <v>40974</v>
      </c>
      <c r="B2313" s="94" t="s">
        <v>650</v>
      </c>
    </row>
    <row r="2314" spans="1:2">
      <c r="A2314" s="159">
        <v>40975</v>
      </c>
      <c r="B2314" s="94" t="s">
        <v>650</v>
      </c>
    </row>
    <row r="2315" spans="1:2">
      <c r="A2315" s="159">
        <v>40976</v>
      </c>
      <c r="B2315" s="94" t="s">
        <v>650</v>
      </c>
    </row>
    <row r="2316" spans="1:2">
      <c r="A2316" s="159">
        <v>40977</v>
      </c>
      <c r="B2316" s="94" t="s">
        <v>650</v>
      </c>
    </row>
    <row r="2317" spans="1:2">
      <c r="A2317" s="159">
        <v>40980</v>
      </c>
      <c r="B2317" s="94" t="s">
        <v>650</v>
      </c>
    </row>
    <row r="2318" spans="1:2">
      <c r="A2318" s="159">
        <v>40981</v>
      </c>
      <c r="B2318" s="94" t="s">
        <v>650</v>
      </c>
    </row>
    <row r="2319" spans="1:2">
      <c r="A2319" s="159">
        <v>40982</v>
      </c>
      <c r="B2319" s="94" t="s">
        <v>650</v>
      </c>
    </row>
    <row r="2320" spans="1:2">
      <c r="A2320" s="159">
        <v>40983</v>
      </c>
      <c r="B2320" s="94" t="s">
        <v>650</v>
      </c>
    </row>
    <row r="2321" spans="1:2">
      <c r="A2321" s="159">
        <v>40984</v>
      </c>
      <c r="B2321" s="94" t="s">
        <v>650</v>
      </c>
    </row>
    <row r="2322" spans="1:2">
      <c r="A2322" s="159">
        <v>40987</v>
      </c>
      <c r="B2322" s="94" t="s">
        <v>650</v>
      </c>
    </row>
    <row r="2323" spans="1:2">
      <c r="A2323" s="159">
        <v>40988</v>
      </c>
      <c r="B2323" s="94" t="s">
        <v>650</v>
      </c>
    </row>
    <row r="2324" spans="1:2">
      <c r="A2324" s="159">
        <v>40989</v>
      </c>
      <c r="B2324" s="94" t="s">
        <v>650</v>
      </c>
    </row>
    <row r="2325" spans="1:2">
      <c r="A2325" s="159">
        <v>40990</v>
      </c>
      <c r="B2325" s="94" t="s">
        <v>650</v>
      </c>
    </row>
    <row r="2326" spans="1:2">
      <c r="A2326" s="159">
        <v>40991</v>
      </c>
      <c r="B2326" s="94" t="s">
        <v>650</v>
      </c>
    </row>
    <row r="2327" spans="1:2">
      <c r="A2327" s="159">
        <v>40994</v>
      </c>
      <c r="B2327" s="94" t="s">
        <v>650</v>
      </c>
    </row>
    <row r="2328" spans="1:2">
      <c r="A2328" s="159">
        <v>40995</v>
      </c>
      <c r="B2328" s="94" t="s">
        <v>650</v>
      </c>
    </row>
    <row r="2329" spans="1:2">
      <c r="A2329" s="159">
        <v>40996</v>
      </c>
      <c r="B2329" s="94" t="s">
        <v>650</v>
      </c>
    </row>
    <row r="2330" spans="1:2">
      <c r="A2330" s="159">
        <v>40997</v>
      </c>
      <c r="B2330" s="94" t="s">
        <v>650</v>
      </c>
    </row>
    <row r="2331" spans="1:2">
      <c r="A2331" s="159">
        <v>40998</v>
      </c>
      <c r="B2331" s="94" t="s">
        <v>650</v>
      </c>
    </row>
    <row r="2332" spans="1:2">
      <c r="A2332" s="159">
        <v>40999</v>
      </c>
      <c r="B2332" s="94" t="s">
        <v>650</v>
      </c>
    </row>
    <row r="2333" spans="1:2">
      <c r="A2333" s="159">
        <v>41000</v>
      </c>
      <c r="B2333" s="94" t="s">
        <v>650</v>
      </c>
    </row>
    <row r="2334" spans="1:2">
      <c r="A2334" s="159">
        <v>41004</v>
      </c>
      <c r="B2334" s="94" t="s">
        <v>650</v>
      </c>
    </row>
    <row r="2335" spans="1:2">
      <c r="A2335" s="159">
        <v>41005</v>
      </c>
      <c r="B2335" s="94" t="s">
        <v>650</v>
      </c>
    </row>
    <row r="2336" spans="1:2">
      <c r="A2336" s="159">
        <v>41008</v>
      </c>
      <c r="B2336" s="94" t="s">
        <v>650</v>
      </c>
    </row>
    <row r="2337" spans="1:2">
      <c r="A2337" s="159">
        <v>41009</v>
      </c>
      <c r="B2337" s="94" t="s">
        <v>650</v>
      </c>
    </row>
    <row r="2338" spans="1:2">
      <c r="A2338" s="159">
        <v>41010</v>
      </c>
      <c r="B2338" s="94" t="s">
        <v>650</v>
      </c>
    </row>
    <row r="2339" spans="1:2">
      <c r="A2339" s="159">
        <v>41011</v>
      </c>
      <c r="B2339" s="94" t="s">
        <v>650</v>
      </c>
    </row>
    <row r="2340" spans="1:2">
      <c r="A2340" s="159">
        <v>41012</v>
      </c>
      <c r="B2340" s="94" t="s">
        <v>650</v>
      </c>
    </row>
    <row r="2341" spans="1:2">
      <c r="A2341" s="159">
        <v>41015</v>
      </c>
      <c r="B2341" s="94" t="s">
        <v>650</v>
      </c>
    </row>
    <row r="2342" spans="1:2">
      <c r="A2342" s="159">
        <v>41016</v>
      </c>
      <c r="B2342" s="94" t="s">
        <v>650</v>
      </c>
    </row>
    <row r="2343" spans="1:2">
      <c r="A2343" s="159">
        <v>41017</v>
      </c>
      <c r="B2343" s="94" t="s">
        <v>650</v>
      </c>
    </row>
    <row r="2344" spans="1:2">
      <c r="A2344" s="159">
        <v>41018</v>
      </c>
      <c r="B2344" s="94" t="s">
        <v>650</v>
      </c>
    </row>
    <row r="2345" spans="1:2">
      <c r="A2345" s="159">
        <v>41019</v>
      </c>
      <c r="B2345" s="94" t="s">
        <v>650</v>
      </c>
    </row>
    <row r="2346" spans="1:2">
      <c r="A2346" s="159">
        <v>41022</v>
      </c>
      <c r="B2346" s="94" t="s">
        <v>650</v>
      </c>
    </row>
    <row r="2347" spans="1:2">
      <c r="A2347" s="159">
        <v>41023</v>
      </c>
      <c r="B2347" s="94" t="s">
        <v>650</v>
      </c>
    </row>
    <row r="2348" spans="1:2">
      <c r="A2348" s="159">
        <v>41024</v>
      </c>
      <c r="B2348" s="94" t="s">
        <v>650</v>
      </c>
    </row>
    <row r="2349" spans="1:2">
      <c r="A2349" s="159">
        <v>41025</v>
      </c>
      <c r="B2349" s="94" t="s">
        <v>650</v>
      </c>
    </row>
    <row r="2350" spans="1:2">
      <c r="A2350" s="159">
        <v>41026</v>
      </c>
      <c r="B2350" s="94" t="s">
        <v>650</v>
      </c>
    </row>
    <row r="2351" spans="1:2">
      <c r="A2351" s="159">
        <v>41027</v>
      </c>
      <c r="B2351" s="94" t="s">
        <v>650</v>
      </c>
    </row>
    <row r="2352" spans="1:2">
      <c r="A2352" s="159">
        <v>41031</v>
      </c>
      <c r="B2352" s="94" t="s">
        <v>650</v>
      </c>
    </row>
    <row r="2353" spans="1:2">
      <c r="A2353" s="159">
        <v>41032</v>
      </c>
      <c r="B2353" s="94" t="s">
        <v>650</v>
      </c>
    </row>
    <row r="2354" spans="1:2">
      <c r="A2354" s="159">
        <v>41033</v>
      </c>
      <c r="B2354" s="94" t="s">
        <v>650</v>
      </c>
    </row>
    <row r="2355" spans="1:2">
      <c r="A2355" s="159">
        <v>41036</v>
      </c>
      <c r="B2355" s="94" t="s">
        <v>650</v>
      </c>
    </row>
    <row r="2356" spans="1:2">
      <c r="A2356" s="159">
        <v>41037</v>
      </c>
      <c r="B2356" s="94" t="s">
        <v>650</v>
      </c>
    </row>
    <row r="2357" spans="1:2">
      <c r="A2357" s="159">
        <v>41038</v>
      </c>
      <c r="B2357" s="94" t="s">
        <v>650</v>
      </c>
    </row>
    <row r="2358" spans="1:2">
      <c r="A2358" s="159">
        <v>41039</v>
      </c>
      <c r="B2358" s="94" t="s">
        <v>650</v>
      </c>
    </row>
    <row r="2359" spans="1:2">
      <c r="A2359" s="159">
        <v>41040</v>
      </c>
      <c r="B2359" s="94" t="s">
        <v>650</v>
      </c>
    </row>
    <row r="2360" spans="1:2">
      <c r="A2360" s="159">
        <v>41043</v>
      </c>
      <c r="B2360" s="94" t="s">
        <v>650</v>
      </c>
    </row>
    <row r="2361" spans="1:2">
      <c r="A2361" s="159">
        <v>41044</v>
      </c>
      <c r="B2361" s="94" t="s">
        <v>650</v>
      </c>
    </row>
    <row r="2362" spans="1:2">
      <c r="A2362" s="159">
        <v>41045</v>
      </c>
      <c r="B2362" s="94" t="s">
        <v>650</v>
      </c>
    </row>
    <row r="2363" spans="1:2">
      <c r="A2363" s="159">
        <v>41046</v>
      </c>
      <c r="B2363" s="94" t="s">
        <v>650</v>
      </c>
    </row>
    <row r="2364" spans="1:2">
      <c r="A2364" s="159">
        <v>41047</v>
      </c>
      <c r="B2364" s="94" t="s">
        <v>650</v>
      </c>
    </row>
    <row r="2365" spans="1:2">
      <c r="A2365" s="159">
        <v>41050</v>
      </c>
      <c r="B2365" s="94" t="s">
        <v>650</v>
      </c>
    </row>
    <row r="2366" spans="1:2">
      <c r="A2366" s="159">
        <v>41051</v>
      </c>
      <c r="B2366" s="94" t="s">
        <v>650</v>
      </c>
    </row>
    <row r="2367" spans="1:2">
      <c r="A2367" s="159">
        <v>41052</v>
      </c>
      <c r="B2367" s="94" t="s">
        <v>650</v>
      </c>
    </row>
    <row r="2368" spans="1:2">
      <c r="A2368" s="159">
        <v>41053</v>
      </c>
      <c r="B2368" s="94" t="s">
        <v>650</v>
      </c>
    </row>
    <row r="2369" spans="1:2">
      <c r="A2369" s="159">
        <v>41054</v>
      </c>
      <c r="B2369" s="94" t="s">
        <v>650</v>
      </c>
    </row>
    <row r="2370" spans="1:2">
      <c r="A2370" s="159">
        <v>41057</v>
      </c>
      <c r="B2370" s="94" t="s">
        <v>650</v>
      </c>
    </row>
    <row r="2371" spans="1:2">
      <c r="A2371" s="159">
        <v>41058</v>
      </c>
      <c r="B2371" s="94" t="s">
        <v>650</v>
      </c>
    </row>
    <row r="2372" spans="1:2">
      <c r="A2372" s="159">
        <v>41059</v>
      </c>
      <c r="B2372" s="94" t="s">
        <v>650</v>
      </c>
    </row>
    <row r="2373" spans="1:2">
      <c r="A2373" s="159">
        <v>41060</v>
      </c>
      <c r="B2373" s="94" t="s">
        <v>650</v>
      </c>
    </row>
    <row r="2374" spans="1:2">
      <c r="A2374" s="159">
        <v>41061</v>
      </c>
      <c r="B2374" s="94" t="s">
        <v>650</v>
      </c>
    </row>
    <row r="2375" spans="1:2">
      <c r="A2375" s="159">
        <v>41064</v>
      </c>
      <c r="B2375" s="94" t="s">
        <v>650</v>
      </c>
    </row>
    <row r="2376" spans="1:2">
      <c r="A2376" s="159">
        <v>41065</v>
      </c>
      <c r="B2376" s="94" t="s">
        <v>650</v>
      </c>
    </row>
    <row r="2377" spans="1:2">
      <c r="A2377" s="159">
        <v>41066</v>
      </c>
      <c r="B2377" s="94" t="s">
        <v>650</v>
      </c>
    </row>
    <row r="2378" spans="1:2">
      <c r="A2378" s="159">
        <v>41067</v>
      </c>
      <c r="B2378" s="94" t="s">
        <v>650</v>
      </c>
    </row>
    <row r="2379" spans="1:2">
      <c r="A2379" s="159">
        <v>41068</v>
      </c>
      <c r="B2379" s="94" t="s">
        <v>650</v>
      </c>
    </row>
    <row r="2380" spans="1:2">
      <c r="A2380" s="159">
        <v>41071</v>
      </c>
      <c r="B2380" s="94" t="s">
        <v>650</v>
      </c>
    </row>
    <row r="2381" spans="1:2">
      <c r="A2381" s="159">
        <v>41072</v>
      </c>
      <c r="B2381" s="94" t="s">
        <v>650</v>
      </c>
    </row>
    <row r="2382" spans="1:2">
      <c r="A2382" s="159">
        <v>41073</v>
      </c>
      <c r="B2382" s="94">
        <v>99.8035</v>
      </c>
    </row>
    <row r="2383" spans="1:2">
      <c r="A2383" s="159">
        <v>41074</v>
      </c>
      <c r="B2383" s="94">
        <v>97.866900000000001</v>
      </c>
    </row>
    <row r="2384" spans="1:2">
      <c r="A2384" s="159">
        <v>41075</v>
      </c>
      <c r="B2384" s="94" t="s">
        <v>650</v>
      </c>
    </row>
    <row r="2385" spans="1:2">
      <c r="A2385" s="159">
        <v>41078</v>
      </c>
      <c r="B2385" s="94" t="s">
        <v>650</v>
      </c>
    </row>
    <row r="2386" spans="1:2">
      <c r="A2386" s="159">
        <v>41079</v>
      </c>
      <c r="B2386" s="94">
        <v>99.349800000000002</v>
      </c>
    </row>
    <row r="2387" spans="1:2">
      <c r="A2387" s="159">
        <v>41080</v>
      </c>
      <c r="B2387" s="94">
        <v>99.500799999999998</v>
      </c>
    </row>
    <row r="2388" spans="1:2">
      <c r="A2388" s="159">
        <v>41081</v>
      </c>
      <c r="B2388" s="94">
        <v>99.509600000000006</v>
      </c>
    </row>
    <row r="2389" spans="1:2">
      <c r="A2389" s="159">
        <v>41085</v>
      </c>
      <c r="B2389" s="94">
        <v>99.632300000000001</v>
      </c>
    </row>
    <row r="2390" spans="1:2">
      <c r="A2390" s="159">
        <v>41086</v>
      </c>
      <c r="B2390" s="94">
        <v>99.711299999999994</v>
      </c>
    </row>
    <row r="2391" spans="1:2">
      <c r="A2391" s="159">
        <v>41087</v>
      </c>
      <c r="B2391" s="94">
        <v>99.885400000000004</v>
      </c>
    </row>
    <row r="2392" spans="1:2">
      <c r="A2392" s="159">
        <v>41088</v>
      </c>
      <c r="B2392" s="94">
        <v>100.1152</v>
      </c>
    </row>
    <row r="2393" spans="1:2">
      <c r="A2393" s="159">
        <v>41089</v>
      </c>
      <c r="B2393" s="94">
        <v>100.1103</v>
      </c>
    </row>
    <row r="2394" spans="1:2">
      <c r="A2394" s="159">
        <v>41092</v>
      </c>
      <c r="B2394" s="94">
        <v>100.2231</v>
      </c>
    </row>
    <row r="2395" spans="1:2">
      <c r="A2395" s="159">
        <v>41093</v>
      </c>
      <c r="B2395" s="94">
        <v>100.154</v>
      </c>
    </row>
    <row r="2396" spans="1:2">
      <c r="A2396" s="159">
        <v>41094</v>
      </c>
      <c r="B2396" s="94">
        <v>100.1781</v>
      </c>
    </row>
    <row r="2397" spans="1:2">
      <c r="A2397" s="160">
        <v>41095</v>
      </c>
      <c r="B2397" s="158">
        <v>100.22880000000001</v>
      </c>
    </row>
    <row r="2398" spans="1:2">
      <c r="A2398" s="159">
        <v>41096</v>
      </c>
      <c r="B2398" s="94">
        <v>100.26220000000001</v>
      </c>
    </row>
    <row r="2399" spans="1:2">
      <c r="A2399" s="159">
        <v>41099</v>
      </c>
      <c r="B2399" s="94">
        <v>100.4559</v>
      </c>
    </row>
    <row r="2400" spans="1:2">
      <c r="A2400" s="159">
        <v>41100</v>
      </c>
      <c r="B2400" s="94">
        <v>100.6481</v>
      </c>
    </row>
    <row r="2401" spans="1:2">
      <c r="A2401" s="159">
        <v>41101</v>
      </c>
      <c r="B2401" s="94">
        <f ca="1">AVERAGE(B2400,B2402)</f>
        <v>100.73635</v>
      </c>
    </row>
    <row r="2402" spans="1:2">
      <c r="A2402" s="159">
        <v>41102</v>
      </c>
      <c r="B2402" s="94">
        <v>100.8246</v>
      </c>
    </row>
    <row r="2403" spans="1:2">
      <c r="A2403" s="159">
        <v>41103</v>
      </c>
      <c r="B2403" s="94">
        <v>100.8408</v>
      </c>
    </row>
    <row r="2404" spans="1:2">
      <c r="A2404" s="159">
        <v>41106</v>
      </c>
      <c r="B2404" s="94">
        <v>100.6981</v>
      </c>
    </row>
    <row r="2405" spans="1:2">
      <c r="A2405" s="159">
        <v>41107</v>
      </c>
      <c r="B2405" s="94">
        <v>100.1919</v>
      </c>
    </row>
    <row r="2406" spans="1:2">
      <c r="A2406" s="159">
        <v>41108</v>
      </c>
      <c r="B2406" s="94">
        <v>100.48779999999999</v>
      </c>
    </row>
    <row r="2407" spans="1:2">
      <c r="A2407" s="159">
        <v>41109</v>
      </c>
      <c r="B2407" s="94">
        <v>99.466300000000004</v>
      </c>
    </row>
    <row r="2408" spans="1:2">
      <c r="A2408" s="159">
        <v>41110</v>
      </c>
      <c r="B2408" s="94">
        <v>100.2225</v>
      </c>
    </row>
    <row r="2409" spans="1:2">
      <c r="A2409" s="159">
        <v>41113</v>
      </c>
      <c r="B2409" s="94">
        <v>100.24939999999999</v>
      </c>
    </row>
    <row r="2410" spans="1:2">
      <c r="A2410" s="159">
        <v>41114</v>
      </c>
      <c r="B2410" s="94">
        <v>100.57380000000001</v>
      </c>
    </row>
    <row r="2411" spans="1:2">
      <c r="A2411" s="159">
        <v>41115</v>
      </c>
      <c r="B2411" s="94">
        <v>100.2163</v>
      </c>
    </row>
    <row r="2412" spans="1:2">
      <c r="A2412" s="159">
        <v>41116</v>
      </c>
      <c r="B2412" s="94">
        <v>100.2166</v>
      </c>
    </row>
    <row r="2413" spans="1:2">
      <c r="A2413" s="159">
        <v>41117</v>
      </c>
      <c r="B2413" s="94">
        <v>100.20659999999999</v>
      </c>
    </row>
    <row r="2414" spans="1:2">
      <c r="A2414" s="159">
        <v>41120</v>
      </c>
      <c r="B2414" s="94">
        <v>100.2161</v>
      </c>
    </row>
    <row r="2415" spans="1:2">
      <c r="A2415" s="159">
        <v>41121</v>
      </c>
      <c r="B2415" s="94">
        <v>100.20529999999999</v>
      </c>
    </row>
    <row r="2416" spans="1:2">
      <c r="A2416" s="159">
        <v>41122</v>
      </c>
      <c r="B2416" s="94">
        <v>100.161</v>
      </c>
    </row>
    <row r="2417" spans="1:2">
      <c r="A2417" s="159">
        <v>41123</v>
      </c>
      <c r="B2417" s="94">
        <v>100.15560000000001</v>
      </c>
    </row>
    <row r="2418" spans="1:2">
      <c r="A2418" s="159">
        <v>41124</v>
      </c>
      <c r="B2418" s="94">
        <v>100.1604</v>
      </c>
    </row>
    <row r="2419" spans="1:2">
      <c r="A2419" s="159">
        <v>41127</v>
      </c>
      <c r="B2419" s="94">
        <v>100.1621</v>
      </c>
    </row>
    <row r="2420" spans="1:2">
      <c r="A2420" s="159">
        <v>41128</v>
      </c>
      <c r="B2420" s="94">
        <v>100.13209999999999</v>
      </c>
    </row>
    <row r="2421" spans="1:2">
      <c r="A2421" s="159">
        <v>41129</v>
      </c>
      <c r="B2421" s="94">
        <f ca="1">AVERAGE(B2420,B2422)</f>
        <v>100.09455</v>
      </c>
    </row>
    <row r="2422" spans="1:2">
      <c r="A2422" s="159">
        <v>41130</v>
      </c>
      <c r="B2422" s="94">
        <v>100.057</v>
      </c>
    </row>
    <row r="2423" spans="1:2">
      <c r="A2423" s="159">
        <v>41131</v>
      </c>
      <c r="B2423" s="94">
        <v>100.0677</v>
      </c>
    </row>
    <row r="2424" spans="1:2">
      <c r="A2424" s="159">
        <v>41134</v>
      </c>
      <c r="B2424" s="94">
        <v>100.0775</v>
      </c>
    </row>
    <row r="2425" spans="1:2">
      <c r="A2425" s="159">
        <v>41135</v>
      </c>
      <c r="B2425" s="94">
        <v>100.0355</v>
      </c>
    </row>
    <row r="2426" spans="1:2">
      <c r="A2426" s="159">
        <v>41136</v>
      </c>
      <c r="B2426" s="94">
        <v>99.822000000000003</v>
      </c>
    </row>
    <row r="2427" spans="1:2">
      <c r="A2427" s="159">
        <v>41137</v>
      </c>
      <c r="B2427" s="94">
        <v>99.966999999999999</v>
      </c>
    </row>
    <row r="2428" spans="1:2">
      <c r="A2428" s="159">
        <v>41138</v>
      </c>
      <c r="B2428" s="94">
        <v>99.9178</v>
      </c>
    </row>
    <row r="2429" spans="1:2">
      <c r="A2429" s="159">
        <v>41141</v>
      </c>
      <c r="B2429" s="94">
        <v>99.897999999999996</v>
      </c>
    </row>
    <row r="2430" spans="1:2">
      <c r="A2430" s="159">
        <v>41142</v>
      </c>
      <c r="B2430" s="94">
        <v>99.906899999999993</v>
      </c>
    </row>
  </sheetData>
  <phoneticPr fontId="1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2430"/>
  <sheetViews>
    <sheetView zoomScaleNormal="100" zoomScaleSheetLayoutView="100" workbookViewId="0">
      <pane xSplit="1" ySplit="5" topLeftCell="B1216" activePane="bottomRight" state="frozen"/>
      <selection pane="topRight" activeCell="B1" sqref="B1"/>
      <selection pane="bottomLeft" activeCell="A6" sqref="A6"/>
      <selection pane="bottomRight" activeCell="M1221" sqref="M1221"/>
    </sheetView>
  </sheetViews>
  <sheetFormatPr defaultRowHeight="15"/>
  <cols>
    <col min="1" max="1" width="15.125" style="3" customWidth="1"/>
    <col min="2" max="2" width="10.875" style="3" bestFit="1" customWidth="1"/>
    <col min="3" max="3" width="6.5" style="3" bestFit="1" customWidth="1"/>
    <col min="4" max="4" width="10.375" style="3" bestFit="1" customWidth="1"/>
    <col min="5" max="5" width="17.375" style="3" bestFit="1" customWidth="1"/>
    <col min="6" max="6" width="19.25" style="3" bestFit="1" customWidth="1"/>
    <col min="7" max="7" width="18.125" style="3" bestFit="1" customWidth="1"/>
    <col min="8" max="8" width="21.5" style="3" bestFit="1" customWidth="1"/>
    <col min="9" max="9" width="21.125" style="3" bestFit="1" customWidth="1"/>
    <col min="10" max="10" width="36.25" style="35" bestFit="1" customWidth="1"/>
    <col min="11" max="11" width="26.75" style="3" bestFit="1" customWidth="1"/>
    <col min="12" max="12" width="9.5" style="3" customWidth="1"/>
    <col min="13" max="13" width="14.5" style="3" customWidth="1"/>
    <col min="14" max="14" width="15.25" style="3" customWidth="1"/>
    <col min="15" max="16" width="15.125" style="3" customWidth="1"/>
    <col min="17" max="17" width="10.625" style="3" customWidth="1"/>
    <col min="18" max="18" width="10.75" style="3" customWidth="1"/>
    <col min="19" max="19" width="10.875" style="3" customWidth="1"/>
    <col min="20" max="20" width="10.5" style="3" customWidth="1"/>
    <col min="21" max="21" width="9.125" style="3" customWidth="1"/>
    <col min="22" max="22" width="14.25" style="3" bestFit="1" customWidth="1"/>
    <col min="23" max="23" width="18.5" style="3" bestFit="1" customWidth="1"/>
    <col min="24" max="16384" width="9" style="3"/>
  </cols>
  <sheetData>
    <row r="1" spans="1:21">
      <c r="J1" s="3"/>
    </row>
    <row r="2" spans="1:21">
      <c r="J2" s="3"/>
    </row>
    <row r="3" spans="1:21">
      <c r="D3" s="3" t="str">
        <f ca="1">deserializeObject('Bumped Curves'!B1,'Bumped Curve Snap'!A2&amp;".xml",TRUE)</f>
        <v>CNY_Treasury_Live_Curve_2012-7-16</v>
      </c>
      <c r="H3" s="4">
        <f ca="1">_xll.qlCalendarAdvance("China",'Bumped Curve Snap'!B3,"1D")</f>
        <v>41107</v>
      </c>
      <c r="J3" s="3"/>
      <c r="K3" s="4">
        <f ca="1">H3</f>
        <v>41107</v>
      </c>
    </row>
    <row r="4" spans="1:21">
      <c r="J4" s="3"/>
    </row>
    <row r="5" spans="1:21">
      <c r="J5" s="3"/>
    </row>
    <row r="6" spans="1:21">
      <c r="A6" s="65" t="s">
        <v>575</v>
      </c>
      <c r="B6" s="65" t="s">
        <v>576</v>
      </c>
      <c r="C6" s="65" t="s">
        <v>577</v>
      </c>
      <c r="D6" s="65" t="s">
        <v>578</v>
      </c>
      <c r="E6" s="65" t="s">
        <v>579</v>
      </c>
      <c r="F6" s="65" t="s">
        <v>580</v>
      </c>
      <c r="G6" s="65" t="s">
        <v>588</v>
      </c>
      <c r="H6" s="65" t="s">
        <v>589</v>
      </c>
      <c r="I6" s="65" t="s">
        <v>590</v>
      </c>
      <c r="J6" s="65" t="s">
        <v>591</v>
      </c>
      <c r="K6" s="70" t="s">
        <v>592</v>
      </c>
      <c r="L6" s="70" t="s">
        <v>593</v>
      </c>
      <c r="M6" s="70" t="s">
        <v>594</v>
      </c>
      <c r="N6" s="70" t="s">
        <v>595</v>
      </c>
      <c r="O6" s="70" t="s">
        <v>596</v>
      </c>
      <c r="P6" s="70" t="s">
        <v>597</v>
      </c>
      <c r="Q6" s="70" t="s">
        <v>598</v>
      </c>
      <c r="R6" s="70" t="s">
        <v>599</v>
      </c>
      <c r="S6" s="70" t="s">
        <v>600</v>
      </c>
      <c r="T6" s="70" t="s">
        <v>601</v>
      </c>
    </row>
    <row r="7" spans="1:21">
      <c r="A7" s="91" t="s">
        <v>581</v>
      </c>
      <c r="B7" s="89">
        <v>3.4000000000000002E-2</v>
      </c>
      <c r="C7" s="88" t="s">
        <v>582</v>
      </c>
      <c r="D7" s="90">
        <v>39162</v>
      </c>
      <c r="E7" s="90">
        <v>39174</v>
      </c>
      <c r="F7" s="90">
        <v>42816</v>
      </c>
      <c r="G7" s="92">
        <v>102.422</v>
      </c>
      <c r="H7" s="92">
        <v>102.4224</v>
      </c>
      <c r="I7" s="93">
        <v>103.40422222222222</v>
      </c>
      <c r="J7" s="3" t="str">
        <f ca="1">_xll.qlSchedule(A7&amp;"_portfolioSchedule",D7,F7,C7,"China",,,,,,,,,TRUE)</f>
        <v>070003.IB_portfolioSchedule#0008</v>
      </c>
      <c r="K7" s="3" t="str">
        <f ca="1">_xll.qlFixedRateBond(A7&amp;"_portfolio_bond",,"CNY",1,,J7,B7,"Bond Basis",,,D7,"China",,,TRUE)</f>
        <v>070003.IB_portfolio_bond#0008</v>
      </c>
      <c r="L7" s="59">
        <f ca="1">_xll.qlBondAccruedAmount(K7,$H$3)</f>
        <v>1.086111111111121</v>
      </c>
      <c r="M7" s="59">
        <f ca="1">_xll.qlBondCleanPriceFromYieldTermStructure($K7,'Bumped Curve Snap'!C$3,$H$3)+$L7</f>
        <v>104.1598400279332</v>
      </c>
      <c r="N7" s="59">
        <f ca="1">_xll.qlBondCleanPriceFromYieldTermStructure($K7,'Bumped Curve Snap'!D$3,$H$3)+$L7</f>
        <v>104.15974539632539</v>
      </c>
      <c r="O7" s="59">
        <f ca="1">_xll.qlBondCleanPriceFromYieldTermStructure($K7,'Bumped Curve Snap'!E$3,$H$3)+$L7</f>
        <v>104.15482539692927</v>
      </c>
      <c r="P7" s="59">
        <f ca="1">_xll.qlBondCleanPriceFromYieldTermStructure($K7,'Bumped Curve Snap'!F$3,$H$3)+$L7</f>
        <v>104.12084623043889</v>
      </c>
      <c r="Q7" s="59">
        <f ca="1">_xll.qlBondCleanPriceFromYieldTermStructure($K7,'Bumped Curve Snap'!G$3,$H$3)+$L7</f>
        <v>104.1598400279165</v>
      </c>
      <c r="R7" s="59">
        <f ca="1">_xll.qlBondCleanPriceFromYieldTermStructure($K7,'Bumped Curve Snap'!H$3,$H$3)+$L7</f>
        <v>104.1598400279165</v>
      </c>
      <c r="S7" s="59">
        <f ca="1">_xll.qlBondCleanPriceFromYieldTermStructure($K7,'Bumped Curve Snap'!I$3,$H$3)+$L7</f>
        <v>104.1598400279165</v>
      </c>
      <c r="T7" s="59">
        <f ca="1">_xll.qlBondCleanPriceFromYieldTermStructure($K7,'Bumped Curve Snap'!J$3,$H$3)+$L7</f>
        <v>104.1157198603987</v>
      </c>
    </row>
    <row r="8" spans="1:21">
      <c r="A8" s="91" t="s">
        <v>583</v>
      </c>
      <c r="B8" s="89">
        <v>2.58E-2</v>
      </c>
      <c r="C8" s="88" t="s">
        <v>584</v>
      </c>
      <c r="D8" s="90">
        <v>40415</v>
      </c>
      <c r="E8" s="90">
        <v>40422</v>
      </c>
      <c r="F8" s="90">
        <v>42242</v>
      </c>
      <c r="G8" s="92">
        <v>100.0227</v>
      </c>
      <c r="H8" s="92">
        <v>100.0217</v>
      </c>
      <c r="I8" s="93">
        <v>102.24436666666668</v>
      </c>
      <c r="J8" s="3" t="str">
        <f ca="1">_xll.qlSchedule(A8&amp;"_portfolioSchedule",D8,F8,C8,"China",,,,,,,,,TRUE)</f>
        <v>100028.IB_portfolioSchedule#0008</v>
      </c>
      <c r="K8" s="3" t="str">
        <f ca="1">_xll.qlFixedRateBond(A8&amp;"_portfolio_bond",,"CNY",1,,J8,B8,"Bond Basis",,,D8,"China",,,TRUE)</f>
        <v>100028.IB_portfolio_bond#0008</v>
      </c>
      <c r="L8" s="59">
        <f ca="1">_xll.qlBondAccruedAmount(K8,$H$3)</f>
        <v>2.3004999999999942</v>
      </c>
      <c r="M8" s="59">
        <f ca="1">_xll.qlBondCleanPriceFromYieldTermStructure($K8,'Bumped Curve Snap'!C$3,$H$3)+$L8</f>
        <v>102.61865973900683</v>
      </c>
      <c r="N8" s="59">
        <f ca="1">_xll.qlBondCleanPriceFromYieldTermStructure($K8,'Bumped Curve Snap'!D$3,$H$3)+$L8</f>
        <v>102.61864437307646</v>
      </c>
      <c r="O8" s="59">
        <f ca="1">_xll.qlBondCleanPriceFromYieldTermStructure($K8,'Bumped Curve Snap'!E$3,$H$3)+$L8</f>
        <v>102.59995869345197</v>
      </c>
      <c r="P8" s="59">
        <f ca="1">_xll.qlBondCleanPriceFromYieldTermStructure($K8,'Bumped Curve Snap'!F$3,$H$3)+$L8</f>
        <v>102.60768701400498</v>
      </c>
      <c r="Q8" s="59">
        <f ca="1">_xll.qlBondCleanPriceFromYieldTermStructure($K8,'Bumped Curve Snap'!G$3,$H$3)+$L8</f>
        <v>102.61865973900676</v>
      </c>
      <c r="R8" s="59">
        <f ca="1">_xll.qlBondCleanPriceFromYieldTermStructure($K8,'Bumped Curve Snap'!H$3,$H$3)+$L8</f>
        <v>102.61865973900676</v>
      </c>
      <c r="S8" s="59">
        <f ca="1">_xll.qlBondCleanPriceFromYieldTermStructure($K8,'Bumped Curve Snap'!I$3,$H$3)+$L8</f>
        <v>102.61865973900676</v>
      </c>
      <c r="T8" s="59">
        <f ca="1">_xll.qlBondCleanPriceFromYieldTermStructure($K8,'Bumped Curve Snap'!J$3,$H$3)+$L8</f>
        <v>102.58895739035758</v>
      </c>
    </row>
    <row r="9" spans="1:21">
      <c r="A9" s="91" t="s">
        <v>585</v>
      </c>
      <c r="B9" s="89">
        <v>3.1E-2</v>
      </c>
      <c r="C9" s="88" t="s">
        <v>584</v>
      </c>
      <c r="D9" s="90">
        <v>40464</v>
      </c>
      <c r="E9" s="90">
        <v>40471</v>
      </c>
      <c r="F9" s="90">
        <v>43022</v>
      </c>
      <c r="G9" s="92">
        <v>100.59950000000001</v>
      </c>
      <c r="H9" s="92">
        <v>100.5998</v>
      </c>
      <c r="I9" s="93">
        <v>102.8556111111111</v>
      </c>
      <c r="J9" s="3" t="str">
        <f ca="1">_xll.qlSchedule(A9&amp;"_portfolioSchedule",D9,F9,C9,"China",,,,,,,,,TRUE)</f>
        <v>100032.IB_portfolioSchedule#0008</v>
      </c>
      <c r="K9" s="3" t="str">
        <f ca="1">_xll.qlFixedRateBond(A9&amp;"_portfolio_bond",,"CNY",1,,J9,B9,"Bond Basis",,,D9,"China",,,TRUE)</f>
        <v>100032.IB_portfolio_bond#0008</v>
      </c>
      <c r="L9" s="59">
        <f ca="1">_xll.qlBondAccruedAmount(K9,$H$3)</f>
        <v>2.3508333333333242</v>
      </c>
      <c r="M9" s="59">
        <f ca="1">_xll.qlBondCleanPriceFromYieldTermStructure($K9,'Bumped Curve Snap'!C$3,$H$3)+$L9</f>
        <v>103.62690625298087</v>
      </c>
      <c r="N9" s="59">
        <f ca="1">_xll.qlBondCleanPriceFromYieldTermStructure($K9,'Bumped Curve Snap'!D$3,$H$3)+$L9</f>
        <v>103.62686824448528</v>
      </c>
      <c r="O9" s="59">
        <f ca="1">_xll.qlBondCleanPriceFromYieldTermStructure($K9,'Bumped Curve Snap'!E$3,$H$3)+$L9</f>
        <v>103.62678015252558</v>
      </c>
      <c r="P9" s="59">
        <f ca="1">_xll.qlBondCleanPriceFromYieldTermStructure($K9,'Bumped Curve Snap'!F$3,$H$3)+$L9</f>
        <v>103.58057518948745</v>
      </c>
      <c r="Q9" s="59">
        <f ca="1">_xll.qlBondCleanPriceFromYieldTermStructure($K9,'Bumped Curve Snap'!G$3,$H$3)+$L9</f>
        <v>103.62457014060192</v>
      </c>
      <c r="R9" s="59">
        <f ca="1">_xll.qlBondCleanPriceFromYieldTermStructure($K9,'Bumped Curve Snap'!H$3,$H$3)+$L9</f>
        <v>103.62690625293148</v>
      </c>
      <c r="S9" s="59">
        <f ca="1">_xll.qlBondCleanPriceFromYieldTermStructure($K9,'Bumped Curve Snap'!I$3,$H$3)+$L9</f>
        <v>103.62690625293148</v>
      </c>
      <c r="T9" s="59">
        <f ca="1">_xll.qlBondCleanPriceFromYieldTermStructure($K9,'Bumped Curve Snap'!J$3,$H$3)+$L9</f>
        <v>103.57803869944642</v>
      </c>
    </row>
    <row r="10" spans="1:21">
      <c r="A10" s="91" t="s">
        <v>586</v>
      </c>
      <c r="B10" s="89">
        <v>3.4099999999999998E-2</v>
      </c>
      <c r="C10" s="88" t="s">
        <v>584</v>
      </c>
      <c r="D10" s="90">
        <v>40975</v>
      </c>
      <c r="E10" s="90">
        <v>40982</v>
      </c>
      <c r="F10" s="90">
        <v>43532</v>
      </c>
      <c r="G10" s="92">
        <v>101.8312</v>
      </c>
      <c r="H10" s="92">
        <v>101.7715</v>
      </c>
      <c r="I10" s="93">
        <v>102.94892222222221</v>
      </c>
      <c r="J10" s="3" t="str">
        <f ca="1">_xll.qlSchedule(A10&amp;"_portfolioSchedule",D10,F10,C10,"China",,,,,,,,,TRUE)</f>
        <v>120005.IB_portfolioSchedule#0008</v>
      </c>
      <c r="K10" s="3" t="str">
        <f ca="1">_xll.qlFixedRateBond(A10&amp;"_portfolio_bond",,"CNY",1,,J10,B10,"Bond Basis",,,D10,"China",,,TRUE)</f>
        <v>120005.IB_portfolio_bond#0008</v>
      </c>
      <c r="L10" s="59">
        <f ca="1">_xll.qlBondAccruedAmount(K10,$H$3)</f>
        <v>1.221916666666667</v>
      </c>
      <c r="M10" s="59">
        <f ca="1">_xll.qlBondCleanPriceFromYieldTermStructure($K10,'Bumped Curve Snap'!C$3,$H$3)+$L10</f>
        <v>103.02326749061348</v>
      </c>
      <c r="N10" s="59">
        <f ca="1">_xll.qlBondCleanPriceFromYieldTermStructure($K10,'Bumped Curve Snap'!D$3,$H$3)+$L10</f>
        <v>103.0232029619639</v>
      </c>
      <c r="O10" s="59">
        <f ca="1">_xll.qlBondCleanPriceFromYieldTermStructure($K10,'Bumped Curve Snap'!E$3,$H$3)+$L10</f>
        <v>103.02312837870322</v>
      </c>
      <c r="P10" s="59">
        <f ca="1">_xll.qlBondCleanPriceFromYieldTermStructure($K10,'Bumped Curve Snap'!F$3,$H$3)+$L10</f>
        <v>102.9825159841418</v>
      </c>
      <c r="Q10" s="59">
        <f ca="1">_xll.qlBondCleanPriceFromYieldTermStructure($K10,'Bumped Curve Snap'!G$3,$H$3)+$L10</f>
        <v>103.00364885333077</v>
      </c>
      <c r="R10" s="59">
        <f ca="1">_xll.qlBondCleanPriceFromYieldTermStructure($K10,'Bumped Curve Snap'!H$3,$H$3)+$L10</f>
        <v>103.02326749056171</v>
      </c>
      <c r="S10" s="59">
        <f ca="1">_xll.qlBondCleanPriceFromYieldTermStructure($K10,'Bumped Curve Snap'!I$3,$H$3)+$L10</f>
        <v>103.02326749056171</v>
      </c>
      <c r="T10" s="59">
        <f ca="1">_xll.qlBondCleanPriceFromYieldTermStructure($K10,'Bumped Curve Snap'!J$3,$H$3)+$L10</f>
        <v>102.96267445102234</v>
      </c>
    </row>
    <row r="11" spans="1:21">
      <c r="A11" s="91" t="s">
        <v>603</v>
      </c>
      <c r="B11" s="89">
        <v>3.5700000000000003E-2</v>
      </c>
      <c r="C11" s="88" t="s">
        <v>582</v>
      </c>
      <c r="D11" s="90">
        <v>40863</v>
      </c>
      <c r="E11" s="90">
        <v>40870</v>
      </c>
      <c r="F11" s="90">
        <v>44517</v>
      </c>
      <c r="G11" s="92">
        <v>101.67230000000001</v>
      </c>
      <c r="H11" s="92">
        <v>101.783</v>
      </c>
      <c r="I11" s="93">
        <v>102.15821666666668</v>
      </c>
      <c r="J11" s="3" t="str">
        <f ca="1">_xll.qlSchedule(A11&amp;"_portfolioSchedule",D11,F11,C11,"China",,,,,,,,,TRUE)</f>
        <v>110024.IB_portfolioSchedule#0008</v>
      </c>
      <c r="K11" s="3" t="str">
        <f ca="1">_xll.qlFixedRateBond(A11&amp;"_portfolio_bond",,"CNY",1,,J11,B11,"Bond Basis",,,D11,"China",,,TRUE)</f>
        <v>110024.IB_portfolio_bond#0008</v>
      </c>
      <c r="L11" s="59">
        <f ca="1">_xll.qlBondAccruedAmount(K11,$H$3)</f>
        <v>0.59499999999998998</v>
      </c>
      <c r="M11" s="59">
        <f ca="1">_xll.qlBondCleanPriceFromYieldTermStructure($K11,'Bumped Curve Snap'!C$3,$H$3)+$L11</f>
        <v>103.01204351822761</v>
      </c>
      <c r="N11" s="59">
        <f ca="1">_xll.qlBondCleanPriceFromYieldTermStructure($K11,'Bumped Curve Snap'!D$3,$H$3)+$L11</f>
        <v>103.01199544987419</v>
      </c>
      <c r="O11" s="59">
        <f ca="1">_xll.qlBondCleanPriceFromYieldTermStructure($K11,'Bumped Curve Snap'!E$3,$H$3)+$L11</f>
        <v>103.01191374442269</v>
      </c>
      <c r="P11" s="59">
        <f ca="1">_xll.qlBondCleanPriceFromYieldTermStructure($K11,'Bumped Curve Snap'!F$3,$H$3)+$L11</f>
        <v>103.0005525921063</v>
      </c>
      <c r="Q11" s="59">
        <f ca="1">_xll.qlBondCleanPriceFromYieldTermStructure($K11,'Bumped Curve Snap'!G$3,$H$3)+$L11</f>
        <v>102.94299900779342</v>
      </c>
      <c r="R11" s="59">
        <f ca="1">_xll.qlBondCleanPriceFromYieldTermStructure($K11,'Bumped Curve Snap'!H$3,$H$3)+$L11</f>
        <v>103.0120435182418</v>
      </c>
      <c r="S11" s="59">
        <f ca="1">_xll.qlBondCleanPriceFromYieldTermStructure($K11,'Bumped Curve Snap'!I$3,$H$3)+$L11</f>
        <v>103.0120435182418</v>
      </c>
      <c r="T11" s="59">
        <f ca="1">_xll.qlBondCleanPriceFromYieldTermStructure($K11,'Bumped Curve Snap'!J$3,$H$3)+$L11</f>
        <v>102.93131862539732</v>
      </c>
    </row>
    <row r="12" spans="1:21">
      <c r="A12" s="91" t="s">
        <v>587</v>
      </c>
      <c r="B12" s="89">
        <v>3.6499999999999998E-2</v>
      </c>
      <c r="C12" s="88" t="s">
        <v>584</v>
      </c>
      <c r="D12" s="90">
        <v>40828</v>
      </c>
      <c r="E12" s="90">
        <v>40835</v>
      </c>
      <c r="F12" s="90">
        <v>43386</v>
      </c>
      <c r="G12" s="92">
        <v>102.2551</v>
      </c>
      <c r="H12" s="92">
        <v>102.2543</v>
      </c>
      <c r="I12" s="93">
        <v>104.92162777777779</v>
      </c>
      <c r="J12" s="3" t="str">
        <f ca="1">_xll.qlSchedule(A12&amp;"_portfolioSchedule",D12,F12,C12,"China",,,,,,,,,TRUE)</f>
        <v>110021.IB_portfolioSchedule#0008</v>
      </c>
      <c r="K12" s="3" t="str">
        <f ca="1">_xll.qlFixedRateBond(A12&amp;"_portfolio_bond",,"CNY",1,,J12,B12,"Bond Basis",,,D12,"China",,,TRUE)</f>
        <v>110021.IB_portfolio_bond#0008</v>
      </c>
      <c r="L12" s="59">
        <f ca="1">_xll.qlBondAccruedAmount(K12,$H$3)</f>
        <v>2.7780555555555475</v>
      </c>
      <c r="M12" s="59">
        <f ca="1">_xll.qlBondCleanPriceFromYieldTermStructure($K12,'Bumped Curve Snap'!C$3,$H$3)+$L12</f>
        <v>105.29554624116444</v>
      </c>
      <c r="N12" s="59">
        <f ca="1">_xll.qlBondCleanPriceFromYieldTermStructure($K12,'Bumped Curve Snap'!D$3,$H$3)+$L12</f>
        <v>105.29549210972246</v>
      </c>
      <c r="O12" s="59">
        <f ca="1">_xll.qlBondCleanPriceFromYieldTermStructure($K12,'Bumped Curve Snap'!E$3,$H$3)+$L12</f>
        <v>105.29534073952962</v>
      </c>
      <c r="P12" s="59">
        <f ca="1">_xll.qlBondCleanPriceFromYieldTermStructure($K12,'Bumped Curve Snap'!F$3,$H$3)+$L12</f>
        <v>105.25236541880783</v>
      </c>
      <c r="Q12" s="59">
        <f ca="1">_xll.qlBondCleanPriceFromYieldTermStructure($K12,'Bumped Curve Snap'!G$3,$H$3)+$L12</f>
        <v>105.28150456686163</v>
      </c>
      <c r="R12" s="59">
        <f ca="1">_xll.qlBondCleanPriceFromYieldTermStructure($K12,'Bumped Curve Snap'!H$3,$H$3)+$L12</f>
        <v>105.29554624116864</v>
      </c>
      <c r="S12" s="59">
        <f ca="1">_xll.qlBondCleanPriceFromYieldTermStructure($K12,'Bumped Curve Snap'!I$3,$H$3)+$L12</f>
        <v>105.29554624116864</v>
      </c>
      <c r="T12" s="59">
        <f ca="1">_xll.qlBondCleanPriceFromYieldTermStructure($K12,'Bumped Curve Snap'!J$3,$H$3)+$L12</f>
        <v>105.23802287025846</v>
      </c>
    </row>
    <row r="13" spans="1:21">
      <c r="A13" s="91" t="s">
        <v>602</v>
      </c>
      <c r="B13" s="89">
        <v>3.1399999999999997E-2</v>
      </c>
      <c r="C13" s="88" t="s">
        <v>584</v>
      </c>
      <c r="D13" s="90">
        <v>40954</v>
      </c>
      <c r="E13" s="90">
        <v>40961</v>
      </c>
      <c r="F13" s="90">
        <v>42782</v>
      </c>
      <c r="G13" s="92">
        <v>101.4556</v>
      </c>
      <c r="H13" s="92">
        <v>101.38420000000001</v>
      </c>
      <c r="I13" s="93">
        <v>102.67671111111112</v>
      </c>
      <c r="J13" s="3" t="str">
        <f ca="1">_xll.qlSchedule(A13&amp;"_portfolioSchedule",D13,F13,C13,"China",,,,,,,,,TRUE)</f>
        <v>120003.IB_portfolioSchedule#0008</v>
      </c>
      <c r="K13" s="3" t="str">
        <f ca="1">_xll.qlFixedRateBond(A13&amp;"_portfolio_bond",,"CNY",1,,J13,B13,"Bond Basis",,,D13,"China",,,TRUE)</f>
        <v>120003.IB_portfolio_bond#0008</v>
      </c>
      <c r="L13" s="59">
        <f ca="1">_xll.qlBondAccruedAmount(K13,$H$3)</f>
        <v>1.3170555555555463</v>
      </c>
      <c r="M13" s="59">
        <f ca="1">_xll.qlBondCleanPriceFromYieldTermStructure($K13,'Bumped Curve Snap'!C$3,$H$3)+$L13</f>
        <v>103.18172856779356</v>
      </c>
      <c r="N13" s="59">
        <f ca="1">_xll.qlBondCleanPriceFromYieldTermStructure($K13,'Bumped Curve Snap'!D$3,$H$3)+$L13</f>
        <v>103.18165390006355</v>
      </c>
      <c r="O13" s="59">
        <f ca="1">_xll.qlBondCleanPriceFromYieldTermStructure($K13,'Bumped Curve Snap'!E$3,$H$3)+$L13</f>
        <v>103.17553514500423</v>
      </c>
      <c r="P13" s="59">
        <f ca="1">_xll.qlBondCleanPriceFromYieldTermStructure($K13,'Bumped Curve Snap'!F$3,$H$3)+$L13</f>
        <v>103.14473711204792</v>
      </c>
      <c r="Q13" s="59">
        <f ca="1">_xll.qlBondCleanPriceFromYieldTermStructure($K13,'Bumped Curve Snap'!G$3,$H$3)+$L13</f>
        <v>103.18172856775645</v>
      </c>
      <c r="R13" s="59">
        <f ca="1">_xll.qlBondCleanPriceFromYieldTermStructure($K13,'Bumped Curve Snap'!H$3,$H$3)+$L13</f>
        <v>103.18172856775645</v>
      </c>
      <c r="S13" s="59">
        <f ca="1">_xll.qlBondCleanPriceFromYieldTermStructure($K13,'Bumped Curve Snap'!I$3,$H$3)+$L13</f>
        <v>103.18172856775645</v>
      </c>
      <c r="T13" s="59">
        <f ca="1">_xll.qlBondCleanPriceFromYieldTermStructure($K13,'Bumped Curve Snap'!J$3,$H$3)+$L13</f>
        <v>103.13843965323696</v>
      </c>
    </row>
    <row r="14" spans="1:21">
      <c r="A14" s="91" t="s">
        <v>611</v>
      </c>
      <c r="B14" s="89">
        <v>3.1399999999999997E-2</v>
      </c>
      <c r="C14" s="88" t="s">
        <v>584</v>
      </c>
      <c r="D14" s="90">
        <v>41066</v>
      </c>
      <c r="E14" s="90">
        <v>41073</v>
      </c>
      <c r="F14" s="90">
        <v>43623</v>
      </c>
      <c r="G14" s="92">
        <v>100.1807</v>
      </c>
      <c r="H14" s="92">
        <v>100.22880000000001</v>
      </c>
      <c r="I14" s="93">
        <v>100.43364444444444</v>
      </c>
      <c r="J14" s="3" t="str">
        <f ca="1">_xll.qlSchedule(A14&amp;"_portfolioSchedule",D14,F14,C14,"China",,,,,,,,,TRUE)</f>
        <v>120010.IB_portfolioSchedule#0008</v>
      </c>
      <c r="K14" s="3" t="str">
        <f ca="1">_xll.qlFixedRateBond(A14&amp;"_portfolio_bond",,"CNY",1,,J14,B14,"Bond Basis",,,D14,"China",,,TRUE)</f>
        <v>120010.IB_portfolio_bond#0008</v>
      </c>
      <c r="L14" s="59">
        <f ca="1">_xll.qlBondAccruedAmount(K14,$H$3)</f>
        <v>0.34888888888888742</v>
      </c>
      <c r="M14" s="59">
        <f ca="1">_xll.qlBondCleanPriceFromYieldTermStructure($K14,'Bumped Curve Snap'!C$3,$H$3)+$L14</f>
        <v>100.81737241342807</v>
      </c>
      <c r="N14" s="59">
        <f ca="1">_xll.qlBondCleanPriceFromYieldTermStructure($K14,'Bumped Curve Snap'!D$3,$H$3)+$L14</f>
        <v>100.81734768778898</v>
      </c>
      <c r="O14" s="59">
        <f ca="1">_xll.qlBondCleanPriceFromYieldTermStructure($K14,'Bumped Curve Snap'!E$3,$H$3)+$L14</f>
        <v>100.8173324190731</v>
      </c>
      <c r="P14" s="59">
        <f ca="1">_xll.qlBondCleanPriceFromYieldTermStructure($K14,'Bumped Curve Snap'!F$3,$H$3)+$L14</f>
        <v>100.77858627559323</v>
      </c>
      <c r="Q14" s="59">
        <f ca="1">_xll.qlBondCleanPriceFromYieldTermStructure($K14,'Bumped Curve Snap'!G$3,$H$3)+$L14</f>
        <v>100.7941214953168</v>
      </c>
      <c r="R14" s="59">
        <f ca="1">_xll.qlBondCleanPriceFromYieldTermStructure($K14,'Bumped Curve Snap'!H$3,$H$3)+$L14</f>
        <v>100.8173724134017</v>
      </c>
      <c r="S14" s="59">
        <f ca="1">_xll.qlBondCleanPriceFromYieldTermStructure($K14,'Bumped Curve Snap'!I$3,$H$3)+$L14</f>
        <v>100.8173724134017</v>
      </c>
      <c r="T14" s="59">
        <f ca="1">_xll.qlBondCleanPriceFromYieldTermStructure($K14,'Bumped Curve Snap'!J$3,$H$3)+$L14</f>
        <v>100.7552784725586</v>
      </c>
      <c r="U14" s="110">
        <v>1.0083165390439712</v>
      </c>
    </row>
    <row r="15" spans="1:21">
      <c r="J15" s="3"/>
    </row>
    <row r="16" spans="1:21">
      <c r="A16" s="3" t="s">
        <v>1308</v>
      </c>
      <c r="B16" s="3" t="s">
        <v>1310</v>
      </c>
      <c r="C16" s="3" t="s">
        <v>1311</v>
      </c>
      <c r="D16" s="3" t="s">
        <v>1312</v>
      </c>
      <c r="E16" s="3" t="s">
        <v>1314</v>
      </c>
      <c r="F16" s="3" t="s">
        <v>1316</v>
      </c>
      <c r="G16" s="3" t="s">
        <v>1317</v>
      </c>
      <c r="H16" s="3" t="s">
        <v>1315</v>
      </c>
      <c r="I16" s="3" t="s">
        <v>1318</v>
      </c>
      <c r="J16" s="3" t="s">
        <v>1319</v>
      </c>
      <c r="K16" s="3" t="s">
        <v>1320</v>
      </c>
      <c r="M16" s="3" t="s">
        <v>1324</v>
      </c>
      <c r="N16" s="70" t="s">
        <v>595</v>
      </c>
      <c r="O16" s="70" t="s">
        <v>596</v>
      </c>
      <c r="P16" s="70" t="s">
        <v>597</v>
      </c>
      <c r="Q16" s="70" t="s">
        <v>598</v>
      </c>
      <c r="R16" s="70" t="s">
        <v>599</v>
      </c>
      <c r="S16" s="70" t="s">
        <v>600</v>
      </c>
      <c r="T16" s="70" t="s">
        <v>601</v>
      </c>
    </row>
    <row r="17" spans="1:21">
      <c r="A17" s="3" t="s">
        <v>1309</v>
      </c>
      <c r="B17" s="184">
        <v>3.2712499999999992E-2</v>
      </c>
      <c r="C17" s="3" t="s">
        <v>1313</v>
      </c>
      <c r="D17" s="4">
        <v>41106</v>
      </c>
      <c r="E17" s="3" t="s">
        <v>1309</v>
      </c>
      <c r="F17" s="4">
        <f ca="1">_xll.qlCalendarAdvance("china",D17,"2D")</f>
        <v>41108</v>
      </c>
      <c r="G17" s="4">
        <f ca="1">_xll.qlCalendarAdvance("null",F17,E17)</f>
        <v>42203</v>
      </c>
      <c r="H17" s="3" t="str">
        <f ca="1">_xll.qlSchedule(A17&amp;"_"&amp;H16,F17,G17,"6M","NullCalendar","Following","Following","Backward",,,,,,TRUE)</f>
        <v>3Y_Fixed Schedule#0008</v>
      </c>
      <c r="I17" s="3" t="str">
        <f ca="1">_xll.qlSchedule(A17&amp;"_"&amp;I16,F17,G17,C17,"NullCalendar","Following","Following","Backward",,,,,,TRUE)</f>
        <v>3Y_Float Schedule#0008</v>
      </c>
      <c r="J17" s="3" t="str">
        <f ca="1">_xll.qlEuribor(C17&amp;"_"&amp;J16,C17,'Bumped Curve Snap'!C217,,,TRUE)</f>
        <v>3M_Index#0007</v>
      </c>
      <c r="K17" s="3" t="str">
        <f ca="1">_xll.qlVanillaSwap(A17&amp;"-"&amp;K16,"Receiver",100,H17,B17,"Bond Basis",I17,J17,0,"Actual/360",,,TRUE)</f>
        <v>3Y-Vanilla Swap#0007</v>
      </c>
      <c r="M17" s="3">
        <f ca="1">_xll.qlInstrumentNPV(M21,M20)</f>
        <v>0.95218393567892967</v>
      </c>
      <c r="N17" s="3">
        <f ca="1">_xll.qlInstrumentNPV(N21,N20)</f>
        <v>0.95223697299136489</v>
      </c>
      <c r="O17" s="3">
        <f ca="1">_xll.qlInstrumentNPV(O21,O20)</f>
        <v>0.93331207771317004</v>
      </c>
      <c r="P17" s="3">
        <f ca="1">_xll.qlInstrumentNPV(P21,P20)</f>
        <v>0.94278827779359631</v>
      </c>
      <c r="Q17" s="3">
        <f ca="1">_xll.qlInstrumentNPV(Q21,Q20)</f>
        <v>0.95218393563571802</v>
      </c>
      <c r="R17" s="3">
        <f ca="1">_xll.qlInstrumentNPV(R21,R20)</f>
        <v>0.95218393563571802</v>
      </c>
      <c r="S17" s="3">
        <f ca="1">_xll.qlInstrumentNPV(S21,S20)</f>
        <v>0.95218393563571802</v>
      </c>
      <c r="T17" s="3">
        <f ca="1">_xll.qlInstrumentNPV(T21,T20)</f>
        <v>0.92395239430756426</v>
      </c>
    </row>
    <row r="18" spans="1:21">
      <c r="J18" s="3"/>
      <c r="M18" s="3" t="str">
        <f ca="1">_xll.qlEuribor($C$17&amp;"-"&amp;$J$16&amp;"-"&amp;M16,$C$17,'Bumped Curve Snap'!C217,,,TRUE)</f>
        <v>3M-Index-Base#0007</v>
      </c>
      <c r="N18" s="3" t="str">
        <f ca="1">_xll.qlEuribor($C$17&amp;"-"&amp;$J$16&amp;"-"&amp;N16,$C$17,'Bumped Curve Snap'!D217,,,TRUE)</f>
        <v>3M-Index-1Y#0007</v>
      </c>
      <c r="O18" s="3" t="str">
        <f ca="1">_xll.qlEuribor($C$17&amp;"-"&amp;$J$16&amp;"-"&amp;O16,$C$17,'Bumped Curve Snap'!E217,,,TRUE)</f>
        <v>3M-Index-2Y#0007</v>
      </c>
      <c r="P18" s="3" t="str">
        <f ca="1">_xll.qlEuribor($C$17&amp;"-"&amp;$J$16&amp;"-"&amp;P16,$C$17,'Bumped Curve Snap'!F217,,,TRUE)</f>
        <v>3M-Index-5Y#0007</v>
      </c>
      <c r="Q18" s="3" t="str">
        <f ca="1">_xll.qlEuribor($C$17&amp;"-"&amp;$J$16&amp;"-"&amp;Q16,$C$17,'Bumped Curve Snap'!G217,,,TRUE)</f>
        <v>3M-Index-10Y#0007</v>
      </c>
      <c r="R18" s="3" t="str">
        <f ca="1">_xll.qlEuribor($C$17&amp;"-"&amp;$J$16&amp;"-"&amp;R16,$C$17,'Bumped Curve Snap'!H217,,,TRUE)</f>
        <v>3M-Index-20Y#0007</v>
      </c>
      <c r="S18" s="3" t="str">
        <f ca="1">_xll.qlEuribor($C$17&amp;"-"&amp;$J$16&amp;"-"&amp;S16,$C$17,'Bumped Curve Snap'!I217,,,TRUE)</f>
        <v>3M-Index-30Y#0007</v>
      </c>
      <c r="T18" s="3" t="str">
        <f ca="1">_xll.qlEuribor($C$17&amp;"-"&amp;$J$16&amp;"-"&amp;T16,$C$17,'Bumped Curve Snap'!J217,,,TRUE)</f>
        <v>3M-Index-Paralell#0007</v>
      </c>
    </row>
    <row r="19" spans="1:21">
      <c r="J19" s="3"/>
      <c r="M19" s="3" t="str">
        <f ca="1">_xll.qlDiscountingSwapEngine(M16&amp;"-Engine",'Bumped Curve Snap'!C217,,$D$17,$D$17,,,TRUE)</f>
        <v>Base-Engine#0007</v>
      </c>
      <c r="N19" s="3" t="str">
        <f ca="1">_xll.qlDiscountingSwapEngine(N16&amp;"-Engine",'Bumped Curve Snap'!D217,,$D$17,$D$17,,,TRUE)</f>
        <v>1Y-Engine#0007</v>
      </c>
      <c r="O19" s="3" t="str">
        <f ca="1">_xll.qlDiscountingSwapEngine(O16&amp;"-Engine",'Bumped Curve Snap'!E217,,$D$17,$D$17,,,TRUE)</f>
        <v>2Y-Engine#0007</v>
      </c>
      <c r="P19" s="3" t="str">
        <f ca="1">_xll.qlDiscountingSwapEngine(P16&amp;"-Engine",'Bumped Curve Snap'!F217,,$D$17,$D$17,,,TRUE)</f>
        <v>5Y-Engine#0007</v>
      </c>
      <c r="Q19" s="3" t="str">
        <f ca="1">_xll.qlDiscountingSwapEngine(Q16&amp;"-Engine",'Bumped Curve Snap'!G217,,$D$17,$D$17,,,TRUE)</f>
        <v>10Y-Engine#0007</v>
      </c>
      <c r="R19" s="3" t="str">
        <f ca="1">_xll.qlDiscountingSwapEngine(R16&amp;"-Engine",'Bumped Curve Snap'!H217,,$D$17,$D$17,,,TRUE)</f>
        <v>20Y-Engine#0007</v>
      </c>
      <c r="S19" s="3" t="str">
        <f ca="1">_xll.qlDiscountingSwapEngine(S16&amp;"-Engine",'Bumped Curve Snap'!I217,,$D$17,$D$17,,,TRUE)</f>
        <v>30Y-Engine#0007</v>
      </c>
      <c r="T19" s="3" t="str">
        <f ca="1">_xll.qlDiscountingSwapEngine(T16&amp;"-Engine",'Bumped Curve Snap'!J217,,$D$17,$D$17,,,TRUE)</f>
        <v>Paralell-Engine#0007</v>
      </c>
    </row>
    <row r="20" spans="1:21">
      <c r="J20" s="3"/>
      <c r="M20" s="3" t="b">
        <f ca="1">_xll.qlInstrumentSetPricingEngine(M21,M19)</f>
        <v>1</v>
      </c>
      <c r="N20" s="3" t="b">
        <f ca="1">_xll.qlInstrumentSetPricingEngine(N21,N19)</f>
        <v>1</v>
      </c>
      <c r="O20" s="3" t="b">
        <f ca="1">_xll.qlInstrumentSetPricingEngine(O21,O19)</f>
        <v>1</v>
      </c>
      <c r="P20" s="3" t="b">
        <f ca="1">_xll.qlInstrumentSetPricingEngine(P21,P19)</f>
        <v>1</v>
      </c>
      <c r="Q20" s="3" t="b">
        <f ca="1">_xll.qlInstrumentSetPricingEngine(Q21,Q19)</f>
        <v>1</v>
      </c>
      <c r="R20" s="3" t="b">
        <f ca="1">_xll.qlInstrumentSetPricingEngine(R21,R19)</f>
        <v>1</v>
      </c>
      <c r="S20" s="3" t="b">
        <f ca="1">_xll.qlInstrumentSetPricingEngine(S21,S19)</f>
        <v>1</v>
      </c>
      <c r="T20" s="3" t="b">
        <f ca="1">_xll.qlInstrumentSetPricingEngine(T21,T19)</f>
        <v>1</v>
      </c>
    </row>
    <row r="21" spans="1:21">
      <c r="J21" s="3"/>
      <c r="M21" s="3" t="str">
        <f ca="1">_xll.qlVanillaSwap($A$17&amp;"-"&amp;$K$16&amp;"-"&amp;M16,"Receiver",100,$H$17,$B$17,"Bond Basis",$I$17,M18,0,"Actual/360",,,TRUE,TRUE)</f>
        <v>3Y-Vanilla Swap-Base#0007</v>
      </c>
      <c r="N21" s="3" t="str">
        <f ca="1">_xll.qlVanillaSwap($A$17&amp;"-"&amp;$K$16&amp;"-"&amp;N16,"Receiver",100,$H$17,$B$17,"Bond Basis",$I$17,N18,0,"Actual/360",,,TRUE,TRUE)</f>
        <v>3Y-Vanilla Swap-1Y#0007</v>
      </c>
      <c r="O21" s="3" t="str">
        <f ca="1">_xll.qlVanillaSwap($A$17&amp;"-"&amp;$K$16&amp;"-"&amp;O16,"Receiver",100,$H$17,$B$17,"Bond Basis",$I$17,O18,0,"Actual/360",,,TRUE,TRUE)</f>
        <v>3Y-Vanilla Swap-2Y#0007</v>
      </c>
      <c r="P21" s="3" t="str">
        <f ca="1">_xll.qlVanillaSwap($A$17&amp;"-"&amp;$K$16&amp;"-"&amp;P16,"Receiver",100,$H$17,$B$17,"Bond Basis",$I$17,P18,0,"Actual/360",,,TRUE,TRUE)</f>
        <v>3Y-Vanilla Swap-5Y#0007</v>
      </c>
      <c r="Q21" s="3" t="str">
        <f ca="1">_xll.qlVanillaSwap($A$17&amp;"-"&amp;$K$16&amp;"-"&amp;Q16,"Receiver",100,$H$17,$B$17,"Bond Basis",$I$17,Q18,0,"Actual/360",,,TRUE,TRUE)</f>
        <v>3Y-Vanilla Swap-10Y#0007</v>
      </c>
      <c r="R21" s="3" t="str">
        <f ca="1">_xll.qlVanillaSwap($A$17&amp;"-"&amp;$K$16&amp;"-"&amp;R16,"Receiver",100,$H$17,$B$17,"Bond Basis",$I$17,R18,0,"Actual/360",,,TRUE,TRUE)</f>
        <v>3Y-Vanilla Swap-20Y#0007</v>
      </c>
      <c r="S21" s="3" t="str">
        <f ca="1">_xll.qlVanillaSwap($A$17&amp;"-"&amp;$K$16&amp;"-"&amp;S16,"Receiver",100,$H$17,$B$17,"Bond Basis",$I$17,S18,0,"Actual/360",,,TRUE,TRUE)</f>
        <v>3Y-Vanilla Swap-30Y#0007</v>
      </c>
      <c r="T21" s="3" t="str">
        <f ca="1">_xll.qlVanillaSwap($A$17&amp;"-"&amp;$K$16&amp;"-"&amp;T16,"Receiver",100,$H$17,$B$17,"Bond Basis",$I$17,T18,0,"Actual/360",,,TRUE,TRUE)</f>
        <v>3Y-Vanilla Swap-Paralell#0007</v>
      </c>
    </row>
    <row r="22" spans="1:21">
      <c r="E22" s="85" t="s">
        <v>613</v>
      </c>
      <c r="F22" s="83"/>
      <c r="G22" s="83"/>
      <c r="H22" s="83"/>
      <c r="I22" s="83" t="s">
        <v>614</v>
      </c>
      <c r="J22" s="83"/>
      <c r="K22" s="83"/>
    </row>
    <row r="23" spans="1:21">
      <c r="E23" s="84" t="s">
        <v>615</v>
      </c>
      <c r="F23" s="84" t="s">
        <v>616</v>
      </c>
      <c r="G23" s="84" t="s">
        <v>617</v>
      </c>
      <c r="H23" s="98" t="s">
        <v>618</v>
      </c>
      <c r="I23" s="84" t="s">
        <v>615</v>
      </c>
      <c r="J23" s="104" t="s">
        <v>619</v>
      </c>
      <c r="K23" s="98" t="s">
        <v>617</v>
      </c>
      <c r="M23" s="71" t="s">
        <v>605</v>
      </c>
      <c r="N23" s="61"/>
      <c r="O23" s="61"/>
      <c r="P23" s="61"/>
      <c r="Q23" s="61"/>
      <c r="R23" s="61"/>
      <c r="S23" s="61"/>
      <c r="T23" s="61"/>
      <c r="U23" s="61"/>
    </row>
    <row r="24" spans="1:21">
      <c r="E24" s="86" t="s">
        <v>581</v>
      </c>
      <c r="F24" s="94">
        <v>103.40422222222222</v>
      </c>
      <c r="G24" s="96">
        <v>4.2957018368497923</v>
      </c>
      <c r="H24" s="99">
        <v>5</v>
      </c>
      <c r="I24" s="86" t="s">
        <v>620</v>
      </c>
      <c r="J24" s="94">
        <v>99.664000000000001</v>
      </c>
      <c r="K24" s="105">
        <v>6.12</v>
      </c>
      <c r="M24" s="58" t="s">
        <v>606</v>
      </c>
      <c r="N24" s="58" t="s">
        <v>595</v>
      </c>
      <c r="O24" s="58" t="s">
        <v>596</v>
      </c>
      <c r="P24" s="58" t="s">
        <v>597</v>
      </c>
      <c r="Q24" s="58" t="s">
        <v>598</v>
      </c>
      <c r="R24" s="58" t="s">
        <v>599</v>
      </c>
      <c r="S24" s="58" t="s">
        <v>600</v>
      </c>
      <c r="T24" s="58" t="s">
        <v>607</v>
      </c>
      <c r="U24" s="78" t="s">
        <v>608</v>
      </c>
    </row>
    <row r="25" spans="1:21">
      <c r="E25" s="86" t="s">
        <v>583</v>
      </c>
      <c r="F25" s="94">
        <v>102.24436666666668</v>
      </c>
      <c r="G25" s="96">
        <v>2.9155661736153697</v>
      </c>
      <c r="H25" s="100">
        <v>5</v>
      </c>
      <c r="I25" s="86"/>
      <c r="J25" s="86"/>
      <c r="K25" s="86"/>
      <c r="M25" s="35" t="str">
        <f ca="1">A7</f>
        <v>070003.IB</v>
      </c>
      <c r="N25" s="72">
        <f t="shared" ref="N25:S28" ca="1" si="0">-N7+$M7</f>
        <v>9.463160780853741E-5</v>
      </c>
      <c r="O25" s="72">
        <f t="shared" ca="1" si="0"/>
        <v>5.0146310039309583E-3</v>
      </c>
      <c r="P25" s="72">
        <f ca="1">-P7+$M7</f>
        <v>3.8993797494313753E-2</v>
      </c>
      <c r="Q25" s="72">
        <f t="shared" ca="1" si="0"/>
        <v>1.6697754290362354E-11</v>
      </c>
      <c r="R25" s="72">
        <f t="shared" ca="1" si="0"/>
        <v>1.6697754290362354E-11</v>
      </c>
      <c r="S25" s="72">
        <f t="shared" ca="1" si="0"/>
        <v>1.6697754290362354E-11</v>
      </c>
      <c r="T25" s="72">
        <f ca="1">SUM(N25:S25)</f>
        <v>4.4103060156146512E-2</v>
      </c>
      <c r="U25" s="79">
        <f ca="1">-T7+M7</f>
        <v>4.412016753450132E-2</v>
      </c>
    </row>
    <row r="26" spans="1:21">
      <c r="E26" s="86" t="s">
        <v>585</v>
      </c>
      <c r="F26" s="94">
        <v>102.855611111111</v>
      </c>
      <c r="G26" s="96">
        <v>4.7054726073289403</v>
      </c>
      <c r="H26" s="100">
        <v>10</v>
      </c>
      <c r="I26" s="86"/>
      <c r="J26" s="86"/>
      <c r="K26" s="86"/>
      <c r="M26" s="35" t="str">
        <f ca="1">A8</f>
        <v>100028.IB</v>
      </c>
      <c r="N26" s="72">
        <f t="shared" ca="1" si="0"/>
        <v>1.5365930366328939E-5</v>
      </c>
      <c r="O26" s="72">
        <f t="shared" ca="1" si="0"/>
        <v>1.8701045554863072E-2</v>
      </c>
      <c r="P26" s="72">
        <f ca="1">-P8+$M8</f>
        <v>1.0972725001849426E-2</v>
      </c>
      <c r="Q26" s="72">
        <f t="shared" ca="1" si="0"/>
        <v>0</v>
      </c>
      <c r="R26" s="72">
        <f t="shared" ca="1" si="0"/>
        <v>0</v>
      </c>
      <c r="S26" s="72">
        <f t="shared" ca="1" si="0"/>
        <v>0</v>
      </c>
      <c r="T26" s="72">
        <f ca="1">SUM(N26:S26)</f>
        <v>2.9689136487078827E-2</v>
      </c>
      <c r="U26" s="79">
        <f ca="1">-T8+M8</f>
        <v>2.9702348649252031E-2</v>
      </c>
    </row>
    <row r="27" spans="1:21">
      <c r="E27" s="86" t="s">
        <v>586</v>
      </c>
      <c r="F27" s="94">
        <v>102.94892222222221</v>
      </c>
      <c r="G27" s="96">
        <v>5.8427867309892196</v>
      </c>
      <c r="H27" s="100">
        <v>15</v>
      </c>
      <c r="I27" s="86"/>
      <c r="J27" s="86"/>
      <c r="K27" s="86"/>
      <c r="M27" s="35" t="str">
        <f ca="1">A9</f>
        <v>100032.IB</v>
      </c>
      <c r="N27" s="72">
        <f t="shared" ca="1" si="0"/>
        <v>3.8008495593544467E-5</v>
      </c>
      <c r="O27" s="72">
        <f t="shared" ca="1" si="0"/>
        <v>1.2610045529015679E-4</v>
      </c>
      <c r="P27" s="72">
        <f ca="1">-P9+$M9</f>
        <v>4.6331063493425972E-2</v>
      </c>
      <c r="Q27" s="72">
        <f t="shared" ca="1" si="0"/>
        <v>2.3361123789555904E-3</v>
      </c>
      <c r="R27" s="72">
        <f t="shared" ca="1" si="0"/>
        <v>4.9396930990042165E-11</v>
      </c>
      <c r="S27" s="72">
        <f t="shared" ca="1" si="0"/>
        <v>4.9396930990042165E-11</v>
      </c>
      <c r="T27" s="72">
        <f ca="1">SUM(N27:S27)</f>
        <v>4.8831284922059126E-2</v>
      </c>
      <c r="U27" s="79">
        <f ca="1">-T9+M9</f>
        <v>4.8867553534449826E-2</v>
      </c>
    </row>
    <row r="28" spans="1:21">
      <c r="E28" s="86" t="s">
        <v>587</v>
      </c>
      <c r="F28" s="94">
        <v>104.92162777777779</v>
      </c>
      <c r="G28" s="96">
        <v>5.4108535628123411</v>
      </c>
      <c r="H28" s="100">
        <v>2</v>
      </c>
      <c r="I28" s="86"/>
      <c r="J28" s="86"/>
      <c r="K28" s="86"/>
      <c r="M28" s="35" t="str">
        <f ca="1">A10</f>
        <v>120005.IB</v>
      </c>
      <c r="N28" s="72">
        <f t="shared" ca="1" si="0"/>
        <v>6.4528649573958319E-5</v>
      </c>
      <c r="O28" s="72">
        <f t="shared" ca="1" si="0"/>
        <v>1.3911191025783864E-4</v>
      </c>
      <c r="P28" s="72">
        <f ca="1">-P10+$M10</f>
        <v>4.0751506471679022E-2</v>
      </c>
      <c r="Q28" s="72">
        <f t="shared" ca="1" si="0"/>
        <v>1.9618637282704299E-2</v>
      </c>
      <c r="R28" s="72">
        <f t="shared" ca="1" si="0"/>
        <v>5.17701437274809E-11</v>
      </c>
      <c r="S28" s="72">
        <f t="shared" ca="1" si="0"/>
        <v>5.17701437274809E-11</v>
      </c>
      <c r="T28" s="72">
        <f ca="1">SUM(N28:S28)</f>
        <v>6.0573784417755405E-2</v>
      </c>
      <c r="U28" s="79">
        <f ca="1">-T10+M10</f>
        <v>6.0593039591140041E-2</v>
      </c>
    </row>
    <row r="29" spans="1:21">
      <c r="E29" s="35" t="str">
        <f ca="1">M30</f>
        <v>110024.IB</v>
      </c>
      <c r="F29" s="93">
        <v>102.15821666666668</v>
      </c>
      <c r="G29" s="96"/>
      <c r="H29" s="101">
        <v>15</v>
      </c>
      <c r="I29" s="103"/>
      <c r="J29" s="103"/>
      <c r="K29" s="103"/>
      <c r="M29" s="35" t="str">
        <f ca="1">A12</f>
        <v>110021.IB</v>
      </c>
      <c r="N29" s="72">
        <f t="shared" ref="N29:S29" ca="1" si="1">-N12+$M12</f>
        <v>5.4131441984850426E-5</v>
      </c>
      <c r="O29" s="72">
        <f t="shared" ca="1" si="1"/>
        <v>2.0550163482369044E-4</v>
      </c>
      <c r="P29" s="72">
        <f ca="1">-P12+$M12</f>
        <v>4.3180822356617909E-2</v>
      </c>
      <c r="Q29" s="72">
        <f t="shared" ca="1" si="1"/>
        <v>1.4041674302816887E-2</v>
      </c>
      <c r="R29" s="72">
        <f t="shared" ca="1" si="1"/>
        <v>-4.1922021409845911E-12</v>
      </c>
      <c r="S29" s="72">
        <f t="shared" ca="1" si="1"/>
        <v>-4.1922021409845911E-12</v>
      </c>
      <c r="T29" s="72">
        <f ca="1">SUM(N29:S29)</f>
        <v>5.7482129727858933E-2</v>
      </c>
      <c r="U29" s="79">
        <f ca="1">-T12+M12</f>
        <v>5.7523370905983029E-2</v>
      </c>
    </row>
    <row r="30" spans="1:21" ht="15.75" thickBot="1">
      <c r="E30" s="82" t="s">
        <v>621</v>
      </c>
      <c r="F30" s="95"/>
      <c r="G30" s="97"/>
      <c r="H30" s="102"/>
      <c r="I30" s="106" t="s">
        <v>612</v>
      </c>
      <c r="J30" s="107" t="e">
        <f ca="1">-H51</f>
        <v>#N/A</v>
      </c>
      <c r="K30" s="108"/>
      <c r="M30" s="35" t="str">
        <f ca="1">A11</f>
        <v>110024.IB</v>
      </c>
      <c r="N30" s="73">
        <f ca="1">-N11+$M11</f>
        <v>4.80683534220816E-5</v>
      </c>
      <c r="O30" s="73">
        <f t="shared" ref="O30:T30" ca="1" si="2">-O11+$M11</f>
        <v>1.2977380492884549E-4</v>
      </c>
      <c r="P30" s="73">
        <f ca="1">-P11+$M11</f>
        <v>1.1490926121311418E-2</v>
      </c>
      <c r="Q30" s="73">
        <f t="shared" ca="1" si="2"/>
        <v>6.9044510434196127E-2</v>
      </c>
      <c r="R30" s="73">
        <f t="shared" ca="1" si="2"/>
        <v>-1.41824330057716E-11</v>
      </c>
      <c r="S30" s="73">
        <f t="shared" ca="1" si="2"/>
        <v>-1.41824330057716E-11</v>
      </c>
      <c r="T30" s="73">
        <f t="shared" ca="1" si="2"/>
        <v>8.0724892830289718E-2</v>
      </c>
      <c r="U30" s="79">
        <f ca="1">-T11+M11</f>
        <v>8.0724892830289718E-2</v>
      </c>
    </row>
    <row r="31" spans="1:21" ht="15.75" thickBot="1">
      <c r="J31" s="3"/>
      <c r="M31" s="74" t="s">
        <v>609</v>
      </c>
      <c r="N31" s="75">
        <f ca="1">SUM(N25:N30)</f>
        <v>3.1473447874930116E-4</v>
      </c>
      <c r="O31" s="75">
        <f t="shared" ref="O31:T31" ca="1" si="3">SUM(O25:O30)</f>
        <v>2.4316164364094561E-2</v>
      </c>
      <c r="P31" s="75">
        <f ca="1">SUM(P25:P30)</f>
        <v>0.1917208409391975</v>
      </c>
      <c r="Q31" s="75">
        <f t="shared" ca="1" si="3"/>
        <v>0.10504093441537066</v>
      </c>
      <c r="R31" s="75">
        <f t="shared" ca="1" si="3"/>
        <v>9.9490193861129228E-11</v>
      </c>
      <c r="S31" s="75">
        <f t="shared" ca="1" si="3"/>
        <v>9.9490193861129228E-11</v>
      </c>
      <c r="T31" s="75">
        <f t="shared" ca="1" si="3"/>
        <v>0.32140428854118852</v>
      </c>
      <c r="U31" s="80">
        <f ca="1">SUM(U25:U30)</f>
        <v>0.32153137304561596</v>
      </c>
    </row>
    <row r="32" spans="1:21">
      <c r="J32" s="3"/>
      <c r="M32" s="61" t="s">
        <v>610</v>
      </c>
      <c r="N32" s="61"/>
      <c r="O32" s="61"/>
      <c r="P32" s="61"/>
      <c r="Q32" s="61"/>
      <c r="R32" s="61"/>
      <c r="S32" s="61"/>
      <c r="T32" s="61"/>
      <c r="U32" s="61"/>
    </row>
    <row r="33" spans="1:21">
      <c r="J33" s="3"/>
      <c r="M33" s="58" t="s">
        <v>606</v>
      </c>
      <c r="N33" s="58" t="s">
        <v>595</v>
      </c>
      <c r="O33" s="58" t="s">
        <v>596</v>
      </c>
      <c r="P33" s="58" t="s">
        <v>597</v>
      </c>
      <c r="Q33" s="58" t="s">
        <v>598</v>
      </c>
      <c r="R33" s="58" t="s">
        <v>599</v>
      </c>
      <c r="S33" s="58" t="s">
        <v>600</v>
      </c>
      <c r="T33" s="58" t="s">
        <v>607</v>
      </c>
      <c r="U33" s="78" t="s">
        <v>608</v>
      </c>
    </row>
    <row r="34" spans="1:21">
      <c r="J34" s="3"/>
      <c r="M34" s="35" t="s">
        <v>604</v>
      </c>
      <c r="N34" s="72">
        <f ca="1">(-N14+$M14)/$U$14</f>
        <v>2.4521703389837296E-5</v>
      </c>
      <c r="O34" s="72">
        <f t="shared" ref="O34:T34" ca="1" si="4">(-O14+$M14)/$U$14</f>
        <v>3.9664483750266555E-5</v>
      </c>
      <c r="P34" s="72">
        <f t="shared" ca="1" si="4"/>
        <v>3.8466231915249893E-2</v>
      </c>
      <c r="Q34" s="72">
        <f t="shared" ca="1" si="4"/>
        <v>2.3059145824701466E-2</v>
      </c>
      <c r="R34" s="72">
        <f t="shared" ca="1" si="4"/>
        <v>2.6157803953530834E-11</v>
      </c>
      <c r="S34" s="72">
        <f t="shared" ca="1" si="4"/>
        <v>2.6157803953530834E-11</v>
      </c>
      <c r="T34" s="72">
        <f t="shared" ca="1" si="4"/>
        <v>6.158179347960295E-2</v>
      </c>
      <c r="U34" s="79">
        <f ca="1">(-T14+$M14)/$U$14</f>
        <v>6.158179347960295E-2</v>
      </c>
    </row>
    <row r="35" spans="1:21">
      <c r="J35" s="3"/>
      <c r="M35" s="35" t="str">
        <f ca="1">A13</f>
        <v>120003.IB</v>
      </c>
      <c r="N35" s="72">
        <f t="shared" ref="N35:T35" ca="1" si="5">-N13+$M13</f>
        <v>7.4667730004307487E-5</v>
      </c>
      <c r="O35" s="72">
        <f t="shared" ca="1" si="5"/>
        <v>6.1934227893232219E-3</v>
      </c>
      <c r="P35" s="72">
        <f t="shared" ca="1" si="5"/>
        <v>3.6991455745635449E-2</v>
      </c>
      <c r="Q35" s="72">
        <f t="shared" ca="1" si="5"/>
        <v>3.7104541661392432E-11</v>
      </c>
      <c r="R35" s="72">
        <f t="shared" ca="1" si="5"/>
        <v>3.7104541661392432E-11</v>
      </c>
      <c r="S35" s="72">
        <f t="shared" ca="1" si="5"/>
        <v>3.7104541661392432E-11</v>
      </c>
      <c r="T35" s="72">
        <f t="shared" ca="1" si="5"/>
        <v>4.3288914556598002E-2</v>
      </c>
      <c r="U35" s="79">
        <f ca="1">-T13+M13</f>
        <v>4.3288914556598002E-2</v>
      </c>
    </row>
    <row r="36" spans="1:21">
      <c r="J36" s="3"/>
      <c r="M36" s="3" t="s">
        <v>1323</v>
      </c>
      <c r="N36" s="72">
        <f ca="1">(-N17+$M17)*$O$39</f>
        <v>-1.8032686227975604E-5</v>
      </c>
      <c r="O36" s="72">
        <f t="shared" ref="O36:T36" ca="1" si="6">(-O17+$M17)*$O$39</f>
        <v>6.416431708358275E-3</v>
      </c>
      <c r="P36" s="72">
        <f t="shared" ca="1" si="6"/>
        <v>3.1945236810133441E-3</v>
      </c>
      <c r="Q36" s="72">
        <f t="shared" ca="1" si="6"/>
        <v>1.4691963201585168E-11</v>
      </c>
      <c r="R36" s="72">
        <f t="shared" ca="1" si="6"/>
        <v>1.4691963201585168E-11</v>
      </c>
      <c r="S36" s="72">
        <f t="shared" ca="1" si="6"/>
        <v>1.4691963201585168E-11</v>
      </c>
      <c r="T36" s="72">
        <f t="shared" ca="1" si="6"/>
        <v>9.5987240662642401E-3</v>
      </c>
      <c r="U36" s="79">
        <f ca="1">(-T17+$M17)*O39</f>
        <v>9.5987240662642401E-3</v>
      </c>
    </row>
    <row r="37" spans="1:21">
      <c r="E37" s="3" t="s">
        <v>622</v>
      </c>
      <c r="F37" s="58" t="s">
        <v>595</v>
      </c>
      <c r="G37" s="58" t="s">
        <v>596</v>
      </c>
      <c r="H37" s="58" t="s">
        <v>597</v>
      </c>
      <c r="I37" s="58" t="s">
        <v>598</v>
      </c>
      <c r="J37" s="58" t="s">
        <v>599</v>
      </c>
      <c r="K37" s="58" t="s">
        <v>600</v>
      </c>
      <c r="L37" s="78" t="s">
        <v>608</v>
      </c>
      <c r="M37" s="185" t="s">
        <v>1322</v>
      </c>
      <c r="N37" s="77">
        <f ca="1">SUM(N34:N36)</f>
        <v>8.1156747166169179E-5</v>
      </c>
      <c r="O37" s="77">
        <f t="shared" ref="O37:U37" ca="1" si="7">SUM(O34:O36)</f>
        <v>1.2649518981431764E-2</v>
      </c>
      <c r="P37" s="77">
        <f t="shared" ca="1" si="7"/>
        <v>7.865221134189869E-2</v>
      </c>
      <c r="Q37" s="77">
        <f t="shared" ca="1" si="7"/>
        <v>2.3059145876497971E-2</v>
      </c>
      <c r="R37" s="77">
        <f t="shared" ca="1" si="7"/>
        <v>7.7954308816508437E-11</v>
      </c>
      <c r="S37" s="77">
        <f t="shared" ca="1" si="7"/>
        <v>7.7954308816508437E-11</v>
      </c>
      <c r="T37" s="77">
        <f t="shared" ca="1" si="7"/>
        <v>0.11446943210246519</v>
      </c>
      <c r="U37" s="81">
        <f t="shared" ca="1" si="7"/>
        <v>0.11446943210246519</v>
      </c>
    </row>
    <row r="38" spans="1:21">
      <c r="F38" s="62">
        <f ca="1">SUMPRODUCT($H$24:$H$29,N25:N30)</f>
        <v>2.727290575720076E-3</v>
      </c>
      <c r="G38" s="62">
        <f t="shared" ref="G38:L38" ca="1" si="8">SUMPRODUCT($H$24:$H$29,O25:O30)</f>
        <v>0.12428367634431936</v>
      </c>
      <c r="H38" s="62">
        <f t="shared" ca="1" si="8"/>
        <v>1.583141381023168</v>
      </c>
      <c r="I38" s="62">
        <f t="shared" ca="1" si="8"/>
        <v>1.3813916882321848</v>
      </c>
      <c r="J38" s="62">
        <f t="shared" ca="1" si="8"/>
        <v>1.1328893378959037E-9</v>
      </c>
      <c r="K38" s="109">
        <f t="shared" ca="1" si="8"/>
        <v>1.1328893378959037E-9</v>
      </c>
      <c r="L38" s="62">
        <f t="shared" ca="1" si="8"/>
        <v>3.0917182506131127</v>
      </c>
      <c r="M38" s="62">
        <f ca="1">SUM(F38:K38)</f>
        <v>3.091544038441171</v>
      </c>
    </row>
    <row r="39" spans="1:21">
      <c r="J39" s="3"/>
      <c r="N39" s="3" t="s">
        <v>1328</v>
      </c>
      <c r="O39" s="3">
        <v>0.34</v>
      </c>
    </row>
    <row r="40" spans="1:21">
      <c r="D40" s="35" t="str">
        <f ca="1">M34</f>
        <v>TF1209</v>
      </c>
      <c r="E40" s="3">
        <v>45.192827157831381</v>
      </c>
      <c r="F40" s="62">
        <f ca="1">SUMPRODUCT($E$40:$E$42,N34:N36)</f>
        <v>8.3590837033757095E-4</v>
      </c>
      <c r="G40" s="62">
        <f t="shared" ref="G40:K40" ca="1" si="9">SUMPRODUCT($E$40:$E$42,O34:O36)</f>
        <v>9.8681797100782925E-2</v>
      </c>
      <c r="H40" s="62">
        <f t="shared" ca="1" si="9"/>
        <v>1.786635639607941</v>
      </c>
      <c r="I40" s="62">
        <f t="shared" ca="1" si="9"/>
        <v>1.0421079918848137</v>
      </c>
      <c r="J40" s="62">
        <f t="shared" ca="1" si="9"/>
        <v>1.403996340406145E-9</v>
      </c>
      <c r="K40" s="62">
        <f t="shared" ca="1" si="9"/>
        <v>1.403996340406145E-9</v>
      </c>
      <c r="L40" s="62">
        <f ca="1">SUMPRODUCT($E$40:$E$42,T34:T36)</f>
        <v>2.927997769854862</v>
      </c>
      <c r="M40" s="62">
        <f ca="1">SUM(F40:K40)</f>
        <v>2.9282613397718684</v>
      </c>
    </row>
    <row r="41" spans="1:21">
      <c r="D41" s="35" t="str">
        <f ca="1">M35</f>
        <v>120003.IB</v>
      </c>
      <c r="E41" s="3">
        <v>0</v>
      </c>
      <c r="J41" s="3"/>
    </row>
    <row r="42" spans="1:21">
      <c r="D42" s="3" t="str">
        <f ca="1">M36</f>
        <v>3Y-Swap</v>
      </c>
      <c r="E42" s="3">
        <v>15.100175821421288</v>
      </c>
      <c r="J42" s="3"/>
      <c r="M42" s="3">
        <f ca="1">M38/M40</f>
        <v>1.0557609720319647</v>
      </c>
    </row>
    <row r="43" spans="1:21">
      <c r="F43" s="60">
        <f ca="1">F38-F40</f>
        <v>1.8913822053825051E-3</v>
      </c>
      <c r="G43" s="60">
        <f t="shared" ref="G43:K43" ca="1" si="10">G38-G40</f>
        <v>2.5601879243536435E-2</v>
      </c>
      <c r="H43" s="60">
        <f t="shared" ca="1" si="10"/>
        <v>-0.20349425858477299</v>
      </c>
      <c r="I43" s="60">
        <f t="shared" ca="1" si="10"/>
        <v>0.3392836963473711</v>
      </c>
      <c r="J43" s="60">
        <f t="shared" ca="1" si="10"/>
        <v>-2.7110700251024126E-10</v>
      </c>
      <c r="K43" s="60">
        <f t="shared" ca="1" si="10"/>
        <v>-2.7110700251024126E-10</v>
      </c>
      <c r="L43" s="3">
        <v>50.196502971931437</v>
      </c>
    </row>
    <row r="44" spans="1:21">
      <c r="F44" s="3">
        <f ca="1">SQRT(SUMSQ(F43:K43)/COUNT(F43:K43))</f>
        <v>0.16185506553269041</v>
      </c>
      <c r="J44" s="3"/>
      <c r="M44" s="3">
        <f ca="1">SUMSQ(F43:K43)</f>
        <v>0.15718237343154903</v>
      </c>
    </row>
    <row r="45" spans="1:21">
      <c r="J45" s="3"/>
    </row>
    <row r="46" spans="1:21">
      <c r="A46" s="122" t="s">
        <v>623</v>
      </c>
      <c r="B46" s="116" t="s">
        <v>581</v>
      </c>
      <c r="C46" s="122" t="s">
        <v>583</v>
      </c>
      <c r="D46" s="122" t="s">
        <v>585</v>
      </c>
      <c r="E46" s="122" t="s">
        <v>586</v>
      </c>
      <c r="F46" s="122" t="s">
        <v>587</v>
      </c>
      <c r="G46" s="122" t="s">
        <v>603</v>
      </c>
      <c r="H46" s="122" t="s">
        <v>624</v>
      </c>
      <c r="I46" s="122" t="s">
        <v>602</v>
      </c>
      <c r="J46" s="186" t="str">
        <f ca="1">M36</f>
        <v>3Y-Swap</v>
      </c>
    </row>
    <row r="47" spans="1:21">
      <c r="A47" s="114">
        <v>39449</v>
      </c>
      <c r="B47" s="121">
        <v>92.24</v>
      </c>
      <c r="C47" s="121" t="s">
        <v>625</v>
      </c>
      <c r="D47" s="121" t="s">
        <v>625</v>
      </c>
      <c r="E47" s="121" t="s">
        <v>625</v>
      </c>
      <c r="F47" s="121" t="s">
        <v>625</v>
      </c>
      <c r="G47" s="121" t="s">
        <v>625</v>
      </c>
      <c r="H47" s="121" t="e">
        <v>#N/A</v>
      </c>
      <c r="I47" s="121" t="s">
        <v>625</v>
      </c>
      <c r="J47" s="121" t="s">
        <v>625</v>
      </c>
    </row>
    <row r="48" spans="1:21">
      <c r="A48" s="114">
        <v>39450</v>
      </c>
      <c r="B48" s="121">
        <v>92.24</v>
      </c>
      <c r="C48" s="121" t="s">
        <v>625</v>
      </c>
      <c r="D48" s="121" t="s">
        <v>625</v>
      </c>
      <c r="E48" s="121" t="s">
        <v>625</v>
      </c>
      <c r="F48" s="121" t="s">
        <v>625</v>
      </c>
      <c r="G48" s="121" t="s">
        <v>625</v>
      </c>
      <c r="H48" s="121" t="e">
        <v>#N/A</v>
      </c>
      <c r="I48" s="121" t="s">
        <v>625</v>
      </c>
      <c r="J48" s="121" t="s">
        <v>625</v>
      </c>
    </row>
    <row r="49" spans="1:19">
      <c r="A49" s="114">
        <v>39451</v>
      </c>
      <c r="B49" s="121">
        <v>92.24</v>
      </c>
      <c r="C49" s="121" t="s">
        <v>625</v>
      </c>
      <c r="D49" s="121" t="s">
        <v>625</v>
      </c>
      <c r="E49" s="121" t="s">
        <v>625</v>
      </c>
      <c r="F49" s="121" t="s">
        <v>625</v>
      </c>
      <c r="G49" s="121" t="s">
        <v>625</v>
      </c>
      <c r="H49" s="121" t="e">
        <v>#N/A</v>
      </c>
      <c r="I49" s="121" t="s">
        <v>625</v>
      </c>
      <c r="J49" s="121" t="s">
        <v>625</v>
      </c>
    </row>
    <row r="50" spans="1:19">
      <c r="A50" s="114">
        <v>39454</v>
      </c>
      <c r="B50" s="121">
        <v>92.24</v>
      </c>
      <c r="C50" s="121" t="s">
        <v>625</v>
      </c>
      <c r="D50" s="121" t="s">
        <v>625</v>
      </c>
      <c r="E50" s="121" t="s">
        <v>625</v>
      </c>
      <c r="F50" s="121" t="s">
        <v>625</v>
      </c>
      <c r="G50" s="121" t="s">
        <v>625</v>
      </c>
      <c r="H50" s="121" t="e">
        <v>#N/A</v>
      </c>
      <c r="I50" s="121" t="s">
        <v>625</v>
      </c>
      <c r="J50" s="121" t="s">
        <v>625</v>
      </c>
      <c r="N50" s="156" t="s">
        <v>648</v>
      </c>
      <c r="O50" s="61"/>
      <c r="P50" s="127" t="s">
        <v>641</v>
      </c>
      <c r="Q50" s="127"/>
      <c r="R50" s="127"/>
      <c r="S50" s="127"/>
    </row>
    <row r="51" spans="1:19">
      <c r="A51" s="114">
        <v>39455</v>
      </c>
      <c r="B51" s="121">
        <v>92.24</v>
      </c>
      <c r="C51" s="121" t="s">
        <v>625</v>
      </c>
      <c r="D51" s="121" t="s">
        <v>625</v>
      </c>
      <c r="E51" s="121" t="s">
        <v>625</v>
      </c>
      <c r="F51" s="121" t="s">
        <v>625</v>
      </c>
      <c r="G51" s="121" t="s">
        <v>625</v>
      </c>
      <c r="H51" s="121" t="e">
        <v>#N/A</v>
      </c>
      <c r="I51" s="121" t="s">
        <v>625</v>
      </c>
      <c r="J51" s="121" t="s">
        <v>625</v>
      </c>
      <c r="N51" s="146" t="s">
        <v>647</v>
      </c>
      <c r="O51" s="129" t="s">
        <v>637</v>
      </c>
      <c r="P51" s="128" t="s">
        <v>628</v>
      </c>
      <c r="Q51" s="128" t="s">
        <v>639</v>
      </c>
      <c r="R51" s="128" t="s">
        <v>638</v>
      </c>
      <c r="S51" s="145" t="s">
        <v>637</v>
      </c>
    </row>
    <row r="52" spans="1:19">
      <c r="A52" s="114">
        <v>39456</v>
      </c>
      <c r="B52" s="121">
        <v>92.24</v>
      </c>
      <c r="C52" s="121" t="s">
        <v>625</v>
      </c>
      <c r="D52" s="121" t="s">
        <v>625</v>
      </c>
      <c r="E52" s="121" t="s">
        <v>625</v>
      </c>
      <c r="F52" s="121" t="s">
        <v>625</v>
      </c>
      <c r="G52" s="121" t="s">
        <v>625</v>
      </c>
      <c r="H52" s="121" t="e">
        <v>#N/A</v>
      </c>
      <c r="I52" s="121" t="s">
        <v>625</v>
      </c>
      <c r="J52" s="121" t="s">
        <v>625</v>
      </c>
      <c r="N52" s="35" t="s">
        <v>631</v>
      </c>
      <c r="O52" s="149">
        <f ca="1">F38</f>
        <v>2.727290575720076E-3</v>
      </c>
      <c r="P52" s="35" t="s">
        <v>620</v>
      </c>
      <c r="Q52" s="35">
        <f ca="1">-ROUND(L43,0)</f>
        <v>-50</v>
      </c>
      <c r="R52" s="35" t="s">
        <v>631</v>
      </c>
      <c r="S52" s="133">
        <v>1.7544826782578218E-3</v>
      </c>
    </row>
    <row r="53" spans="1:19">
      <c r="A53" s="114">
        <v>39457</v>
      </c>
      <c r="B53" s="121">
        <v>92.24</v>
      </c>
      <c r="C53" s="121" t="s">
        <v>625</v>
      </c>
      <c r="D53" s="121" t="s">
        <v>625</v>
      </c>
      <c r="E53" s="121" t="s">
        <v>625</v>
      </c>
      <c r="F53" s="121" t="s">
        <v>625</v>
      </c>
      <c r="G53" s="121" t="s">
        <v>625</v>
      </c>
      <c r="H53" s="121" t="e">
        <v>#N/A</v>
      </c>
      <c r="I53" s="121" t="s">
        <v>625</v>
      </c>
      <c r="J53" s="121" t="s">
        <v>625</v>
      </c>
      <c r="N53" s="35" t="s">
        <v>632</v>
      </c>
      <c r="O53" s="149">
        <f ca="1">G38</f>
        <v>0.12428367634431936</v>
      </c>
      <c r="P53" s="35"/>
      <c r="Q53" s="35"/>
      <c r="R53" s="35" t="s">
        <v>632</v>
      </c>
      <c r="S53" s="133">
        <v>0.11930400974183551</v>
      </c>
    </row>
    <row r="54" spans="1:19">
      <c r="A54" s="114">
        <v>39458</v>
      </c>
      <c r="B54" s="121">
        <v>92.24</v>
      </c>
      <c r="C54" s="121" t="s">
        <v>625</v>
      </c>
      <c r="D54" s="121" t="s">
        <v>625</v>
      </c>
      <c r="E54" s="121" t="s">
        <v>625</v>
      </c>
      <c r="F54" s="121" t="s">
        <v>625</v>
      </c>
      <c r="G54" s="121" t="s">
        <v>625</v>
      </c>
      <c r="H54" s="121" t="e">
        <v>#N/A</v>
      </c>
      <c r="I54" s="121" t="s">
        <v>625</v>
      </c>
      <c r="J54" s="121" t="s">
        <v>625</v>
      </c>
      <c r="N54" s="35" t="s">
        <v>633</v>
      </c>
      <c r="O54" s="149">
        <f ca="1">H38</f>
        <v>1.583141381023168</v>
      </c>
      <c r="P54" s="35"/>
      <c r="Q54" s="35"/>
      <c r="R54" s="35" t="s">
        <v>633</v>
      </c>
      <c r="S54" s="133">
        <v>-0.34131549922479265</v>
      </c>
    </row>
    <row r="55" spans="1:19">
      <c r="A55" s="114">
        <v>39461</v>
      </c>
      <c r="B55" s="121">
        <v>92.24</v>
      </c>
      <c r="C55" s="121" t="s">
        <v>625</v>
      </c>
      <c r="D55" s="121" t="s">
        <v>625</v>
      </c>
      <c r="E55" s="121" t="s">
        <v>625</v>
      </c>
      <c r="F55" s="121" t="s">
        <v>625</v>
      </c>
      <c r="G55" s="121" t="s">
        <v>625</v>
      </c>
      <c r="H55" s="121" t="e">
        <v>#N/A</v>
      </c>
      <c r="I55" s="121" t="s">
        <v>625</v>
      </c>
      <c r="J55" s="121" t="s">
        <v>625</v>
      </c>
      <c r="N55" s="35" t="s">
        <v>634</v>
      </c>
      <c r="O55" s="149">
        <f ca="1">I38</f>
        <v>1.3813916882321848</v>
      </c>
      <c r="P55" s="35"/>
      <c r="Q55" s="35"/>
      <c r="R55" s="35" t="s">
        <v>634</v>
      </c>
      <c r="S55" s="133">
        <v>0.22025700926769809</v>
      </c>
    </row>
    <row r="56" spans="1:19">
      <c r="A56" s="114">
        <v>39462</v>
      </c>
      <c r="B56" s="121">
        <v>92.24</v>
      </c>
      <c r="C56" s="121" t="s">
        <v>625</v>
      </c>
      <c r="D56" s="121" t="s">
        <v>625</v>
      </c>
      <c r="E56" s="121" t="s">
        <v>625</v>
      </c>
      <c r="F56" s="121" t="s">
        <v>625</v>
      </c>
      <c r="G56" s="121" t="s">
        <v>625</v>
      </c>
      <c r="H56" s="121" t="e">
        <v>#N/A</v>
      </c>
      <c r="I56" s="121" t="s">
        <v>625</v>
      </c>
      <c r="J56" s="121" t="s">
        <v>625</v>
      </c>
      <c r="N56" s="35" t="s">
        <v>635</v>
      </c>
      <c r="O56" s="149">
        <f ca="1">J38</f>
        <v>1.1328893378959037E-9</v>
      </c>
      <c r="P56" s="35"/>
      <c r="Q56" s="35"/>
      <c r="R56" s="35" t="s">
        <v>635</v>
      </c>
      <c r="S56" s="133">
        <v>-1.2314995185981696E-9</v>
      </c>
    </row>
    <row r="57" spans="1:19">
      <c r="A57" s="114">
        <v>39463</v>
      </c>
      <c r="B57" s="121">
        <v>92.24</v>
      </c>
      <c r="C57" s="121" t="s">
        <v>625</v>
      </c>
      <c r="D57" s="121" t="s">
        <v>625</v>
      </c>
      <c r="E57" s="121" t="s">
        <v>625</v>
      </c>
      <c r="F57" s="121" t="s">
        <v>625</v>
      </c>
      <c r="G57" s="121" t="s">
        <v>625</v>
      </c>
      <c r="H57" s="121" t="e">
        <v>#N/A</v>
      </c>
      <c r="I57" s="121" t="s">
        <v>625</v>
      </c>
      <c r="J57" s="121" t="s">
        <v>625</v>
      </c>
      <c r="N57" s="35" t="s">
        <v>636</v>
      </c>
      <c r="O57" s="149">
        <f ca="1">K38</f>
        <v>1.1328893378959037E-9</v>
      </c>
      <c r="P57" s="35"/>
      <c r="Q57" s="35"/>
      <c r="R57" s="35" t="s">
        <v>636</v>
      </c>
      <c r="S57" s="133">
        <v>-1.2314995185981696E-9</v>
      </c>
    </row>
    <row r="58" spans="1:19">
      <c r="A58" s="114">
        <v>39464</v>
      </c>
      <c r="B58" s="121">
        <v>92.24</v>
      </c>
      <c r="C58" s="121" t="s">
        <v>625</v>
      </c>
      <c r="D58" s="121" t="s">
        <v>625</v>
      </c>
      <c r="E58" s="121" t="s">
        <v>625</v>
      </c>
      <c r="F58" s="121" t="s">
        <v>625</v>
      </c>
      <c r="G58" s="121" t="s">
        <v>625</v>
      </c>
      <c r="H58" s="121" t="e">
        <v>#N/A</v>
      </c>
      <c r="I58" s="121" t="s">
        <v>625</v>
      </c>
      <c r="J58" s="121" t="s">
        <v>625</v>
      </c>
      <c r="K58" s="62"/>
      <c r="N58" s="137" t="s">
        <v>640</v>
      </c>
      <c r="O58" s="135">
        <f ca="1">SQRT(SUMSQ(O52:O57)/COUNT(O52:O57))</f>
        <v>0.85926649910882846</v>
      </c>
      <c r="P58" s="134"/>
      <c r="Q58" s="134"/>
      <c r="R58" s="137" t="s">
        <v>640</v>
      </c>
      <c r="S58" s="136">
        <f ca="1">SQRT(SUMSQ(S52:S57)/COUNT(S52:S57))</f>
        <v>0.17284190516797354</v>
      </c>
    </row>
    <row r="59" spans="1:19" ht="15.75" thickBot="1">
      <c r="A59" s="114">
        <v>39465</v>
      </c>
      <c r="B59" s="121">
        <v>92.24</v>
      </c>
      <c r="C59" s="121" t="s">
        <v>625</v>
      </c>
      <c r="D59" s="121" t="s">
        <v>625</v>
      </c>
      <c r="E59" s="121" t="s">
        <v>625</v>
      </c>
      <c r="F59" s="121" t="s">
        <v>625</v>
      </c>
      <c r="G59" s="121" t="s">
        <v>625</v>
      </c>
      <c r="H59" s="121" t="e">
        <v>#N/A</v>
      </c>
      <c r="I59" s="121" t="s">
        <v>625</v>
      </c>
      <c r="J59" s="121" t="s">
        <v>625</v>
      </c>
      <c r="K59" s="62"/>
      <c r="N59" s="126"/>
      <c r="O59" s="147"/>
      <c r="P59" s="132"/>
      <c r="Q59" s="132"/>
      <c r="R59" s="132"/>
      <c r="S59" s="132"/>
    </row>
    <row r="60" spans="1:19">
      <c r="A60" s="114">
        <v>39468</v>
      </c>
      <c r="B60" s="121">
        <v>92.24</v>
      </c>
      <c r="C60" s="121" t="s">
        <v>625</v>
      </c>
      <c r="D60" s="121" t="s">
        <v>625</v>
      </c>
      <c r="E60" s="121" t="s">
        <v>625</v>
      </c>
      <c r="F60" s="121" t="s">
        <v>625</v>
      </c>
      <c r="G60" s="121" t="s">
        <v>625</v>
      </c>
      <c r="H60" s="121" t="e">
        <v>#N/A</v>
      </c>
      <c r="I60" s="121" t="s">
        <v>625</v>
      </c>
      <c r="J60" s="121" t="s">
        <v>625</v>
      </c>
      <c r="K60" s="62"/>
      <c r="N60" s="35"/>
      <c r="O60" s="35"/>
      <c r="P60" s="150" t="s">
        <v>642</v>
      </c>
      <c r="Q60" s="127"/>
      <c r="R60" s="127"/>
      <c r="S60" s="127"/>
    </row>
    <row r="61" spans="1:19">
      <c r="A61" s="114">
        <v>39469</v>
      </c>
      <c r="B61" s="121">
        <v>92.24</v>
      </c>
      <c r="C61" s="121" t="s">
        <v>625</v>
      </c>
      <c r="D61" s="121" t="s">
        <v>625</v>
      </c>
      <c r="E61" s="121" t="s">
        <v>625</v>
      </c>
      <c r="F61" s="121" t="s">
        <v>625</v>
      </c>
      <c r="G61" s="121" t="s">
        <v>625</v>
      </c>
      <c r="H61" s="121" t="e">
        <v>#N/A</v>
      </c>
      <c r="I61" s="121" t="s">
        <v>625</v>
      </c>
      <c r="J61" s="121" t="s">
        <v>625</v>
      </c>
      <c r="K61" s="62"/>
      <c r="N61" s="35"/>
      <c r="O61" s="35"/>
      <c r="P61" s="151" t="s">
        <v>628</v>
      </c>
      <c r="Q61" s="128" t="s">
        <v>639</v>
      </c>
      <c r="R61" s="128" t="s">
        <v>638</v>
      </c>
      <c r="S61" s="130" t="s">
        <v>637</v>
      </c>
    </row>
    <row r="62" spans="1:19">
      <c r="A62" s="114">
        <v>39470</v>
      </c>
      <c r="B62" s="121">
        <v>92.24</v>
      </c>
      <c r="C62" s="121" t="s">
        <v>625</v>
      </c>
      <c r="D62" s="121" t="s">
        <v>625</v>
      </c>
      <c r="E62" s="121" t="s">
        <v>625</v>
      </c>
      <c r="F62" s="121" t="s">
        <v>625</v>
      </c>
      <c r="G62" s="121" t="s">
        <v>625</v>
      </c>
      <c r="H62" s="121" t="e">
        <v>#N/A</v>
      </c>
      <c r="I62" s="121" t="s">
        <v>625</v>
      </c>
      <c r="J62" s="121" t="s">
        <v>625</v>
      </c>
      <c r="K62" s="62"/>
      <c r="N62" s="35"/>
      <c r="O62" s="35"/>
      <c r="P62" s="39" t="s">
        <v>620</v>
      </c>
      <c r="Q62" s="35">
        <f ca="1">-ROUND(E40,0)</f>
        <v>-45</v>
      </c>
      <c r="R62" s="35" t="s">
        <v>631</v>
      </c>
      <c r="S62" s="72">
        <v>1.7893201859303894E-3</v>
      </c>
    </row>
    <row r="63" spans="1:19">
      <c r="A63" s="114">
        <v>39471</v>
      </c>
      <c r="B63" s="121">
        <v>92.24</v>
      </c>
      <c r="C63" s="121" t="s">
        <v>625</v>
      </c>
      <c r="D63" s="121" t="s">
        <v>625</v>
      </c>
      <c r="E63" s="121" t="s">
        <v>625</v>
      </c>
      <c r="F63" s="121" t="s">
        <v>625</v>
      </c>
      <c r="G63" s="121" t="s">
        <v>625</v>
      </c>
      <c r="H63" s="121" t="e">
        <v>#N/A</v>
      </c>
      <c r="I63" s="121" t="s">
        <v>625</v>
      </c>
      <c r="J63" s="121" t="s">
        <v>625</v>
      </c>
      <c r="K63" s="62"/>
      <c r="N63" s="35"/>
      <c r="O63" s="35"/>
      <c r="P63" s="39" t="str">
        <f ca="1">D42</f>
        <v>3Y-Swap</v>
      </c>
      <c r="Q63" s="131">
        <f ca="1">-E42</f>
        <v>-15.100175821421288</v>
      </c>
      <c r="R63" s="35" t="s">
        <v>632</v>
      </c>
      <c r="S63" s="72">
        <v>5.9119906130424463E-2</v>
      </c>
    </row>
    <row r="64" spans="1:19">
      <c r="A64" s="114">
        <v>39472</v>
      </c>
      <c r="B64" s="121">
        <v>92.24</v>
      </c>
      <c r="C64" s="121" t="s">
        <v>625</v>
      </c>
      <c r="D64" s="121" t="s">
        <v>625</v>
      </c>
      <c r="E64" s="121" t="s">
        <v>625</v>
      </c>
      <c r="F64" s="121" t="s">
        <v>625</v>
      </c>
      <c r="G64" s="121" t="s">
        <v>625</v>
      </c>
      <c r="H64" s="121" t="e">
        <v>#N/A</v>
      </c>
      <c r="I64" s="121" t="s">
        <v>625</v>
      </c>
      <c r="J64" s="121" t="s">
        <v>625</v>
      </c>
      <c r="N64" s="35"/>
      <c r="O64" s="35"/>
      <c r="P64" s="39"/>
      <c r="Q64" s="35"/>
      <c r="R64" s="35" t="s">
        <v>633</v>
      </c>
      <c r="S64" s="72">
        <v>-0.19907939672875941</v>
      </c>
    </row>
    <row r="65" spans="1:19">
      <c r="A65" s="114">
        <v>39475</v>
      </c>
      <c r="B65" s="121">
        <v>92.24</v>
      </c>
      <c r="C65" s="121" t="s">
        <v>625</v>
      </c>
      <c r="D65" s="121" t="s">
        <v>625</v>
      </c>
      <c r="E65" s="121" t="s">
        <v>625</v>
      </c>
      <c r="F65" s="121" t="s">
        <v>625</v>
      </c>
      <c r="G65" s="121" t="s">
        <v>625</v>
      </c>
      <c r="H65" s="121" t="e">
        <v>#N/A</v>
      </c>
      <c r="I65" s="121" t="s">
        <v>625</v>
      </c>
      <c r="J65" s="121" t="s">
        <v>625</v>
      </c>
      <c r="N65" s="35"/>
      <c r="O65" s="35"/>
      <c r="P65" s="39"/>
      <c r="Q65" s="35"/>
      <c r="R65" s="35" t="s">
        <v>634</v>
      </c>
      <c r="S65" s="72">
        <v>0.3319229118553304</v>
      </c>
    </row>
    <row r="66" spans="1:19">
      <c r="A66" s="114">
        <v>39476</v>
      </c>
      <c r="B66" s="121">
        <v>92.24</v>
      </c>
      <c r="C66" s="121" t="s">
        <v>625</v>
      </c>
      <c r="D66" s="121" t="s">
        <v>625</v>
      </c>
      <c r="E66" s="121" t="s">
        <v>625</v>
      </c>
      <c r="F66" s="121" t="s">
        <v>625</v>
      </c>
      <c r="G66" s="121" t="s">
        <v>625</v>
      </c>
      <c r="H66" s="121" t="e">
        <v>#N/A</v>
      </c>
      <c r="I66" s="121" t="s">
        <v>625</v>
      </c>
      <c r="J66" s="121" t="s">
        <v>625</v>
      </c>
      <c r="N66" s="35"/>
      <c r="O66" s="35"/>
      <c r="P66" s="39"/>
      <c r="Q66" s="35"/>
      <c r="R66" s="35" t="s">
        <v>635</v>
      </c>
      <c r="S66" s="72">
        <v>-2.0268034655192065E-10</v>
      </c>
    </row>
    <row r="67" spans="1:19">
      <c r="A67" s="114">
        <v>39477</v>
      </c>
      <c r="B67" s="121">
        <v>92.24</v>
      </c>
      <c r="C67" s="121" t="s">
        <v>625</v>
      </c>
      <c r="D67" s="121" t="s">
        <v>625</v>
      </c>
      <c r="E67" s="121" t="s">
        <v>625</v>
      </c>
      <c r="F67" s="121" t="s">
        <v>625</v>
      </c>
      <c r="G67" s="121" t="s">
        <v>625</v>
      </c>
      <c r="H67" s="121" t="e">
        <v>#N/A</v>
      </c>
      <c r="I67" s="121" t="s">
        <v>625</v>
      </c>
      <c r="J67" s="121" t="s">
        <v>625</v>
      </c>
      <c r="N67" s="35"/>
      <c r="O67" s="35"/>
      <c r="P67" s="39"/>
      <c r="Q67" s="35"/>
      <c r="R67" s="35" t="s">
        <v>636</v>
      </c>
      <c r="S67" s="72">
        <v>-2.0268034655192065E-10</v>
      </c>
    </row>
    <row r="68" spans="1:19">
      <c r="A68" s="114">
        <v>39478</v>
      </c>
      <c r="B68" s="121">
        <v>92.24</v>
      </c>
      <c r="C68" s="121" t="s">
        <v>625</v>
      </c>
      <c r="D68" s="121" t="s">
        <v>625</v>
      </c>
      <c r="E68" s="121" t="s">
        <v>625</v>
      </c>
      <c r="F68" s="121" t="s">
        <v>625</v>
      </c>
      <c r="G68" s="121" t="s">
        <v>625</v>
      </c>
      <c r="H68" s="121" t="e">
        <v>#N/A</v>
      </c>
      <c r="I68" s="121" t="s">
        <v>625</v>
      </c>
      <c r="J68" s="121" t="s">
        <v>625</v>
      </c>
      <c r="N68" s="35"/>
      <c r="O68" s="35"/>
      <c r="P68" s="152"/>
      <c r="Q68" s="134"/>
      <c r="R68" s="137" t="s">
        <v>640</v>
      </c>
      <c r="S68" s="136">
        <v>0.15984564981256461</v>
      </c>
    </row>
    <row r="69" spans="1:19" ht="15.75" thickBot="1">
      <c r="A69" s="114">
        <v>39479</v>
      </c>
      <c r="B69" s="121">
        <v>92.24</v>
      </c>
      <c r="C69" s="121" t="s">
        <v>625</v>
      </c>
      <c r="D69" s="121" t="s">
        <v>625</v>
      </c>
      <c r="E69" s="121" t="s">
        <v>625</v>
      </c>
      <c r="F69" s="121" t="s">
        <v>625</v>
      </c>
      <c r="G69" s="121" t="s">
        <v>625</v>
      </c>
      <c r="H69" s="121" t="e">
        <v>#N/A</v>
      </c>
      <c r="I69" s="121" t="s">
        <v>625</v>
      </c>
      <c r="J69" s="121" t="s">
        <v>625</v>
      </c>
      <c r="N69" s="35"/>
      <c r="O69" s="35"/>
      <c r="P69" s="153"/>
      <c r="Q69" s="132"/>
      <c r="R69" s="132"/>
      <c r="S69" s="132"/>
    </row>
    <row r="70" spans="1:19">
      <c r="A70" s="114">
        <v>39480</v>
      </c>
      <c r="B70" s="121">
        <v>92.24</v>
      </c>
      <c r="C70" s="121" t="s">
        <v>625</v>
      </c>
      <c r="D70" s="121" t="s">
        <v>625</v>
      </c>
      <c r="E70" s="121" t="s">
        <v>625</v>
      </c>
      <c r="F70" s="121" t="s">
        <v>625</v>
      </c>
      <c r="G70" s="121" t="s">
        <v>625</v>
      </c>
      <c r="H70" s="121" t="e">
        <v>#N/A</v>
      </c>
      <c r="I70" s="121" t="s">
        <v>625</v>
      </c>
      <c r="J70" s="121" t="s">
        <v>625</v>
      </c>
    </row>
    <row r="71" spans="1:19">
      <c r="A71" s="114">
        <v>39481</v>
      </c>
      <c r="B71" s="121">
        <v>92.24</v>
      </c>
      <c r="C71" s="121" t="s">
        <v>625</v>
      </c>
      <c r="D71" s="121" t="s">
        <v>625</v>
      </c>
      <c r="E71" s="121" t="s">
        <v>625</v>
      </c>
      <c r="F71" s="121" t="s">
        <v>625</v>
      </c>
      <c r="G71" s="121" t="s">
        <v>625</v>
      </c>
      <c r="H71" s="121" t="e">
        <v>#N/A</v>
      </c>
      <c r="I71" s="121" t="s">
        <v>625</v>
      </c>
      <c r="J71" s="121" t="s">
        <v>625</v>
      </c>
    </row>
    <row r="72" spans="1:19">
      <c r="A72" s="114">
        <v>39482</v>
      </c>
      <c r="B72" s="121">
        <v>92.24</v>
      </c>
      <c r="C72" s="121" t="s">
        <v>625</v>
      </c>
      <c r="D72" s="121" t="s">
        <v>625</v>
      </c>
      <c r="E72" s="121" t="s">
        <v>625</v>
      </c>
      <c r="F72" s="121" t="s">
        <v>625</v>
      </c>
      <c r="G72" s="121" t="s">
        <v>625</v>
      </c>
      <c r="H72" s="121" t="e">
        <v>#N/A</v>
      </c>
      <c r="I72" s="121" t="s">
        <v>625</v>
      </c>
      <c r="J72" s="121" t="s">
        <v>625</v>
      </c>
    </row>
    <row r="73" spans="1:19">
      <c r="A73" s="114">
        <v>39483</v>
      </c>
      <c r="B73" s="121">
        <v>92.24</v>
      </c>
      <c r="C73" s="121" t="s">
        <v>625</v>
      </c>
      <c r="D73" s="121" t="s">
        <v>625</v>
      </c>
      <c r="E73" s="121" t="s">
        <v>625</v>
      </c>
      <c r="F73" s="121" t="s">
        <v>625</v>
      </c>
      <c r="G73" s="121" t="s">
        <v>625</v>
      </c>
      <c r="H73" s="121" t="e">
        <v>#N/A</v>
      </c>
      <c r="I73" s="121" t="s">
        <v>625</v>
      </c>
      <c r="J73" s="121" t="s">
        <v>625</v>
      </c>
    </row>
    <row r="74" spans="1:19">
      <c r="A74" s="114">
        <v>39491</v>
      </c>
      <c r="B74" s="121">
        <v>92.24</v>
      </c>
      <c r="C74" s="121" t="s">
        <v>625</v>
      </c>
      <c r="D74" s="121" t="s">
        <v>625</v>
      </c>
      <c r="E74" s="121" t="s">
        <v>625</v>
      </c>
      <c r="F74" s="121" t="s">
        <v>625</v>
      </c>
      <c r="G74" s="121" t="s">
        <v>625</v>
      </c>
      <c r="H74" s="121" t="e">
        <v>#N/A</v>
      </c>
      <c r="I74" s="121" t="s">
        <v>625</v>
      </c>
      <c r="J74" s="121" t="s">
        <v>625</v>
      </c>
    </row>
    <row r="75" spans="1:19">
      <c r="A75" s="114">
        <v>39492</v>
      </c>
      <c r="B75" s="121">
        <v>92.24</v>
      </c>
      <c r="C75" s="121" t="s">
        <v>625</v>
      </c>
      <c r="D75" s="121" t="s">
        <v>625</v>
      </c>
      <c r="E75" s="121" t="s">
        <v>625</v>
      </c>
      <c r="F75" s="121" t="s">
        <v>625</v>
      </c>
      <c r="G75" s="121" t="s">
        <v>625</v>
      </c>
      <c r="H75" s="121" t="e">
        <v>#N/A</v>
      </c>
      <c r="I75" s="121" t="s">
        <v>625</v>
      </c>
      <c r="J75" s="121" t="s">
        <v>625</v>
      </c>
    </row>
    <row r="76" spans="1:19">
      <c r="A76" s="114">
        <v>39493</v>
      </c>
      <c r="B76" s="121">
        <v>92.24</v>
      </c>
      <c r="C76" s="121" t="s">
        <v>625</v>
      </c>
      <c r="D76" s="121" t="s">
        <v>625</v>
      </c>
      <c r="E76" s="121" t="s">
        <v>625</v>
      </c>
      <c r="F76" s="121" t="s">
        <v>625</v>
      </c>
      <c r="G76" s="121" t="s">
        <v>625</v>
      </c>
      <c r="H76" s="121" t="e">
        <v>#N/A</v>
      </c>
      <c r="I76" s="121" t="s">
        <v>625</v>
      </c>
      <c r="J76" s="121" t="s">
        <v>625</v>
      </c>
    </row>
    <row r="77" spans="1:19">
      <c r="A77" s="114">
        <v>39496</v>
      </c>
      <c r="B77" s="121">
        <v>92.24</v>
      </c>
      <c r="C77" s="121" t="s">
        <v>625</v>
      </c>
      <c r="D77" s="121" t="s">
        <v>625</v>
      </c>
      <c r="E77" s="121" t="s">
        <v>625</v>
      </c>
      <c r="F77" s="121" t="s">
        <v>625</v>
      </c>
      <c r="G77" s="121" t="s">
        <v>625</v>
      </c>
      <c r="H77" s="121" t="e">
        <v>#N/A</v>
      </c>
      <c r="I77" s="121" t="s">
        <v>625</v>
      </c>
      <c r="J77" s="121" t="s">
        <v>625</v>
      </c>
      <c r="N77" s="148" t="s">
        <v>648</v>
      </c>
      <c r="O77" s="61"/>
      <c r="P77" s="155" t="s">
        <v>641</v>
      </c>
      <c r="Q77" s="127"/>
      <c r="R77" s="127"/>
      <c r="S77" s="127"/>
    </row>
    <row r="78" spans="1:19">
      <c r="A78" s="114">
        <v>39497</v>
      </c>
      <c r="B78" s="121">
        <v>92.24</v>
      </c>
      <c r="C78" s="121" t="s">
        <v>625</v>
      </c>
      <c r="D78" s="121" t="s">
        <v>625</v>
      </c>
      <c r="E78" s="121" t="s">
        <v>625</v>
      </c>
      <c r="F78" s="121" t="s">
        <v>625</v>
      </c>
      <c r="G78" s="121" t="s">
        <v>625</v>
      </c>
      <c r="H78" s="121" t="e">
        <v>#N/A</v>
      </c>
      <c r="I78" s="121" t="s">
        <v>625</v>
      </c>
      <c r="J78" s="121" t="s">
        <v>625</v>
      </c>
      <c r="N78" s="146" t="s">
        <v>647</v>
      </c>
      <c r="O78" s="130" t="s">
        <v>637</v>
      </c>
      <c r="P78" s="151" t="s">
        <v>628</v>
      </c>
      <c r="Q78" s="128" t="s">
        <v>639</v>
      </c>
      <c r="R78" s="128" t="s">
        <v>638</v>
      </c>
      <c r="S78" s="130" t="s">
        <v>637</v>
      </c>
    </row>
    <row r="79" spans="1:19">
      <c r="A79" s="114">
        <v>39498</v>
      </c>
      <c r="B79" s="121">
        <v>92.24</v>
      </c>
      <c r="C79" s="121" t="s">
        <v>625</v>
      </c>
      <c r="D79" s="121" t="s">
        <v>625</v>
      </c>
      <c r="E79" s="121" t="s">
        <v>625</v>
      </c>
      <c r="F79" s="121" t="s">
        <v>625</v>
      </c>
      <c r="G79" s="121" t="s">
        <v>625</v>
      </c>
      <c r="H79" s="121" t="e">
        <v>#N/A</v>
      </c>
      <c r="I79" s="121" t="s">
        <v>625</v>
      </c>
      <c r="J79" s="121" t="s">
        <v>625</v>
      </c>
      <c r="N79" s="35" t="s">
        <v>631</v>
      </c>
      <c r="O79" s="154">
        <f t="shared" ref="O79:O85" ca="1" si="11">O52</f>
        <v>2.727290575720076E-3</v>
      </c>
      <c r="P79" s="39" t="s">
        <v>620</v>
      </c>
      <c r="Q79" s="40">
        <f ca="1">Q52</f>
        <v>-50</v>
      </c>
      <c r="R79" s="40" t="s">
        <v>631</v>
      </c>
      <c r="S79" s="133">
        <v>1.7544826782578218E-3</v>
      </c>
    </row>
    <row r="80" spans="1:19">
      <c r="A80" s="114">
        <v>39499</v>
      </c>
      <c r="B80" s="121">
        <v>92.24</v>
      </c>
      <c r="C80" s="121" t="s">
        <v>625</v>
      </c>
      <c r="D80" s="121" t="s">
        <v>625</v>
      </c>
      <c r="E80" s="121" t="s">
        <v>625</v>
      </c>
      <c r="F80" s="121" t="s">
        <v>625</v>
      </c>
      <c r="G80" s="121" t="s">
        <v>625</v>
      </c>
      <c r="H80" s="121" t="e">
        <v>#N/A</v>
      </c>
      <c r="I80" s="121" t="s">
        <v>625</v>
      </c>
      <c r="J80" s="121" t="s">
        <v>625</v>
      </c>
      <c r="N80" s="35" t="s">
        <v>632</v>
      </c>
      <c r="O80" s="154">
        <f t="shared" ca="1" si="11"/>
        <v>0.12428367634431936</v>
      </c>
      <c r="P80" s="39"/>
      <c r="Q80" s="40"/>
      <c r="R80" s="40" t="s">
        <v>632</v>
      </c>
      <c r="S80" s="133">
        <v>0.11930400974183551</v>
      </c>
    </row>
    <row r="81" spans="1:19">
      <c r="A81" s="114">
        <v>39500</v>
      </c>
      <c r="B81" s="121">
        <v>92.24</v>
      </c>
      <c r="C81" s="121" t="s">
        <v>625</v>
      </c>
      <c r="D81" s="121" t="s">
        <v>625</v>
      </c>
      <c r="E81" s="121" t="s">
        <v>625</v>
      </c>
      <c r="F81" s="121" t="s">
        <v>625</v>
      </c>
      <c r="G81" s="121" t="s">
        <v>625</v>
      </c>
      <c r="H81" s="121" t="e">
        <v>#N/A</v>
      </c>
      <c r="I81" s="121" t="s">
        <v>625</v>
      </c>
      <c r="J81" s="121" t="s">
        <v>625</v>
      </c>
      <c r="N81" s="35" t="s">
        <v>633</v>
      </c>
      <c r="O81" s="154">
        <f t="shared" ca="1" si="11"/>
        <v>1.583141381023168</v>
      </c>
      <c r="P81" s="39"/>
      <c r="Q81" s="40"/>
      <c r="R81" s="40" t="s">
        <v>633</v>
      </c>
      <c r="S81" s="133">
        <v>-0.34131549922479265</v>
      </c>
    </row>
    <row r="82" spans="1:19">
      <c r="A82" s="114">
        <v>39503</v>
      </c>
      <c r="B82" s="121">
        <v>92.24</v>
      </c>
      <c r="C82" s="121" t="s">
        <v>625</v>
      </c>
      <c r="D82" s="121" t="s">
        <v>625</v>
      </c>
      <c r="E82" s="121" t="s">
        <v>625</v>
      </c>
      <c r="F82" s="121" t="s">
        <v>625</v>
      </c>
      <c r="G82" s="121" t="s">
        <v>625</v>
      </c>
      <c r="H82" s="121" t="e">
        <v>#N/A</v>
      </c>
      <c r="I82" s="121" t="s">
        <v>625</v>
      </c>
      <c r="J82" s="121" t="s">
        <v>625</v>
      </c>
      <c r="N82" s="35" t="s">
        <v>634</v>
      </c>
      <c r="O82" s="154">
        <f t="shared" ca="1" si="11"/>
        <v>1.3813916882321848</v>
      </c>
      <c r="P82" s="39"/>
      <c r="Q82" s="40"/>
      <c r="R82" s="40" t="s">
        <v>634</v>
      </c>
      <c r="S82" s="133">
        <v>0.22025700926769809</v>
      </c>
    </row>
    <row r="83" spans="1:19">
      <c r="A83" s="114">
        <v>39504</v>
      </c>
      <c r="B83" s="121">
        <v>92.24</v>
      </c>
      <c r="C83" s="121" t="s">
        <v>625</v>
      </c>
      <c r="D83" s="121" t="s">
        <v>625</v>
      </c>
      <c r="E83" s="121" t="s">
        <v>625</v>
      </c>
      <c r="F83" s="121" t="s">
        <v>625</v>
      </c>
      <c r="G83" s="121" t="s">
        <v>625</v>
      </c>
      <c r="H83" s="121" t="e">
        <v>#N/A</v>
      </c>
      <c r="I83" s="121" t="s">
        <v>625</v>
      </c>
      <c r="J83" s="121" t="s">
        <v>625</v>
      </c>
      <c r="N83" s="35" t="s">
        <v>635</v>
      </c>
      <c r="O83" s="154">
        <f t="shared" ca="1" si="11"/>
        <v>1.1328893378959037E-9</v>
      </c>
      <c r="P83" s="39"/>
      <c r="Q83" s="40"/>
      <c r="R83" s="40" t="s">
        <v>635</v>
      </c>
      <c r="S83" s="133">
        <v>-1.2314995185981696E-9</v>
      </c>
    </row>
    <row r="84" spans="1:19">
      <c r="A84" s="114">
        <v>39505</v>
      </c>
      <c r="B84" s="121">
        <v>92.24</v>
      </c>
      <c r="C84" s="121" t="s">
        <v>625</v>
      </c>
      <c r="D84" s="121" t="s">
        <v>625</v>
      </c>
      <c r="E84" s="121" t="s">
        <v>625</v>
      </c>
      <c r="F84" s="121" t="s">
        <v>625</v>
      </c>
      <c r="G84" s="121" t="s">
        <v>625</v>
      </c>
      <c r="H84" s="121" t="e">
        <v>#N/A</v>
      </c>
      <c r="I84" s="121" t="s">
        <v>625</v>
      </c>
      <c r="J84" s="121" t="s">
        <v>625</v>
      </c>
      <c r="N84" s="35" t="s">
        <v>636</v>
      </c>
      <c r="O84" s="154">
        <f t="shared" ca="1" si="11"/>
        <v>1.1328893378959037E-9</v>
      </c>
      <c r="P84" s="39"/>
      <c r="Q84" s="40"/>
      <c r="R84" s="40" t="s">
        <v>636</v>
      </c>
      <c r="S84" s="133">
        <v>-1.2314995185981696E-9</v>
      </c>
    </row>
    <row r="85" spans="1:19">
      <c r="A85" s="114">
        <v>39506</v>
      </c>
      <c r="B85" s="121">
        <v>92.24</v>
      </c>
      <c r="C85" s="121" t="s">
        <v>625</v>
      </c>
      <c r="D85" s="121" t="s">
        <v>625</v>
      </c>
      <c r="E85" s="121" t="s">
        <v>625</v>
      </c>
      <c r="F85" s="121" t="s">
        <v>625</v>
      </c>
      <c r="G85" s="121" t="s">
        <v>625</v>
      </c>
      <c r="H85" s="121" t="e">
        <v>#N/A</v>
      </c>
      <c r="I85" s="121" t="s">
        <v>625</v>
      </c>
      <c r="J85" s="121" t="s">
        <v>625</v>
      </c>
      <c r="N85" s="137" t="s">
        <v>640</v>
      </c>
      <c r="O85" s="136">
        <f t="shared" ca="1" si="11"/>
        <v>0.85926649910882846</v>
      </c>
      <c r="P85" s="152"/>
      <c r="Q85" s="134"/>
      <c r="R85" s="137" t="s">
        <v>640</v>
      </c>
      <c r="S85" s="136">
        <f ca="1">SQRT(SUMSQ(S79:S84)/COUNT(S79:S84))</f>
        <v>0.17284190516797354</v>
      </c>
    </row>
    <row r="86" spans="1:19" ht="15.75" thickBot="1">
      <c r="A86" s="114">
        <v>39507</v>
      </c>
      <c r="B86" s="121">
        <v>92.24</v>
      </c>
      <c r="C86" s="121" t="s">
        <v>625</v>
      </c>
      <c r="D86" s="121" t="s">
        <v>625</v>
      </c>
      <c r="E86" s="121" t="s">
        <v>625</v>
      </c>
      <c r="F86" s="121" t="s">
        <v>625</v>
      </c>
      <c r="G86" s="121" t="s">
        <v>625</v>
      </c>
      <c r="H86" s="121" t="e">
        <v>#N/A</v>
      </c>
      <c r="I86" s="121" t="s">
        <v>625</v>
      </c>
      <c r="J86" s="121" t="s">
        <v>625</v>
      </c>
      <c r="N86" s="126"/>
      <c r="O86" s="126"/>
      <c r="P86" s="153"/>
      <c r="Q86" s="132"/>
      <c r="R86" s="132"/>
      <c r="S86" s="132"/>
    </row>
    <row r="87" spans="1:19">
      <c r="A87" s="114">
        <v>39510</v>
      </c>
      <c r="B87" s="121">
        <v>92.24</v>
      </c>
      <c r="C87" s="121" t="s">
        <v>625</v>
      </c>
      <c r="D87" s="121" t="s">
        <v>625</v>
      </c>
      <c r="E87" s="121" t="s">
        <v>625</v>
      </c>
      <c r="F87" s="121" t="s">
        <v>625</v>
      </c>
      <c r="G87" s="121" t="s">
        <v>625</v>
      </c>
      <c r="H87" s="121" t="e">
        <v>#N/A</v>
      </c>
      <c r="I87" s="121" t="s">
        <v>625</v>
      </c>
      <c r="J87" s="121" t="s">
        <v>625</v>
      </c>
      <c r="N87" s="35"/>
      <c r="O87" s="35"/>
      <c r="P87" s="155" t="s">
        <v>642</v>
      </c>
      <c r="Q87" s="127"/>
      <c r="R87" s="127"/>
      <c r="S87" s="127"/>
    </row>
    <row r="88" spans="1:19">
      <c r="A88" s="114">
        <v>39511</v>
      </c>
      <c r="B88" s="121">
        <v>92.24</v>
      </c>
      <c r="C88" s="121" t="s">
        <v>625</v>
      </c>
      <c r="D88" s="121" t="s">
        <v>625</v>
      </c>
      <c r="E88" s="121" t="s">
        <v>625</v>
      </c>
      <c r="F88" s="121" t="s">
        <v>625</v>
      </c>
      <c r="G88" s="121" t="s">
        <v>625</v>
      </c>
      <c r="H88" s="121" t="e">
        <v>#N/A</v>
      </c>
      <c r="I88" s="121" t="s">
        <v>625</v>
      </c>
      <c r="J88" s="121" t="s">
        <v>625</v>
      </c>
      <c r="N88" s="35"/>
      <c r="O88" s="35"/>
      <c r="P88" s="151" t="s">
        <v>628</v>
      </c>
      <c r="Q88" s="128" t="s">
        <v>639</v>
      </c>
      <c r="R88" s="128" t="s">
        <v>638</v>
      </c>
      <c r="S88" s="130" t="s">
        <v>637</v>
      </c>
    </row>
    <row r="89" spans="1:19">
      <c r="A89" s="114">
        <v>39512</v>
      </c>
      <c r="B89" s="121">
        <v>92.24</v>
      </c>
      <c r="C89" s="121" t="s">
        <v>625</v>
      </c>
      <c r="D89" s="121" t="s">
        <v>625</v>
      </c>
      <c r="E89" s="121" t="s">
        <v>625</v>
      </c>
      <c r="F89" s="121" t="s">
        <v>625</v>
      </c>
      <c r="G89" s="121" t="s">
        <v>625</v>
      </c>
      <c r="H89" s="121" t="e">
        <v>#N/A</v>
      </c>
      <c r="I89" s="121" t="s">
        <v>625</v>
      </c>
      <c r="J89" s="121" t="s">
        <v>625</v>
      </c>
      <c r="N89" s="35"/>
      <c r="O89" s="35"/>
      <c r="P89" s="39" t="s">
        <v>620</v>
      </c>
      <c r="Q89" s="35">
        <f ca="1">Q62</f>
        <v>-45</v>
      </c>
      <c r="R89" s="35" t="s">
        <v>631</v>
      </c>
      <c r="S89" s="72">
        <f ca="1">S62</f>
        <v>1.7893201859303894E-3</v>
      </c>
    </row>
    <row r="90" spans="1:19">
      <c r="A90" s="114">
        <v>39513</v>
      </c>
      <c r="B90" s="121">
        <v>92.24</v>
      </c>
      <c r="C90" s="121" t="s">
        <v>625</v>
      </c>
      <c r="D90" s="121" t="s">
        <v>625</v>
      </c>
      <c r="E90" s="121" t="s">
        <v>625</v>
      </c>
      <c r="F90" s="121" t="s">
        <v>625</v>
      </c>
      <c r="G90" s="121" t="s">
        <v>625</v>
      </c>
      <c r="H90" s="121" t="e">
        <v>#N/A</v>
      </c>
      <c r="I90" s="121" t="s">
        <v>625</v>
      </c>
      <c r="J90" s="121" t="s">
        <v>625</v>
      </c>
      <c r="N90" s="35"/>
      <c r="O90" s="35"/>
      <c r="P90" s="39" t="str">
        <f ca="1">D42</f>
        <v>3Y-Swap</v>
      </c>
      <c r="Q90" s="131">
        <f ca="1">Q63</f>
        <v>-15.100175821421288</v>
      </c>
      <c r="R90" s="35" t="s">
        <v>632</v>
      </c>
      <c r="S90" s="72">
        <f t="shared" ref="S90:S95" ca="1" si="12">S63</f>
        <v>5.9119906130424463E-2</v>
      </c>
    </row>
    <row r="91" spans="1:19">
      <c r="A91" s="114">
        <v>39514</v>
      </c>
      <c r="B91" s="121">
        <v>92.24</v>
      </c>
      <c r="C91" s="121" t="s">
        <v>625</v>
      </c>
      <c r="D91" s="121" t="s">
        <v>625</v>
      </c>
      <c r="E91" s="121" t="s">
        <v>625</v>
      </c>
      <c r="F91" s="121" t="s">
        <v>625</v>
      </c>
      <c r="G91" s="121" t="s">
        <v>625</v>
      </c>
      <c r="H91" s="121" t="e">
        <v>#N/A</v>
      </c>
      <c r="I91" s="121" t="s">
        <v>625</v>
      </c>
      <c r="J91" s="121" t="s">
        <v>625</v>
      </c>
      <c r="N91" s="35"/>
      <c r="O91" s="35"/>
      <c r="P91" s="39"/>
      <c r="Q91" s="35"/>
      <c r="R91" s="35" t="s">
        <v>633</v>
      </c>
      <c r="S91" s="72">
        <f t="shared" ca="1" si="12"/>
        <v>-0.19907939672875941</v>
      </c>
    </row>
    <row r="92" spans="1:19">
      <c r="A92" s="114">
        <v>39517</v>
      </c>
      <c r="B92" s="121">
        <v>92.24</v>
      </c>
      <c r="C92" s="121" t="s">
        <v>625</v>
      </c>
      <c r="D92" s="121" t="s">
        <v>625</v>
      </c>
      <c r="E92" s="121" t="s">
        <v>625</v>
      </c>
      <c r="F92" s="121" t="s">
        <v>625</v>
      </c>
      <c r="G92" s="121" t="s">
        <v>625</v>
      </c>
      <c r="H92" s="121" t="e">
        <v>#N/A</v>
      </c>
      <c r="I92" s="121" t="s">
        <v>625</v>
      </c>
      <c r="J92" s="121" t="s">
        <v>625</v>
      </c>
      <c r="N92" s="35"/>
      <c r="O92" s="35"/>
      <c r="P92" s="39"/>
      <c r="Q92" s="35"/>
      <c r="R92" s="35" t="s">
        <v>634</v>
      </c>
      <c r="S92" s="72">
        <f t="shared" ca="1" si="12"/>
        <v>0.3319229118553304</v>
      </c>
    </row>
    <row r="93" spans="1:19">
      <c r="A93" s="114">
        <v>39518</v>
      </c>
      <c r="B93" s="121">
        <v>92.24</v>
      </c>
      <c r="C93" s="121" t="s">
        <v>625</v>
      </c>
      <c r="D93" s="121" t="s">
        <v>625</v>
      </c>
      <c r="E93" s="121" t="s">
        <v>625</v>
      </c>
      <c r="F93" s="121" t="s">
        <v>625</v>
      </c>
      <c r="G93" s="121" t="s">
        <v>625</v>
      </c>
      <c r="H93" s="121" t="e">
        <v>#N/A</v>
      </c>
      <c r="I93" s="121" t="s">
        <v>625</v>
      </c>
      <c r="J93" s="121" t="s">
        <v>625</v>
      </c>
      <c r="N93" s="35"/>
      <c r="O93" s="35"/>
      <c r="P93" s="39"/>
      <c r="Q93" s="35"/>
      <c r="R93" s="35" t="s">
        <v>635</v>
      </c>
      <c r="S93" s="72">
        <f t="shared" ca="1" si="12"/>
        <v>-2.0268034655192065E-10</v>
      </c>
    </row>
    <row r="94" spans="1:19">
      <c r="A94" s="114">
        <v>39519</v>
      </c>
      <c r="B94" s="121">
        <v>92.24</v>
      </c>
      <c r="C94" s="121" t="s">
        <v>625</v>
      </c>
      <c r="D94" s="121" t="s">
        <v>625</v>
      </c>
      <c r="E94" s="121" t="s">
        <v>625</v>
      </c>
      <c r="F94" s="121" t="s">
        <v>625</v>
      </c>
      <c r="G94" s="121" t="s">
        <v>625</v>
      </c>
      <c r="H94" s="121" t="e">
        <v>#N/A</v>
      </c>
      <c r="I94" s="121" t="s">
        <v>625</v>
      </c>
      <c r="J94" s="121" t="s">
        <v>625</v>
      </c>
      <c r="N94" s="35"/>
      <c r="O94" s="35"/>
      <c r="P94" s="39"/>
      <c r="Q94" s="35"/>
      <c r="R94" s="35" t="s">
        <v>636</v>
      </c>
      <c r="S94" s="72">
        <f t="shared" ca="1" si="12"/>
        <v>-2.0268034655192065E-10</v>
      </c>
    </row>
    <row r="95" spans="1:19">
      <c r="A95" s="114">
        <v>39520</v>
      </c>
      <c r="B95" s="121">
        <v>92.24</v>
      </c>
      <c r="C95" s="121" t="s">
        <v>625</v>
      </c>
      <c r="D95" s="121" t="s">
        <v>625</v>
      </c>
      <c r="E95" s="121" t="s">
        <v>625</v>
      </c>
      <c r="F95" s="121" t="s">
        <v>625</v>
      </c>
      <c r="G95" s="121" t="s">
        <v>625</v>
      </c>
      <c r="H95" s="121" t="e">
        <v>#N/A</v>
      </c>
      <c r="I95" s="121" t="s">
        <v>625</v>
      </c>
      <c r="J95" s="121" t="s">
        <v>625</v>
      </c>
      <c r="N95" s="35"/>
      <c r="O95" s="35"/>
      <c r="P95" s="152"/>
      <c r="Q95" s="134"/>
      <c r="R95" s="137" t="s">
        <v>640</v>
      </c>
      <c r="S95" s="136">
        <f t="shared" ca="1" si="12"/>
        <v>0.15984564981256461</v>
      </c>
    </row>
    <row r="96" spans="1:19" ht="15.75" thickBot="1">
      <c r="A96" s="114">
        <v>39521</v>
      </c>
      <c r="B96" s="121">
        <v>92.24</v>
      </c>
      <c r="C96" s="121" t="s">
        <v>625</v>
      </c>
      <c r="D96" s="121" t="s">
        <v>625</v>
      </c>
      <c r="E96" s="121" t="s">
        <v>625</v>
      </c>
      <c r="F96" s="121" t="s">
        <v>625</v>
      </c>
      <c r="G96" s="121" t="s">
        <v>625</v>
      </c>
      <c r="H96" s="121" t="e">
        <v>#N/A</v>
      </c>
      <c r="I96" s="121" t="s">
        <v>625</v>
      </c>
      <c r="J96" s="121" t="s">
        <v>625</v>
      </c>
      <c r="N96" s="35"/>
      <c r="O96" s="35"/>
      <c r="P96" s="153"/>
      <c r="Q96" s="132"/>
      <c r="R96" s="132"/>
      <c r="S96" s="132"/>
    </row>
    <row r="97" spans="1:10">
      <c r="A97" s="114">
        <v>39524</v>
      </c>
      <c r="B97" s="121">
        <v>92.24</v>
      </c>
      <c r="C97" s="121" t="s">
        <v>625</v>
      </c>
      <c r="D97" s="121" t="s">
        <v>625</v>
      </c>
      <c r="E97" s="121" t="s">
        <v>625</v>
      </c>
      <c r="F97" s="121" t="s">
        <v>625</v>
      </c>
      <c r="G97" s="121" t="s">
        <v>625</v>
      </c>
      <c r="H97" s="121" t="e">
        <v>#N/A</v>
      </c>
      <c r="I97" s="121" t="s">
        <v>625</v>
      </c>
      <c r="J97" s="121" t="s">
        <v>625</v>
      </c>
    </row>
    <row r="98" spans="1:10">
      <c r="A98" s="114">
        <v>39525</v>
      </c>
      <c r="B98" s="121">
        <v>92.24</v>
      </c>
      <c r="C98" s="121" t="s">
        <v>625</v>
      </c>
      <c r="D98" s="121" t="s">
        <v>625</v>
      </c>
      <c r="E98" s="121" t="s">
        <v>625</v>
      </c>
      <c r="F98" s="121" t="s">
        <v>625</v>
      </c>
      <c r="G98" s="121" t="s">
        <v>625</v>
      </c>
      <c r="H98" s="121" t="e">
        <v>#N/A</v>
      </c>
      <c r="I98" s="121" t="s">
        <v>625</v>
      </c>
      <c r="J98" s="121" t="s">
        <v>625</v>
      </c>
    </row>
    <row r="99" spans="1:10">
      <c r="A99" s="114">
        <v>39526</v>
      </c>
      <c r="B99" s="121">
        <v>92.24</v>
      </c>
      <c r="C99" s="121" t="s">
        <v>625</v>
      </c>
      <c r="D99" s="121" t="s">
        <v>625</v>
      </c>
      <c r="E99" s="121" t="s">
        <v>625</v>
      </c>
      <c r="F99" s="121" t="s">
        <v>625</v>
      </c>
      <c r="G99" s="121" t="s">
        <v>625</v>
      </c>
      <c r="H99" s="121" t="e">
        <v>#N/A</v>
      </c>
      <c r="I99" s="121" t="s">
        <v>625</v>
      </c>
      <c r="J99" s="121" t="s">
        <v>625</v>
      </c>
    </row>
    <row r="100" spans="1:10">
      <c r="A100" s="114">
        <v>39527</v>
      </c>
      <c r="B100" s="121">
        <v>92.24</v>
      </c>
      <c r="C100" s="121" t="s">
        <v>625</v>
      </c>
      <c r="D100" s="121" t="s">
        <v>625</v>
      </c>
      <c r="E100" s="121" t="s">
        <v>625</v>
      </c>
      <c r="F100" s="121" t="s">
        <v>625</v>
      </c>
      <c r="G100" s="121" t="s">
        <v>625</v>
      </c>
      <c r="H100" s="121" t="e">
        <v>#N/A</v>
      </c>
      <c r="I100" s="121" t="s">
        <v>625</v>
      </c>
      <c r="J100" s="121" t="s">
        <v>625</v>
      </c>
    </row>
    <row r="101" spans="1:10">
      <c r="A101" s="114">
        <v>39528</v>
      </c>
      <c r="B101" s="121">
        <v>92.24</v>
      </c>
      <c r="C101" s="121" t="s">
        <v>625</v>
      </c>
      <c r="D101" s="121" t="s">
        <v>625</v>
      </c>
      <c r="E101" s="121" t="s">
        <v>625</v>
      </c>
      <c r="F101" s="121" t="s">
        <v>625</v>
      </c>
      <c r="G101" s="121" t="s">
        <v>625</v>
      </c>
      <c r="H101" s="121" t="e">
        <v>#N/A</v>
      </c>
      <c r="I101" s="121" t="s">
        <v>625</v>
      </c>
      <c r="J101" s="121" t="s">
        <v>625</v>
      </c>
    </row>
    <row r="102" spans="1:10">
      <c r="A102" s="114">
        <v>39531</v>
      </c>
      <c r="B102" s="121">
        <v>92.24</v>
      </c>
      <c r="C102" s="121" t="s">
        <v>625</v>
      </c>
      <c r="D102" s="121" t="s">
        <v>625</v>
      </c>
      <c r="E102" s="121" t="s">
        <v>625</v>
      </c>
      <c r="F102" s="121" t="s">
        <v>625</v>
      </c>
      <c r="G102" s="121" t="s">
        <v>625</v>
      </c>
      <c r="H102" s="121" t="e">
        <v>#N/A</v>
      </c>
      <c r="I102" s="121" t="s">
        <v>625</v>
      </c>
      <c r="J102" s="121" t="s">
        <v>625</v>
      </c>
    </row>
    <row r="103" spans="1:10">
      <c r="A103" s="114">
        <v>39532</v>
      </c>
      <c r="B103" s="121">
        <v>92.24</v>
      </c>
      <c r="C103" s="121" t="s">
        <v>625</v>
      </c>
      <c r="D103" s="121" t="s">
        <v>625</v>
      </c>
      <c r="E103" s="121" t="s">
        <v>625</v>
      </c>
      <c r="F103" s="121" t="s">
        <v>625</v>
      </c>
      <c r="G103" s="121" t="s">
        <v>625</v>
      </c>
      <c r="H103" s="121" t="e">
        <v>#N/A</v>
      </c>
      <c r="I103" s="121" t="s">
        <v>625</v>
      </c>
      <c r="J103" s="121" t="s">
        <v>625</v>
      </c>
    </row>
    <row r="104" spans="1:10">
      <c r="A104" s="114">
        <v>39533</v>
      </c>
      <c r="B104" s="121">
        <v>92.24</v>
      </c>
      <c r="C104" s="121" t="s">
        <v>625</v>
      </c>
      <c r="D104" s="121" t="s">
        <v>625</v>
      </c>
      <c r="E104" s="121" t="s">
        <v>625</v>
      </c>
      <c r="F104" s="121" t="s">
        <v>625</v>
      </c>
      <c r="G104" s="121" t="s">
        <v>625</v>
      </c>
      <c r="H104" s="121" t="e">
        <v>#N/A</v>
      </c>
      <c r="I104" s="121" t="s">
        <v>625</v>
      </c>
      <c r="J104" s="121" t="s">
        <v>625</v>
      </c>
    </row>
    <row r="105" spans="1:10">
      <c r="A105" s="114">
        <v>39534</v>
      </c>
      <c r="B105" s="121">
        <v>92.24</v>
      </c>
      <c r="C105" s="121" t="s">
        <v>625</v>
      </c>
      <c r="D105" s="121" t="s">
        <v>625</v>
      </c>
      <c r="E105" s="121" t="s">
        <v>625</v>
      </c>
      <c r="F105" s="121" t="s">
        <v>625</v>
      </c>
      <c r="G105" s="121" t="s">
        <v>625</v>
      </c>
      <c r="H105" s="121" t="e">
        <v>#N/A</v>
      </c>
      <c r="I105" s="121" t="s">
        <v>625</v>
      </c>
      <c r="J105" s="121" t="s">
        <v>625</v>
      </c>
    </row>
    <row r="106" spans="1:10">
      <c r="A106" s="114">
        <v>39535</v>
      </c>
      <c r="B106" s="121">
        <v>92.24</v>
      </c>
      <c r="C106" s="121" t="s">
        <v>625</v>
      </c>
      <c r="D106" s="121" t="s">
        <v>625</v>
      </c>
      <c r="E106" s="121" t="s">
        <v>625</v>
      </c>
      <c r="F106" s="121" t="s">
        <v>625</v>
      </c>
      <c r="G106" s="121" t="s">
        <v>625</v>
      </c>
      <c r="H106" s="121" t="e">
        <v>#N/A</v>
      </c>
      <c r="I106" s="121" t="s">
        <v>625</v>
      </c>
      <c r="J106" s="121" t="s">
        <v>625</v>
      </c>
    </row>
    <row r="107" spans="1:10">
      <c r="A107" s="114">
        <v>39538</v>
      </c>
      <c r="B107" s="121">
        <v>92.24</v>
      </c>
      <c r="C107" s="121" t="s">
        <v>625</v>
      </c>
      <c r="D107" s="121" t="s">
        <v>625</v>
      </c>
      <c r="E107" s="121" t="s">
        <v>625</v>
      </c>
      <c r="F107" s="121" t="s">
        <v>625</v>
      </c>
      <c r="G107" s="121" t="s">
        <v>625</v>
      </c>
      <c r="H107" s="121" t="e">
        <v>#N/A</v>
      </c>
      <c r="I107" s="121" t="s">
        <v>625</v>
      </c>
      <c r="J107" s="121" t="s">
        <v>625</v>
      </c>
    </row>
    <row r="108" spans="1:10">
      <c r="A108" s="114">
        <v>39539</v>
      </c>
      <c r="B108" s="121">
        <v>92.24</v>
      </c>
      <c r="C108" s="121" t="s">
        <v>625</v>
      </c>
      <c r="D108" s="121" t="s">
        <v>625</v>
      </c>
      <c r="E108" s="121" t="s">
        <v>625</v>
      </c>
      <c r="F108" s="121" t="s">
        <v>625</v>
      </c>
      <c r="G108" s="121" t="s">
        <v>625</v>
      </c>
      <c r="H108" s="121" t="e">
        <v>#N/A</v>
      </c>
      <c r="I108" s="121" t="s">
        <v>625</v>
      </c>
      <c r="J108" s="121" t="s">
        <v>625</v>
      </c>
    </row>
    <row r="109" spans="1:10">
      <c r="A109" s="114">
        <v>39540</v>
      </c>
      <c r="B109" s="121">
        <v>92.24</v>
      </c>
      <c r="C109" s="121" t="s">
        <v>625</v>
      </c>
      <c r="D109" s="121" t="s">
        <v>625</v>
      </c>
      <c r="E109" s="121" t="s">
        <v>625</v>
      </c>
      <c r="F109" s="121" t="s">
        <v>625</v>
      </c>
      <c r="G109" s="121" t="s">
        <v>625</v>
      </c>
      <c r="H109" s="121" t="e">
        <v>#N/A</v>
      </c>
      <c r="I109" s="121" t="s">
        <v>625</v>
      </c>
      <c r="J109" s="121" t="s">
        <v>625</v>
      </c>
    </row>
    <row r="110" spans="1:10">
      <c r="A110" s="114">
        <v>39541</v>
      </c>
      <c r="B110" s="121">
        <v>92.24</v>
      </c>
      <c r="C110" s="121" t="s">
        <v>625</v>
      </c>
      <c r="D110" s="121" t="s">
        <v>625</v>
      </c>
      <c r="E110" s="121" t="s">
        <v>625</v>
      </c>
      <c r="F110" s="121" t="s">
        <v>625</v>
      </c>
      <c r="G110" s="121" t="s">
        <v>625</v>
      </c>
      <c r="H110" s="121" t="e">
        <v>#N/A</v>
      </c>
      <c r="I110" s="121" t="s">
        <v>625</v>
      </c>
      <c r="J110" s="121" t="s">
        <v>625</v>
      </c>
    </row>
    <row r="111" spans="1:10">
      <c r="A111" s="114">
        <v>39545</v>
      </c>
      <c r="B111" s="121">
        <v>92.24</v>
      </c>
      <c r="C111" s="121" t="s">
        <v>625</v>
      </c>
      <c r="D111" s="121" t="s">
        <v>625</v>
      </c>
      <c r="E111" s="121" t="s">
        <v>625</v>
      </c>
      <c r="F111" s="121" t="s">
        <v>625</v>
      </c>
      <c r="G111" s="121" t="s">
        <v>625</v>
      </c>
      <c r="H111" s="121" t="e">
        <v>#N/A</v>
      </c>
      <c r="I111" s="121" t="s">
        <v>625</v>
      </c>
      <c r="J111" s="121" t="s">
        <v>625</v>
      </c>
    </row>
    <row r="112" spans="1:10">
      <c r="A112" s="114">
        <v>39546</v>
      </c>
      <c r="B112" s="121">
        <v>92.24</v>
      </c>
      <c r="C112" s="121" t="s">
        <v>625</v>
      </c>
      <c r="D112" s="121" t="s">
        <v>625</v>
      </c>
      <c r="E112" s="121" t="s">
        <v>625</v>
      </c>
      <c r="F112" s="121" t="s">
        <v>625</v>
      </c>
      <c r="G112" s="121" t="s">
        <v>625</v>
      </c>
      <c r="H112" s="121" t="e">
        <v>#N/A</v>
      </c>
      <c r="I112" s="121" t="s">
        <v>625</v>
      </c>
      <c r="J112" s="121" t="s">
        <v>625</v>
      </c>
    </row>
    <row r="113" spans="1:10">
      <c r="A113" s="114">
        <v>39547</v>
      </c>
      <c r="B113" s="121">
        <v>92.24</v>
      </c>
      <c r="C113" s="121" t="s">
        <v>625</v>
      </c>
      <c r="D113" s="121" t="s">
        <v>625</v>
      </c>
      <c r="E113" s="121" t="s">
        <v>625</v>
      </c>
      <c r="F113" s="121" t="s">
        <v>625</v>
      </c>
      <c r="G113" s="121" t="s">
        <v>625</v>
      </c>
      <c r="H113" s="121" t="e">
        <v>#N/A</v>
      </c>
      <c r="I113" s="121" t="s">
        <v>625</v>
      </c>
      <c r="J113" s="121" t="s">
        <v>625</v>
      </c>
    </row>
    <row r="114" spans="1:10">
      <c r="A114" s="114">
        <v>39548</v>
      </c>
      <c r="B114" s="121">
        <v>92.24</v>
      </c>
      <c r="C114" s="121" t="s">
        <v>625</v>
      </c>
      <c r="D114" s="121" t="s">
        <v>625</v>
      </c>
      <c r="E114" s="121" t="s">
        <v>625</v>
      </c>
      <c r="F114" s="121" t="s">
        <v>625</v>
      </c>
      <c r="G114" s="121" t="s">
        <v>625</v>
      </c>
      <c r="H114" s="121" t="e">
        <v>#N/A</v>
      </c>
      <c r="I114" s="121" t="s">
        <v>625</v>
      </c>
      <c r="J114" s="121" t="s">
        <v>625</v>
      </c>
    </row>
    <row r="115" spans="1:10">
      <c r="A115" s="114">
        <v>39549</v>
      </c>
      <c r="B115" s="121">
        <v>92.24</v>
      </c>
      <c r="C115" s="121" t="s">
        <v>625</v>
      </c>
      <c r="D115" s="121" t="s">
        <v>625</v>
      </c>
      <c r="E115" s="121" t="s">
        <v>625</v>
      </c>
      <c r="F115" s="121" t="s">
        <v>625</v>
      </c>
      <c r="G115" s="121" t="s">
        <v>625</v>
      </c>
      <c r="H115" s="121" t="e">
        <v>#N/A</v>
      </c>
      <c r="I115" s="121" t="s">
        <v>625</v>
      </c>
      <c r="J115" s="121" t="s">
        <v>625</v>
      </c>
    </row>
    <row r="116" spans="1:10">
      <c r="A116" s="114">
        <v>39552</v>
      </c>
      <c r="B116" s="121">
        <v>92.24</v>
      </c>
      <c r="C116" s="121" t="s">
        <v>625</v>
      </c>
      <c r="D116" s="121" t="s">
        <v>625</v>
      </c>
      <c r="E116" s="121" t="s">
        <v>625</v>
      </c>
      <c r="F116" s="121" t="s">
        <v>625</v>
      </c>
      <c r="G116" s="121" t="s">
        <v>625</v>
      </c>
      <c r="H116" s="121" t="e">
        <v>#N/A</v>
      </c>
      <c r="I116" s="121" t="s">
        <v>625</v>
      </c>
      <c r="J116" s="121" t="s">
        <v>625</v>
      </c>
    </row>
    <row r="117" spans="1:10">
      <c r="A117" s="114">
        <v>39553</v>
      </c>
      <c r="B117" s="121">
        <v>95.16</v>
      </c>
      <c r="C117" s="121" t="s">
        <v>625</v>
      </c>
      <c r="D117" s="121" t="s">
        <v>625</v>
      </c>
      <c r="E117" s="121" t="s">
        <v>625</v>
      </c>
      <c r="F117" s="121" t="s">
        <v>625</v>
      </c>
      <c r="G117" s="121" t="s">
        <v>625</v>
      </c>
      <c r="H117" s="121" t="e">
        <v>#N/A</v>
      </c>
      <c r="I117" s="121" t="s">
        <v>625</v>
      </c>
      <c r="J117" s="121" t="s">
        <v>625</v>
      </c>
    </row>
    <row r="118" spans="1:10">
      <c r="A118" s="114">
        <v>39554</v>
      </c>
      <c r="B118" s="121">
        <v>95.16</v>
      </c>
      <c r="C118" s="121" t="s">
        <v>625</v>
      </c>
      <c r="D118" s="121" t="s">
        <v>625</v>
      </c>
      <c r="E118" s="121" t="s">
        <v>625</v>
      </c>
      <c r="F118" s="121" t="s">
        <v>625</v>
      </c>
      <c r="G118" s="121" t="s">
        <v>625</v>
      </c>
      <c r="H118" s="121" t="e">
        <v>#N/A</v>
      </c>
      <c r="I118" s="121" t="s">
        <v>625</v>
      </c>
      <c r="J118" s="121" t="s">
        <v>625</v>
      </c>
    </row>
    <row r="119" spans="1:10">
      <c r="A119" s="114">
        <v>39555</v>
      </c>
      <c r="B119" s="121">
        <v>95.16</v>
      </c>
      <c r="C119" s="121" t="s">
        <v>625</v>
      </c>
      <c r="D119" s="121" t="s">
        <v>625</v>
      </c>
      <c r="E119" s="121" t="s">
        <v>625</v>
      </c>
      <c r="F119" s="121" t="s">
        <v>625</v>
      </c>
      <c r="G119" s="121" t="s">
        <v>625</v>
      </c>
      <c r="H119" s="121" t="e">
        <v>#N/A</v>
      </c>
      <c r="I119" s="121" t="s">
        <v>625</v>
      </c>
      <c r="J119" s="121" t="s">
        <v>625</v>
      </c>
    </row>
    <row r="120" spans="1:10">
      <c r="A120" s="114">
        <v>39556</v>
      </c>
      <c r="B120" s="121">
        <v>95.53</v>
      </c>
      <c r="C120" s="121" t="s">
        <v>625</v>
      </c>
      <c r="D120" s="121" t="s">
        <v>625</v>
      </c>
      <c r="E120" s="121" t="s">
        <v>625</v>
      </c>
      <c r="F120" s="121" t="s">
        <v>625</v>
      </c>
      <c r="G120" s="121" t="s">
        <v>625</v>
      </c>
      <c r="H120" s="121" t="e">
        <v>#N/A</v>
      </c>
      <c r="I120" s="121" t="s">
        <v>625</v>
      </c>
      <c r="J120" s="121" t="s">
        <v>625</v>
      </c>
    </row>
    <row r="121" spans="1:10">
      <c r="A121" s="114">
        <v>39559</v>
      </c>
      <c r="B121" s="121">
        <v>95.53</v>
      </c>
      <c r="C121" s="121" t="s">
        <v>625</v>
      </c>
      <c r="D121" s="121" t="s">
        <v>625</v>
      </c>
      <c r="E121" s="121" t="s">
        <v>625</v>
      </c>
      <c r="F121" s="121" t="s">
        <v>625</v>
      </c>
      <c r="G121" s="121" t="s">
        <v>625</v>
      </c>
      <c r="H121" s="121" t="e">
        <v>#N/A</v>
      </c>
      <c r="I121" s="121" t="s">
        <v>625</v>
      </c>
      <c r="J121" s="121" t="s">
        <v>625</v>
      </c>
    </row>
    <row r="122" spans="1:10">
      <c r="A122" s="114">
        <v>39560</v>
      </c>
      <c r="B122" s="121">
        <v>95.53</v>
      </c>
      <c r="C122" s="121" t="s">
        <v>625</v>
      </c>
      <c r="D122" s="121" t="s">
        <v>625</v>
      </c>
      <c r="E122" s="121" t="s">
        <v>625</v>
      </c>
      <c r="F122" s="121" t="s">
        <v>625</v>
      </c>
      <c r="G122" s="121" t="s">
        <v>625</v>
      </c>
      <c r="H122" s="121" t="e">
        <v>#N/A</v>
      </c>
      <c r="I122" s="121" t="s">
        <v>625</v>
      </c>
      <c r="J122" s="121" t="s">
        <v>625</v>
      </c>
    </row>
    <row r="123" spans="1:10">
      <c r="A123" s="114">
        <v>39561</v>
      </c>
      <c r="B123" s="121">
        <v>95.53</v>
      </c>
      <c r="C123" s="121" t="s">
        <v>625</v>
      </c>
      <c r="D123" s="121" t="s">
        <v>625</v>
      </c>
      <c r="E123" s="121" t="s">
        <v>625</v>
      </c>
      <c r="F123" s="121" t="s">
        <v>625</v>
      </c>
      <c r="G123" s="121" t="s">
        <v>625</v>
      </c>
      <c r="H123" s="121" t="e">
        <v>#N/A</v>
      </c>
      <c r="I123" s="121" t="s">
        <v>625</v>
      </c>
      <c r="J123" s="121" t="s">
        <v>625</v>
      </c>
    </row>
    <row r="124" spans="1:10">
      <c r="A124" s="114">
        <v>39562</v>
      </c>
      <c r="B124" s="121">
        <v>95.53</v>
      </c>
      <c r="C124" s="121" t="s">
        <v>625</v>
      </c>
      <c r="D124" s="121" t="s">
        <v>625</v>
      </c>
      <c r="E124" s="121" t="s">
        <v>625</v>
      </c>
      <c r="F124" s="121" t="s">
        <v>625</v>
      </c>
      <c r="G124" s="121" t="s">
        <v>625</v>
      </c>
      <c r="H124" s="121" t="e">
        <v>#N/A</v>
      </c>
      <c r="I124" s="121" t="s">
        <v>625</v>
      </c>
      <c r="J124" s="121" t="s">
        <v>625</v>
      </c>
    </row>
    <row r="125" spans="1:10">
      <c r="A125" s="114">
        <v>39563</v>
      </c>
      <c r="B125" s="121">
        <v>95.53</v>
      </c>
      <c r="C125" s="121" t="s">
        <v>625</v>
      </c>
      <c r="D125" s="121" t="s">
        <v>625</v>
      </c>
      <c r="E125" s="121" t="s">
        <v>625</v>
      </c>
      <c r="F125" s="121" t="s">
        <v>625</v>
      </c>
      <c r="G125" s="121" t="s">
        <v>625</v>
      </c>
      <c r="H125" s="121" t="e">
        <v>#N/A</v>
      </c>
      <c r="I125" s="121" t="s">
        <v>625</v>
      </c>
      <c r="J125" s="121" t="s">
        <v>625</v>
      </c>
    </row>
    <row r="126" spans="1:10">
      <c r="A126" s="114">
        <v>39566</v>
      </c>
      <c r="B126" s="121">
        <v>95.53</v>
      </c>
      <c r="C126" s="121" t="s">
        <v>625</v>
      </c>
      <c r="D126" s="121" t="s">
        <v>625</v>
      </c>
      <c r="E126" s="121" t="s">
        <v>625</v>
      </c>
      <c r="F126" s="121" t="s">
        <v>625</v>
      </c>
      <c r="G126" s="121" t="s">
        <v>625</v>
      </c>
      <c r="H126" s="121" t="e">
        <v>#N/A</v>
      </c>
      <c r="I126" s="121" t="s">
        <v>625</v>
      </c>
      <c r="J126" s="121" t="s">
        <v>625</v>
      </c>
    </row>
    <row r="127" spans="1:10">
      <c r="A127" s="114">
        <v>39567</v>
      </c>
      <c r="B127" s="121">
        <v>95.53</v>
      </c>
      <c r="C127" s="121" t="s">
        <v>625</v>
      </c>
      <c r="D127" s="121" t="s">
        <v>625</v>
      </c>
      <c r="E127" s="121" t="s">
        <v>625</v>
      </c>
      <c r="F127" s="121" t="s">
        <v>625</v>
      </c>
      <c r="G127" s="121" t="s">
        <v>625</v>
      </c>
      <c r="H127" s="121" t="e">
        <v>#N/A</v>
      </c>
      <c r="I127" s="121" t="s">
        <v>625</v>
      </c>
      <c r="J127" s="121" t="s">
        <v>625</v>
      </c>
    </row>
    <row r="128" spans="1:10">
      <c r="A128" s="114">
        <v>39568</v>
      </c>
      <c r="B128" s="121">
        <v>95.53</v>
      </c>
      <c r="C128" s="121" t="s">
        <v>625</v>
      </c>
      <c r="D128" s="121" t="s">
        <v>625</v>
      </c>
      <c r="E128" s="121" t="s">
        <v>625</v>
      </c>
      <c r="F128" s="121" t="s">
        <v>625</v>
      </c>
      <c r="G128" s="121" t="s">
        <v>625</v>
      </c>
      <c r="H128" s="121" t="e">
        <v>#N/A</v>
      </c>
      <c r="I128" s="121" t="s">
        <v>625</v>
      </c>
      <c r="J128" s="121" t="s">
        <v>625</v>
      </c>
    </row>
    <row r="129" spans="1:10">
      <c r="A129" s="114">
        <v>39572</v>
      </c>
      <c r="B129" s="121">
        <v>95.53</v>
      </c>
      <c r="C129" s="121" t="s">
        <v>625</v>
      </c>
      <c r="D129" s="121" t="s">
        <v>625</v>
      </c>
      <c r="E129" s="121" t="s">
        <v>625</v>
      </c>
      <c r="F129" s="121" t="s">
        <v>625</v>
      </c>
      <c r="G129" s="121" t="s">
        <v>625</v>
      </c>
      <c r="H129" s="121" t="e">
        <v>#N/A</v>
      </c>
      <c r="I129" s="121" t="s">
        <v>625</v>
      </c>
      <c r="J129" s="121" t="s">
        <v>625</v>
      </c>
    </row>
    <row r="130" spans="1:10">
      <c r="A130" s="114">
        <v>39573</v>
      </c>
      <c r="B130" s="121">
        <v>95.53</v>
      </c>
      <c r="C130" s="121" t="s">
        <v>625</v>
      </c>
      <c r="D130" s="121" t="s">
        <v>625</v>
      </c>
      <c r="E130" s="121" t="s">
        <v>625</v>
      </c>
      <c r="F130" s="121" t="s">
        <v>625</v>
      </c>
      <c r="G130" s="121" t="s">
        <v>625</v>
      </c>
      <c r="H130" s="121" t="e">
        <v>#N/A</v>
      </c>
      <c r="I130" s="121" t="s">
        <v>625</v>
      </c>
      <c r="J130" s="121" t="s">
        <v>625</v>
      </c>
    </row>
    <row r="131" spans="1:10">
      <c r="A131" s="114">
        <v>39574</v>
      </c>
      <c r="B131" s="121">
        <v>95.53</v>
      </c>
      <c r="C131" s="121" t="s">
        <v>625</v>
      </c>
      <c r="D131" s="121" t="s">
        <v>625</v>
      </c>
      <c r="E131" s="121" t="s">
        <v>625</v>
      </c>
      <c r="F131" s="121" t="s">
        <v>625</v>
      </c>
      <c r="G131" s="121" t="s">
        <v>625</v>
      </c>
      <c r="H131" s="121" t="e">
        <v>#N/A</v>
      </c>
      <c r="I131" s="121" t="s">
        <v>625</v>
      </c>
      <c r="J131" s="121" t="s">
        <v>625</v>
      </c>
    </row>
    <row r="132" spans="1:10">
      <c r="A132" s="114">
        <v>39575</v>
      </c>
      <c r="B132" s="121">
        <v>94.83</v>
      </c>
      <c r="C132" s="121" t="s">
        <v>625</v>
      </c>
      <c r="D132" s="121" t="s">
        <v>625</v>
      </c>
      <c r="E132" s="121" t="s">
        <v>625</v>
      </c>
      <c r="F132" s="121" t="s">
        <v>625</v>
      </c>
      <c r="G132" s="121" t="s">
        <v>625</v>
      </c>
      <c r="H132" s="121" t="e">
        <v>#N/A</v>
      </c>
      <c r="I132" s="121" t="s">
        <v>625</v>
      </c>
      <c r="J132" s="121" t="s">
        <v>625</v>
      </c>
    </row>
    <row r="133" spans="1:10">
      <c r="A133" s="114">
        <v>39576</v>
      </c>
      <c r="B133" s="121">
        <v>94.83</v>
      </c>
      <c r="C133" s="121" t="s">
        <v>625</v>
      </c>
      <c r="D133" s="121" t="s">
        <v>625</v>
      </c>
      <c r="E133" s="121" t="s">
        <v>625</v>
      </c>
      <c r="F133" s="121" t="s">
        <v>625</v>
      </c>
      <c r="G133" s="121" t="s">
        <v>625</v>
      </c>
      <c r="H133" s="121" t="e">
        <v>#N/A</v>
      </c>
      <c r="I133" s="121" t="s">
        <v>625</v>
      </c>
      <c r="J133" s="121" t="s">
        <v>625</v>
      </c>
    </row>
    <row r="134" spans="1:10">
      <c r="A134" s="114">
        <v>39577</v>
      </c>
      <c r="B134" s="121">
        <v>94.84</v>
      </c>
      <c r="C134" s="121" t="s">
        <v>625</v>
      </c>
      <c r="D134" s="121" t="s">
        <v>625</v>
      </c>
      <c r="E134" s="121" t="s">
        <v>625</v>
      </c>
      <c r="F134" s="121" t="s">
        <v>625</v>
      </c>
      <c r="G134" s="121" t="s">
        <v>625</v>
      </c>
      <c r="H134" s="121" t="e">
        <v>#N/A</v>
      </c>
      <c r="I134" s="121" t="s">
        <v>625</v>
      </c>
      <c r="J134" s="121" t="s">
        <v>625</v>
      </c>
    </row>
    <row r="135" spans="1:10">
      <c r="A135" s="114">
        <v>39580</v>
      </c>
      <c r="B135" s="121">
        <v>94.84</v>
      </c>
      <c r="C135" s="121" t="s">
        <v>625</v>
      </c>
      <c r="D135" s="121" t="s">
        <v>625</v>
      </c>
      <c r="E135" s="121" t="s">
        <v>625</v>
      </c>
      <c r="F135" s="121" t="s">
        <v>625</v>
      </c>
      <c r="G135" s="121" t="s">
        <v>625</v>
      </c>
      <c r="H135" s="121" t="e">
        <v>#N/A</v>
      </c>
      <c r="I135" s="121" t="s">
        <v>625</v>
      </c>
      <c r="J135" s="121" t="s">
        <v>625</v>
      </c>
    </row>
    <row r="136" spans="1:10">
      <c r="A136" s="114">
        <v>39581</v>
      </c>
      <c r="B136" s="121">
        <v>94.84</v>
      </c>
      <c r="C136" s="121" t="s">
        <v>625</v>
      </c>
      <c r="D136" s="121" t="s">
        <v>625</v>
      </c>
      <c r="E136" s="121" t="s">
        <v>625</v>
      </c>
      <c r="F136" s="121" t="s">
        <v>625</v>
      </c>
      <c r="G136" s="121" t="s">
        <v>625</v>
      </c>
      <c r="H136" s="121" t="e">
        <v>#N/A</v>
      </c>
      <c r="I136" s="121" t="s">
        <v>625</v>
      </c>
      <c r="J136" s="121" t="s">
        <v>625</v>
      </c>
    </row>
    <row r="137" spans="1:10">
      <c r="A137" s="114">
        <v>39582</v>
      </c>
      <c r="B137" s="121">
        <v>94.84</v>
      </c>
      <c r="C137" s="121" t="s">
        <v>625</v>
      </c>
      <c r="D137" s="121" t="s">
        <v>625</v>
      </c>
      <c r="E137" s="121" t="s">
        <v>625</v>
      </c>
      <c r="F137" s="121" t="s">
        <v>625</v>
      </c>
      <c r="G137" s="121" t="s">
        <v>625</v>
      </c>
      <c r="H137" s="121" t="e">
        <v>#N/A</v>
      </c>
      <c r="I137" s="121" t="s">
        <v>625</v>
      </c>
      <c r="J137" s="121" t="s">
        <v>625</v>
      </c>
    </row>
    <row r="138" spans="1:10">
      <c r="A138" s="114">
        <v>39583</v>
      </c>
      <c r="B138" s="121">
        <v>94.84</v>
      </c>
      <c r="C138" s="121" t="s">
        <v>625</v>
      </c>
      <c r="D138" s="121" t="s">
        <v>625</v>
      </c>
      <c r="E138" s="121" t="s">
        <v>625</v>
      </c>
      <c r="F138" s="121" t="s">
        <v>625</v>
      </c>
      <c r="G138" s="121" t="s">
        <v>625</v>
      </c>
      <c r="H138" s="121" t="e">
        <v>#N/A</v>
      </c>
      <c r="I138" s="121" t="s">
        <v>625</v>
      </c>
      <c r="J138" s="121" t="s">
        <v>625</v>
      </c>
    </row>
    <row r="139" spans="1:10">
      <c r="A139" s="114">
        <v>39584</v>
      </c>
      <c r="B139" s="121">
        <v>94.84</v>
      </c>
      <c r="C139" s="121" t="s">
        <v>625</v>
      </c>
      <c r="D139" s="121" t="s">
        <v>625</v>
      </c>
      <c r="E139" s="121" t="s">
        <v>625</v>
      </c>
      <c r="F139" s="121" t="s">
        <v>625</v>
      </c>
      <c r="G139" s="121" t="s">
        <v>625</v>
      </c>
      <c r="H139" s="121" t="e">
        <v>#N/A</v>
      </c>
      <c r="I139" s="121" t="s">
        <v>625</v>
      </c>
      <c r="J139" s="121" t="s">
        <v>625</v>
      </c>
    </row>
    <row r="140" spans="1:10">
      <c r="A140" s="114">
        <v>39587</v>
      </c>
      <c r="B140" s="121">
        <v>94.84</v>
      </c>
      <c r="C140" s="121" t="s">
        <v>625</v>
      </c>
      <c r="D140" s="121" t="s">
        <v>625</v>
      </c>
      <c r="E140" s="121" t="s">
        <v>625</v>
      </c>
      <c r="F140" s="121" t="s">
        <v>625</v>
      </c>
      <c r="G140" s="121" t="s">
        <v>625</v>
      </c>
      <c r="H140" s="121" t="e">
        <v>#N/A</v>
      </c>
      <c r="I140" s="121" t="s">
        <v>625</v>
      </c>
      <c r="J140" s="121" t="s">
        <v>625</v>
      </c>
    </row>
    <row r="141" spans="1:10">
      <c r="A141" s="114">
        <v>39588</v>
      </c>
      <c r="B141" s="121">
        <v>94.84</v>
      </c>
      <c r="C141" s="121" t="s">
        <v>625</v>
      </c>
      <c r="D141" s="121" t="s">
        <v>625</v>
      </c>
      <c r="E141" s="121" t="s">
        <v>625</v>
      </c>
      <c r="F141" s="121" t="s">
        <v>625</v>
      </c>
      <c r="G141" s="121" t="s">
        <v>625</v>
      </c>
      <c r="H141" s="121" t="e">
        <v>#N/A</v>
      </c>
      <c r="I141" s="121" t="s">
        <v>625</v>
      </c>
      <c r="J141" s="121" t="s">
        <v>625</v>
      </c>
    </row>
    <row r="142" spans="1:10">
      <c r="A142" s="114">
        <v>39589</v>
      </c>
      <c r="B142" s="121">
        <v>94.84</v>
      </c>
      <c r="C142" s="121" t="s">
        <v>625</v>
      </c>
      <c r="D142" s="121" t="s">
        <v>625</v>
      </c>
      <c r="E142" s="121" t="s">
        <v>625</v>
      </c>
      <c r="F142" s="121" t="s">
        <v>625</v>
      </c>
      <c r="G142" s="121" t="s">
        <v>625</v>
      </c>
      <c r="H142" s="121" t="e">
        <v>#N/A</v>
      </c>
      <c r="I142" s="121" t="s">
        <v>625</v>
      </c>
      <c r="J142" s="121" t="s">
        <v>625</v>
      </c>
    </row>
    <row r="143" spans="1:10">
      <c r="A143" s="114">
        <v>39590</v>
      </c>
      <c r="B143" s="121">
        <v>94.84</v>
      </c>
      <c r="C143" s="121" t="s">
        <v>625</v>
      </c>
      <c r="D143" s="121" t="s">
        <v>625</v>
      </c>
      <c r="E143" s="121" t="s">
        <v>625</v>
      </c>
      <c r="F143" s="121" t="s">
        <v>625</v>
      </c>
      <c r="G143" s="121" t="s">
        <v>625</v>
      </c>
      <c r="H143" s="121" t="e">
        <v>#N/A</v>
      </c>
      <c r="I143" s="121" t="s">
        <v>625</v>
      </c>
      <c r="J143" s="121" t="s">
        <v>625</v>
      </c>
    </row>
    <row r="144" spans="1:10">
      <c r="A144" s="114">
        <v>39591</v>
      </c>
      <c r="B144" s="121">
        <v>94.84</v>
      </c>
      <c r="C144" s="121" t="s">
        <v>625</v>
      </c>
      <c r="D144" s="121" t="s">
        <v>625</v>
      </c>
      <c r="E144" s="121" t="s">
        <v>625</v>
      </c>
      <c r="F144" s="121" t="s">
        <v>625</v>
      </c>
      <c r="G144" s="121" t="s">
        <v>625</v>
      </c>
      <c r="H144" s="121" t="e">
        <v>#N/A</v>
      </c>
      <c r="I144" s="121" t="s">
        <v>625</v>
      </c>
      <c r="J144" s="121" t="s">
        <v>625</v>
      </c>
    </row>
    <row r="145" spans="1:10">
      <c r="A145" s="114">
        <v>39594</v>
      </c>
      <c r="B145" s="121">
        <v>94.84</v>
      </c>
      <c r="C145" s="121" t="s">
        <v>625</v>
      </c>
      <c r="D145" s="121" t="s">
        <v>625</v>
      </c>
      <c r="E145" s="121" t="s">
        <v>625</v>
      </c>
      <c r="F145" s="121" t="s">
        <v>625</v>
      </c>
      <c r="G145" s="121" t="s">
        <v>625</v>
      </c>
      <c r="H145" s="121" t="e">
        <v>#N/A</v>
      </c>
      <c r="I145" s="121" t="s">
        <v>625</v>
      </c>
      <c r="J145" s="121" t="s">
        <v>625</v>
      </c>
    </row>
    <row r="146" spans="1:10">
      <c r="A146" s="114">
        <v>39595</v>
      </c>
      <c r="B146" s="121">
        <v>94.84</v>
      </c>
      <c r="C146" s="121" t="s">
        <v>625</v>
      </c>
      <c r="D146" s="121" t="s">
        <v>625</v>
      </c>
      <c r="E146" s="121" t="s">
        <v>625</v>
      </c>
      <c r="F146" s="121" t="s">
        <v>625</v>
      </c>
      <c r="G146" s="121" t="s">
        <v>625</v>
      </c>
      <c r="H146" s="121" t="e">
        <v>#N/A</v>
      </c>
      <c r="I146" s="121" t="s">
        <v>625</v>
      </c>
      <c r="J146" s="121" t="s">
        <v>625</v>
      </c>
    </row>
    <row r="147" spans="1:10">
      <c r="A147" s="114">
        <v>39596</v>
      </c>
      <c r="B147" s="121">
        <v>94.84</v>
      </c>
      <c r="C147" s="121" t="s">
        <v>625</v>
      </c>
      <c r="D147" s="121" t="s">
        <v>625</v>
      </c>
      <c r="E147" s="121" t="s">
        <v>625</v>
      </c>
      <c r="F147" s="121" t="s">
        <v>625</v>
      </c>
      <c r="G147" s="121" t="s">
        <v>625</v>
      </c>
      <c r="H147" s="121" t="e">
        <v>#N/A</v>
      </c>
      <c r="I147" s="121" t="s">
        <v>625</v>
      </c>
      <c r="J147" s="121" t="s">
        <v>625</v>
      </c>
    </row>
    <row r="148" spans="1:10">
      <c r="A148" s="114">
        <v>39597</v>
      </c>
      <c r="B148" s="121">
        <v>94.84</v>
      </c>
      <c r="C148" s="121" t="s">
        <v>625</v>
      </c>
      <c r="D148" s="121" t="s">
        <v>625</v>
      </c>
      <c r="E148" s="121" t="s">
        <v>625</v>
      </c>
      <c r="F148" s="121" t="s">
        <v>625</v>
      </c>
      <c r="G148" s="121" t="s">
        <v>625</v>
      </c>
      <c r="H148" s="121" t="e">
        <v>#N/A</v>
      </c>
      <c r="I148" s="121" t="s">
        <v>625</v>
      </c>
      <c r="J148" s="121" t="s">
        <v>625</v>
      </c>
    </row>
    <row r="149" spans="1:10">
      <c r="A149" s="114">
        <v>39598</v>
      </c>
      <c r="B149" s="121">
        <v>94.84</v>
      </c>
      <c r="C149" s="121" t="s">
        <v>625</v>
      </c>
      <c r="D149" s="121" t="s">
        <v>625</v>
      </c>
      <c r="E149" s="121" t="s">
        <v>625</v>
      </c>
      <c r="F149" s="121" t="s">
        <v>625</v>
      </c>
      <c r="G149" s="121" t="s">
        <v>625</v>
      </c>
      <c r="H149" s="121" t="e">
        <v>#N/A</v>
      </c>
      <c r="I149" s="121" t="s">
        <v>625</v>
      </c>
      <c r="J149" s="121" t="s">
        <v>625</v>
      </c>
    </row>
    <row r="150" spans="1:10">
      <c r="A150" s="114">
        <v>39601</v>
      </c>
      <c r="B150" s="121">
        <v>94.84</v>
      </c>
      <c r="C150" s="121" t="s">
        <v>625</v>
      </c>
      <c r="D150" s="121" t="s">
        <v>625</v>
      </c>
      <c r="E150" s="121" t="s">
        <v>625</v>
      </c>
      <c r="F150" s="121" t="s">
        <v>625</v>
      </c>
      <c r="G150" s="121" t="s">
        <v>625</v>
      </c>
      <c r="H150" s="121" t="e">
        <v>#N/A</v>
      </c>
      <c r="I150" s="121" t="s">
        <v>625</v>
      </c>
      <c r="J150" s="121" t="s">
        <v>625</v>
      </c>
    </row>
    <row r="151" spans="1:10">
      <c r="A151" s="114">
        <v>39602</v>
      </c>
      <c r="B151" s="121">
        <v>94.84</v>
      </c>
      <c r="C151" s="121" t="s">
        <v>625</v>
      </c>
      <c r="D151" s="121" t="s">
        <v>625</v>
      </c>
      <c r="E151" s="121" t="s">
        <v>625</v>
      </c>
      <c r="F151" s="121" t="s">
        <v>625</v>
      </c>
      <c r="G151" s="121" t="s">
        <v>625</v>
      </c>
      <c r="H151" s="121" t="e">
        <v>#N/A</v>
      </c>
      <c r="I151" s="121" t="s">
        <v>625</v>
      </c>
      <c r="J151" s="121" t="s">
        <v>625</v>
      </c>
    </row>
    <row r="152" spans="1:10">
      <c r="A152" s="114">
        <v>39603</v>
      </c>
      <c r="B152" s="121">
        <v>94.84</v>
      </c>
      <c r="C152" s="121" t="s">
        <v>625</v>
      </c>
      <c r="D152" s="121" t="s">
        <v>625</v>
      </c>
      <c r="E152" s="121" t="s">
        <v>625</v>
      </c>
      <c r="F152" s="121" t="s">
        <v>625</v>
      </c>
      <c r="G152" s="121" t="s">
        <v>625</v>
      </c>
      <c r="H152" s="121" t="e">
        <v>#N/A</v>
      </c>
      <c r="I152" s="121" t="s">
        <v>625</v>
      </c>
      <c r="J152" s="121" t="s">
        <v>625</v>
      </c>
    </row>
    <row r="153" spans="1:10">
      <c r="A153" s="114">
        <v>39604</v>
      </c>
      <c r="B153" s="121">
        <v>94.84</v>
      </c>
      <c r="C153" s="121" t="s">
        <v>625</v>
      </c>
      <c r="D153" s="121" t="s">
        <v>625</v>
      </c>
      <c r="E153" s="121" t="s">
        <v>625</v>
      </c>
      <c r="F153" s="121" t="s">
        <v>625</v>
      </c>
      <c r="G153" s="121" t="s">
        <v>625</v>
      </c>
      <c r="H153" s="121" t="e">
        <v>#N/A</v>
      </c>
      <c r="I153" s="121" t="s">
        <v>625</v>
      </c>
      <c r="J153" s="121" t="s">
        <v>625</v>
      </c>
    </row>
    <row r="154" spans="1:10">
      <c r="A154" s="114">
        <v>39605</v>
      </c>
      <c r="B154" s="121">
        <v>94.84</v>
      </c>
      <c r="C154" s="121" t="s">
        <v>625</v>
      </c>
      <c r="D154" s="121" t="s">
        <v>625</v>
      </c>
      <c r="E154" s="121" t="s">
        <v>625</v>
      </c>
      <c r="F154" s="121" t="s">
        <v>625</v>
      </c>
      <c r="G154" s="121" t="s">
        <v>625</v>
      </c>
      <c r="H154" s="121" t="e">
        <v>#N/A</v>
      </c>
      <c r="I154" s="121" t="s">
        <v>625</v>
      </c>
      <c r="J154" s="121" t="s">
        <v>625</v>
      </c>
    </row>
    <row r="155" spans="1:10">
      <c r="A155" s="114">
        <v>39609</v>
      </c>
      <c r="B155" s="121">
        <v>94.84</v>
      </c>
      <c r="C155" s="121" t="s">
        <v>625</v>
      </c>
      <c r="D155" s="121" t="s">
        <v>625</v>
      </c>
      <c r="E155" s="121" t="s">
        <v>625</v>
      </c>
      <c r="F155" s="121" t="s">
        <v>625</v>
      </c>
      <c r="G155" s="121" t="s">
        <v>625</v>
      </c>
      <c r="H155" s="121" t="e">
        <v>#N/A</v>
      </c>
      <c r="I155" s="121" t="s">
        <v>625</v>
      </c>
      <c r="J155" s="121" t="s">
        <v>625</v>
      </c>
    </row>
    <row r="156" spans="1:10">
      <c r="A156" s="114">
        <v>39610</v>
      </c>
      <c r="B156" s="121">
        <v>94.84</v>
      </c>
      <c r="C156" s="121" t="s">
        <v>625</v>
      </c>
      <c r="D156" s="121" t="s">
        <v>625</v>
      </c>
      <c r="E156" s="121" t="s">
        <v>625</v>
      </c>
      <c r="F156" s="121" t="s">
        <v>625</v>
      </c>
      <c r="G156" s="121" t="s">
        <v>625</v>
      </c>
      <c r="H156" s="121" t="e">
        <v>#N/A</v>
      </c>
      <c r="I156" s="121" t="s">
        <v>625</v>
      </c>
      <c r="J156" s="121" t="s">
        <v>625</v>
      </c>
    </row>
    <row r="157" spans="1:10">
      <c r="A157" s="114">
        <v>39611</v>
      </c>
      <c r="B157" s="121">
        <v>94.84</v>
      </c>
      <c r="C157" s="121" t="s">
        <v>625</v>
      </c>
      <c r="D157" s="121" t="s">
        <v>625</v>
      </c>
      <c r="E157" s="121" t="s">
        <v>625</v>
      </c>
      <c r="F157" s="121" t="s">
        <v>625</v>
      </c>
      <c r="G157" s="121" t="s">
        <v>625</v>
      </c>
      <c r="H157" s="121" t="e">
        <v>#N/A</v>
      </c>
      <c r="I157" s="121" t="s">
        <v>625</v>
      </c>
      <c r="J157" s="121" t="s">
        <v>625</v>
      </c>
    </row>
    <row r="158" spans="1:10">
      <c r="A158" s="114">
        <v>39612</v>
      </c>
      <c r="B158" s="121">
        <v>94.84</v>
      </c>
      <c r="C158" s="121" t="s">
        <v>625</v>
      </c>
      <c r="D158" s="121" t="s">
        <v>625</v>
      </c>
      <c r="E158" s="121" t="s">
        <v>625</v>
      </c>
      <c r="F158" s="121" t="s">
        <v>625</v>
      </c>
      <c r="G158" s="121" t="s">
        <v>625</v>
      </c>
      <c r="H158" s="121" t="e">
        <v>#N/A</v>
      </c>
      <c r="I158" s="121" t="s">
        <v>625</v>
      </c>
      <c r="J158" s="121" t="s">
        <v>625</v>
      </c>
    </row>
    <row r="159" spans="1:10">
      <c r="A159" s="114">
        <v>39615</v>
      </c>
      <c r="B159" s="121">
        <v>94.84</v>
      </c>
      <c r="C159" s="121" t="s">
        <v>625</v>
      </c>
      <c r="D159" s="121" t="s">
        <v>625</v>
      </c>
      <c r="E159" s="121" t="s">
        <v>625</v>
      </c>
      <c r="F159" s="121" t="s">
        <v>625</v>
      </c>
      <c r="G159" s="121" t="s">
        <v>625</v>
      </c>
      <c r="H159" s="121" t="e">
        <v>#N/A</v>
      </c>
      <c r="I159" s="121" t="s">
        <v>625</v>
      </c>
      <c r="J159" s="121" t="s">
        <v>625</v>
      </c>
    </row>
    <row r="160" spans="1:10">
      <c r="A160" s="114">
        <v>39616</v>
      </c>
      <c r="B160" s="121">
        <v>94.84</v>
      </c>
      <c r="C160" s="121" t="s">
        <v>625</v>
      </c>
      <c r="D160" s="121" t="s">
        <v>625</v>
      </c>
      <c r="E160" s="121" t="s">
        <v>625</v>
      </c>
      <c r="F160" s="121" t="s">
        <v>625</v>
      </c>
      <c r="G160" s="121" t="s">
        <v>625</v>
      </c>
      <c r="H160" s="121" t="e">
        <v>#N/A</v>
      </c>
      <c r="I160" s="121" t="s">
        <v>625</v>
      </c>
      <c r="J160" s="121" t="s">
        <v>625</v>
      </c>
    </row>
    <row r="161" spans="1:10">
      <c r="A161" s="114">
        <v>39617</v>
      </c>
      <c r="B161" s="121">
        <v>94.84</v>
      </c>
      <c r="C161" s="121" t="s">
        <v>625</v>
      </c>
      <c r="D161" s="121" t="s">
        <v>625</v>
      </c>
      <c r="E161" s="121" t="s">
        <v>625</v>
      </c>
      <c r="F161" s="121" t="s">
        <v>625</v>
      </c>
      <c r="G161" s="121" t="s">
        <v>625</v>
      </c>
      <c r="H161" s="121" t="e">
        <v>#N/A</v>
      </c>
      <c r="I161" s="121" t="s">
        <v>625</v>
      </c>
      <c r="J161" s="121" t="s">
        <v>625</v>
      </c>
    </row>
    <row r="162" spans="1:10">
      <c r="A162" s="114">
        <v>39618</v>
      </c>
      <c r="B162" s="121">
        <v>94.84</v>
      </c>
      <c r="C162" s="121" t="s">
        <v>625</v>
      </c>
      <c r="D162" s="121" t="s">
        <v>625</v>
      </c>
      <c r="E162" s="121" t="s">
        <v>625</v>
      </c>
      <c r="F162" s="121" t="s">
        <v>625</v>
      </c>
      <c r="G162" s="121" t="s">
        <v>625</v>
      </c>
      <c r="H162" s="121" t="e">
        <v>#N/A</v>
      </c>
      <c r="I162" s="121" t="s">
        <v>625</v>
      </c>
      <c r="J162" s="121" t="s">
        <v>625</v>
      </c>
    </row>
    <row r="163" spans="1:10">
      <c r="A163" s="114">
        <v>39619</v>
      </c>
      <c r="B163" s="121">
        <v>94.84</v>
      </c>
      <c r="C163" s="121" t="s">
        <v>625</v>
      </c>
      <c r="D163" s="121" t="s">
        <v>625</v>
      </c>
      <c r="E163" s="121" t="s">
        <v>625</v>
      </c>
      <c r="F163" s="121" t="s">
        <v>625</v>
      </c>
      <c r="G163" s="121" t="s">
        <v>625</v>
      </c>
      <c r="H163" s="121" t="e">
        <v>#N/A</v>
      </c>
      <c r="I163" s="121" t="s">
        <v>625</v>
      </c>
      <c r="J163" s="121" t="s">
        <v>625</v>
      </c>
    </row>
    <row r="164" spans="1:10">
      <c r="A164" s="114">
        <v>39622</v>
      </c>
      <c r="B164" s="121">
        <v>94.84</v>
      </c>
      <c r="C164" s="121" t="s">
        <v>625</v>
      </c>
      <c r="D164" s="121" t="s">
        <v>625</v>
      </c>
      <c r="E164" s="121" t="s">
        <v>625</v>
      </c>
      <c r="F164" s="121" t="s">
        <v>625</v>
      </c>
      <c r="G164" s="121" t="s">
        <v>625</v>
      </c>
      <c r="H164" s="121" t="e">
        <v>#N/A</v>
      </c>
      <c r="I164" s="121" t="s">
        <v>625</v>
      </c>
      <c r="J164" s="121" t="s">
        <v>625</v>
      </c>
    </row>
    <row r="165" spans="1:10">
      <c r="A165" s="114">
        <v>39623</v>
      </c>
      <c r="B165" s="121">
        <v>94.84</v>
      </c>
      <c r="C165" s="121" t="s">
        <v>625</v>
      </c>
      <c r="D165" s="121" t="s">
        <v>625</v>
      </c>
      <c r="E165" s="121" t="s">
        <v>625</v>
      </c>
      <c r="F165" s="121" t="s">
        <v>625</v>
      </c>
      <c r="G165" s="121" t="s">
        <v>625</v>
      </c>
      <c r="H165" s="121" t="e">
        <v>#N/A</v>
      </c>
      <c r="I165" s="121" t="s">
        <v>625</v>
      </c>
      <c r="J165" s="121" t="s">
        <v>625</v>
      </c>
    </row>
    <row r="166" spans="1:10">
      <c r="A166" s="114">
        <v>39624</v>
      </c>
      <c r="B166" s="121">
        <v>94.84</v>
      </c>
      <c r="C166" s="121" t="s">
        <v>625</v>
      </c>
      <c r="D166" s="121" t="s">
        <v>625</v>
      </c>
      <c r="E166" s="121" t="s">
        <v>625</v>
      </c>
      <c r="F166" s="121" t="s">
        <v>625</v>
      </c>
      <c r="G166" s="121" t="s">
        <v>625</v>
      </c>
      <c r="H166" s="121" t="e">
        <v>#N/A</v>
      </c>
      <c r="I166" s="121" t="s">
        <v>625</v>
      </c>
      <c r="J166" s="121" t="s">
        <v>625</v>
      </c>
    </row>
    <row r="167" spans="1:10">
      <c r="A167" s="114">
        <v>39625</v>
      </c>
      <c r="B167" s="121">
        <v>94.84</v>
      </c>
      <c r="C167" s="121" t="s">
        <v>625</v>
      </c>
      <c r="D167" s="121" t="s">
        <v>625</v>
      </c>
      <c r="E167" s="121" t="s">
        <v>625</v>
      </c>
      <c r="F167" s="121" t="s">
        <v>625</v>
      </c>
      <c r="G167" s="121" t="s">
        <v>625</v>
      </c>
      <c r="H167" s="121" t="e">
        <v>#N/A</v>
      </c>
      <c r="I167" s="121" t="s">
        <v>625</v>
      </c>
      <c r="J167" s="121" t="s">
        <v>625</v>
      </c>
    </row>
    <row r="168" spans="1:10">
      <c r="A168" s="114">
        <v>39626</v>
      </c>
      <c r="B168" s="121">
        <v>94.84</v>
      </c>
      <c r="C168" s="121" t="s">
        <v>625</v>
      </c>
      <c r="D168" s="121" t="s">
        <v>625</v>
      </c>
      <c r="E168" s="121" t="s">
        <v>625</v>
      </c>
      <c r="F168" s="121" t="s">
        <v>625</v>
      </c>
      <c r="G168" s="121" t="s">
        <v>625</v>
      </c>
      <c r="H168" s="121" t="e">
        <v>#N/A</v>
      </c>
      <c r="I168" s="121" t="s">
        <v>625</v>
      </c>
      <c r="J168" s="121" t="s">
        <v>625</v>
      </c>
    </row>
    <row r="169" spans="1:10">
      <c r="A169" s="114">
        <v>39629</v>
      </c>
      <c r="B169" s="121">
        <v>94.84</v>
      </c>
      <c r="C169" s="121" t="s">
        <v>625</v>
      </c>
      <c r="D169" s="121" t="s">
        <v>625</v>
      </c>
      <c r="E169" s="121" t="s">
        <v>625</v>
      </c>
      <c r="F169" s="121" t="s">
        <v>625</v>
      </c>
      <c r="G169" s="121" t="s">
        <v>625</v>
      </c>
      <c r="H169" s="121" t="e">
        <v>#N/A</v>
      </c>
      <c r="I169" s="121" t="s">
        <v>625</v>
      </c>
      <c r="J169" s="121" t="s">
        <v>625</v>
      </c>
    </row>
    <row r="170" spans="1:10">
      <c r="A170" s="114">
        <v>39630</v>
      </c>
      <c r="B170" s="121">
        <v>94.84</v>
      </c>
      <c r="C170" s="121" t="s">
        <v>625</v>
      </c>
      <c r="D170" s="121" t="s">
        <v>625</v>
      </c>
      <c r="E170" s="121" t="s">
        <v>625</v>
      </c>
      <c r="F170" s="121" t="s">
        <v>625</v>
      </c>
      <c r="G170" s="121" t="s">
        <v>625</v>
      </c>
      <c r="H170" s="121" t="e">
        <v>#N/A</v>
      </c>
      <c r="I170" s="121" t="s">
        <v>625</v>
      </c>
      <c r="J170" s="121" t="s">
        <v>625</v>
      </c>
    </row>
    <row r="171" spans="1:10">
      <c r="A171" s="114">
        <v>39631</v>
      </c>
      <c r="B171" s="121">
        <v>94.84</v>
      </c>
      <c r="C171" s="121" t="s">
        <v>625</v>
      </c>
      <c r="D171" s="121" t="s">
        <v>625</v>
      </c>
      <c r="E171" s="121" t="s">
        <v>625</v>
      </c>
      <c r="F171" s="121" t="s">
        <v>625</v>
      </c>
      <c r="G171" s="121" t="s">
        <v>625</v>
      </c>
      <c r="H171" s="121" t="e">
        <v>#N/A</v>
      </c>
      <c r="I171" s="121" t="s">
        <v>625</v>
      </c>
      <c r="J171" s="121" t="s">
        <v>625</v>
      </c>
    </row>
    <row r="172" spans="1:10">
      <c r="A172" s="114">
        <v>39632</v>
      </c>
      <c r="B172" s="121">
        <v>94.84</v>
      </c>
      <c r="C172" s="121" t="s">
        <v>625</v>
      </c>
      <c r="D172" s="121" t="s">
        <v>625</v>
      </c>
      <c r="E172" s="121" t="s">
        <v>625</v>
      </c>
      <c r="F172" s="121" t="s">
        <v>625</v>
      </c>
      <c r="G172" s="121" t="s">
        <v>625</v>
      </c>
      <c r="H172" s="121" t="e">
        <v>#N/A</v>
      </c>
      <c r="I172" s="121" t="s">
        <v>625</v>
      </c>
      <c r="J172" s="121" t="s">
        <v>625</v>
      </c>
    </row>
    <row r="173" spans="1:10">
      <c r="A173" s="114">
        <v>39633</v>
      </c>
      <c r="B173" s="121">
        <v>94.84</v>
      </c>
      <c r="C173" s="121" t="s">
        <v>625</v>
      </c>
      <c r="D173" s="121" t="s">
        <v>625</v>
      </c>
      <c r="E173" s="121" t="s">
        <v>625</v>
      </c>
      <c r="F173" s="121" t="s">
        <v>625</v>
      </c>
      <c r="G173" s="121" t="s">
        <v>625</v>
      </c>
      <c r="H173" s="121" t="e">
        <v>#N/A</v>
      </c>
      <c r="I173" s="121" t="s">
        <v>625</v>
      </c>
      <c r="J173" s="121" t="s">
        <v>625</v>
      </c>
    </row>
    <row r="174" spans="1:10">
      <c r="A174" s="114">
        <v>39636</v>
      </c>
      <c r="B174" s="121">
        <v>94.84</v>
      </c>
      <c r="C174" s="121" t="s">
        <v>625</v>
      </c>
      <c r="D174" s="121" t="s">
        <v>625</v>
      </c>
      <c r="E174" s="121" t="s">
        <v>625</v>
      </c>
      <c r="F174" s="121" t="s">
        <v>625</v>
      </c>
      <c r="G174" s="121" t="s">
        <v>625</v>
      </c>
      <c r="H174" s="121" t="e">
        <v>#N/A</v>
      </c>
      <c r="I174" s="121" t="s">
        <v>625</v>
      </c>
      <c r="J174" s="121" t="s">
        <v>625</v>
      </c>
    </row>
    <row r="175" spans="1:10">
      <c r="A175" s="114">
        <v>39637</v>
      </c>
      <c r="B175" s="121">
        <v>94.84</v>
      </c>
      <c r="C175" s="121" t="s">
        <v>625</v>
      </c>
      <c r="D175" s="121" t="s">
        <v>625</v>
      </c>
      <c r="E175" s="121" t="s">
        <v>625</v>
      </c>
      <c r="F175" s="121" t="s">
        <v>625</v>
      </c>
      <c r="G175" s="121" t="s">
        <v>625</v>
      </c>
      <c r="H175" s="121" t="e">
        <v>#N/A</v>
      </c>
      <c r="I175" s="121" t="s">
        <v>625</v>
      </c>
      <c r="J175" s="121" t="s">
        <v>625</v>
      </c>
    </row>
    <row r="176" spans="1:10">
      <c r="A176" s="114">
        <v>39638</v>
      </c>
      <c r="B176" s="121">
        <v>94.84</v>
      </c>
      <c r="C176" s="121" t="s">
        <v>625</v>
      </c>
      <c r="D176" s="121" t="s">
        <v>625</v>
      </c>
      <c r="E176" s="121" t="s">
        <v>625</v>
      </c>
      <c r="F176" s="121" t="s">
        <v>625</v>
      </c>
      <c r="G176" s="121" t="s">
        <v>625</v>
      </c>
      <c r="H176" s="121" t="e">
        <v>#N/A</v>
      </c>
      <c r="I176" s="121" t="s">
        <v>625</v>
      </c>
      <c r="J176" s="121" t="s">
        <v>625</v>
      </c>
    </row>
    <row r="177" spans="1:10">
      <c r="A177" s="114">
        <v>39639</v>
      </c>
      <c r="B177" s="121">
        <v>94.84</v>
      </c>
      <c r="C177" s="121" t="s">
        <v>625</v>
      </c>
      <c r="D177" s="121" t="s">
        <v>625</v>
      </c>
      <c r="E177" s="121" t="s">
        <v>625</v>
      </c>
      <c r="F177" s="121" t="s">
        <v>625</v>
      </c>
      <c r="G177" s="121" t="s">
        <v>625</v>
      </c>
      <c r="H177" s="121" t="e">
        <v>#N/A</v>
      </c>
      <c r="I177" s="121" t="s">
        <v>625</v>
      </c>
      <c r="J177" s="121" t="s">
        <v>625</v>
      </c>
    </row>
    <row r="178" spans="1:10">
      <c r="A178" s="114">
        <v>39640</v>
      </c>
      <c r="B178" s="121">
        <v>94.84</v>
      </c>
      <c r="C178" s="121" t="s">
        <v>625</v>
      </c>
      <c r="D178" s="121" t="s">
        <v>625</v>
      </c>
      <c r="E178" s="121" t="s">
        <v>625</v>
      </c>
      <c r="F178" s="121" t="s">
        <v>625</v>
      </c>
      <c r="G178" s="121" t="s">
        <v>625</v>
      </c>
      <c r="H178" s="121" t="e">
        <v>#N/A</v>
      </c>
      <c r="I178" s="121" t="s">
        <v>625</v>
      </c>
      <c r="J178" s="121" t="s">
        <v>625</v>
      </c>
    </row>
    <row r="179" spans="1:10">
      <c r="A179" s="114">
        <v>39643</v>
      </c>
      <c r="B179" s="121">
        <v>94.84</v>
      </c>
      <c r="C179" s="121" t="s">
        <v>625</v>
      </c>
      <c r="D179" s="121" t="s">
        <v>625</v>
      </c>
      <c r="E179" s="121" t="s">
        <v>625</v>
      </c>
      <c r="F179" s="121" t="s">
        <v>625</v>
      </c>
      <c r="G179" s="121" t="s">
        <v>625</v>
      </c>
      <c r="H179" s="121" t="e">
        <v>#N/A</v>
      </c>
      <c r="I179" s="121" t="s">
        <v>625</v>
      </c>
      <c r="J179" s="121" t="s">
        <v>625</v>
      </c>
    </row>
    <row r="180" spans="1:10">
      <c r="A180" s="114">
        <v>39644</v>
      </c>
      <c r="B180" s="121">
        <v>94.84</v>
      </c>
      <c r="C180" s="121" t="s">
        <v>625</v>
      </c>
      <c r="D180" s="121" t="s">
        <v>625</v>
      </c>
      <c r="E180" s="121" t="s">
        <v>625</v>
      </c>
      <c r="F180" s="121" t="s">
        <v>625</v>
      </c>
      <c r="G180" s="121" t="s">
        <v>625</v>
      </c>
      <c r="H180" s="121" t="e">
        <v>#N/A</v>
      </c>
      <c r="I180" s="121" t="s">
        <v>625</v>
      </c>
      <c r="J180" s="121" t="s">
        <v>625</v>
      </c>
    </row>
    <row r="181" spans="1:10">
      <c r="A181" s="114">
        <v>39645</v>
      </c>
      <c r="B181" s="121">
        <v>94.84</v>
      </c>
      <c r="C181" s="121" t="s">
        <v>625</v>
      </c>
      <c r="D181" s="121" t="s">
        <v>625</v>
      </c>
      <c r="E181" s="121" t="s">
        <v>625</v>
      </c>
      <c r="F181" s="121" t="s">
        <v>625</v>
      </c>
      <c r="G181" s="121" t="s">
        <v>625</v>
      </c>
      <c r="H181" s="121" t="e">
        <v>#N/A</v>
      </c>
      <c r="I181" s="121" t="s">
        <v>625</v>
      </c>
      <c r="J181" s="121" t="s">
        <v>625</v>
      </c>
    </row>
    <row r="182" spans="1:10">
      <c r="A182" s="114">
        <v>39646</v>
      </c>
      <c r="B182" s="121">
        <v>94.84</v>
      </c>
      <c r="C182" s="121" t="s">
        <v>625</v>
      </c>
      <c r="D182" s="121" t="s">
        <v>625</v>
      </c>
      <c r="E182" s="121" t="s">
        <v>625</v>
      </c>
      <c r="F182" s="121" t="s">
        <v>625</v>
      </c>
      <c r="G182" s="121" t="s">
        <v>625</v>
      </c>
      <c r="H182" s="121" t="e">
        <v>#N/A</v>
      </c>
      <c r="I182" s="121" t="s">
        <v>625</v>
      </c>
      <c r="J182" s="121" t="s">
        <v>625</v>
      </c>
    </row>
    <row r="183" spans="1:10">
      <c r="A183" s="114">
        <v>39647</v>
      </c>
      <c r="B183" s="121">
        <v>94.84</v>
      </c>
      <c r="C183" s="121" t="s">
        <v>625</v>
      </c>
      <c r="D183" s="121" t="s">
        <v>625</v>
      </c>
      <c r="E183" s="121" t="s">
        <v>625</v>
      </c>
      <c r="F183" s="121" t="s">
        <v>625</v>
      </c>
      <c r="G183" s="121" t="s">
        <v>625</v>
      </c>
      <c r="H183" s="121" t="e">
        <v>#N/A</v>
      </c>
      <c r="I183" s="121" t="s">
        <v>625</v>
      </c>
      <c r="J183" s="121" t="s">
        <v>625</v>
      </c>
    </row>
    <row r="184" spans="1:10">
      <c r="A184" s="114">
        <v>39650</v>
      </c>
      <c r="B184" s="121">
        <v>94.84</v>
      </c>
      <c r="C184" s="121" t="s">
        <v>625</v>
      </c>
      <c r="D184" s="121" t="s">
        <v>625</v>
      </c>
      <c r="E184" s="121" t="s">
        <v>625</v>
      </c>
      <c r="F184" s="121" t="s">
        <v>625</v>
      </c>
      <c r="G184" s="121" t="s">
        <v>625</v>
      </c>
      <c r="H184" s="121" t="e">
        <v>#N/A</v>
      </c>
      <c r="I184" s="121" t="s">
        <v>625</v>
      </c>
      <c r="J184" s="121" t="s">
        <v>625</v>
      </c>
    </row>
    <row r="185" spans="1:10">
      <c r="A185" s="114">
        <v>39651</v>
      </c>
      <c r="B185" s="121">
        <v>94.84</v>
      </c>
      <c r="C185" s="121" t="s">
        <v>625</v>
      </c>
      <c r="D185" s="121" t="s">
        <v>625</v>
      </c>
      <c r="E185" s="121" t="s">
        <v>625</v>
      </c>
      <c r="F185" s="121" t="s">
        <v>625</v>
      </c>
      <c r="G185" s="121" t="s">
        <v>625</v>
      </c>
      <c r="H185" s="121" t="e">
        <v>#N/A</v>
      </c>
      <c r="I185" s="121" t="s">
        <v>625</v>
      </c>
      <c r="J185" s="121" t="s">
        <v>625</v>
      </c>
    </row>
    <row r="186" spans="1:10">
      <c r="A186" s="114">
        <v>39652</v>
      </c>
      <c r="B186" s="121">
        <v>94.84</v>
      </c>
      <c r="C186" s="121" t="s">
        <v>625</v>
      </c>
      <c r="D186" s="121" t="s">
        <v>625</v>
      </c>
      <c r="E186" s="121" t="s">
        <v>625</v>
      </c>
      <c r="F186" s="121" t="s">
        <v>625</v>
      </c>
      <c r="G186" s="121" t="s">
        <v>625</v>
      </c>
      <c r="H186" s="121" t="e">
        <v>#N/A</v>
      </c>
      <c r="I186" s="121" t="s">
        <v>625</v>
      </c>
      <c r="J186" s="121" t="s">
        <v>625</v>
      </c>
    </row>
    <row r="187" spans="1:10">
      <c r="A187" s="114">
        <v>39653</v>
      </c>
      <c r="B187" s="121">
        <v>94.84</v>
      </c>
      <c r="C187" s="121" t="s">
        <v>625</v>
      </c>
      <c r="D187" s="121" t="s">
        <v>625</v>
      </c>
      <c r="E187" s="121" t="s">
        <v>625</v>
      </c>
      <c r="F187" s="121" t="s">
        <v>625</v>
      </c>
      <c r="G187" s="121" t="s">
        <v>625</v>
      </c>
      <c r="H187" s="121" t="e">
        <v>#N/A</v>
      </c>
      <c r="I187" s="121" t="s">
        <v>625</v>
      </c>
      <c r="J187" s="121" t="s">
        <v>625</v>
      </c>
    </row>
    <row r="188" spans="1:10">
      <c r="A188" s="114">
        <v>39654</v>
      </c>
      <c r="B188" s="121">
        <v>94.84</v>
      </c>
      <c r="C188" s="121" t="s">
        <v>625</v>
      </c>
      <c r="D188" s="121" t="s">
        <v>625</v>
      </c>
      <c r="E188" s="121" t="s">
        <v>625</v>
      </c>
      <c r="F188" s="121" t="s">
        <v>625</v>
      </c>
      <c r="G188" s="121" t="s">
        <v>625</v>
      </c>
      <c r="H188" s="121" t="e">
        <v>#N/A</v>
      </c>
      <c r="I188" s="121" t="s">
        <v>625</v>
      </c>
      <c r="J188" s="121" t="s">
        <v>625</v>
      </c>
    </row>
    <row r="189" spans="1:10">
      <c r="A189" s="114">
        <v>39657</v>
      </c>
      <c r="B189" s="121">
        <v>94.84</v>
      </c>
      <c r="C189" s="121" t="s">
        <v>625</v>
      </c>
      <c r="D189" s="121" t="s">
        <v>625</v>
      </c>
      <c r="E189" s="121" t="s">
        <v>625</v>
      </c>
      <c r="F189" s="121" t="s">
        <v>625</v>
      </c>
      <c r="G189" s="121" t="s">
        <v>625</v>
      </c>
      <c r="H189" s="121" t="e">
        <v>#N/A</v>
      </c>
      <c r="I189" s="121" t="s">
        <v>625</v>
      </c>
      <c r="J189" s="121" t="s">
        <v>625</v>
      </c>
    </row>
    <row r="190" spans="1:10">
      <c r="A190" s="114">
        <v>39658</v>
      </c>
      <c r="B190" s="121">
        <v>94.84</v>
      </c>
      <c r="C190" s="121" t="s">
        <v>625</v>
      </c>
      <c r="D190" s="121" t="s">
        <v>625</v>
      </c>
      <c r="E190" s="121" t="s">
        <v>625</v>
      </c>
      <c r="F190" s="121" t="s">
        <v>625</v>
      </c>
      <c r="G190" s="121" t="s">
        <v>625</v>
      </c>
      <c r="H190" s="121" t="e">
        <v>#N/A</v>
      </c>
      <c r="I190" s="121" t="s">
        <v>625</v>
      </c>
      <c r="J190" s="121" t="s">
        <v>625</v>
      </c>
    </row>
    <row r="191" spans="1:10">
      <c r="A191" s="114">
        <v>39659</v>
      </c>
      <c r="B191" s="121">
        <v>94.84</v>
      </c>
      <c r="C191" s="121" t="s">
        <v>625</v>
      </c>
      <c r="D191" s="121" t="s">
        <v>625</v>
      </c>
      <c r="E191" s="121" t="s">
        <v>625</v>
      </c>
      <c r="F191" s="121" t="s">
        <v>625</v>
      </c>
      <c r="G191" s="121" t="s">
        <v>625</v>
      </c>
      <c r="H191" s="121" t="e">
        <v>#N/A</v>
      </c>
      <c r="I191" s="121" t="s">
        <v>625</v>
      </c>
      <c r="J191" s="121" t="s">
        <v>625</v>
      </c>
    </row>
    <row r="192" spans="1:10">
      <c r="A192" s="114">
        <v>39660</v>
      </c>
      <c r="B192" s="121">
        <v>94.84</v>
      </c>
      <c r="C192" s="121" t="s">
        <v>625</v>
      </c>
      <c r="D192" s="121" t="s">
        <v>625</v>
      </c>
      <c r="E192" s="121" t="s">
        <v>625</v>
      </c>
      <c r="F192" s="121" t="s">
        <v>625</v>
      </c>
      <c r="G192" s="121" t="s">
        <v>625</v>
      </c>
      <c r="H192" s="121" t="e">
        <v>#N/A</v>
      </c>
      <c r="I192" s="121" t="s">
        <v>625</v>
      </c>
      <c r="J192" s="121" t="s">
        <v>625</v>
      </c>
    </row>
    <row r="193" spans="1:10">
      <c r="A193" s="114">
        <v>39661</v>
      </c>
      <c r="B193" s="121">
        <v>94.84</v>
      </c>
      <c r="C193" s="121" t="s">
        <v>625</v>
      </c>
      <c r="D193" s="121" t="s">
        <v>625</v>
      </c>
      <c r="E193" s="121" t="s">
        <v>625</v>
      </c>
      <c r="F193" s="121" t="s">
        <v>625</v>
      </c>
      <c r="G193" s="121" t="s">
        <v>625</v>
      </c>
      <c r="H193" s="121" t="e">
        <v>#N/A</v>
      </c>
      <c r="I193" s="121" t="s">
        <v>625</v>
      </c>
      <c r="J193" s="121" t="s">
        <v>625</v>
      </c>
    </row>
    <row r="194" spans="1:10">
      <c r="A194" s="114">
        <v>39664</v>
      </c>
      <c r="B194" s="121">
        <v>94.84</v>
      </c>
      <c r="C194" s="121" t="s">
        <v>625</v>
      </c>
      <c r="D194" s="121" t="s">
        <v>625</v>
      </c>
      <c r="E194" s="121" t="s">
        <v>625</v>
      </c>
      <c r="F194" s="121" t="s">
        <v>625</v>
      </c>
      <c r="G194" s="121" t="s">
        <v>625</v>
      </c>
      <c r="H194" s="121" t="e">
        <v>#N/A</v>
      </c>
      <c r="I194" s="121" t="s">
        <v>625</v>
      </c>
      <c r="J194" s="121" t="s">
        <v>625</v>
      </c>
    </row>
    <row r="195" spans="1:10">
      <c r="A195" s="114">
        <v>39665</v>
      </c>
      <c r="B195" s="121">
        <v>94.84</v>
      </c>
      <c r="C195" s="121" t="s">
        <v>625</v>
      </c>
      <c r="D195" s="121" t="s">
        <v>625</v>
      </c>
      <c r="E195" s="121" t="s">
        <v>625</v>
      </c>
      <c r="F195" s="121" t="s">
        <v>625</v>
      </c>
      <c r="G195" s="121" t="s">
        <v>625</v>
      </c>
      <c r="H195" s="121" t="e">
        <v>#N/A</v>
      </c>
      <c r="I195" s="121" t="s">
        <v>625</v>
      </c>
      <c r="J195" s="121" t="s">
        <v>625</v>
      </c>
    </row>
    <row r="196" spans="1:10">
      <c r="A196" s="114">
        <v>39666</v>
      </c>
      <c r="B196" s="121">
        <v>94.84</v>
      </c>
      <c r="C196" s="121" t="s">
        <v>625</v>
      </c>
      <c r="D196" s="121" t="s">
        <v>625</v>
      </c>
      <c r="E196" s="121" t="s">
        <v>625</v>
      </c>
      <c r="F196" s="121" t="s">
        <v>625</v>
      </c>
      <c r="G196" s="121" t="s">
        <v>625</v>
      </c>
      <c r="H196" s="121" t="e">
        <v>#N/A</v>
      </c>
      <c r="I196" s="121" t="s">
        <v>625</v>
      </c>
      <c r="J196" s="121" t="s">
        <v>625</v>
      </c>
    </row>
    <row r="197" spans="1:10">
      <c r="A197" s="114">
        <v>39667</v>
      </c>
      <c r="B197" s="121">
        <v>94.84</v>
      </c>
      <c r="C197" s="121" t="s">
        <v>625</v>
      </c>
      <c r="D197" s="121" t="s">
        <v>625</v>
      </c>
      <c r="E197" s="121" t="s">
        <v>625</v>
      </c>
      <c r="F197" s="121" t="s">
        <v>625</v>
      </c>
      <c r="G197" s="121" t="s">
        <v>625</v>
      </c>
      <c r="H197" s="121" t="e">
        <v>#N/A</v>
      </c>
      <c r="I197" s="121" t="s">
        <v>625</v>
      </c>
      <c r="J197" s="121" t="s">
        <v>625</v>
      </c>
    </row>
    <row r="198" spans="1:10">
      <c r="A198" s="114">
        <v>39668</v>
      </c>
      <c r="B198" s="121">
        <v>94.84</v>
      </c>
      <c r="C198" s="121" t="s">
        <v>625</v>
      </c>
      <c r="D198" s="121" t="s">
        <v>625</v>
      </c>
      <c r="E198" s="121" t="s">
        <v>625</v>
      </c>
      <c r="F198" s="121" t="s">
        <v>625</v>
      </c>
      <c r="G198" s="121" t="s">
        <v>625</v>
      </c>
      <c r="H198" s="121" t="e">
        <v>#N/A</v>
      </c>
      <c r="I198" s="121" t="s">
        <v>625</v>
      </c>
      <c r="J198" s="121" t="s">
        <v>625</v>
      </c>
    </row>
    <row r="199" spans="1:10">
      <c r="A199" s="114">
        <v>39671</v>
      </c>
      <c r="B199" s="121">
        <v>94.84</v>
      </c>
      <c r="C199" s="121" t="s">
        <v>625</v>
      </c>
      <c r="D199" s="121" t="s">
        <v>625</v>
      </c>
      <c r="E199" s="121" t="s">
        <v>625</v>
      </c>
      <c r="F199" s="121" t="s">
        <v>625</v>
      </c>
      <c r="G199" s="121" t="s">
        <v>625</v>
      </c>
      <c r="H199" s="121" t="e">
        <v>#N/A</v>
      </c>
      <c r="I199" s="121" t="s">
        <v>625</v>
      </c>
      <c r="J199" s="121" t="s">
        <v>625</v>
      </c>
    </row>
    <row r="200" spans="1:10">
      <c r="A200" s="114">
        <v>39672</v>
      </c>
      <c r="B200" s="121">
        <v>94.84</v>
      </c>
      <c r="C200" s="121" t="s">
        <v>625</v>
      </c>
      <c r="D200" s="121" t="s">
        <v>625</v>
      </c>
      <c r="E200" s="121" t="s">
        <v>625</v>
      </c>
      <c r="F200" s="121" t="s">
        <v>625</v>
      </c>
      <c r="G200" s="121" t="s">
        <v>625</v>
      </c>
      <c r="H200" s="121" t="e">
        <v>#N/A</v>
      </c>
      <c r="I200" s="121" t="s">
        <v>625</v>
      </c>
      <c r="J200" s="121" t="s">
        <v>625</v>
      </c>
    </row>
    <row r="201" spans="1:10">
      <c r="A201" s="114">
        <v>39673</v>
      </c>
      <c r="B201" s="121">
        <v>94.84</v>
      </c>
      <c r="C201" s="121" t="s">
        <v>625</v>
      </c>
      <c r="D201" s="121" t="s">
        <v>625</v>
      </c>
      <c r="E201" s="121" t="s">
        <v>625</v>
      </c>
      <c r="F201" s="121" t="s">
        <v>625</v>
      </c>
      <c r="G201" s="121" t="s">
        <v>625</v>
      </c>
      <c r="H201" s="121" t="e">
        <v>#N/A</v>
      </c>
      <c r="I201" s="121" t="s">
        <v>625</v>
      </c>
      <c r="J201" s="121" t="s">
        <v>625</v>
      </c>
    </row>
    <row r="202" spans="1:10">
      <c r="A202" s="114">
        <v>39674</v>
      </c>
      <c r="B202" s="121">
        <v>94.84</v>
      </c>
      <c r="C202" s="121" t="s">
        <v>625</v>
      </c>
      <c r="D202" s="121" t="s">
        <v>625</v>
      </c>
      <c r="E202" s="121" t="s">
        <v>625</v>
      </c>
      <c r="F202" s="121" t="s">
        <v>625</v>
      </c>
      <c r="G202" s="121" t="s">
        <v>625</v>
      </c>
      <c r="H202" s="121" t="e">
        <v>#N/A</v>
      </c>
      <c r="I202" s="121" t="s">
        <v>625</v>
      </c>
      <c r="J202" s="121" t="s">
        <v>625</v>
      </c>
    </row>
    <row r="203" spans="1:10">
      <c r="A203" s="114">
        <v>39675</v>
      </c>
      <c r="B203" s="121">
        <v>94.84</v>
      </c>
      <c r="C203" s="121" t="s">
        <v>625</v>
      </c>
      <c r="D203" s="121" t="s">
        <v>625</v>
      </c>
      <c r="E203" s="121" t="s">
        <v>625</v>
      </c>
      <c r="F203" s="121" t="s">
        <v>625</v>
      </c>
      <c r="G203" s="121" t="s">
        <v>625</v>
      </c>
      <c r="H203" s="121" t="e">
        <v>#N/A</v>
      </c>
      <c r="I203" s="121" t="s">
        <v>625</v>
      </c>
      <c r="J203" s="121" t="s">
        <v>625</v>
      </c>
    </row>
    <row r="204" spans="1:10">
      <c r="A204" s="114">
        <v>39678</v>
      </c>
      <c r="B204" s="121">
        <v>94.84</v>
      </c>
      <c r="C204" s="121" t="s">
        <v>625</v>
      </c>
      <c r="D204" s="121" t="s">
        <v>625</v>
      </c>
      <c r="E204" s="121" t="s">
        <v>625</v>
      </c>
      <c r="F204" s="121" t="s">
        <v>625</v>
      </c>
      <c r="G204" s="121" t="s">
        <v>625</v>
      </c>
      <c r="H204" s="121" t="e">
        <v>#N/A</v>
      </c>
      <c r="I204" s="121" t="s">
        <v>625</v>
      </c>
      <c r="J204" s="121" t="s">
        <v>625</v>
      </c>
    </row>
    <row r="205" spans="1:10">
      <c r="A205" s="114">
        <v>39679</v>
      </c>
      <c r="B205" s="121">
        <v>94.84</v>
      </c>
      <c r="C205" s="121" t="s">
        <v>625</v>
      </c>
      <c r="D205" s="121" t="s">
        <v>625</v>
      </c>
      <c r="E205" s="121" t="s">
        <v>625</v>
      </c>
      <c r="F205" s="121" t="s">
        <v>625</v>
      </c>
      <c r="G205" s="121" t="s">
        <v>625</v>
      </c>
      <c r="H205" s="121" t="e">
        <v>#N/A</v>
      </c>
      <c r="I205" s="121" t="s">
        <v>625</v>
      </c>
      <c r="J205" s="121" t="s">
        <v>625</v>
      </c>
    </row>
    <row r="206" spans="1:10">
      <c r="A206" s="114">
        <v>39680</v>
      </c>
      <c r="B206" s="121">
        <v>94.84</v>
      </c>
      <c r="C206" s="121" t="s">
        <v>625</v>
      </c>
      <c r="D206" s="121" t="s">
        <v>625</v>
      </c>
      <c r="E206" s="121" t="s">
        <v>625</v>
      </c>
      <c r="F206" s="121" t="s">
        <v>625</v>
      </c>
      <c r="G206" s="121" t="s">
        <v>625</v>
      </c>
      <c r="H206" s="121" t="e">
        <v>#N/A</v>
      </c>
      <c r="I206" s="121" t="s">
        <v>625</v>
      </c>
      <c r="J206" s="121" t="s">
        <v>625</v>
      </c>
    </row>
    <row r="207" spans="1:10">
      <c r="A207" s="114">
        <v>39681</v>
      </c>
      <c r="B207" s="121">
        <v>94.84</v>
      </c>
      <c r="C207" s="121" t="s">
        <v>625</v>
      </c>
      <c r="D207" s="121" t="s">
        <v>625</v>
      </c>
      <c r="E207" s="121" t="s">
        <v>625</v>
      </c>
      <c r="F207" s="121" t="s">
        <v>625</v>
      </c>
      <c r="G207" s="121" t="s">
        <v>625</v>
      </c>
      <c r="H207" s="121" t="e">
        <v>#N/A</v>
      </c>
      <c r="I207" s="121" t="s">
        <v>625</v>
      </c>
      <c r="J207" s="121" t="s">
        <v>625</v>
      </c>
    </row>
    <row r="208" spans="1:10">
      <c r="A208" s="114">
        <v>39682</v>
      </c>
      <c r="B208" s="121">
        <v>94.84</v>
      </c>
      <c r="C208" s="121" t="s">
        <v>625</v>
      </c>
      <c r="D208" s="121" t="s">
        <v>625</v>
      </c>
      <c r="E208" s="121" t="s">
        <v>625</v>
      </c>
      <c r="F208" s="121" t="s">
        <v>625</v>
      </c>
      <c r="G208" s="121" t="s">
        <v>625</v>
      </c>
      <c r="H208" s="121" t="e">
        <v>#N/A</v>
      </c>
      <c r="I208" s="121" t="s">
        <v>625</v>
      </c>
      <c r="J208" s="121" t="s">
        <v>625</v>
      </c>
    </row>
    <row r="209" spans="1:10">
      <c r="A209" s="114">
        <v>39685</v>
      </c>
      <c r="B209" s="121">
        <v>94.84</v>
      </c>
      <c r="C209" s="121" t="s">
        <v>625</v>
      </c>
      <c r="D209" s="121" t="s">
        <v>625</v>
      </c>
      <c r="E209" s="121" t="s">
        <v>625</v>
      </c>
      <c r="F209" s="121" t="s">
        <v>625</v>
      </c>
      <c r="G209" s="121" t="s">
        <v>625</v>
      </c>
      <c r="H209" s="121" t="e">
        <v>#N/A</v>
      </c>
      <c r="I209" s="121" t="s">
        <v>625</v>
      </c>
      <c r="J209" s="121" t="s">
        <v>625</v>
      </c>
    </row>
    <row r="210" spans="1:10">
      <c r="A210" s="114">
        <v>39686</v>
      </c>
      <c r="B210" s="121">
        <v>94.84</v>
      </c>
      <c r="C210" s="121" t="s">
        <v>625</v>
      </c>
      <c r="D210" s="121" t="s">
        <v>625</v>
      </c>
      <c r="E210" s="121" t="s">
        <v>625</v>
      </c>
      <c r="F210" s="121" t="s">
        <v>625</v>
      </c>
      <c r="G210" s="121" t="s">
        <v>625</v>
      </c>
      <c r="H210" s="121" t="e">
        <v>#N/A</v>
      </c>
      <c r="I210" s="121" t="s">
        <v>625</v>
      </c>
      <c r="J210" s="121" t="s">
        <v>625</v>
      </c>
    </row>
    <row r="211" spans="1:10">
      <c r="A211" s="114">
        <v>39687</v>
      </c>
      <c r="B211" s="121">
        <v>94.84</v>
      </c>
      <c r="C211" s="121" t="s">
        <v>625</v>
      </c>
      <c r="D211" s="121" t="s">
        <v>625</v>
      </c>
      <c r="E211" s="121" t="s">
        <v>625</v>
      </c>
      <c r="F211" s="121" t="s">
        <v>625</v>
      </c>
      <c r="G211" s="121" t="s">
        <v>625</v>
      </c>
      <c r="H211" s="121" t="e">
        <v>#N/A</v>
      </c>
      <c r="I211" s="121" t="s">
        <v>625</v>
      </c>
      <c r="J211" s="121" t="s">
        <v>625</v>
      </c>
    </row>
    <row r="212" spans="1:10">
      <c r="A212" s="114">
        <v>39688</v>
      </c>
      <c r="B212" s="121">
        <v>94.84</v>
      </c>
      <c r="C212" s="121" t="s">
        <v>625</v>
      </c>
      <c r="D212" s="121" t="s">
        <v>625</v>
      </c>
      <c r="E212" s="121" t="s">
        <v>625</v>
      </c>
      <c r="F212" s="121" t="s">
        <v>625</v>
      </c>
      <c r="G212" s="121" t="s">
        <v>625</v>
      </c>
      <c r="H212" s="121" t="e">
        <v>#N/A</v>
      </c>
      <c r="I212" s="121" t="s">
        <v>625</v>
      </c>
      <c r="J212" s="121" t="s">
        <v>625</v>
      </c>
    </row>
    <row r="213" spans="1:10">
      <c r="A213" s="114">
        <v>39689</v>
      </c>
      <c r="B213" s="121">
        <v>94.84</v>
      </c>
      <c r="C213" s="121" t="s">
        <v>625</v>
      </c>
      <c r="D213" s="121" t="s">
        <v>625</v>
      </c>
      <c r="E213" s="121" t="s">
        <v>625</v>
      </c>
      <c r="F213" s="121" t="s">
        <v>625</v>
      </c>
      <c r="G213" s="121" t="s">
        <v>625</v>
      </c>
      <c r="H213" s="121" t="e">
        <v>#N/A</v>
      </c>
      <c r="I213" s="121" t="s">
        <v>625</v>
      </c>
      <c r="J213" s="121" t="s">
        <v>625</v>
      </c>
    </row>
    <row r="214" spans="1:10">
      <c r="A214" s="114">
        <v>39692</v>
      </c>
      <c r="B214" s="121">
        <v>94.84</v>
      </c>
      <c r="C214" s="121" t="s">
        <v>625</v>
      </c>
      <c r="D214" s="121" t="s">
        <v>625</v>
      </c>
      <c r="E214" s="121" t="s">
        <v>625</v>
      </c>
      <c r="F214" s="121" t="s">
        <v>625</v>
      </c>
      <c r="G214" s="121" t="s">
        <v>625</v>
      </c>
      <c r="H214" s="121" t="e">
        <v>#N/A</v>
      </c>
      <c r="I214" s="121" t="s">
        <v>625</v>
      </c>
      <c r="J214" s="121" t="s">
        <v>625</v>
      </c>
    </row>
    <row r="215" spans="1:10">
      <c r="A215" s="114">
        <v>39693</v>
      </c>
      <c r="B215" s="121">
        <v>94.84</v>
      </c>
      <c r="C215" s="121" t="s">
        <v>625</v>
      </c>
      <c r="D215" s="121" t="s">
        <v>625</v>
      </c>
      <c r="E215" s="121" t="s">
        <v>625</v>
      </c>
      <c r="F215" s="121" t="s">
        <v>625</v>
      </c>
      <c r="G215" s="121" t="s">
        <v>625</v>
      </c>
      <c r="H215" s="121" t="e">
        <v>#N/A</v>
      </c>
      <c r="I215" s="121" t="s">
        <v>625</v>
      </c>
      <c r="J215" s="121" t="s">
        <v>625</v>
      </c>
    </row>
    <row r="216" spans="1:10">
      <c r="A216" s="114">
        <v>39694</v>
      </c>
      <c r="B216" s="121">
        <v>94.84</v>
      </c>
      <c r="C216" s="121" t="s">
        <v>625</v>
      </c>
      <c r="D216" s="121" t="s">
        <v>625</v>
      </c>
      <c r="E216" s="121" t="s">
        <v>625</v>
      </c>
      <c r="F216" s="121" t="s">
        <v>625</v>
      </c>
      <c r="G216" s="121" t="s">
        <v>625</v>
      </c>
      <c r="H216" s="121" t="e">
        <v>#N/A</v>
      </c>
      <c r="I216" s="121" t="s">
        <v>625</v>
      </c>
      <c r="J216" s="121" t="s">
        <v>625</v>
      </c>
    </row>
    <row r="217" spans="1:10">
      <c r="A217" s="114">
        <v>39695</v>
      </c>
      <c r="B217" s="121">
        <v>94.84</v>
      </c>
      <c r="C217" s="121" t="s">
        <v>625</v>
      </c>
      <c r="D217" s="121" t="s">
        <v>625</v>
      </c>
      <c r="E217" s="121" t="s">
        <v>625</v>
      </c>
      <c r="F217" s="121" t="s">
        <v>625</v>
      </c>
      <c r="G217" s="121" t="s">
        <v>625</v>
      </c>
      <c r="H217" s="121" t="e">
        <v>#N/A</v>
      </c>
      <c r="I217" s="121" t="s">
        <v>625</v>
      </c>
      <c r="J217" s="121" t="s">
        <v>625</v>
      </c>
    </row>
    <row r="218" spans="1:10">
      <c r="A218" s="114">
        <v>39696</v>
      </c>
      <c r="B218" s="121">
        <v>94.84</v>
      </c>
      <c r="C218" s="121" t="s">
        <v>625</v>
      </c>
      <c r="D218" s="121" t="s">
        <v>625</v>
      </c>
      <c r="E218" s="121" t="s">
        <v>625</v>
      </c>
      <c r="F218" s="121" t="s">
        <v>625</v>
      </c>
      <c r="G218" s="121" t="s">
        <v>625</v>
      </c>
      <c r="H218" s="121" t="e">
        <v>#N/A</v>
      </c>
      <c r="I218" s="121" t="s">
        <v>625</v>
      </c>
      <c r="J218" s="121" t="s">
        <v>625</v>
      </c>
    </row>
    <row r="219" spans="1:10">
      <c r="A219" s="114">
        <v>39699</v>
      </c>
      <c r="B219" s="121">
        <v>94.84</v>
      </c>
      <c r="C219" s="121" t="s">
        <v>625</v>
      </c>
      <c r="D219" s="121" t="s">
        <v>625</v>
      </c>
      <c r="E219" s="121" t="s">
        <v>625</v>
      </c>
      <c r="F219" s="121" t="s">
        <v>625</v>
      </c>
      <c r="G219" s="121" t="s">
        <v>625</v>
      </c>
      <c r="H219" s="121" t="e">
        <v>#N/A</v>
      </c>
      <c r="I219" s="121" t="s">
        <v>625</v>
      </c>
      <c r="J219" s="121" t="s">
        <v>625</v>
      </c>
    </row>
    <row r="220" spans="1:10">
      <c r="A220" s="114">
        <v>39700</v>
      </c>
      <c r="B220" s="121">
        <v>94.84</v>
      </c>
      <c r="C220" s="121" t="s">
        <v>625</v>
      </c>
      <c r="D220" s="121" t="s">
        <v>625</v>
      </c>
      <c r="E220" s="121" t="s">
        <v>625</v>
      </c>
      <c r="F220" s="121" t="s">
        <v>625</v>
      </c>
      <c r="G220" s="121" t="s">
        <v>625</v>
      </c>
      <c r="H220" s="121" t="e">
        <v>#N/A</v>
      </c>
      <c r="I220" s="121" t="s">
        <v>625</v>
      </c>
      <c r="J220" s="121" t="s">
        <v>625</v>
      </c>
    </row>
    <row r="221" spans="1:10">
      <c r="A221" s="114">
        <v>39701</v>
      </c>
      <c r="B221" s="121">
        <v>94.84</v>
      </c>
      <c r="C221" s="121" t="s">
        <v>625</v>
      </c>
      <c r="D221" s="121" t="s">
        <v>625</v>
      </c>
      <c r="E221" s="121" t="s">
        <v>625</v>
      </c>
      <c r="F221" s="121" t="s">
        <v>625</v>
      </c>
      <c r="G221" s="121" t="s">
        <v>625</v>
      </c>
      <c r="H221" s="121" t="e">
        <v>#N/A</v>
      </c>
      <c r="I221" s="121" t="s">
        <v>625</v>
      </c>
      <c r="J221" s="121" t="s">
        <v>625</v>
      </c>
    </row>
    <row r="222" spans="1:10">
      <c r="A222" s="114">
        <v>39702</v>
      </c>
      <c r="B222" s="121">
        <v>94.84</v>
      </c>
      <c r="C222" s="121" t="s">
        <v>625</v>
      </c>
      <c r="D222" s="121" t="s">
        <v>625</v>
      </c>
      <c r="E222" s="121" t="s">
        <v>625</v>
      </c>
      <c r="F222" s="121" t="s">
        <v>625</v>
      </c>
      <c r="G222" s="121" t="s">
        <v>625</v>
      </c>
      <c r="H222" s="121" t="e">
        <v>#N/A</v>
      </c>
      <c r="I222" s="121" t="s">
        <v>625</v>
      </c>
      <c r="J222" s="121" t="s">
        <v>625</v>
      </c>
    </row>
    <row r="223" spans="1:10">
      <c r="A223" s="114">
        <v>39703</v>
      </c>
      <c r="B223" s="121">
        <v>94.84</v>
      </c>
      <c r="C223" s="121" t="s">
        <v>625</v>
      </c>
      <c r="D223" s="121" t="s">
        <v>625</v>
      </c>
      <c r="E223" s="121" t="s">
        <v>625</v>
      </c>
      <c r="F223" s="121" t="s">
        <v>625</v>
      </c>
      <c r="G223" s="121" t="s">
        <v>625</v>
      </c>
      <c r="H223" s="121" t="e">
        <v>#N/A</v>
      </c>
      <c r="I223" s="121" t="s">
        <v>625</v>
      </c>
      <c r="J223" s="121" t="s">
        <v>625</v>
      </c>
    </row>
    <row r="224" spans="1:10">
      <c r="A224" s="114">
        <v>39707</v>
      </c>
      <c r="B224" s="121">
        <v>94.84</v>
      </c>
      <c r="C224" s="121" t="s">
        <v>625</v>
      </c>
      <c r="D224" s="121" t="s">
        <v>625</v>
      </c>
      <c r="E224" s="121" t="s">
        <v>625</v>
      </c>
      <c r="F224" s="121" t="s">
        <v>625</v>
      </c>
      <c r="G224" s="121" t="s">
        <v>625</v>
      </c>
      <c r="H224" s="121" t="e">
        <v>#N/A</v>
      </c>
      <c r="I224" s="121" t="s">
        <v>625</v>
      </c>
      <c r="J224" s="121" t="s">
        <v>625</v>
      </c>
    </row>
    <row r="225" spans="1:10">
      <c r="A225" s="114">
        <v>39708</v>
      </c>
      <c r="B225" s="121">
        <v>94.84</v>
      </c>
      <c r="C225" s="121" t="s">
        <v>625</v>
      </c>
      <c r="D225" s="121" t="s">
        <v>625</v>
      </c>
      <c r="E225" s="121" t="s">
        <v>625</v>
      </c>
      <c r="F225" s="121" t="s">
        <v>625</v>
      </c>
      <c r="G225" s="121" t="s">
        <v>625</v>
      </c>
      <c r="H225" s="121" t="e">
        <v>#N/A</v>
      </c>
      <c r="I225" s="121" t="s">
        <v>625</v>
      </c>
      <c r="J225" s="121" t="s">
        <v>625</v>
      </c>
    </row>
    <row r="226" spans="1:10">
      <c r="A226" s="114">
        <v>39709</v>
      </c>
      <c r="B226" s="121">
        <v>94.84</v>
      </c>
      <c r="C226" s="121" t="s">
        <v>625</v>
      </c>
      <c r="D226" s="121" t="s">
        <v>625</v>
      </c>
      <c r="E226" s="121" t="s">
        <v>625</v>
      </c>
      <c r="F226" s="121" t="s">
        <v>625</v>
      </c>
      <c r="G226" s="121" t="s">
        <v>625</v>
      </c>
      <c r="H226" s="121" t="e">
        <v>#N/A</v>
      </c>
      <c r="I226" s="121" t="s">
        <v>625</v>
      </c>
      <c r="J226" s="121" t="s">
        <v>625</v>
      </c>
    </row>
    <row r="227" spans="1:10">
      <c r="A227" s="114">
        <v>39710</v>
      </c>
      <c r="B227" s="121">
        <v>94.84</v>
      </c>
      <c r="C227" s="121" t="s">
        <v>625</v>
      </c>
      <c r="D227" s="121" t="s">
        <v>625</v>
      </c>
      <c r="E227" s="121" t="s">
        <v>625</v>
      </c>
      <c r="F227" s="121" t="s">
        <v>625</v>
      </c>
      <c r="G227" s="121" t="s">
        <v>625</v>
      </c>
      <c r="H227" s="121" t="e">
        <v>#N/A</v>
      </c>
      <c r="I227" s="121" t="s">
        <v>625</v>
      </c>
      <c r="J227" s="121" t="s">
        <v>625</v>
      </c>
    </row>
    <row r="228" spans="1:10">
      <c r="A228" s="114">
        <v>39713</v>
      </c>
      <c r="B228" s="121">
        <v>94.84</v>
      </c>
      <c r="C228" s="121" t="s">
        <v>625</v>
      </c>
      <c r="D228" s="121" t="s">
        <v>625</v>
      </c>
      <c r="E228" s="121" t="s">
        <v>625</v>
      </c>
      <c r="F228" s="121" t="s">
        <v>625</v>
      </c>
      <c r="G228" s="121" t="s">
        <v>625</v>
      </c>
      <c r="H228" s="121" t="e">
        <v>#N/A</v>
      </c>
      <c r="I228" s="121" t="s">
        <v>625</v>
      </c>
      <c r="J228" s="121" t="s">
        <v>625</v>
      </c>
    </row>
    <row r="229" spans="1:10">
      <c r="A229" s="114">
        <v>39714</v>
      </c>
      <c r="B229" s="121">
        <v>94.84</v>
      </c>
      <c r="C229" s="121" t="s">
        <v>625</v>
      </c>
      <c r="D229" s="121" t="s">
        <v>625</v>
      </c>
      <c r="E229" s="121" t="s">
        <v>625</v>
      </c>
      <c r="F229" s="121" t="s">
        <v>625</v>
      </c>
      <c r="G229" s="121" t="s">
        <v>625</v>
      </c>
      <c r="H229" s="121" t="e">
        <v>#N/A</v>
      </c>
      <c r="I229" s="121" t="s">
        <v>625</v>
      </c>
      <c r="J229" s="121" t="s">
        <v>625</v>
      </c>
    </row>
    <row r="230" spans="1:10">
      <c r="A230" s="114">
        <v>39715</v>
      </c>
      <c r="B230" s="121">
        <v>94.84</v>
      </c>
      <c r="C230" s="121" t="s">
        <v>625</v>
      </c>
      <c r="D230" s="121" t="s">
        <v>625</v>
      </c>
      <c r="E230" s="121" t="s">
        <v>625</v>
      </c>
      <c r="F230" s="121" t="s">
        <v>625</v>
      </c>
      <c r="G230" s="121" t="s">
        <v>625</v>
      </c>
      <c r="H230" s="121" t="e">
        <v>#N/A</v>
      </c>
      <c r="I230" s="121" t="s">
        <v>625</v>
      </c>
      <c r="J230" s="121" t="s">
        <v>625</v>
      </c>
    </row>
    <row r="231" spans="1:10">
      <c r="A231" s="114">
        <v>39716</v>
      </c>
      <c r="B231" s="121">
        <v>94.84</v>
      </c>
      <c r="C231" s="121" t="s">
        <v>625</v>
      </c>
      <c r="D231" s="121" t="s">
        <v>625</v>
      </c>
      <c r="E231" s="121" t="s">
        <v>625</v>
      </c>
      <c r="F231" s="121" t="s">
        <v>625</v>
      </c>
      <c r="G231" s="121" t="s">
        <v>625</v>
      </c>
      <c r="H231" s="121" t="e">
        <v>#N/A</v>
      </c>
      <c r="I231" s="121" t="s">
        <v>625</v>
      </c>
      <c r="J231" s="121" t="s">
        <v>625</v>
      </c>
    </row>
    <row r="232" spans="1:10">
      <c r="A232" s="114">
        <v>39717</v>
      </c>
      <c r="B232" s="121">
        <v>94.84</v>
      </c>
      <c r="C232" s="121" t="s">
        <v>625</v>
      </c>
      <c r="D232" s="121" t="s">
        <v>625</v>
      </c>
      <c r="E232" s="121" t="s">
        <v>625</v>
      </c>
      <c r="F232" s="121" t="s">
        <v>625</v>
      </c>
      <c r="G232" s="121" t="s">
        <v>625</v>
      </c>
      <c r="H232" s="121" t="e">
        <v>#N/A</v>
      </c>
      <c r="I232" s="121" t="s">
        <v>625</v>
      </c>
      <c r="J232" s="121" t="s">
        <v>625</v>
      </c>
    </row>
    <row r="233" spans="1:10">
      <c r="A233" s="114">
        <v>39718</v>
      </c>
      <c r="B233" s="121">
        <v>94.84</v>
      </c>
      <c r="C233" s="121" t="s">
        <v>625</v>
      </c>
      <c r="D233" s="121" t="s">
        <v>625</v>
      </c>
      <c r="E233" s="121" t="s">
        <v>625</v>
      </c>
      <c r="F233" s="121" t="s">
        <v>625</v>
      </c>
      <c r="G233" s="121" t="s">
        <v>625</v>
      </c>
      <c r="H233" s="121" t="e">
        <v>#N/A</v>
      </c>
      <c r="I233" s="121" t="s">
        <v>625</v>
      </c>
      <c r="J233" s="121" t="s">
        <v>625</v>
      </c>
    </row>
    <row r="234" spans="1:10">
      <c r="A234" s="114">
        <v>39719</v>
      </c>
      <c r="B234" s="121">
        <v>94.84</v>
      </c>
      <c r="C234" s="121" t="s">
        <v>625</v>
      </c>
      <c r="D234" s="121" t="s">
        <v>625</v>
      </c>
      <c r="E234" s="121" t="s">
        <v>625</v>
      </c>
      <c r="F234" s="121" t="s">
        <v>625</v>
      </c>
      <c r="G234" s="121" t="s">
        <v>625</v>
      </c>
      <c r="H234" s="121" t="e">
        <v>#N/A</v>
      </c>
      <c r="I234" s="121" t="s">
        <v>625</v>
      </c>
      <c r="J234" s="121" t="s">
        <v>625</v>
      </c>
    </row>
    <row r="235" spans="1:10">
      <c r="A235" s="114">
        <v>39727</v>
      </c>
      <c r="B235" s="121">
        <v>94.84</v>
      </c>
      <c r="C235" s="121" t="s">
        <v>625</v>
      </c>
      <c r="D235" s="121" t="s">
        <v>625</v>
      </c>
      <c r="E235" s="121" t="s">
        <v>625</v>
      </c>
      <c r="F235" s="121" t="s">
        <v>625</v>
      </c>
      <c r="G235" s="121" t="s">
        <v>625</v>
      </c>
      <c r="H235" s="121" t="e">
        <v>#N/A</v>
      </c>
      <c r="I235" s="121" t="s">
        <v>625</v>
      </c>
      <c r="J235" s="121" t="s">
        <v>625</v>
      </c>
    </row>
    <row r="236" spans="1:10">
      <c r="A236" s="114">
        <v>39728</v>
      </c>
      <c r="B236" s="121">
        <v>94.84</v>
      </c>
      <c r="C236" s="121" t="s">
        <v>625</v>
      </c>
      <c r="D236" s="121" t="s">
        <v>625</v>
      </c>
      <c r="E236" s="121" t="s">
        <v>625</v>
      </c>
      <c r="F236" s="121" t="s">
        <v>625</v>
      </c>
      <c r="G236" s="121" t="s">
        <v>625</v>
      </c>
      <c r="H236" s="121" t="e">
        <v>#N/A</v>
      </c>
      <c r="I236" s="121" t="s">
        <v>625</v>
      </c>
      <c r="J236" s="121" t="s">
        <v>625</v>
      </c>
    </row>
    <row r="237" spans="1:10">
      <c r="A237" s="114">
        <v>39729</v>
      </c>
      <c r="B237" s="121">
        <v>94.84</v>
      </c>
      <c r="C237" s="121" t="s">
        <v>625</v>
      </c>
      <c r="D237" s="121" t="s">
        <v>625</v>
      </c>
      <c r="E237" s="121" t="s">
        <v>625</v>
      </c>
      <c r="F237" s="121" t="s">
        <v>625</v>
      </c>
      <c r="G237" s="121" t="s">
        <v>625</v>
      </c>
      <c r="H237" s="121" t="e">
        <v>#N/A</v>
      </c>
      <c r="I237" s="121" t="s">
        <v>625</v>
      </c>
      <c r="J237" s="121" t="s">
        <v>625</v>
      </c>
    </row>
    <row r="238" spans="1:10">
      <c r="A238" s="114">
        <v>39730</v>
      </c>
      <c r="B238" s="121">
        <v>94.84</v>
      </c>
      <c r="C238" s="121" t="s">
        <v>625</v>
      </c>
      <c r="D238" s="121" t="s">
        <v>625</v>
      </c>
      <c r="E238" s="121" t="s">
        <v>625</v>
      </c>
      <c r="F238" s="121" t="s">
        <v>625</v>
      </c>
      <c r="G238" s="121" t="s">
        <v>625</v>
      </c>
      <c r="H238" s="121" t="e">
        <v>#N/A</v>
      </c>
      <c r="I238" s="121" t="s">
        <v>625</v>
      </c>
      <c r="J238" s="121" t="s">
        <v>625</v>
      </c>
    </row>
    <row r="239" spans="1:10">
      <c r="A239" s="114">
        <v>39731</v>
      </c>
      <c r="B239" s="121">
        <v>94.84</v>
      </c>
      <c r="C239" s="121" t="s">
        <v>625</v>
      </c>
      <c r="D239" s="121" t="s">
        <v>625</v>
      </c>
      <c r="E239" s="121" t="s">
        <v>625</v>
      </c>
      <c r="F239" s="121" t="s">
        <v>625</v>
      </c>
      <c r="G239" s="121" t="s">
        <v>625</v>
      </c>
      <c r="H239" s="121" t="e">
        <v>#N/A</v>
      </c>
      <c r="I239" s="121" t="s">
        <v>625</v>
      </c>
      <c r="J239" s="121" t="s">
        <v>625</v>
      </c>
    </row>
    <row r="240" spans="1:10">
      <c r="A240" s="114">
        <v>39734</v>
      </c>
      <c r="B240" s="121">
        <v>94.84</v>
      </c>
      <c r="C240" s="121" t="s">
        <v>625</v>
      </c>
      <c r="D240" s="121" t="s">
        <v>625</v>
      </c>
      <c r="E240" s="121" t="s">
        <v>625</v>
      </c>
      <c r="F240" s="121" t="s">
        <v>625</v>
      </c>
      <c r="G240" s="121" t="s">
        <v>625</v>
      </c>
      <c r="H240" s="121" t="e">
        <v>#N/A</v>
      </c>
      <c r="I240" s="121" t="s">
        <v>625</v>
      </c>
      <c r="J240" s="121" t="s">
        <v>625</v>
      </c>
    </row>
    <row r="241" spans="1:10">
      <c r="A241" s="114">
        <v>39735</v>
      </c>
      <c r="B241" s="121">
        <v>94.84</v>
      </c>
      <c r="C241" s="121" t="s">
        <v>625</v>
      </c>
      <c r="D241" s="121" t="s">
        <v>625</v>
      </c>
      <c r="E241" s="121" t="s">
        <v>625</v>
      </c>
      <c r="F241" s="121" t="s">
        <v>625</v>
      </c>
      <c r="G241" s="121" t="s">
        <v>625</v>
      </c>
      <c r="H241" s="121" t="e">
        <v>#N/A</v>
      </c>
      <c r="I241" s="121" t="s">
        <v>625</v>
      </c>
      <c r="J241" s="121" t="s">
        <v>625</v>
      </c>
    </row>
    <row r="242" spans="1:10">
      <c r="A242" s="114">
        <v>39736</v>
      </c>
      <c r="B242" s="121">
        <v>94.84</v>
      </c>
      <c r="C242" s="121" t="s">
        <v>625</v>
      </c>
      <c r="D242" s="121" t="s">
        <v>625</v>
      </c>
      <c r="E242" s="121" t="s">
        <v>625</v>
      </c>
      <c r="F242" s="121" t="s">
        <v>625</v>
      </c>
      <c r="G242" s="121" t="s">
        <v>625</v>
      </c>
      <c r="H242" s="121" t="e">
        <v>#N/A</v>
      </c>
      <c r="I242" s="121" t="s">
        <v>625</v>
      </c>
      <c r="J242" s="121" t="s">
        <v>625</v>
      </c>
    </row>
    <row r="243" spans="1:10">
      <c r="A243" s="114">
        <v>39737</v>
      </c>
      <c r="B243" s="121">
        <v>94.84</v>
      </c>
      <c r="C243" s="121" t="s">
        <v>625</v>
      </c>
      <c r="D243" s="121" t="s">
        <v>625</v>
      </c>
      <c r="E243" s="121" t="s">
        <v>625</v>
      </c>
      <c r="F243" s="121" t="s">
        <v>625</v>
      </c>
      <c r="G243" s="121" t="s">
        <v>625</v>
      </c>
      <c r="H243" s="121" t="e">
        <v>#N/A</v>
      </c>
      <c r="I243" s="121" t="s">
        <v>625</v>
      </c>
      <c r="J243" s="121" t="s">
        <v>625</v>
      </c>
    </row>
    <row r="244" spans="1:10">
      <c r="A244" s="114">
        <v>39738</v>
      </c>
      <c r="B244" s="121">
        <v>94.84</v>
      </c>
      <c r="C244" s="121" t="s">
        <v>625</v>
      </c>
      <c r="D244" s="121" t="s">
        <v>625</v>
      </c>
      <c r="E244" s="121" t="s">
        <v>625</v>
      </c>
      <c r="F244" s="121" t="s">
        <v>625</v>
      </c>
      <c r="G244" s="121" t="s">
        <v>625</v>
      </c>
      <c r="H244" s="121" t="e">
        <v>#N/A</v>
      </c>
      <c r="I244" s="121" t="s">
        <v>625</v>
      </c>
      <c r="J244" s="121" t="s">
        <v>625</v>
      </c>
    </row>
    <row r="245" spans="1:10">
      <c r="A245" s="114">
        <v>39741</v>
      </c>
      <c r="B245" s="121">
        <v>94.84</v>
      </c>
      <c r="C245" s="121" t="s">
        <v>625</v>
      </c>
      <c r="D245" s="121" t="s">
        <v>625</v>
      </c>
      <c r="E245" s="121" t="s">
        <v>625</v>
      </c>
      <c r="F245" s="121" t="s">
        <v>625</v>
      </c>
      <c r="G245" s="121" t="s">
        <v>625</v>
      </c>
      <c r="H245" s="121" t="e">
        <v>#N/A</v>
      </c>
      <c r="I245" s="121" t="s">
        <v>625</v>
      </c>
      <c r="J245" s="121" t="s">
        <v>625</v>
      </c>
    </row>
    <row r="246" spans="1:10">
      <c r="A246" s="114">
        <v>39742</v>
      </c>
      <c r="B246" s="121">
        <v>94.84</v>
      </c>
      <c r="C246" s="121" t="s">
        <v>625</v>
      </c>
      <c r="D246" s="121" t="s">
        <v>625</v>
      </c>
      <c r="E246" s="121" t="s">
        <v>625</v>
      </c>
      <c r="F246" s="121" t="s">
        <v>625</v>
      </c>
      <c r="G246" s="121" t="s">
        <v>625</v>
      </c>
      <c r="H246" s="121" t="e">
        <v>#N/A</v>
      </c>
      <c r="I246" s="121" t="s">
        <v>625</v>
      </c>
      <c r="J246" s="121" t="s">
        <v>625</v>
      </c>
    </row>
    <row r="247" spans="1:10">
      <c r="A247" s="114">
        <v>39743</v>
      </c>
      <c r="B247" s="121">
        <v>94.84</v>
      </c>
      <c r="C247" s="121" t="s">
        <v>625</v>
      </c>
      <c r="D247" s="121" t="s">
        <v>625</v>
      </c>
      <c r="E247" s="121" t="s">
        <v>625</v>
      </c>
      <c r="F247" s="121" t="s">
        <v>625</v>
      </c>
      <c r="G247" s="121" t="s">
        <v>625</v>
      </c>
      <c r="H247" s="121" t="e">
        <v>#N/A</v>
      </c>
      <c r="I247" s="121" t="s">
        <v>625</v>
      </c>
      <c r="J247" s="121" t="s">
        <v>625</v>
      </c>
    </row>
    <row r="248" spans="1:10">
      <c r="A248" s="114">
        <v>39744</v>
      </c>
      <c r="B248" s="121">
        <v>94.84</v>
      </c>
      <c r="C248" s="121" t="s">
        <v>625</v>
      </c>
      <c r="D248" s="121" t="s">
        <v>625</v>
      </c>
      <c r="E248" s="121" t="s">
        <v>625</v>
      </c>
      <c r="F248" s="121" t="s">
        <v>625</v>
      </c>
      <c r="G248" s="121" t="s">
        <v>625</v>
      </c>
      <c r="H248" s="121" t="e">
        <v>#N/A</v>
      </c>
      <c r="I248" s="121" t="s">
        <v>625</v>
      </c>
      <c r="J248" s="121" t="s">
        <v>625</v>
      </c>
    </row>
    <row r="249" spans="1:10">
      <c r="A249" s="114">
        <v>39745</v>
      </c>
      <c r="B249" s="121">
        <v>94.84</v>
      </c>
      <c r="C249" s="121" t="s">
        <v>625</v>
      </c>
      <c r="D249" s="121" t="s">
        <v>625</v>
      </c>
      <c r="E249" s="121" t="s">
        <v>625</v>
      </c>
      <c r="F249" s="121" t="s">
        <v>625</v>
      </c>
      <c r="G249" s="121" t="s">
        <v>625</v>
      </c>
      <c r="H249" s="121" t="e">
        <v>#N/A</v>
      </c>
      <c r="I249" s="121" t="s">
        <v>625</v>
      </c>
      <c r="J249" s="121" t="s">
        <v>625</v>
      </c>
    </row>
    <row r="250" spans="1:10">
      <c r="A250" s="114">
        <v>39748</v>
      </c>
      <c r="B250" s="121">
        <v>94.84</v>
      </c>
      <c r="C250" s="121" t="s">
        <v>625</v>
      </c>
      <c r="D250" s="121" t="s">
        <v>625</v>
      </c>
      <c r="E250" s="121" t="s">
        <v>625</v>
      </c>
      <c r="F250" s="121" t="s">
        <v>625</v>
      </c>
      <c r="G250" s="121" t="s">
        <v>625</v>
      </c>
      <c r="H250" s="121" t="e">
        <v>#N/A</v>
      </c>
      <c r="I250" s="121" t="s">
        <v>625</v>
      </c>
      <c r="J250" s="121" t="s">
        <v>625</v>
      </c>
    </row>
    <row r="251" spans="1:10">
      <c r="A251" s="114">
        <v>39749</v>
      </c>
      <c r="B251" s="121">
        <v>94.84</v>
      </c>
      <c r="C251" s="121" t="s">
        <v>625</v>
      </c>
      <c r="D251" s="121" t="s">
        <v>625</v>
      </c>
      <c r="E251" s="121" t="s">
        <v>625</v>
      </c>
      <c r="F251" s="121" t="s">
        <v>625</v>
      </c>
      <c r="G251" s="121" t="s">
        <v>625</v>
      </c>
      <c r="H251" s="121" t="e">
        <v>#N/A</v>
      </c>
      <c r="I251" s="121" t="s">
        <v>625</v>
      </c>
      <c r="J251" s="121" t="s">
        <v>625</v>
      </c>
    </row>
    <row r="252" spans="1:10">
      <c r="A252" s="114">
        <v>39750</v>
      </c>
      <c r="B252" s="121">
        <v>94.84</v>
      </c>
      <c r="C252" s="121" t="s">
        <v>625</v>
      </c>
      <c r="D252" s="121" t="s">
        <v>625</v>
      </c>
      <c r="E252" s="121" t="s">
        <v>625</v>
      </c>
      <c r="F252" s="121" t="s">
        <v>625</v>
      </c>
      <c r="G252" s="121" t="s">
        <v>625</v>
      </c>
      <c r="H252" s="121" t="e">
        <v>#N/A</v>
      </c>
      <c r="I252" s="121" t="s">
        <v>625</v>
      </c>
      <c r="J252" s="121" t="s">
        <v>625</v>
      </c>
    </row>
    <row r="253" spans="1:10">
      <c r="A253" s="114">
        <v>39751</v>
      </c>
      <c r="B253" s="121">
        <v>94.84</v>
      </c>
      <c r="C253" s="121" t="s">
        <v>625</v>
      </c>
      <c r="D253" s="121" t="s">
        <v>625</v>
      </c>
      <c r="E253" s="121" t="s">
        <v>625</v>
      </c>
      <c r="F253" s="121" t="s">
        <v>625</v>
      </c>
      <c r="G253" s="121" t="s">
        <v>625</v>
      </c>
      <c r="H253" s="121" t="e">
        <v>#N/A</v>
      </c>
      <c r="I253" s="121" t="s">
        <v>625</v>
      </c>
      <c r="J253" s="121" t="s">
        <v>625</v>
      </c>
    </row>
    <row r="254" spans="1:10">
      <c r="A254" s="114">
        <v>39752</v>
      </c>
      <c r="B254" s="121">
        <v>94.84</v>
      </c>
      <c r="C254" s="121" t="s">
        <v>625</v>
      </c>
      <c r="D254" s="121" t="s">
        <v>625</v>
      </c>
      <c r="E254" s="121" t="s">
        <v>625</v>
      </c>
      <c r="F254" s="121" t="s">
        <v>625</v>
      </c>
      <c r="G254" s="121" t="s">
        <v>625</v>
      </c>
      <c r="H254" s="121" t="e">
        <v>#N/A</v>
      </c>
      <c r="I254" s="121" t="s">
        <v>625</v>
      </c>
      <c r="J254" s="121" t="s">
        <v>625</v>
      </c>
    </row>
    <row r="255" spans="1:10">
      <c r="A255" s="114">
        <v>39755</v>
      </c>
      <c r="B255" s="121">
        <v>94.84</v>
      </c>
      <c r="C255" s="121" t="s">
        <v>625</v>
      </c>
      <c r="D255" s="121" t="s">
        <v>625</v>
      </c>
      <c r="E255" s="121" t="s">
        <v>625</v>
      </c>
      <c r="F255" s="121" t="s">
        <v>625</v>
      </c>
      <c r="G255" s="121" t="s">
        <v>625</v>
      </c>
      <c r="H255" s="121" t="e">
        <v>#N/A</v>
      </c>
      <c r="I255" s="121" t="s">
        <v>625</v>
      </c>
      <c r="J255" s="121" t="s">
        <v>625</v>
      </c>
    </row>
    <row r="256" spans="1:10">
      <c r="A256" s="114">
        <v>39756</v>
      </c>
      <c r="B256" s="121">
        <v>94.84</v>
      </c>
      <c r="C256" s="121" t="s">
        <v>625</v>
      </c>
      <c r="D256" s="121" t="s">
        <v>625</v>
      </c>
      <c r="E256" s="121" t="s">
        <v>625</v>
      </c>
      <c r="F256" s="121" t="s">
        <v>625</v>
      </c>
      <c r="G256" s="121" t="s">
        <v>625</v>
      </c>
      <c r="H256" s="121" t="e">
        <v>#N/A</v>
      </c>
      <c r="I256" s="121" t="s">
        <v>625</v>
      </c>
      <c r="J256" s="121" t="s">
        <v>625</v>
      </c>
    </row>
    <row r="257" spans="1:10">
      <c r="A257" s="114">
        <v>39757</v>
      </c>
      <c r="B257" s="121">
        <v>94.84</v>
      </c>
      <c r="C257" s="121" t="s">
        <v>625</v>
      </c>
      <c r="D257" s="121" t="s">
        <v>625</v>
      </c>
      <c r="E257" s="121" t="s">
        <v>625</v>
      </c>
      <c r="F257" s="121" t="s">
        <v>625</v>
      </c>
      <c r="G257" s="121" t="s">
        <v>625</v>
      </c>
      <c r="H257" s="121" t="e">
        <v>#N/A</v>
      </c>
      <c r="I257" s="121" t="s">
        <v>625</v>
      </c>
      <c r="J257" s="121" t="s">
        <v>625</v>
      </c>
    </row>
    <row r="258" spans="1:10">
      <c r="A258" s="114">
        <v>39758</v>
      </c>
      <c r="B258" s="121">
        <v>94.84</v>
      </c>
      <c r="C258" s="121" t="s">
        <v>625</v>
      </c>
      <c r="D258" s="121" t="s">
        <v>625</v>
      </c>
      <c r="E258" s="121" t="s">
        <v>625</v>
      </c>
      <c r="F258" s="121" t="s">
        <v>625</v>
      </c>
      <c r="G258" s="121" t="s">
        <v>625</v>
      </c>
      <c r="H258" s="121" t="e">
        <v>#N/A</v>
      </c>
      <c r="I258" s="121" t="s">
        <v>625</v>
      </c>
      <c r="J258" s="121" t="s">
        <v>625</v>
      </c>
    </row>
    <row r="259" spans="1:10">
      <c r="A259" s="114">
        <v>39759</v>
      </c>
      <c r="B259" s="121">
        <v>94.84</v>
      </c>
      <c r="C259" s="121" t="s">
        <v>625</v>
      </c>
      <c r="D259" s="121" t="s">
        <v>625</v>
      </c>
      <c r="E259" s="121" t="s">
        <v>625</v>
      </c>
      <c r="F259" s="121" t="s">
        <v>625</v>
      </c>
      <c r="G259" s="121" t="s">
        <v>625</v>
      </c>
      <c r="H259" s="121" t="e">
        <v>#N/A</v>
      </c>
      <c r="I259" s="121" t="s">
        <v>625</v>
      </c>
      <c r="J259" s="121" t="s">
        <v>625</v>
      </c>
    </row>
    <row r="260" spans="1:10">
      <c r="A260" s="114">
        <v>39762</v>
      </c>
      <c r="B260" s="121">
        <v>94.84</v>
      </c>
      <c r="C260" s="121" t="s">
        <v>625</v>
      </c>
      <c r="D260" s="121" t="s">
        <v>625</v>
      </c>
      <c r="E260" s="121" t="s">
        <v>625</v>
      </c>
      <c r="F260" s="121" t="s">
        <v>625</v>
      </c>
      <c r="G260" s="121" t="s">
        <v>625</v>
      </c>
      <c r="H260" s="121" t="e">
        <v>#N/A</v>
      </c>
      <c r="I260" s="121" t="s">
        <v>625</v>
      </c>
      <c r="J260" s="121" t="s">
        <v>625</v>
      </c>
    </row>
    <row r="261" spans="1:10">
      <c r="A261" s="114">
        <v>39763</v>
      </c>
      <c r="B261" s="121">
        <v>94.84</v>
      </c>
      <c r="C261" s="121" t="s">
        <v>625</v>
      </c>
      <c r="D261" s="121" t="s">
        <v>625</v>
      </c>
      <c r="E261" s="121" t="s">
        <v>625</v>
      </c>
      <c r="F261" s="121" t="s">
        <v>625</v>
      </c>
      <c r="G261" s="121" t="s">
        <v>625</v>
      </c>
      <c r="H261" s="121" t="e">
        <v>#N/A</v>
      </c>
      <c r="I261" s="121" t="s">
        <v>625</v>
      </c>
      <c r="J261" s="121" t="s">
        <v>625</v>
      </c>
    </row>
    <row r="262" spans="1:10">
      <c r="A262" s="114">
        <v>39764</v>
      </c>
      <c r="B262" s="121">
        <v>94.84</v>
      </c>
      <c r="C262" s="121" t="s">
        <v>625</v>
      </c>
      <c r="D262" s="121" t="s">
        <v>625</v>
      </c>
      <c r="E262" s="121" t="s">
        <v>625</v>
      </c>
      <c r="F262" s="121" t="s">
        <v>625</v>
      </c>
      <c r="G262" s="121" t="s">
        <v>625</v>
      </c>
      <c r="H262" s="121" t="e">
        <v>#N/A</v>
      </c>
      <c r="I262" s="121" t="s">
        <v>625</v>
      </c>
      <c r="J262" s="121" t="s">
        <v>625</v>
      </c>
    </row>
    <row r="263" spans="1:10">
      <c r="A263" s="114">
        <v>39765</v>
      </c>
      <c r="B263" s="121">
        <v>94.84</v>
      </c>
      <c r="C263" s="121" t="s">
        <v>625</v>
      </c>
      <c r="D263" s="121" t="s">
        <v>625</v>
      </c>
      <c r="E263" s="121" t="s">
        <v>625</v>
      </c>
      <c r="F263" s="121" t="s">
        <v>625</v>
      </c>
      <c r="G263" s="121" t="s">
        <v>625</v>
      </c>
      <c r="H263" s="121" t="e">
        <v>#N/A</v>
      </c>
      <c r="I263" s="121" t="s">
        <v>625</v>
      </c>
      <c r="J263" s="121" t="s">
        <v>625</v>
      </c>
    </row>
    <row r="264" spans="1:10">
      <c r="A264" s="114">
        <v>39766</v>
      </c>
      <c r="B264" s="121">
        <v>94.84</v>
      </c>
      <c r="C264" s="121" t="s">
        <v>625</v>
      </c>
      <c r="D264" s="121" t="s">
        <v>625</v>
      </c>
      <c r="E264" s="121" t="s">
        <v>625</v>
      </c>
      <c r="F264" s="121" t="s">
        <v>625</v>
      </c>
      <c r="G264" s="121" t="s">
        <v>625</v>
      </c>
      <c r="H264" s="121" t="e">
        <v>#N/A</v>
      </c>
      <c r="I264" s="121" t="s">
        <v>625</v>
      </c>
      <c r="J264" s="121" t="s">
        <v>625</v>
      </c>
    </row>
    <row r="265" spans="1:10">
      <c r="A265" s="114">
        <v>39769</v>
      </c>
      <c r="B265" s="121">
        <v>94.84</v>
      </c>
      <c r="C265" s="121" t="s">
        <v>625</v>
      </c>
      <c r="D265" s="121" t="s">
        <v>625</v>
      </c>
      <c r="E265" s="121" t="s">
        <v>625</v>
      </c>
      <c r="F265" s="121" t="s">
        <v>625</v>
      </c>
      <c r="G265" s="121" t="s">
        <v>625</v>
      </c>
      <c r="H265" s="121" t="e">
        <v>#N/A</v>
      </c>
      <c r="I265" s="121" t="s">
        <v>625</v>
      </c>
      <c r="J265" s="121" t="s">
        <v>625</v>
      </c>
    </row>
    <row r="266" spans="1:10">
      <c r="A266" s="114">
        <v>39770</v>
      </c>
      <c r="B266" s="121">
        <v>94.84</v>
      </c>
      <c r="C266" s="121" t="s">
        <v>625</v>
      </c>
      <c r="D266" s="121" t="s">
        <v>625</v>
      </c>
      <c r="E266" s="121" t="s">
        <v>625</v>
      </c>
      <c r="F266" s="121" t="s">
        <v>625</v>
      </c>
      <c r="G266" s="121" t="s">
        <v>625</v>
      </c>
      <c r="H266" s="121" t="e">
        <v>#N/A</v>
      </c>
      <c r="I266" s="121" t="s">
        <v>625</v>
      </c>
      <c r="J266" s="121" t="s">
        <v>625</v>
      </c>
    </row>
    <row r="267" spans="1:10">
      <c r="A267" s="114">
        <v>39771</v>
      </c>
      <c r="B267" s="121">
        <v>94.84</v>
      </c>
      <c r="C267" s="121" t="s">
        <v>625</v>
      </c>
      <c r="D267" s="121" t="s">
        <v>625</v>
      </c>
      <c r="E267" s="121" t="s">
        <v>625</v>
      </c>
      <c r="F267" s="121" t="s">
        <v>625</v>
      </c>
      <c r="G267" s="121" t="s">
        <v>625</v>
      </c>
      <c r="H267" s="121" t="e">
        <v>#N/A</v>
      </c>
      <c r="I267" s="121" t="s">
        <v>625</v>
      </c>
      <c r="J267" s="121" t="s">
        <v>625</v>
      </c>
    </row>
    <row r="268" spans="1:10">
      <c r="A268" s="114">
        <v>39772</v>
      </c>
      <c r="B268" s="121">
        <v>94.84</v>
      </c>
      <c r="C268" s="121" t="s">
        <v>625</v>
      </c>
      <c r="D268" s="121" t="s">
        <v>625</v>
      </c>
      <c r="E268" s="121" t="s">
        <v>625</v>
      </c>
      <c r="F268" s="121" t="s">
        <v>625</v>
      </c>
      <c r="G268" s="121" t="s">
        <v>625</v>
      </c>
      <c r="H268" s="121" t="e">
        <v>#N/A</v>
      </c>
      <c r="I268" s="121" t="s">
        <v>625</v>
      </c>
      <c r="J268" s="121" t="s">
        <v>625</v>
      </c>
    </row>
    <row r="269" spans="1:10">
      <c r="A269" s="114">
        <v>39773</v>
      </c>
      <c r="B269" s="121">
        <v>94.84</v>
      </c>
      <c r="C269" s="121" t="s">
        <v>625</v>
      </c>
      <c r="D269" s="121" t="s">
        <v>625</v>
      </c>
      <c r="E269" s="121" t="s">
        <v>625</v>
      </c>
      <c r="F269" s="121" t="s">
        <v>625</v>
      </c>
      <c r="G269" s="121" t="s">
        <v>625</v>
      </c>
      <c r="H269" s="121" t="e">
        <v>#N/A</v>
      </c>
      <c r="I269" s="121" t="s">
        <v>625</v>
      </c>
      <c r="J269" s="121" t="s">
        <v>625</v>
      </c>
    </row>
    <row r="270" spans="1:10">
      <c r="A270" s="114">
        <v>39776</v>
      </c>
      <c r="B270" s="121">
        <v>94.84</v>
      </c>
      <c r="C270" s="121" t="s">
        <v>625</v>
      </c>
      <c r="D270" s="121" t="s">
        <v>625</v>
      </c>
      <c r="E270" s="121" t="s">
        <v>625</v>
      </c>
      <c r="F270" s="121" t="s">
        <v>625</v>
      </c>
      <c r="G270" s="121" t="s">
        <v>625</v>
      </c>
      <c r="H270" s="121" t="e">
        <v>#N/A</v>
      </c>
      <c r="I270" s="121" t="s">
        <v>625</v>
      </c>
      <c r="J270" s="121" t="s">
        <v>625</v>
      </c>
    </row>
    <row r="271" spans="1:10">
      <c r="A271" s="114">
        <v>39777</v>
      </c>
      <c r="B271" s="121">
        <v>94.84</v>
      </c>
      <c r="C271" s="121" t="s">
        <v>625</v>
      </c>
      <c r="D271" s="121" t="s">
        <v>625</v>
      </c>
      <c r="E271" s="121" t="s">
        <v>625</v>
      </c>
      <c r="F271" s="121" t="s">
        <v>625</v>
      </c>
      <c r="G271" s="121" t="s">
        <v>625</v>
      </c>
      <c r="H271" s="121" t="e">
        <v>#N/A</v>
      </c>
      <c r="I271" s="121" t="s">
        <v>625</v>
      </c>
      <c r="J271" s="121" t="s">
        <v>625</v>
      </c>
    </row>
    <row r="272" spans="1:10">
      <c r="A272" s="114">
        <v>39778</v>
      </c>
      <c r="B272" s="121">
        <v>94.84</v>
      </c>
      <c r="C272" s="121" t="s">
        <v>625</v>
      </c>
      <c r="D272" s="121" t="s">
        <v>625</v>
      </c>
      <c r="E272" s="121" t="s">
        <v>625</v>
      </c>
      <c r="F272" s="121" t="s">
        <v>625</v>
      </c>
      <c r="G272" s="121" t="s">
        <v>625</v>
      </c>
      <c r="H272" s="121" t="e">
        <v>#N/A</v>
      </c>
      <c r="I272" s="121" t="s">
        <v>625</v>
      </c>
      <c r="J272" s="121" t="s">
        <v>625</v>
      </c>
    </row>
    <row r="273" spans="1:10">
      <c r="A273" s="114">
        <v>39779</v>
      </c>
      <c r="B273" s="121">
        <v>94.84</v>
      </c>
      <c r="C273" s="121" t="s">
        <v>625</v>
      </c>
      <c r="D273" s="121" t="s">
        <v>625</v>
      </c>
      <c r="E273" s="121" t="s">
        <v>625</v>
      </c>
      <c r="F273" s="121" t="s">
        <v>625</v>
      </c>
      <c r="G273" s="121" t="s">
        <v>625</v>
      </c>
      <c r="H273" s="121" t="e">
        <v>#N/A</v>
      </c>
      <c r="I273" s="121" t="s">
        <v>625</v>
      </c>
      <c r="J273" s="121" t="s">
        <v>625</v>
      </c>
    </row>
    <row r="274" spans="1:10">
      <c r="A274" s="114">
        <v>39780</v>
      </c>
      <c r="B274" s="121">
        <v>94.84</v>
      </c>
      <c r="C274" s="121" t="s">
        <v>625</v>
      </c>
      <c r="D274" s="121" t="s">
        <v>625</v>
      </c>
      <c r="E274" s="121" t="s">
        <v>625</v>
      </c>
      <c r="F274" s="121" t="s">
        <v>625</v>
      </c>
      <c r="G274" s="121" t="s">
        <v>625</v>
      </c>
      <c r="H274" s="121" t="e">
        <v>#N/A</v>
      </c>
      <c r="I274" s="121" t="s">
        <v>625</v>
      </c>
      <c r="J274" s="121" t="s">
        <v>625</v>
      </c>
    </row>
    <row r="275" spans="1:10">
      <c r="A275" s="114">
        <v>39783</v>
      </c>
      <c r="B275" s="121">
        <v>94.84</v>
      </c>
      <c r="C275" s="121" t="s">
        <v>625</v>
      </c>
      <c r="D275" s="121" t="s">
        <v>625</v>
      </c>
      <c r="E275" s="121" t="s">
        <v>625</v>
      </c>
      <c r="F275" s="121" t="s">
        <v>625</v>
      </c>
      <c r="G275" s="121" t="s">
        <v>625</v>
      </c>
      <c r="H275" s="121" t="e">
        <v>#N/A</v>
      </c>
      <c r="I275" s="121" t="s">
        <v>625</v>
      </c>
      <c r="J275" s="121" t="s">
        <v>625</v>
      </c>
    </row>
    <row r="276" spans="1:10">
      <c r="A276" s="114">
        <v>39784</v>
      </c>
      <c r="B276" s="121">
        <v>94.84</v>
      </c>
      <c r="C276" s="121" t="s">
        <v>625</v>
      </c>
      <c r="D276" s="121" t="s">
        <v>625</v>
      </c>
      <c r="E276" s="121" t="s">
        <v>625</v>
      </c>
      <c r="F276" s="121" t="s">
        <v>625</v>
      </c>
      <c r="G276" s="121" t="s">
        <v>625</v>
      </c>
      <c r="H276" s="121" t="e">
        <v>#N/A</v>
      </c>
      <c r="I276" s="121" t="s">
        <v>625</v>
      </c>
      <c r="J276" s="121" t="s">
        <v>625</v>
      </c>
    </row>
    <row r="277" spans="1:10">
      <c r="A277" s="114">
        <v>39785</v>
      </c>
      <c r="B277" s="121">
        <v>103.66</v>
      </c>
      <c r="C277" s="121" t="s">
        <v>625</v>
      </c>
      <c r="D277" s="121" t="s">
        <v>625</v>
      </c>
      <c r="E277" s="121" t="s">
        <v>625</v>
      </c>
      <c r="F277" s="121" t="s">
        <v>625</v>
      </c>
      <c r="G277" s="121" t="s">
        <v>625</v>
      </c>
      <c r="H277" s="121" t="e">
        <v>#N/A</v>
      </c>
      <c r="I277" s="121" t="s">
        <v>625</v>
      </c>
      <c r="J277" s="121" t="s">
        <v>625</v>
      </c>
    </row>
    <row r="278" spans="1:10">
      <c r="A278" s="114">
        <v>39786</v>
      </c>
      <c r="B278" s="121">
        <v>103.66</v>
      </c>
      <c r="C278" s="121" t="s">
        <v>625</v>
      </c>
      <c r="D278" s="121" t="s">
        <v>625</v>
      </c>
      <c r="E278" s="121" t="s">
        <v>625</v>
      </c>
      <c r="F278" s="121" t="s">
        <v>625</v>
      </c>
      <c r="G278" s="121" t="s">
        <v>625</v>
      </c>
      <c r="H278" s="121" t="e">
        <v>#N/A</v>
      </c>
      <c r="I278" s="121" t="s">
        <v>625</v>
      </c>
      <c r="J278" s="121" t="s">
        <v>625</v>
      </c>
    </row>
    <row r="279" spans="1:10">
      <c r="A279" s="114">
        <v>39787</v>
      </c>
      <c r="B279" s="121">
        <v>103.66</v>
      </c>
      <c r="C279" s="121" t="s">
        <v>625</v>
      </c>
      <c r="D279" s="121" t="s">
        <v>625</v>
      </c>
      <c r="E279" s="121" t="s">
        <v>625</v>
      </c>
      <c r="F279" s="121" t="s">
        <v>625</v>
      </c>
      <c r="G279" s="121" t="s">
        <v>625</v>
      </c>
      <c r="H279" s="121" t="e">
        <v>#N/A</v>
      </c>
      <c r="I279" s="121" t="s">
        <v>625</v>
      </c>
      <c r="J279" s="121" t="s">
        <v>625</v>
      </c>
    </row>
    <row r="280" spans="1:10">
      <c r="A280" s="114">
        <v>39790</v>
      </c>
      <c r="B280" s="121">
        <v>103.66</v>
      </c>
      <c r="C280" s="121" t="s">
        <v>625</v>
      </c>
      <c r="D280" s="121" t="s">
        <v>625</v>
      </c>
      <c r="E280" s="121" t="s">
        <v>625</v>
      </c>
      <c r="F280" s="121" t="s">
        <v>625</v>
      </c>
      <c r="G280" s="121" t="s">
        <v>625</v>
      </c>
      <c r="H280" s="121" t="e">
        <v>#N/A</v>
      </c>
      <c r="I280" s="121" t="s">
        <v>625</v>
      </c>
      <c r="J280" s="121" t="s">
        <v>625</v>
      </c>
    </row>
    <row r="281" spans="1:10">
      <c r="A281" s="114">
        <v>39791</v>
      </c>
      <c r="B281" s="121">
        <v>103.66</v>
      </c>
      <c r="C281" s="121" t="s">
        <v>625</v>
      </c>
      <c r="D281" s="121" t="s">
        <v>625</v>
      </c>
      <c r="E281" s="121" t="s">
        <v>625</v>
      </c>
      <c r="F281" s="121" t="s">
        <v>625</v>
      </c>
      <c r="G281" s="121" t="s">
        <v>625</v>
      </c>
      <c r="H281" s="121" t="e">
        <v>#N/A</v>
      </c>
      <c r="I281" s="121" t="s">
        <v>625</v>
      </c>
      <c r="J281" s="121" t="s">
        <v>625</v>
      </c>
    </row>
    <row r="282" spans="1:10">
      <c r="A282" s="114">
        <v>39792</v>
      </c>
      <c r="B282" s="121">
        <v>103.66</v>
      </c>
      <c r="C282" s="121" t="s">
        <v>625</v>
      </c>
      <c r="D282" s="121" t="s">
        <v>625</v>
      </c>
      <c r="E282" s="121" t="s">
        <v>625</v>
      </c>
      <c r="F282" s="121" t="s">
        <v>625</v>
      </c>
      <c r="G282" s="121" t="s">
        <v>625</v>
      </c>
      <c r="H282" s="121" t="e">
        <v>#N/A</v>
      </c>
      <c r="I282" s="121" t="s">
        <v>625</v>
      </c>
      <c r="J282" s="121" t="s">
        <v>625</v>
      </c>
    </row>
    <row r="283" spans="1:10">
      <c r="A283" s="114">
        <v>39793</v>
      </c>
      <c r="B283" s="121">
        <v>103.66</v>
      </c>
      <c r="C283" s="121" t="s">
        <v>625</v>
      </c>
      <c r="D283" s="121" t="s">
        <v>625</v>
      </c>
      <c r="E283" s="121" t="s">
        <v>625</v>
      </c>
      <c r="F283" s="121" t="s">
        <v>625</v>
      </c>
      <c r="G283" s="121" t="s">
        <v>625</v>
      </c>
      <c r="H283" s="121" t="e">
        <v>#N/A</v>
      </c>
      <c r="I283" s="121" t="s">
        <v>625</v>
      </c>
      <c r="J283" s="121" t="s">
        <v>625</v>
      </c>
    </row>
    <row r="284" spans="1:10">
      <c r="A284" s="114">
        <v>39794</v>
      </c>
      <c r="B284" s="121">
        <v>103.66</v>
      </c>
      <c r="C284" s="121" t="s">
        <v>625</v>
      </c>
      <c r="D284" s="121" t="s">
        <v>625</v>
      </c>
      <c r="E284" s="121" t="s">
        <v>625</v>
      </c>
      <c r="F284" s="121" t="s">
        <v>625</v>
      </c>
      <c r="G284" s="121" t="s">
        <v>625</v>
      </c>
      <c r="H284" s="121" t="e">
        <v>#N/A</v>
      </c>
      <c r="I284" s="121" t="s">
        <v>625</v>
      </c>
      <c r="J284" s="121" t="s">
        <v>625</v>
      </c>
    </row>
    <row r="285" spans="1:10">
      <c r="A285" s="114">
        <v>39797</v>
      </c>
      <c r="B285" s="121">
        <v>103.66</v>
      </c>
      <c r="C285" s="121" t="s">
        <v>625</v>
      </c>
      <c r="D285" s="121" t="s">
        <v>625</v>
      </c>
      <c r="E285" s="121" t="s">
        <v>625</v>
      </c>
      <c r="F285" s="121" t="s">
        <v>625</v>
      </c>
      <c r="G285" s="121" t="s">
        <v>625</v>
      </c>
      <c r="H285" s="121" t="e">
        <v>#N/A</v>
      </c>
      <c r="I285" s="121" t="s">
        <v>625</v>
      </c>
      <c r="J285" s="121" t="s">
        <v>625</v>
      </c>
    </row>
    <row r="286" spans="1:10">
      <c r="A286" s="114">
        <v>39798</v>
      </c>
      <c r="B286" s="121">
        <v>103.66</v>
      </c>
      <c r="C286" s="121" t="s">
        <v>625</v>
      </c>
      <c r="D286" s="121" t="s">
        <v>625</v>
      </c>
      <c r="E286" s="121" t="s">
        <v>625</v>
      </c>
      <c r="F286" s="121" t="s">
        <v>625</v>
      </c>
      <c r="G286" s="121" t="s">
        <v>625</v>
      </c>
      <c r="H286" s="121" t="e">
        <v>#N/A</v>
      </c>
      <c r="I286" s="121" t="s">
        <v>625</v>
      </c>
      <c r="J286" s="121" t="s">
        <v>625</v>
      </c>
    </row>
    <row r="287" spans="1:10">
      <c r="A287" s="114">
        <v>39799</v>
      </c>
      <c r="B287" s="121">
        <v>103.66</v>
      </c>
      <c r="C287" s="121" t="s">
        <v>625</v>
      </c>
      <c r="D287" s="121" t="s">
        <v>625</v>
      </c>
      <c r="E287" s="121" t="s">
        <v>625</v>
      </c>
      <c r="F287" s="121" t="s">
        <v>625</v>
      </c>
      <c r="G287" s="121" t="s">
        <v>625</v>
      </c>
      <c r="H287" s="121" t="e">
        <v>#N/A</v>
      </c>
      <c r="I287" s="121" t="s">
        <v>625</v>
      </c>
      <c r="J287" s="121" t="s">
        <v>625</v>
      </c>
    </row>
    <row r="288" spans="1:10">
      <c r="A288" s="114">
        <v>39800</v>
      </c>
      <c r="B288" s="121">
        <v>103.66</v>
      </c>
      <c r="C288" s="121" t="s">
        <v>625</v>
      </c>
      <c r="D288" s="121" t="s">
        <v>625</v>
      </c>
      <c r="E288" s="121" t="s">
        <v>625</v>
      </c>
      <c r="F288" s="121" t="s">
        <v>625</v>
      </c>
      <c r="G288" s="121" t="s">
        <v>625</v>
      </c>
      <c r="H288" s="121" t="e">
        <v>#N/A</v>
      </c>
      <c r="I288" s="121" t="s">
        <v>625</v>
      </c>
      <c r="J288" s="121" t="s">
        <v>625</v>
      </c>
    </row>
    <row r="289" spans="1:10">
      <c r="A289" s="114">
        <v>39801</v>
      </c>
      <c r="B289" s="121">
        <v>103.66</v>
      </c>
      <c r="C289" s="121" t="s">
        <v>625</v>
      </c>
      <c r="D289" s="121" t="s">
        <v>625</v>
      </c>
      <c r="E289" s="121" t="s">
        <v>625</v>
      </c>
      <c r="F289" s="121" t="s">
        <v>625</v>
      </c>
      <c r="G289" s="121" t="s">
        <v>625</v>
      </c>
      <c r="H289" s="121" t="e">
        <v>#N/A</v>
      </c>
      <c r="I289" s="121" t="s">
        <v>625</v>
      </c>
      <c r="J289" s="121" t="s">
        <v>625</v>
      </c>
    </row>
    <row r="290" spans="1:10">
      <c r="A290" s="114">
        <v>39804</v>
      </c>
      <c r="B290" s="121">
        <v>107.59</v>
      </c>
      <c r="C290" s="121" t="s">
        <v>625</v>
      </c>
      <c r="D290" s="121" t="s">
        <v>625</v>
      </c>
      <c r="E290" s="121" t="s">
        <v>625</v>
      </c>
      <c r="F290" s="121" t="s">
        <v>625</v>
      </c>
      <c r="G290" s="121" t="s">
        <v>625</v>
      </c>
      <c r="H290" s="121" t="e">
        <v>#N/A</v>
      </c>
      <c r="I290" s="121" t="s">
        <v>625</v>
      </c>
      <c r="J290" s="121" t="s">
        <v>625</v>
      </c>
    </row>
    <row r="291" spans="1:10">
      <c r="A291" s="114">
        <v>39805</v>
      </c>
      <c r="B291" s="121">
        <v>99.79</v>
      </c>
      <c r="C291" s="121" t="s">
        <v>625</v>
      </c>
      <c r="D291" s="121" t="s">
        <v>625</v>
      </c>
      <c r="E291" s="121" t="s">
        <v>625</v>
      </c>
      <c r="F291" s="121" t="s">
        <v>625</v>
      </c>
      <c r="G291" s="121" t="s">
        <v>625</v>
      </c>
      <c r="H291" s="121" t="e">
        <v>#N/A</v>
      </c>
      <c r="I291" s="121" t="s">
        <v>625</v>
      </c>
      <c r="J291" s="121" t="s">
        <v>625</v>
      </c>
    </row>
    <row r="292" spans="1:10">
      <c r="A292" s="114">
        <v>39806</v>
      </c>
      <c r="B292" s="121">
        <v>99.79</v>
      </c>
      <c r="C292" s="121" t="s">
        <v>625</v>
      </c>
      <c r="D292" s="121" t="s">
        <v>625</v>
      </c>
      <c r="E292" s="121" t="s">
        <v>625</v>
      </c>
      <c r="F292" s="121" t="s">
        <v>625</v>
      </c>
      <c r="G292" s="121" t="s">
        <v>625</v>
      </c>
      <c r="H292" s="121" t="e">
        <v>#N/A</v>
      </c>
      <c r="I292" s="121" t="s">
        <v>625</v>
      </c>
      <c r="J292" s="121" t="s">
        <v>625</v>
      </c>
    </row>
    <row r="293" spans="1:10">
      <c r="A293" s="114">
        <v>39807</v>
      </c>
      <c r="B293" s="121">
        <v>99.79</v>
      </c>
      <c r="C293" s="121" t="s">
        <v>625</v>
      </c>
      <c r="D293" s="121" t="s">
        <v>625</v>
      </c>
      <c r="E293" s="121" t="s">
        <v>625</v>
      </c>
      <c r="F293" s="121" t="s">
        <v>625</v>
      </c>
      <c r="G293" s="121" t="s">
        <v>625</v>
      </c>
      <c r="H293" s="121" t="e">
        <v>#N/A</v>
      </c>
      <c r="I293" s="121" t="s">
        <v>625</v>
      </c>
      <c r="J293" s="121" t="s">
        <v>625</v>
      </c>
    </row>
    <row r="294" spans="1:10">
      <c r="A294" s="114">
        <v>39808</v>
      </c>
      <c r="B294" s="121">
        <v>99.79</v>
      </c>
      <c r="C294" s="121" t="s">
        <v>625</v>
      </c>
      <c r="D294" s="121" t="s">
        <v>625</v>
      </c>
      <c r="E294" s="121" t="s">
        <v>625</v>
      </c>
      <c r="F294" s="121" t="s">
        <v>625</v>
      </c>
      <c r="G294" s="121" t="s">
        <v>625</v>
      </c>
      <c r="H294" s="121" t="e">
        <v>#N/A</v>
      </c>
      <c r="I294" s="121" t="s">
        <v>625</v>
      </c>
      <c r="J294" s="121" t="s">
        <v>625</v>
      </c>
    </row>
    <row r="295" spans="1:10">
      <c r="A295" s="114">
        <v>39811</v>
      </c>
      <c r="B295" s="121">
        <v>120</v>
      </c>
      <c r="C295" s="121" t="s">
        <v>625</v>
      </c>
      <c r="D295" s="121" t="s">
        <v>625</v>
      </c>
      <c r="E295" s="121" t="s">
        <v>625</v>
      </c>
      <c r="F295" s="121" t="s">
        <v>625</v>
      </c>
      <c r="G295" s="121" t="s">
        <v>625</v>
      </c>
      <c r="H295" s="121" t="e">
        <v>#N/A</v>
      </c>
      <c r="I295" s="121" t="s">
        <v>625</v>
      </c>
      <c r="J295" s="121" t="s">
        <v>625</v>
      </c>
    </row>
    <row r="296" spans="1:10">
      <c r="A296" s="114">
        <v>39812</v>
      </c>
      <c r="B296" s="121">
        <v>120</v>
      </c>
      <c r="C296" s="121" t="s">
        <v>625</v>
      </c>
      <c r="D296" s="121" t="s">
        <v>625</v>
      </c>
      <c r="E296" s="121" t="s">
        <v>625</v>
      </c>
      <c r="F296" s="121" t="s">
        <v>625</v>
      </c>
      <c r="G296" s="121" t="s">
        <v>625</v>
      </c>
      <c r="H296" s="121" t="e">
        <v>#N/A</v>
      </c>
      <c r="I296" s="121" t="s">
        <v>625</v>
      </c>
      <c r="J296" s="121" t="s">
        <v>625</v>
      </c>
    </row>
    <row r="297" spans="1:10">
      <c r="A297" s="114">
        <v>39813</v>
      </c>
      <c r="B297" s="121">
        <v>120</v>
      </c>
      <c r="C297" s="121" t="s">
        <v>625</v>
      </c>
      <c r="D297" s="121" t="s">
        <v>625</v>
      </c>
      <c r="E297" s="121" t="s">
        <v>625</v>
      </c>
      <c r="F297" s="121" t="s">
        <v>625</v>
      </c>
      <c r="G297" s="121" t="s">
        <v>625</v>
      </c>
      <c r="H297" s="121" t="e">
        <v>#N/A</v>
      </c>
      <c r="I297" s="121" t="s">
        <v>625</v>
      </c>
      <c r="J297" s="121" t="s">
        <v>625</v>
      </c>
    </row>
    <row r="298" spans="1:10">
      <c r="A298" s="114">
        <v>39817</v>
      </c>
      <c r="B298" s="121">
        <v>120</v>
      </c>
      <c r="C298" s="121" t="s">
        <v>625</v>
      </c>
      <c r="D298" s="121" t="s">
        <v>625</v>
      </c>
      <c r="E298" s="121" t="s">
        <v>625</v>
      </c>
      <c r="F298" s="121" t="s">
        <v>625</v>
      </c>
      <c r="G298" s="121" t="s">
        <v>625</v>
      </c>
      <c r="H298" s="121" t="e">
        <v>#N/A</v>
      </c>
      <c r="I298" s="121" t="s">
        <v>625</v>
      </c>
      <c r="J298" s="121" t="s">
        <v>625</v>
      </c>
    </row>
    <row r="299" spans="1:10">
      <c r="A299" s="114">
        <v>39818</v>
      </c>
      <c r="B299" s="121">
        <v>120</v>
      </c>
      <c r="C299" s="121" t="s">
        <v>625</v>
      </c>
      <c r="D299" s="121" t="s">
        <v>625</v>
      </c>
      <c r="E299" s="121" t="s">
        <v>625</v>
      </c>
      <c r="F299" s="121" t="s">
        <v>625</v>
      </c>
      <c r="G299" s="121" t="s">
        <v>625</v>
      </c>
      <c r="H299" s="121" t="e">
        <v>#N/A</v>
      </c>
      <c r="I299" s="121" t="s">
        <v>625</v>
      </c>
      <c r="J299" s="121" t="s">
        <v>625</v>
      </c>
    </row>
    <row r="300" spans="1:10">
      <c r="A300" s="114">
        <v>39819</v>
      </c>
      <c r="B300" s="121">
        <v>99.71</v>
      </c>
      <c r="C300" s="121" t="s">
        <v>625</v>
      </c>
      <c r="D300" s="121" t="s">
        <v>625</v>
      </c>
      <c r="E300" s="121" t="s">
        <v>625</v>
      </c>
      <c r="F300" s="121" t="s">
        <v>625</v>
      </c>
      <c r="G300" s="121" t="s">
        <v>625</v>
      </c>
      <c r="H300" s="121" t="e">
        <v>#N/A</v>
      </c>
      <c r="I300" s="121" t="s">
        <v>625</v>
      </c>
      <c r="J300" s="121" t="s">
        <v>625</v>
      </c>
    </row>
    <row r="301" spans="1:10">
      <c r="A301" s="114">
        <v>39820</v>
      </c>
      <c r="B301" s="121">
        <v>105.57</v>
      </c>
      <c r="C301" s="121" t="s">
        <v>625</v>
      </c>
      <c r="D301" s="121" t="s">
        <v>625</v>
      </c>
      <c r="E301" s="121" t="s">
        <v>625</v>
      </c>
      <c r="F301" s="121" t="s">
        <v>625</v>
      </c>
      <c r="G301" s="121" t="s">
        <v>625</v>
      </c>
      <c r="H301" s="121" t="e">
        <v>#N/A</v>
      </c>
      <c r="I301" s="121" t="s">
        <v>625</v>
      </c>
      <c r="J301" s="121" t="s">
        <v>625</v>
      </c>
    </row>
    <row r="302" spans="1:10">
      <c r="A302" s="114">
        <v>39821</v>
      </c>
      <c r="B302" s="121">
        <v>92.47</v>
      </c>
      <c r="C302" s="121" t="s">
        <v>625</v>
      </c>
      <c r="D302" s="121" t="s">
        <v>625</v>
      </c>
      <c r="E302" s="121" t="s">
        <v>625</v>
      </c>
      <c r="F302" s="121" t="s">
        <v>625</v>
      </c>
      <c r="G302" s="121" t="s">
        <v>625</v>
      </c>
      <c r="H302" s="121" t="e">
        <v>#N/A</v>
      </c>
      <c r="I302" s="121" t="s">
        <v>625</v>
      </c>
      <c r="J302" s="121" t="s">
        <v>625</v>
      </c>
    </row>
    <row r="303" spans="1:10">
      <c r="A303" s="114">
        <v>39822</v>
      </c>
      <c r="B303" s="121">
        <v>92.47</v>
      </c>
      <c r="C303" s="121" t="s">
        <v>625</v>
      </c>
      <c r="D303" s="121" t="s">
        <v>625</v>
      </c>
      <c r="E303" s="121" t="s">
        <v>625</v>
      </c>
      <c r="F303" s="121" t="s">
        <v>625</v>
      </c>
      <c r="G303" s="121" t="s">
        <v>625</v>
      </c>
      <c r="H303" s="121" t="e">
        <v>#N/A</v>
      </c>
      <c r="I303" s="121" t="s">
        <v>625</v>
      </c>
      <c r="J303" s="121" t="s">
        <v>625</v>
      </c>
    </row>
    <row r="304" spans="1:10">
      <c r="A304" s="114">
        <v>39825</v>
      </c>
      <c r="B304" s="121">
        <v>92.47</v>
      </c>
      <c r="C304" s="121" t="s">
        <v>625</v>
      </c>
      <c r="D304" s="121" t="s">
        <v>625</v>
      </c>
      <c r="E304" s="121" t="s">
        <v>625</v>
      </c>
      <c r="F304" s="121" t="s">
        <v>625</v>
      </c>
      <c r="G304" s="121" t="s">
        <v>625</v>
      </c>
      <c r="H304" s="121" t="e">
        <v>#N/A</v>
      </c>
      <c r="I304" s="121" t="s">
        <v>625</v>
      </c>
      <c r="J304" s="121" t="s">
        <v>625</v>
      </c>
    </row>
    <row r="305" spans="1:10">
      <c r="A305" s="114">
        <v>39826</v>
      </c>
      <c r="B305" s="121">
        <v>88.81</v>
      </c>
      <c r="C305" s="121" t="s">
        <v>625</v>
      </c>
      <c r="D305" s="121" t="s">
        <v>625</v>
      </c>
      <c r="E305" s="121" t="s">
        <v>625</v>
      </c>
      <c r="F305" s="121" t="s">
        <v>625</v>
      </c>
      <c r="G305" s="121" t="s">
        <v>625</v>
      </c>
      <c r="H305" s="121" t="e">
        <v>#N/A</v>
      </c>
      <c r="I305" s="121" t="s">
        <v>625</v>
      </c>
      <c r="J305" s="121" t="s">
        <v>625</v>
      </c>
    </row>
    <row r="306" spans="1:10">
      <c r="A306" s="114">
        <v>39827</v>
      </c>
      <c r="B306" s="121">
        <v>88.81</v>
      </c>
      <c r="C306" s="121" t="s">
        <v>625</v>
      </c>
      <c r="D306" s="121" t="s">
        <v>625</v>
      </c>
      <c r="E306" s="121" t="s">
        <v>625</v>
      </c>
      <c r="F306" s="121" t="s">
        <v>625</v>
      </c>
      <c r="G306" s="121" t="s">
        <v>625</v>
      </c>
      <c r="H306" s="121" t="e">
        <v>#N/A</v>
      </c>
      <c r="I306" s="121" t="s">
        <v>625</v>
      </c>
      <c r="J306" s="121" t="s">
        <v>625</v>
      </c>
    </row>
    <row r="307" spans="1:10">
      <c r="A307" s="114">
        <v>39828</v>
      </c>
      <c r="B307" s="121">
        <v>88.81</v>
      </c>
      <c r="C307" s="121" t="s">
        <v>625</v>
      </c>
      <c r="D307" s="121" t="s">
        <v>625</v>
      </c>
      <c r="E307" s="121" t="s">
        <v>625</v>
      </c>
      <c r="F307" s="121" t="s">
        <v>625</v>
      </c>
      <c r="G307" s="121" t="s">
        <v>625</v>
      </c>
      <c r="H307" s="121" t="e">
        <v>#N/A</v>
      </c>
      <c r="I307" s="121" t="s">
        <v>625</v>
      </c>
      <c r="J307" s="121" t="s">
        <v>625</v>
      </c>
    </row>
    <row r="308" spans="1:10">
      <c r="A308" s="114">
        <v>39829</v>
      </c>
      <c r="B308" s="121">
        <v>88.81</v>
      </c>
      <c r="C308" s="121" t="s">
        <v>625</v>
      </c>
      <c r="D308" s="121" t="s">
        <v>625</v>
      </c>
      <c r="E308" s="121" t="s">
        <v>625</v>
      </c>
      <c r="F308" s="121" t="s">
        <v>625</v>
      </c>
      <c r="G308" s="121" t="s">
        <v>625</v>
      </c>
      <c r="H308" s="121" t="e">
        <v>#N/A</v>
      </c>
      <c r="I308" s="121" t="s">
        <v>625</v>
      </c>
      <c r="J308" s="121" t="s">
        <v>625</v>
      </c>
    </row>
    <row r="309" spans="1:10">
      <c r="A309" s="114">
        <v>39832</v>
      </c>
      <c r="B309" s="121">
        <v>120</v>
      </c>
      <c r="C309" s="121" t="s">
        <v>625</v>
      </c>
      <c r="D309" s="121" t="s">
        <v>625</v>
      </c>
      <c r="E309" s="121" t="s">
        <v>625</v>
      </c>
      <c r="F309" s="121" t="s">
        <v>625</v>
      </c>
      <c r="G309" s="121" t="s">
        <v>625</v>
      </c>
      <c r="H309" s="121" t="e">
        <v>#N/A</v>
      </c>
      <c r="I309" s="121" t="s">
        <v>625</v>
      </c>
      <c r="J309" s="121" t="s">
        <v>625</v>
      </c>
    </row>
    <row r="310" spans="1:10">
      <c r="A310" s="114">
        <v>39833</v>
      </c>
      <c r="B310" s="121">
        <v>120</v>
      </c>
      <c r="C310" s="121" t="s">
        <v>625</v>
      </c>
      <c r="D310" s="121" t="s">
        <v>625</v>
      </c>
      <c r="E310" s="121" t="s">
        <v>625</v>
      </c>
      <c r="F310" s="121" t="s">
        <v>625</v>
      </c>
      <c r="G310" s="121" t="s">
        <v>625</v>
      </c>
      <c r="H310" s="121" t="e">
        <v>#N/A</v>
      </c>
      <c r="I310" s="121" t="s">
        <v>625</v>
      </c>
      <c r="J310" s="121" t="s">
        <v>625</v>
      </c>
    </row>
    <row r="311" spans="1:10">
      <c r="A311" s="114">
        <v>39834</v>
      </c>
      <c r="B311" s="121">
        <v>120</v>
      </c>
      <c r="C311" s="121" t="s">
        <v>625</v>
      </c>
      <c r="D311" s="121" t="s">
        <v>625</v>
      </c>
      <c r="E311" s="121" t="s">
        <v>625</v>
      </c>
      <c r="F311" s="121" t="s">
        <v>625</v>
      </c>
      <c r="G311" s="121" t="s">
        <v>625</v>
      </c>
      <c r="H311" s="121" t="e">
        <v>#N/A</v>
      </c>
      <c r="I311" s="121" t="s">
        <v>625</v>
      </c>
      <c r="J311" s="121" t="s">
        <v>625</v>
      </c>
    </row>
    <row r="312" spans="1:10">
      <c r="A312" s="114">
        <v>39835</v>
      </c>
      <c r="B312" s="121">
        <v>120</v>
      </c>
      <c r="C312" s="121" t="s">
        <v>625</v>
      </c>
      <c r="D312" s="121" t="s">
        <v>625</v>
      </c>
      <c r="E312" s="121" t="s">
        <v>625</v>
      </c>
      <c r="F312" s="121" t="s">
        <v>625</v>
      </c>
      <c r="G312" s="121" t="s">
        <v>625</v>
      </c>
      <c r="H312" s="121" t="e">
        <v>#N/A</v>
      </c>
      <c r="I312" s="121" t="s">
        <v>625</v>
      </c>
      <c r="J312" s="121" t="s">
        <v>625</v>
      </c>
    </row>
    <row r="313" spans="1:10">
      <c r="A313" s="114">
        <v>39836</v>
      </c>
      <c r="B313" s="121">
        <v>120</v>
      </c>
      <c r="C313" s="121" t="s">
        <v>625</v>
      </c>
      <c r="D313" s="121" t="s">
        <v>625</v>
      </c>
      <c r="E313" s="121" t="s">
        <v>625</v>
      </c>
      <c r="F313" s="121" t="s">
        <v>625</v>
      </c>
      <c r="G313" s="121" t="s">
        <v>625</v>
      </c>
      <c r="H313" s="121" t="e">
        <v>#N/A</v>
      </c>
      <c r="I313" s="121" t="s">
        <v>625</v>
      </c>
      <c r="J313" s="121" t="s">
        <v>625</v>
      </c>
    </row>
    <row r="314" spans="1:10">
      <c r="A314" s="114">
        <v>39837</v>
      </c>
      <c r="B314" s="121">
        <v>120</v>
      </c>
      <c r="C314" s="121" t="s">
        <v>625</v>
      </c>
      <c r="D314" s="121" t="s">
        <v>625</v>
      </c>
      <c r="E314" s="121" t="s">
        <v>625</v>
      </c>
      <c r="F314" s="121" t="s">
        <v>625</v>
      </c>
      <c r="G314" s="121" t="s">
        <v>625</v>
      </c>
      <c r="H314" s="121" t="e">
        <v>#N/A</v>
      </c>
      <c r="I314" s="121" t="s">
        <v>625</v>
      </c>
      <c r="J314" s="121" t="s">
        <v>625</v>
      </c>
    </row>
    <row r="315" spans="1:10">
      <c r="A315" s="114">
        <v>39845</v>
      </c>
      <c r="B315" s="121">
        <v>89.93</v>
      </c>
      <c r="C315" s="121" t="s">
        <v>625</v>
      </c>
      <c r="D315" s="121" t="s">
        <v>625</v>
      </c>
      <c r="E315" s="121" t="s">
        <v>625</v>
      </c>
      <c r="F315" s="121" t="s">
        <v>625</v>
      </c>
      <c r="G315" s="121" t="s">
        <v>625</v>
      </c>
      <c r="H315" s="121" t="e">
        <v>#N/A</v>
      </c>
      <c r="I315" s="121" t="s">
        <v>625</v>
      </c>
      <c r="J315" s="121" t="s">
        <v>625</v>
      </c>
    </row>
    <row r="316" spans="1:10">
      <c r="A316" s="114">
        <v>39846</v>
      </c>
      <c r="B316" s="121">
        <v>89.93</v>
      </c>
      <c r="C316" s="121" t="s">
        <v>625</v>
      </c>
      <c r="D316" s="121" t="s">
        <v>625</v>
      </c>
      <c r="E316" s="121" t="s">
        <v>625</v>
      </c>
      <c r="F316" s="121" t="s">
        <v>625</v>
      </c>
      <c r="G316" s="121" t="s">
        <v>625</v>
      </c>
      <c r="H316" s="121" t="e">
        <v>#N/A</v>
      </c>
      <c r="I316" s="121" t="s">
        <v>625</v>
      </c>
      <c r="J316" s="121" t="s">
        <v>625</v>
      </c>
    </row>
    <row r="317" spans="1:10">
      <c r="A317" s="114">
        <v>39847</v>
      </c>
      <c r="B317" s="121">
        <v>89.93</v>
      </c>
      <c r="C317" s="121" t="s">
        <v>625</v>
      </c>
      <c r="D317" s="121" t="s">
        <v>625</v>
      </c>
      <c r="E317" s="121" t="s">
        <v>625</v>
      </c>
      <c r="F317" s="121" t="s">
        <v>625</v>
      </c>
      <c r="G317" s="121" t="s">
        <v>625</v>
      </c>
      <c r="H317" s="121" t="e">
        <v>#N/A</v>
      </c>
      <c r="I317" s="121" t="s">
        <v>625</v>
      </c>
      <c r="J317" s="121" t="s">
        <v>625</v>
      </c>
    </row>
    <row r="318" spans="1:10">
      <c r="A318" s="114">
        <v>39848</v>
      </c>
      <c r="B318" s="121">
        <v>89.93</v>
      </c>
      <c r="C318" s="121" t="s">
        <v>625</v>
      </c>
      <c r="D318" s="121" t="s">
        <v>625</v>
      </c>
      <c r="E318" s="121" t="s">
        <v>625</v>
      </c>
      <c r="F318" s="121" t="s">
        <v>625</v>
      </c>
      <c r="G318" s="121" t="s">
        <v>625</v>
      </c>
      <c r="H318" s="121" t="e">
        <v>#N/A</v>
      </c>
      <c r="I318" s="121" t="s">
        <v>625</v>
      </c>
      <c r="J318" s="121" t="s">
        <v>625</v>
      </c>
    </row>
    <row r="319" spans="1:10">
      <c r="A319" s="114">
        <v>39849</v>
      </c>
      <c r="B319" s="121">
        <v>89.93</v>
      </c>
      <c r="C319" s="121" t="s">
        <v>625</v>
      </c>
      <c r="D319" s="121" t="s">
        <v>625</v>
      </c>
      <c r="E319" s="121" t="s">
        <v>625</v>
      </c>
      <c r="F319" s="121" t="s">
        <v>625</v>
      </c>
      <c r="G319" s="121" t="s">
        <v>625</v>
      </c>
      <c r="H319" s="121" t="e">
        <v>#N/A</v>
      </c>
      <c r="I319" s="121" t="s">
        <v>625</v>
      </c>
      <c r="J319" s="121" t="s">
        <v>625</v>
      </c>
    </row>
    <row r="320" spans="1:10">
      <c r="A320" s="114">
        <v>39850</v>
      </c>
      <c r="B320" s="121">
        <v>101.4</v>
      </c>
      <c r="C320" s="121" t="s">
        <v>625</v>
      </c>
      <c r="D320" s="121" t="s">
        <v>625</v>
      </c>
      <c r="E320" s="121" t="s">
        <v>625</v>
      </c>
      <c r="F320" s="121" t="s">
        <v>625</v>
      </c>
      <c r="G320" s="121" t="s">
        <v>625</v>
      </c>
      <c r="H320" s="121" t="e">
        <v>#N/A</v>
      </c>
      <c r="I320" s="121" t="s">
        <v>625</v>
      </c>
      <c r="J320" s="121" t="s">
        <v>625</v>
      </c>
    </row>
    <row r="321" spans="1:10">
      <c r="A321" s="114">
        <v>39853</v>
      </c>
      <c r="B321" s="121">
        <v>101.4</v>
      </c>
      <c r="C321" s="121" t="s">
        <v>625</v>
      </c>
      <c r="D321" s="121" t="s">
        <v>625</v>
      </c>
      <c r="E321" s="121" t="s">
        <v>625</v>
      </c>
      <c r="F321" s="121" t="s">
        <v>625</v>
      </c>
      <c r="G321" s="121" t="s">
        <v>625</v>
      </c>
      <c r="H321" s="121" t="e">
        <v>#N/A</v>
      </c>
      <c r="I321" s="121" t="s">
        <v>625</v>
      </c>
      <c r="J321" s="121" t="s">
        <v>625</v>
      </c>
    </row>
    <row r="322" spans="1:10">
      <c r="A322" s="114">
        <v>39854</v>
      </c>
      <c r="B322" s="121">
        <v>101.4</v>
      </c>
      <c r="C322" s="121" t="s">
        <v>625</v>
      </c>
      <c r="D322" s="121" t="s">
        <v>625</v>
      </c>
      <c r="E322" s="121" t="s">
        <v>625</v>
      </c>
      <c r="F322" s="121" t="s">
        <v>625</v>
      </c>
      <c r="G322" s="121" t="s">
        <v>625</v>
      </c>
      <c r="H322" s="121" t="e">
        <v>#N/A</v>
      </c>
      <c r="I322" s="121" t="s">
        <v>625</v>
      </c>
      <c r="J322" s="121" t="s">
        <v>625</v>
      </c>
    </row>
    <row r="323" spans="1:10">
      <c r="A323" s="114">
        <v>39855</v>
      </c>
      <c r="B323" s="121">
        <v>101.4</v>
      </c>
      <c r="C323" s="121" t="s">
        <v>625</v>
      </c>
      <c r="D323" s="121" t="s">
        <v>625</v>
      </c>
      <c r="E323" s="121" t="s">
        <v>625</v>
      </c>
      <c r="F323" s="121" t="s">
        <v>625</v>
      </c>
      <c r="G323" s="121" t="s">
        <v>625</v>
      </c>
      <c r="H323" s="121" t="e">
        <v>#N/A</v>
      </c>
      <c r="I323" s="121" t="s">
        <v>625</v>
      </c>
      <c r="J323" s="121" t="s">
        <v>625</v>
      </c>
    </row>
    <row r="324" spans="1:10">
      <c r="A324" s="114">
        <v>39856</v>
      </c>
      <c r="B324" s="121">
        <v>101.4</v>
      </c>
      <c r="C324" s="121" t="s">
        <v>625</v>
      </c>
      <c r="D324" s="121" t="s">
        <v>625</v>
      </c>
      <c r="E324" s="121" t="s">
        <v>625</v>
      </c>
      <c r="F324" s="121" t="s">
        <v>625</v>
      </c>
      <c r="G324" s="121" t="s">
        <v>625</v>
      </c>
      <c r="H324" s="121" t="e">
        <v>#N/A</v>
      </c>
      <c r="I324" s="121" t="s">
        <v>625</v>
      </c>
      <c r="J324" s="121" t="s">
        <v>625</v>
      </c>
    </row>
    <row r="325" spans="1:10">
      <c r="A325" s="114">
        <v>39857</v>
      </c>
      <c r="B325" s="121">
        <v>101.7</v>
      </c>
      <c r="C325" s="121" t="s">
        <v>625</v>
      </c>
      <c r="D325" s="121" t="s">
        <v>625</v>
      </c>
      <c r="E325" s="121" t="s">
        <v>625</v>
      </c>
      <c r="F325" s="121" t="s">
        <v>625</v>
      </c>
      <c r="G325" s="121" t="s">
        <v>625</v>
      </c>
      <c r="H325" s="121" t="e">
        <v>#N/A</v>
      </c>
      <c r="I325" s="121" t="s">
        <v>625</v>
      </c>
      <c r="J325" s="121" t="s">
        <v>625</v>
      </c>
    </row>
    <row r="326" spans="1:10">
      <c r="A326" s="114">
        <v>39860</v>
      </c>
      <c r="B326" s="121">
        <v>101.7</v>
      </c>
      <c r="C326" s="121" t="s">
        <v>625</v>
      </c>
      <c r="D326" s="121" t="s">
        <v>625</v>
      </c>
      <c r="E326" s="121" t="s">
        <v>625</v>
      </c>
      <c r="F326" s="121" t="s">
        <v>625</v>
      </c>
      <c r="G326" s="121" t="s">
        <v>625</v>
      </c>
      <c r="H326" s="121" t="e">
        <v>#N/A</v>
      </c>
      <c r="I326" s="121" t="s">
        <v>625</v>
      </c>
      <c r="J326" s="121" t="s">
        <v>625</v>
      </c>
    </row>
    <row r="327" spans="1:10">
      <c r="A327" s="114">
        <v>39861</v>
      </c>
      <c r="B327" s="121">
        <v>101.77</v>
      </c>
      <c r="C327" s="121" t="s">
        <v>625</v>
      </c>
      <c r="D327" s="121" t="s">
        <v>625</v>
      </c>
      <c r="E327" s="121" t="s">
        <v>625</v>
      </c>
      <c r="F327" s="121" t="s">
        <v>625</v>
      </c>
      <c r="G327" s="121" t="s">
        <v>625</v>
      </c>
      <c r="H327" s="121" t="e">
        <v>#N/A</v>
      </c>
      <c r="I327" s="121" t="s">
        <v>625</v>
      </c>
      <c r="J327" s="121" t="s">
        <v>625</v>
      </c>
    </row>
    <row r="328" spans="1:10">
      <c r="A328" s="114">
        <v>39862</v>
      </c>
      <c r="B328" s="121">
        <v>101.77</v>
      </c>
      <c r="C328" s="121" t="s">
        <v>625</v>
      </c>
      <c r="D328" s="121" t="s">
        <v>625</v>
      </c>
      <c r="E328" s="121" t="s">
        <v>625</v>
      </c>
      <c r="F328" s="121" t="s">
        <v>625</v>
      </c>
      <c r="G328" s="121" t="s">
        <v>625</v>
      </c>
      <c r="H328" s="121" t="e">
        <v>#N/A</v>
      </c>
      <c r="I328" s="121" t="s">
        <v>625</v>
      </c>
      <c r="J328" s="121" t="s">
        <v>625</v>
      </c>
    </row>
    <row r="329" spans="1:10">
      <c r="A329" s="114">
        <v>39863</v>
      </c>
      <c r="B329" s="121">
        <v>101.77</v>
      </c>
      <c r="C329" s="121" t="s">
        <v>625</v>
      </c>
      <c r="D329" s="121" t="s">
        <v>625</v>
      </c>
      <c r="E329" s="121" t="s">
        <v>625</v>
      </c>
      <c r="F329" s="121" t="s">
        <v>625</v>
      </c>
      <c r="G329" s="121" t="s">
        <v>625</v>
      </c>
      <c r="H329" s="121" t="e">
        <v>#N/A</v>
      </c>
      <c r="I329" s="121" t="s">
        <v>625</v>
      </c>
      <c r="J329" s="121" t="s">
        <v>625</v>
      </c>
    </row>
    <row r="330" spans="1:10">
      <c r="A330" s="114">
        <v>39864</v>
      </c>
      <c r="B330" s="121">
        <v>101.77</v>
      </c>
      <c r="C330" s="121" t="s">
        <v>625</v>
      </c>
      <c r="D330" s="121" t="s">
        <v>625</v>
      </c>
      <c r="E330" s="121" t="s">
        <v>625</v>
      </c>
      <c r="F330" s="121" t="s">
        <v>625</v>
      </c>
      <c r="G330" s="121" t="s">
        <v>625</v>
      </c>
      <c r="H330" s="121" t="e">
        <v>#N/A</v>
      </c>
      <c r="I330" s="121" t="s">
        <v>625</v>
      </c>
      <c r="J330" s="121" t="s">
        <v>625</v>
      </c>
    </row>
    <row r="331" spans="1:10">
      <c r="A331" s="114">
        <v>39867</v>
      </c>
      <c r="B331" s="121">
        <v>101.77</v>
      </c>
      <c r="C331" s="121" t="s">
        <v>625</v>
      </c>
      <c r="D331" s="121" t="s">
        <v>625</v>
      </c>
      <c r="E331" s="121" t="s">
        <v>625</v>
      </c>
      <c r="F331" s="121" t="s">
        <v>625</v>
      </c>
      <c r="G331" s="121" t="s">
        <v>625</v>
      </c>
      <c r="H331" s="121" t="e">
        <v>#N/A</v>
      </c>
      <c r="I331" s="121" t="s">
        <v>625</v>
      </c>
      <c r="J331" s="121" t="s">
        <v>625</v>
      </c>
    </row>
    <row r="332" spans="1:10">
      <c r="A332" s="114">
        <v>39868</v>
      </c>
      <c r="B332" s="121">
        <v>101.77</v>
      </c>
      <c r="C332" s="121" t="s">
        <v>625</v>
      </c>
      <c r="D332" s="121" t="s">
        <v>625</v>
      </c>
      <c r="E332" s="121" t="s">
        <v>625</v>
      </c>
      <c r="F332" s="121" t="s">
        <v>625</v>
      </c>
      <c r="G332" s="121" t="s">
        <v>625</v>
      </c>
      <c r="H332" s="121" t="e">
        <v>#N/A</v>
      </c>
      <c r="I332" s="121" t="s">
        <v>625</v>
      </c>
      <c r="J332" s="121" t="s">
        <v>625</v>
      </c>
    </row>
    <row r="333" spans="1:10">
      <c r="A333" s="114">
        <v>39869</v>
      </c>
      <c r="B333" s="121">
        <v>101.77</v>
      </c>
      <c r="C333" s="121" t="s">
        <v>625</v>
      </c>
      <c r="D333" s="121" t="s">
        <v>625</v>
      </c>
      <c r="E333" s="121" t="s">
        <v>625</v>
      </c>
      <c r="F333" s="121" t="s">
        <v>625</v>
      </c>
      <c r="G333" s="121" t="s">
        <v>625</v>
      </c>
      <c r="H333" s="121" t="e">
        <v>#N/A</v>
      </c>
      <c r="I333" s="121" t="s">
        <v>625</v>
      </c>
      <c r="J333" s="121" t="s">
        <v>625</v>
      </c>
    </row>
    <row r="334" spans="1:10">
      <c r="A334" s="114">
        <v>39870</v>
      </c>
      <c r="B334" s="121">
        <v>101.77</v>
      </c>
      <c r="C334" s="121" t="s">
        <v>625</v>
      </c>
      <c r="D334" s="121" t="s">
        <v>625</v>
      </c>
      <c r="E334" s="121" t="s">
        <v>625</v>
      </c>
      <c r="F334" s="121" t="s">
        <v>625</v>
      </c>
      <c r="G334" s="121" t="s">
        <v>625</v>
      </c>
      <c r="H334" s="121" t="e">
        <v>#N/A</v>
      </c>
      <c r="I334" s="121" t="s">
        <v>625</v>
      </c>
      <c r="J334" s="121" t="s">
        <v>625</v>
      </c>
    </row>
    <row r="335" spans="1:10">
      <c r="A335" s="114">
        <v>39871</v>
      </c>
      <c r="B335" s="121">
        <v>101.77</v>
      </c>
      <c r="C335" s="121" t="s">
        <v>625</v>
      </c>
      <c r="D335" s="121" t="s">
        <v>625</v>
      </c>
      <c r="E335" s="121" t="s">
        <v>625</v>
      </c>
      <c r="F335" s="121" t="s">
        <v>625</v>
      </c>
      <c r="G335" s="121" t="s">
        <v>625</v>
      </c>
      <c r="H335" s="121" t="e">
        <v>#N/A</v>
      </c>
      <c r="I335" s="121" t="s">
        <v>625</v>
      </c>
      <c r="J335" s="121" t="s">
        <v>625</v>
      </c>
    </row>
    <row r="336" spans="1:10">
      <c r="A336" s="114">
        <v>39874</v>
      </c>
      <c r="B336" s="121">
        <v>101.77</v>
      </c>
      <c r="C336" s="121" t="s">
        <v>625</v>
      </c>
      <c r="D336" s="121" t="s">
        <v>625</v>
      </c>
      <c r="E336" s="121" t="s">
        <v>625</v>
      </c>
      <c r="F336" s="121" t="s">
        <v>625</v>
      </c>
      <c r="G336" s="121" t="s">
        <v>625</v>
      </c>
      <c r="H336" s="121" t="e">
        <v>#N/A</v>
      </c>
      <c r="I336" s="121" t="s">
        <v>625</v>
      </c>
      <c r="J336" s="121" t="s">
        <v>625</v>
      </c>
    </row>
    <row r="337" spans="1:10">
      <c r="A337" s="114">
        <v>39875</v>
      </c>
      <c r="B337" s="121">
        <v>103.42</v>
      </c>
      <c r="C337" s="121" t="s">
        <v>625</v>
      </c>
      <c r="D337" s="121" t="s">
        <v>625</v>
      </c>
      <c r="E337" s="121" t="s">
        <v>625</v>
      </c>
      <c r="F337" s="121" t="s">
        <v>625</v>
      </c>
      <c r="G337" s="121" t="s">
        <v>625</v>
      </c>
      <c r="H337" s="121" t="e">
        <v>#N/A</v>
      </c>
      <c r="I337" s="121" t="s">
        <v>625</v>
      </c>
      <c r="J337" s="121" t="s">
        <v>625</v>
      </c>
    </row>
    <row r="338" spans="1:10">
      <c r="A338" s="114">
        <v>39876</v>
      </c>
      <c r="B338" s="121">
        <v>103.42</v>
      </c>
      <c r="C338" s="121" t="s">
        <v>625</v>
      </c>
      <c r="D338" s="121" t="s">
        <v>625</v>
      </c>
      <c r="E338" s="121" t="s">
        <v>625</v>
      </c>
      <c r="F338" s="121" t="s">
        <v>625</v>
      </c>
      <c r="G338" s="121" t="s">
        <v>625</v>
      </c>
      <c r="H338" s="121" t="e">
        <v>#N/A</v>
      </c>
      <c r="I338" s="121" t="s">
        <v>625</v>
      </c>
      <c r="J338" s="121" t="s">
        <v>625</v>
      </c>
    </row>
    <row r="339" spans="1:10">
      <c r="A339" s="114">
        <v>39877</v>
      </c>
      <c r="B339" s="121">
        <v>103.42</v>
      </c>
      <c r="C339" s="121" t="s">
        <v>625</v>
      </c>
      <c r="D339" s="121" t="s">
        <v>625</v>
      </c>
      <c r="E339" s="121" t="s">
        <v>625</v>
      </c>
      <c r="F339" s="121" t="s">
        <v>625</v>
      </c>
      <c r="G339" s="121" t="s">
        <v>625</v>
      </c>
      <c r="H339" s="121" t="e">
        <v>#N/A</v>
      </c>
      <c r="I339" s="121" t="s">
        <v>625</v>
      </c>
      <c r="J339" s="121" t="s">
        <v>625</v>
      </c>
    </row>
    <row r="340" spans="1:10">
      <c r="A340" s="114">
        <v>39878</v>
      </c>
      <c r="B340" s="121">
        <v>103.42</v>
      </c>
      <c r="C340" s="121" t="s">
        <v>625</v>
      </c>
      <c r="D340" s="121" t="s">
        <v>625</v>
      </c>
      <c r="E340" s="121" t="s">
        <v>625</v>
      </c>
      <c r="F340" s="121" t="s">
        <v>625</v>
      </c>
      <c r="G340" s="121" t="s">
        <v>625</v>
      </c>
      <c r="H340" s="121" t="e">
        <v>#N/A</v>
      </c>
      <c r="I340" s="121" t="s">
        <v>625</v>
      </c>
      <c r="J340" s="121" t="s">
        <v>625</v>
      </c>
    </row>
    <row r="341" spans="1:10">
      <c r="A341" s="114">
        <v>39881</v>
      </c>
      <c r="B341" s="121">
        <v>102.43</v>
      </c>
      <c r="C341" s="121" t="s">
        <v>625</v>
      </c>
      <c r="D341" s="121" t="s">
        <v>625</v>
      </c>
      <c r="E341" s="121" t="s">
        <v>625</v>
      </c>
      <c r="F341" s="121" t="s">
        <v>625</v>
      </c>
      <c r="G341" s="121" t="s">
        <v>625</v>
      </c>
      <c r="H341" s="121" t="e">
        <v>#N/A</v>
      </c>
      <c r="I341" s="121" t="s">
        <v>625</v>
      </c>
      <c r="J341" s="121" t="s">
        <v>625</v>
      </c>
    </row>
    <row r="342" spans="1:10">
      <c r="A342" s="114">
        <v>39882</v>
      </c>
      <c r="B342" s="121">
        <v>102.43</v>
      </c>
      <c r="C342" s="121" t="s">
        <v>625</v>
      </c>
      <c r="D342" s="121" t="s">
        <v>625</v>
      </c>
      <c r="E342" s="121" t="s">
        <v>625</v>
      </c>
      <c r="F342" s="121" t="s">
        <v>625</v>
      </c>
      <c r="G342" s="121" t="s">
        <v>625</v>
      </c>
      <c r="H342" s="121" t="e">
        <v>#N/A</v>
      </c>
      <c r="I342" s="121" t="s">
        <v>625</v>
      </c>
      <c r="J342" s="121" t="s">
        <v>625</v>
      </c>
    </row>
    <row r="343" spans="1:10">
      <c r="A343" s="114">
        <v>39883</v>
      </c>
      <c r="B343" s="121">
        <v>102.43</v>
      </c>
      <c r="C343" s="121" t="s">
        <v>625</v>
      </c>
      <c r="D343" s="121" t="s">
        <v>625</v>
      </c>
      <c r="E343" s="121" t="s">
        <v>625</v>
      </c>
      <c r="F343" s="121" t="s">
        <v>625</v>
      </c>
      <c r="G343" s="121" t="s">
        <v>625</v>
      </c>
      <c r="H343" s="121" t="e">
        <v>#N/A</v>
      </c>
      <c r="I343" s="121" t="s">
        <v>625</v>
      </c>
      <c r="J343" s="121" t="s">
        <v>625</v>
      </c>
    </row>
    <row r="344" spans="1:10">
      <c r="A344" s="114">
        <v>39884</v>
      </c>
      <c r="B344" s="121">
        <v>102.43</v>
      </c>
      <c r="C344" s="121" t="s">
        <v>625</v>
      </c>
      <c r="D344" s="121" t="s">
        <v>625</v>
      </c>
      <c r="E344" s="121" t="s">
        <v>625</v>
      </c>
      <c r="F344" s="121" t="s">
        <v>625</v>
      </c>
      <c r="G344" s="121" t="s">
        <v>625</v>
      </c>
      <c r="H344" s="121" t="e">
        <v>#N/A</v>
      </c>
      <c r="I344" s="121" t="s">
        <v>625</v>
      </c>
      <c r="J344" s="121" t="s">
        <v>625</v>
      </c>
    </row>
    <row r="345" spans="1:10">
      <c r="A345" s="114">
        <v>39885</v>
      </c>
      <c r="B345" s="121">
        <v>102.43</v>
      </c>
      <c r="C345" s="121" t="s">
        <v>625</v>
      </c>
      <c r="D345" s="121" t="s">
        <v>625</v>
      </c>
      <c r="E345" s="121" t="s">
        <v>625</v>
      </c>
      <c r="F345" s="121" t="s">
        <v>625</v>
      </c>
      <c r="G345" s="121" t="s">
        <v>625</v>
      </c>
      <c r="H345" s="121" t="e">
        <v>#N/A</v>
      </c>
      <c r="I345" s="121" t="s">
        <v>625</v>
      </c>
      <c r="J345" s="121" t="s">
        <v>625</v>
      </c>
    </row>
    <row r="346" spans="1:10">
      <c r="A346" s="114">
        <v>39888</v>
      </c>
      <c r="B346" s="121">
        <v>102.43</v>
      </c>
      <c r="C346" s="121" t="s">
        <v>625</v>
      </c>
      <c r="D346" s="121" t="s">
        <v>625</v>
      </c>
      <c r="E346" s="121" t="s">
        <v>625</v>
      </c>
      <c r="F346" s="121" t="s">
        <v>625</v>
      </c>
      <c r="G346" s="121" t="s">
        <v>625</v>
      </c>
      <c r="H346" s="121" t="e">
        <v>#N/A</v>
      </c>
      <c r="I346" s="121" t="s">
        <v>625</v>
      </c>
      <c r="J346" s="121" t="s">
        <v>625</v>
      </c>
    </row>
    <row r="347" spans="1:10">
      <c r="A347" s="114">
        <v>39889</v>
      </c>
      <c r="B347" s="121">
        <v>103.15</v>
      </c>
      <c r="C347" s="121" t="s">
        <v>625</v>
      </c>
      <c r="D347" s="121" t="s">
        <v>625</v>
      </c>
      <c r="E347" s="121" t="s">
        <v>625</v>
      </c>
      <c r="F347" s="121" t="s">
        <v>625</v>
      </c>
      <c r="G347" s="121" t="s">
        <v>625</v>
      </c>
      <c r="H347" s="121" t="e">
        <v>#N/A</v>
      </c>
      <c r="I347" s="121" t="s">
        <v>625</v>
      </c>
      <c r="J347" s="121" t="s">
        <v>625</v>
      </c>
    </row>
    <row r="348" spans="1:10">
      <c r="A348" s="114">
        <v>39890</v>
      </c>
      <c r="B348" s="121">
        <v>103.15</v>
      </c>
      <c r="C348" s="121" t="s">
        <v>625</v>
      </c>
      <c r="D348" s="121" t="s">
        <v>625</v>
      </c>
      <c r="E348" s="121" t="s">
        <v>625</v>
      </c>
      <c r="F348" s="121" t="s">
        <v>625</v>
      </c>
      <c r="G348" s="121" t="s">
        <v>625</v>
      </c>
      <c r="H348" s="121" t="e">
        <v>#N/A</v>
      </c>
      <c r="I348" s="121" t="s">
        <v>625</v>
      </c>
      <c r="J348" s="121" t="s">
        <v>625</v>
      </c>
    </row>
    <row r="349" spans="1:10">
      <c r="A349" s="114">
        <v>39891</v>
      </c>
      <c r="B349" s="121">
        <v>103.19</v>
      </c>
      <c r="C349" s="121" t="s">
        <v>625</v>
      </c>
      <c r="D349" s="121" t="s">
        <v>625</v>
      </c>
      <c r="E349" s="121" t="s">
        <v>625</v>
      </c>
      <c r="F349" s="121" t="s">
        <v>625</v>
      </c>
      <c r="G349" s="121" t="s">
        <v>625</v>
      </c>
      <c r="H349" s="121" t="e">
        <v>#N/A</v>
      </c>
      <c r="I349" s="121" t="s">
        <v>625</v>
      </c>
      <c r="J349" s="121" t="s">
        <v>625</v>
      </c>
    </row>
    <row r="350" spans="1:10">
      <c r="A350" s="114">
        <v>39892</v>
      </c>
      <c r="B350" s="121">
        <v>103.04</v>
      </c>
      <c r="C350" s="121" t="s">
        <v>625</v>
      </c>
      <c r="D350" s="121" t="s">
        <v>625</v>
      </c>
      <c r="E350" s="121" t="s">
        <v>625</v>
      </c>
      <c r="F350" s="121" t="s">
        <v>625</v>
      </c>
      <c r="G350" s="121" t="s">
        <v>625</v>
      </c>
      <c r="H350" s="121" t="e">
        <v>#N/A</v>
      </c>
      <c r="I350" s="121" t="s">
        <v>625</v>
      </c>
      <c r="J350" s="121" t="s">
        <v>625</v>
      </c>
    </row>
    <row r="351" spans="1:10">
      <c r="A351" s="114">
        <v>39895</v>
      </c>
      <c r="B351" s="121">
        <v>103.05</v>
      </c>
      <c r="C351" s="121" t="s">
        <v>625</v>
      </c>
      <c r="D351" s="121" t="s">
        <v>625</v>
      </c>
      <c r="E351" s="121" t="s">
        <v>625</v>
      </c>
      <c r="F351" s="121" t="s">
        <v>625</v>
      </c>
      <c r="G351" s="121" t="s">
        <v>625</v>
      </c>
      <c r="H351" s="121" t="e">
        <v>#N/A</v>
      </c>
      <c r="I351" s="121" t="s">
        <v>625</v>
      </c>
      <c r="J351" s="121" t="s">
        <v>625</v>
      </c>
    </row>
    <row r="352" spans="1:10">
      <c r="A352" s="114">
        <v>39896</v>
      </c>
      <c r="B352" s="121">
        <v>103.05</v>
      </c>
      <c r="C352" s="121" t="s">
        <v>625</v>
      </c>
      <c r="D352" s="121" t="s">
        <v>625</v>
      </c>
      <c r="E352" s="121" t="s">
        <v>625</v>
      </c>
      <c r="F352" s="121" t="s">
        <v>625</v>
      </c>
      <c r="G352" s="121" t="s">
        <v>625</v>
      </c>
      <c r="H352" s="121" t="e">
        <v>#N/A</v>
      </c>
      <c r="I352" s="121" t="s">
        <v>625</v>
      </c>
      <c r="J352" s="121" t="s">
        <v>625</v>
      </c>
    </row>
    <row r="353" spans="1:10">
      <c r="A353" s="114">
        <v>39897</v>
      </c>
      <c r="B353" s="121">
        <v>103.05</v>
      </c>
      <c r="C353" s="121" t="s">
        <v>625</v>
      </c>
      <c r="D353" s="121" t="s">
        <v>625</v>
      </c>
      <c r="E353" s="121" t="s">
        <v>625</v>
      </c>
      <c r="F353" s="121" t="s">
        <v>625</v>
      </c>
      <c r="G353" s="121" t="s">
        <v>625</v>
      </c>
      <c r="H353" s="121" t="e">
        <v>#N/A</v>
      </c>
      <c r="I353" s="121" t="s">
        <v>625</v>
      </c>
      <c r="J353" s="121" t="s">
        <v>625</v>
      </c>
    </row>
    <row r="354" spans="1:10">
      <c r="A354" s="114">
        <v>39898</v>
      </c>
      <c r="B354" s="121">
        <v>103.05</v>
      </c>
      <c r="C354" s="121" t="s">
        <v>625</v>
      </c>
      <c r="D354" s="121" t="s">
        <v>625</v>
      </c>
      <c r="E354" s="121" t="s">
        <v>625</v>
      </c>
      <c r="F354" s="121" t="s">
        <v>625</v>
      </c>
      <c r="G354" s="121" t="s">
        <v>625</v>
      </c>
      <c r="H354" s="121" t="e">
        <v>#N/A</v>
      </c>
      <c r="I354" s="121" t="s">
        <v>625</v>
      </c>
      <c r="J354" s="121" t="s">
        <v>625</v>
      </c>
    </row>
    <row r="355" spans="1:10">
      <c r="A355" s="114">
        <v>39899</v>
      </c>
      <c r="B355" s="121">
        <v>103.05</v>
      </c>
      <c r="C355" s="121" t="s">
        <v>625</v>
      </c>
      <c r="D355" s="121" t="s">
        <v>625</v>
      </c>
      <c r="E355" s="121" t="s">
        <v>625</v>
      </c>
      <c r="F355" s="121" t="s">
        <v>625</v>
      </c>
      <c r="G355" s="121" t="s">
        <v>625</v>
      </c>
      <c r="H355" s="121" t="e">
        <v>#N/A</v>
      </c>
      <c r="I355" s="121" t="s">
        <v>625</v>
      </c>
      <c r="J355" s="121" t="s">
        <v>625</v>
      </c>
    </row>
    <row r="356" spans="1:10">
      <c r="A356" s="114">
        <v>39902</v>
      </c>
      <c r="B356" s="121">
        <v>103.05</v>
      </c>
      <c r="C356" s="121" t="s">
        <v>625</v>
      </c>
      <c r="D356" s="121" t="s">
        <v>625</v>
      </c>
      <c r="E356" s="121" t="s">
        <v>625</v>
      </c>
      <c r="F356" s="121" t="s">
        <v>625</v>
      </c>
      <c r="G356" s="121" t="s">
        <v>625</v>
      </c>
      <c r="H356" s="121" t="e">
        <v>#N/A</v>
      </c>
      <c r="I356" s="121" t="s">
        <v>625</v>
      </c>
      <c r="J356" s="121" t="s">
        <v>625</v>
      </c>
    </row>
    <row r="357" spans="1:10">
      <c r="A357" s="114">
        <v>39903</v>
      </c>
      <c r="B357" s="121">
        <v>103.05</v>
      </c>
      <c r="C357" s="121" t="s">
        <v>625</v>
      </c>
      <c r="D357" s="121" t="s">
        <v>625</v>
      </c>
      <c r="E357" s="121" t="s">
        <v>625</v>
      </c>
      <c r="F357" s="121" t="s">
        <v>625</v>
      </c>
      <c r="G357" s="121" t="s">
        <v>625</v>
      </c>
      <c r="H357" s="121" t="e">
        <v>#N/A</v>
      </c>
      <c r="I357" s="121" t="s">
        <v>625</v>
      </c>
      <c r="J357" s="121" t="s">
        <v>625</v>
      </c>
    </row>
    <row r="358" spans="1:10">
      <c r="A358" s="114">
        <v>39904</v>
      </c>
      <c r="B358" s="121">
        <v>103.05</v>
      </c>
      <c r="C358" s="121" t="s">
        <v>625</v>
      </c>
      <c r="D358" s="121" t="s">
        <v>625</v>
      </c>
      <c r="E358" s="121" t="s">
        <v>625</v>
      </c>
      <c r="F358" s="121" t="s">
        <v>625</v>
      </c>
      <c r="G358" s="121" t="s">
        <v>625</v>
      </c>
      <c r="H358" s="121" t="e">
        <v>#N/A</v>
      </c>
      <c r="I358" s="121" t="s">
        <v>625</v>
      </c>
      <c r="J358" s="121" t="s">
        <v>625</v>
      </c>
    </row>
    <row r="359" spans="1:10">
      <c r="A359" s="114">
        <v>39905</v>
      </c>
      <c r="B359" s="121">
        <v>102.72</v>
      </c>
      <c r="C359" s="121" t="s">
        <v>625</v>
      </c>
      <c r="D359" s="121" t="s">
        <v>625</v>
      </c>
      <c r="E359" s="121" t="s">
        <v>625</v>
      </c>
      <c r="F359" s="121" t="s">
        <v>625</v>
      </c>
      <c r="G359" s="121" t="s">
        <v>625</v>
      </c>
      <c r="H359" s="121" t="e">
        <v>#N/A</v>
      </c>
      <c r="I359" s="121" t="s">
        <v>625</v>
      </c>
      <c r="J359" s="121" t="s">
        <v>625</v>
      </c>
    </row>
    <row r="360" spans="1:10">
      <c r="A360" s="114">
        <v>39906</v>
      </c>
      <c r="B360" s="121">
        <v>102.72</v>
      </c>
      <c r="C360" s="121" t="s">
        <v>625</v>
      </c>
      <c r="D360" s="121" t="s">
        <v>625</v>
      </c>
      <c r="E360" s="121" t="s">
        <v>625</v>
      </c>
      <c r="F360" s="121" t="s">
        <v>625</v>
      </c>
      <c r="G360" s="121" t="s">
        <v>625</v>
      </c>
      <c r="H360" s="121" t="e">
        <v>#N/A</v>
      </c>
      <c r="I360" s="121" t="s">
        <v>625</v>
      </c>
      <c r="J360" s="121" t="s">
        <v>625</v>
      </c>
    </row>
    <row r="361" spans="1:10">
      <c r="A361" s="114">
        <v>39910</v>
      </c>
      <c r="B361" s="121">
        <v>102.72</v>
      </c>
      <c r="C361" s="121" t="s">
        <v>625</v>
      </c>
      <c r="D361" s="121" t="s">
        <v>625</v>
      </c>
      <c r="E361" s="121" t="s">
        <v>625</v>
      </c>
      <c r="F361" s="121" t="s">
        <v>625</v>
      </c>
      <c r="G361" s="121" t="s">
        <v>625</v>
      </c>
      <c r="H361" s="121" t="e">
        <v>#N/A</v>
      </c>
      <c r="I361" s="121" t="s">
        <v>625</v>
      </c>
      <c r="J361" s="121" t="s">
        <v>625</v>
      </c>
    </row>
    <row r="362" spans="1:10">
      <c r="A362" s="114">
        <v>39911</v>
      </c>
      <c r="B362" s="121">
        <v>102.72</v>
      </c>
      <c r="C362" s="121" t="s">
        <v>625</v>
      </c>
      <c r="D362" s="121" t="s">
        <v>625</v>
      </c>
      <c r="E362" s="121" t="s">
        <v>625</v>
      </c>
      <c r="F362" s="121" t="s">
        <v>625</v>
      </c>
      <c r="G362" s="121" t="s">
        <v>625</v>
      </c>
      <c r="H362" s="121" t="e">
        <v>#N/A</v>
      </c>
      <c r="I362" s="121" t="s">
        <v>625</v>
      </c>
      <c r="J362" s="121" t="s">
        <v>625</v>
      </c>
    </row>
    <row r="363" spans="1:10">
      <c r="A363" s="114">
        <v>39912</v>
      </c>
      <c r="B363" s="121">
        <v>102.72</v>
      </c>
      <c r="C363" s="121" t="s">
        <v>625</v>
      </c>
      <c r="D363" s="121" t="s">
        <v>625</v>
      </c>
      <c r="E363" s="121" t="s">
        <v>625</v>
      </c>
      <c r="F363" s="121" t="s">
        <v>625</v>
      </c>
      <c r="G363" s="121" t="s">
        <v>625</v>
      </c>
      <c r="H363" s="121" t="e">
        <v>#N/A</v>
      </c>
      <c r="I363" s="121" t="s">
        <v>625</v>
      </c>
      <c r="J363" s="121" t="s">
        <v>625</v>
      </c>
    </row>
    <row r="364" spans="1:10">
      <c r="A364" s="114">
        <v>39913</v>
      </c>
      <c r="B364" s="121">
        <v>102.72</v>
      </c>
      <c r="C364" s="121" t="s">
        <v>625</v>
      </c>
      <c r="D364" s="121" t="s">
        <v>625</v>
      </c>
      <c r="E364" s="121" t="s">
        <v>625</v>
      </c>
      <c r="F364" s="121" t="s">
        <v>625</v>
      </c>
      <c r="G364" s="121" t="s">
        <v>625</v>
      </c>
      <c r="H364" s="121" t="e">
        <v>#N/A</v>
      </c>
      <c r="I364" s="121" t="s">
        <v>625</v>
      </c>
      <c r="J364" s="121" t="s">
        <v>625</v>
      </c>
    </row>
    <row r="365" spans="1:10">
      <c r="A365" s="114">
        <v>39916</v>
      </c>
      <c r="B365" s="121">
        <v>102.72</v>
      </c>
      <c r="C365" s="121" t="s">
        <v>625</v>
      </c>
      <c r="D365" s="121" t="s">
        <v>625</v>
      </c>
      <c r="E365" s="121" t="s">
        <v>625</v>
      </c>
      <c r="F365" s="121" t="s">
        <v>625</v>
      </c>
      <c r="G365" s="121" t="s">
        <v>625</v>
      </c>
      <c r="H365" s="121" t="e">
        <v>#N/A</v>
      </c>
      <c r="I365" s="121" t="s">
        <v>625</v>
      </c>
      <c r="J365" s="121" t="s">
        <v>625</v>
      </c>
    </row>
    <row r="366" spans="1:10">
      <c r="A366" s="114">
        <v>39917</v>
      </c>
      <c r="B366" s="121">
        <v>102.72</v>
      </c>
      <c r="C366" s="121" t="s">
        <v>625</v>
      </c>
      <c r="D366" s="121" t="s">
        <v>625</v>
      </c>
      <c r="E366" s="121" t="s">
        <v>625</v>
      </c>
      <c r="F366" s="121" t="s">
        <v>625</v>
      </c>
      <c r="G366" s="121" t="s">
        <v>625</v>
      </c>
      <c r="H366" s="121" t="e">
        <v>#N/A</v>
      </c>
      <c r="I366" s="121" t="s">
        <v>625</v>
      </c>
      <c r="J366" s="121" t="s">
        <v>625</v>
      </c>
    </row>
    <row r="367" spans="1:10">
      <c r="A367" s="114">
        <v>39918</v>
      </c>
      <c r="B367" s="121">
        <v>102.72</v>
      </c>
      <c r="C367" s="121" t="s">
        <v>625</v>
      </c>
      <c r="D367" s="121" t="s">
        <v>625</v>
      </c>
      <c r="E367" s="121" t="s">
        <v>625</v>
      </c>
      <c r="F367" s="121" t="s">
        <v>625</v>
      </c>
      <c r="G367" s="121" t="s">
        <v>625</v>
      </c>
      <c r="H367" s="121" t="e">
        <v>#N/A</v>
      </c>
      <c r="I367" s="121" t="s">
        <v>625</v>
      </c>
      <c r="J367" s="121" t="s">
        <v>625</v>
      </c>
    </row>
    <row r="368" spans="1:10">
      <c r="A368" s="114">
        <v>39919</v>
      </c>
      <c r="B368" s="121">
        <v>102.72</v>
      </c>
      <c r="C368" s="121" t="s">
        <v>625</v>
      </c>
      <c r="D368" s="121" t="s">
        <v>625</v>
      </c>
      <c r="E368" s="121" t="s">
        <v>625</v>
      </c>
      <c r="F368" s="121" t="s">
        <v>625</v>
      </c>
      <c r="G368" s="121" t="s">
        <v>625</v>
      </c>
      <c r="H368" s="121" t="e">
        <v>#N/A</v>
      </c>
      <c r="I368" s="121" t="s">
        <v>625</v>
      </c>
      <c r="J368" s="121" t="s">
        <v>625</v>
      </c>
    </row>
    <row r="369" spans="1:10">
      <c r="A369" s="114">
        <v>39920</v>
      </c>
      <c r="B369" s="121">
        <v>102.72</v>
      </c>
      <c r="C369" s="121" t="s">
        <v>625</v>
      </c>
      <c r="D369" s="121" t="s">
        <v>625</v>
      </c>
      <c r="E369" s="121" t="s">
        <v>625</v>
      </c>
      <c r="F369" s="121" t="s">
        <v>625</v>
      </c>
      <c r="G369" s="121" t="s">
        <v>625</v>
      </c>
      <c r="H369" s="121" t="e">
        <v>#N/A</v>
      </c>
      <c r="I369" s="121" t="s">
        <v>625</v>
      </c>
      <c r="J369" s="121" t="s">
        <v>625</v>
      </c>
    </row>
    <row r="370" spans="1:10">
      <c r="A370" s="114">
        <v>39923</v>
      </c>
      <c r="B370" s="121">
        <v>102.72</v>
      </c>
      <c r="C370" s="121" t="s">
        <v>625</v>
      </c>
      <c r="D370" s="121" t="s">
        <v>625</v>
      </c>
      <c r="E370" s="121" t="s">
        <v>625</v>
      </c>
      <c r="F370" s="121" t="s">
        <v>625</v>
      </c>
      <c r="G370" s="121" t="s">
        <v>625</v>
      </c>
      <c r="H370" s="121" t="e">
        <v>#N/A</v>
      </c>
      <c r="I370" s="121" t="s">
        <v>625</v>
      </c>
      <c r="J370" s="121" t="s">
        <v>625</v>
      </c>
    </row>
    <row r="371" spans="1:10">
      <c r="A371" s="114">
        <v>39924</v>
      </c>
      <c r="B371" s="121">
        <v>102.72</v>
      </c>
      <c r="C371" s="121" t="s">
        <v>625</v>
      </c>
      <c r="D371" s="121" t="s">
        <v>625</v>
      </c>
      <c r="E371" s="121" t="s">
        <v>625</v>
      </c>
      <c r="F371" s="121" t="s">
        <v>625</v>
      </c>
      <c r="G371" s="121" t="s">
        <v>625</v>
      </c>
      <c r="H371" s="121" t="e">
        <v>#N/A</v>
      </c>
      <c r="I371" s="121" t="s">
        <v>625</v>
      </c>
      <c r="J371" s="121" t="s">
        <v>625</v>
      </c>
    </row>
    <row r="372" spans="1:10">
      <c r="A372" s="114">
        <v>39925</v>
      </c>
      <c r="B372" s="121">
        <v>102.44</v>
      </c>
      <c r="C372" s="121" t="s">
        <v>625</v>
      </c>
      <c r="D372" s="121" t="s">
        <v>625</v>
      </c>
      <c r="E372" s="121" t="s">
        <v>625</v>
      </c>
      <c r="F372" s="121" t="s">
        <v>625</v>
      </c>
      <c r="G372" s="121" t="s">
        <v>625</v>
      </c>
      <c r="H372" s="121" t="e">
        <v>#N/A</v>
      </c>
      <c r="I372" s="121" t="s">
        <v>625</v>
      </c>
      <c r="J372" s="121" t="s">
        <v>625</v>
      </c>
    </row>
    <row r="373" spans="1:10">
      <c r="A373" s="114">
        <v>39926</v>
      </c>
      <c r="B373" s="121">
        <v>102.44</v>
      </c>
      <c r="C373" s="121" t="s">
        <v>625</v>
      </c>
      <c r="D373" s="121" t="s">
        <v>625</v>
      </c>
      <c r="E373" s="121" t="s">
        <v>625</v>
      </c>
      <c r="F373" s="121" t="s">
        <v>625</v>
      </c>
      <c r="G373" s="121" t="s">
        <v>625</v>
      </c>
      <c r="H373" s="121" t="e">
        <v>#N/A</v>
      </c>
      <c r="I373" s="121" t="s">
        <v>625</v>
      </c>
      <c r="J373" s="121" t="s">
        <v>625</v>
      </c>
    </row>
    <row r="374" spans="1:10">
      <c r="A374" s="114">
        <v>39927</v>
      </c>
      <c r="B374" s="121">
        <v>102.44</v>
      </c>
      <c r="C374" s="121" t="s">
        <v>625</v>
      </c>
      <c r="D374" s="121" t="s">
        <v>625</v>
      </c>
      <c r="E374" s="121" t="s">
        <v>625</v>
      </c>
      <c r="F374" s="121" t="s">
        <v>625</v>
      </c>
      <c r="G374" s="121" t="s">
        <v>625</v>
      </c>
      <c r="H374" s="121" t="e">
        <v>#N/A</v>
      </c>
      <c r="I374" s="121" t="s">
        <v>625</v>
      </c>
      <c r="J374" s="121" t="s">
        <v>625</v>
      </c>
    </row>
    <row r="375" spans="1:10">
      <c r="A375" s="114">
        <v>39930</v>
      </c>
      <c r="B375" s="121">
        <v>102.44</v>
      </c>
      <c r="C375" s="121" t="s">
        <v>625</v>
      </c>
      <c r="D375" s="121" t="s">
        <v>625</v>
      </c>
      <c r="E375" s="121" t="s">
        <v>625</v>
      </c>
      <c r="F375" s="121" t="s">
        <v>625</v>
      </c>
      <c r="G375" s="121" t="s">
        <v>625</v>
      </c>
      <c r="H375" s="121" t="e">
        <v>#N/A</v>
      </c>
      <c r="I375" s="121" t="s">
        <v>625</v>
      </c>
      <c r="J375" s="121" t="s">
        <v>625</v>
      </c>
    </row>
    <row r="376" spans="1:10">
      <c r="A376" s="114">
        <v>39931</v>
      </c>
      <c r="B376" s="121">
        <v>102.44</v>
      </c>
      <c r="C376" s="121" t="s">
        <v>625</v>
      </c>
      <c r="D376" s="121" t="s">
        <v>625</v>
      </c>
      <c r="E376" s="121" t="s">
        <v>625</v>
      </c>
      <c r="F376" s="121" t="s">
        <v>625</v>
      </c>
      <c r="G376" s="121" t="s">
        <v>625</v>
      </c>
      <c r="H376" s="121" t="e">
        <v>#N/A</v>
      </c>
      <c r="I376" s="121" t="s">
        <v>625</v>
      </c>
      <c r="J376" s="121" t="s">
        <v>625</v>
      </c>
    </row>
    <row r="377" spans="1:10">
      <c r="A377" s="114">
        <v>39932</v>
      </c>
      <c r="B377" s="121">
        <v>103.15</v>
      </c>
      <c r="C377" s="121" t="s">
        <v>625</v>
      </c>
      <c r="D377" s="121" t="s">
        <v>625</v>
      </c>
      <c r="E377" s="121" t="s">
        <v>625</v>
      </c>
      <c r="F377" s="121" t="s">
        <v>625</v>
      </c>
      <c r="G377" s="121" t="s">
        <v>625</v>
      </c>
      <c r="H377" s="121" t="e">
        <v>#N/A</v>
      </c>
      <c r="I377" s="121" t="s">
        <v>625</v>
      </c>
      <c r="J377" s="121" t="s">
        <v>625</v>
      </c>
    </row>
    <row r="378" spans="1:10">
      <c r="A378" s="114">
        <v>39933</v>
      </c>
      <c r="B378" s="121">
        <v>103.15</v>
      </c>
      <c r="C378" s="121" t="s">
        <v>625</v>
      </c>
      <c r="D378" s="121" t="s">
        <v>625</v>
      </c>
      <c r="E378" s="121" t="s">
        <v>625</v>
      </c>
      <c r="F378" s="121" t="s">
        <v>625</v>
      </c>
      <c r="G378" s="121" t="s">
        <v>625</v>
      </c>
      <c r="H378" s="121" t="e">
        <v>#N/A</v>
      </c>
      <c r="I378" s="121" t="s">
        <v>625</v>
      </c>
      <c r="J378" s="121" t="s">
        <v>625</v>
      </c>
    </row>
    <row r="379" spans="1:10">
      <c r="A379" s="114">
        <v>39937</v>
      </c>
      <c r="B379" s="121">
        <v>103.15</v>
      </c>
      <c r="C379" s="121" t="s">
        <v>625</v>
      </c>
      <c r="D379" s="121" t="s">
        <v>625</v>
      </c>
      <c r="E379" s="121" t="s">
        <v>625</v>
      </c>
      <c r="F379" s="121" t="s">
        <v>625</v>
      </c>
      <c r="G379" s="121" t="s">
        <v>625</v>
      </c>
      <c r="H379" s="121" t="e">
        <v>#N/A</v>
      </c>
      <c r="I379" s="121" t="s">
        <v>625</v>
      </c>
      <c r="J379" s="121" t="s">
        <v>625</v>
      </c>
    </row>
    <row r="380" spans="1:10">
      <c r="A380" s="114">
        <v>39938</v>
      </c>
      <c r="B380" s="121">
        <v>103.15</v>
      </c>
      <c r="C380" s="121" t="s">
        <v>625</v>
      </c>
      <c r="D380" s="121" t="s">
        <v>625</v>
      </c>
      <c r="E380" s="121" t="s">
        <v>625</v>
      </c>
      <c r="F380" s="121" t="s">
        <v>625</v>
      </c>
      <c r="G380" s="121" t="s">
        <v>625</v>
      </c>
      <c r="H380" s="121" t="e">
        <v>#N/A</v>
      </c>
      <c r="I380" s="121" t="s">
        <v>625</v>
      </c>
      <c r="J380" s="121" t="s">
        <v>625</v>
      </c>
    </row>
    <row r="381" spans="1:10">
      <c r="A381" s="114">
        <v>39939</v>
      </c>
      <c r="B381" s="121">
        <v>103.15</v>
      </c>
      <c r="C381" s="121" t="s">
        <v>625</v>
      </c>
      <c r="D381" s="121" t="s">
        <v>625</v>
      </c>
      <c r="E381" s="121" t="s">
        <v>625</v>
      </c>
      <c r="F381" s="121" t="s">
        <v>625</v>
      </c>
      <c r="G381" s="121" t="s">
        <v>625</v>
      </c>
      <c r="H381" s="121" t="e">
        <v>#N/A</v>
      </c>
      <c r="I381" s="121" t="s">
        <v>625</v>
      </c>
      <c r="J381" s="121" t="s">
        <v>625</v>
      </c>
    </row>
    <row r="382" spans="1:10">
      <c r="A382" s="114">
        <v>39940</v>
      </c>
      <c r="B382" s="121">
        <v>103.15</v>
      </c>
      <c r="C382" s="121" t="s">
        <v>625</v>
      </c>
      <c r="D382" s="121" t="s">
        <v>625</v>
      </c>
      <c r="E382" s="121" t="s">
        <v>625</v>
      </c>
      <c r="F382" s="121" t="s">
        <v>625</v>
      </c>
      <c r="G382" s="121" t="s">
        <v>625</v>
      </c>
      <c r="H382" s="121" t="e">
        <v>#N/A</v>
      </c>
      <c r="I382" s="121" t="s">
        <v>625</v>
      </c>
      <c r="J382" s="121" t="s">
        <v>625</v>
      </c>
    </row>
    <row r="383" spans="1:10">
      <c r="A383" s="114">
        <v>39941</v>
      </c>
      <c r="B383" s="121">
        <v>103.15</v>
      </c>
      <c r="C383" s="121" t="s">
        <v>625</v>
      </c>
      <c r="D383" s="121" t="s">
        <v>625</v>
      </c>
      <c r="E383" s="121" t="s">
        <v>625</v>
      </c>
      <c r="F383" s="121" t="s">
        <v>625</v>
      </c>
      <c r="G383" s="121" t="s">
        <v>625</v>
      </c>
      <c r="H383" s="121" t="e">
        <v>#N/A</v>
      </c>
      <c r="I383" s="121" t="s">
        <v>625</v>
      </c>
      <c r="J383" s="121" t="s">
        <v>625</v>
      </c>
    </row>
    <row r="384" spans="1:10">
      <c r="A384" s="114">
        <v>39944</v>
      </c>
      <c r="B384" s="121">
        <v>103.06</v>
      </c>
      <c r="C384" s="121" t="s">
        <v>625</v>
      </c>
      <c r="D384" s="121" t="s">
        <v>625</v>
      </c>
      <c r="E384" s="121" t="s">
        <v>625</v>
      </c>
      <c r="F384" s="121" t="s">
        <v>625</v>
      </c>
      <c r="G384" s="121" t="s">
        <v>625</v>
      </c>
      <c r="H384" s="121" t="e">
        <v>#N/A</v>
      </c>
      <c r="I384" s="121" t="s">
        <v>625</v>
      </c>
      <c r="J384" s="121" t="s">
        <v>625</v>
      </c>
    </row>
    <row r="385" spans="1:10">
      <c r="A385" s="114">
        <v>39945</v>
      </c>
      <c r="B385" s="121">
        <v>103.06</v>
      </c>
      <c r="C385" s="121" t="s">
        <v>625</v>
      </c>
      <c r="D385" s="121" t="s">
        <v>625</v>
      </c>
      <c r="E385" s="121" t="s">
        <v>625</v>
      </c>
      <c r="F385" s="121" t="s">
        <v>625</v>
      </c>
      <c r="G385" s="121" t="s">
        <v>625</v>
      </c>
      <c r="H385" s="121" t="e">
        <v>#N/A</v>
      </c>
      <c r="I385" s="121" t="s">
        <v>625</v>
      </c>
      <c r="J385" s="121" t="s">
        <v>625</v>
      </c>
    </row>
    <row r="386" spans="1:10">
      <c r="A386" s="114">
        <v>39946</v>
      </c>
      <c r="B386" s="121">
        <v>103.06</v>
      </c>
      <c r="C386" s="121" t="s">
        <v>625</v>
      </c>
      <c r="D386" s="121" t="s">
        <v>625</v>
      </c>
      <c r="E386" s="121" t="s">
        <v>625</v>
      </c>
      <c r="F386" s="121" t="s">
        <v>625</v>
      </c>
      <c r="G386" s="121" t="s">
        <v>625</v>
      </c>
      <c r="H386" s="121" t="e">
        <v>#N/A</v>
      </c>
      <c r="I386" s="121" t="s">
        <v>625</v>
      </c>
      <c r="J386" s="121" t="s">
        <v>625</v>
      </c>
    </row>
    <row r="387" spans="1:10">
      <c r="A387" s="114">
        <v>39947</v>
      </c>
      <c r="B387" s="121">
        <v>103.06</v>
      </c>
      <c r="C387" s="121" t="s">
        <v>625</v>
      </c>
      <c r="D387" s="121" t="s">
        <v>625</v>
      </c>
      <c r="E387" s="121" t="s">
        <v>625</v>
      </c>
      <c r="F387" s="121" t="s">
        <v>625</v>
      </c>
      <c r="G387" s="121" t="s">
        <v>625</v>
      </c>
      <c r="H387" s="121" t="e">
        <v>#N/A</v>
      </c>
      <c r="I387" s="121" t="s">
        <v>625</v>
      </c>
      <c r="J387" s="121" t="s">
        <v>625</v>
      </c>
    </row>
    <row r="388" spans="1:10">
      <c r="A388" s="114">
        <v>39948</v>
      </c>
      <c r="B388" s="121">
        <v>103.06</v>
      </c>
      <c r="C388" s="121" t="s">
        <v>625</v>
      </c>
      <c r="D388" s="121" t="s">
        <v>625</v>
      </c>
      <c r="E388" s="121" t="s">
        <v>625</v>
      </c>
      <c r="F388" s="121" t="s">
        <v>625</v>
      </c>
      <c r="G388" s="121" t="s">
        <v>625</v>
      </c>
      <c r="H388" s="121" t="e">
        <v>#N/A</v>
      </c>
      <c r="I388" s="121" t="s">
        <v>625</v>
      </c>
      <c r="J388" s="121" t="s">
        <v>625</v>
      </c>
    </row>
    <row r="389" spans="1:10">
      <c r="A389" s="114">
        <v>39951</v>
      </c>
      <c r="B389" s="121">
        <v>103.06</v>
      </c>
      <c r="C389" s="121" t="s">
        <v>625</v>
      </c>
      <c r="D389" s="121" t="s">
        <v>625</v>
      </c>
      <c r="E389" s="121" t="s">
        <v>625</v>
      </c>
      <c r="F389" s="121" t="s">
        <v>625</v>
      </c>
      <c r="G389" s="121" t="s">
        <v>625</v>
      </c>
      <c r="H389" s="121" t="e">
        <v>#N/A</v>
      </c>
      <c r="I389" s="121" t="s">
        <v>625</v>
      </c>
      <c r="J389" s="121" t="s">
        <v>625</v>
      </c>
    </row>
    <row r="390" spans="1:10">
      <c r="A390" s="114">
        <v>39952</v>
      </c>
      <c r="B390" s="121">
        <v>103.06</v>
      </c>
      <c r="C390" s="121" t="s">
        <v>625</v>
      </c>
      <c r="D390" s="121" t="s">
        <v>625</v>
      </c>
      <c r="E390" s="121" t="s">
        <v>625</v>
      </c>
      <c r="F390" s="121" t="s">
        <v>625</v>
      </c>
      <c r="G390" s="121" t="s">
        <v>625</v>
      </c>
      <c r="H390" s="121" t="e">
        <v>#N/A</v>
      </c>
      <c r="I390" s="121" t="s">
        <v>625</v>
      </c>
      <c r="J390" s="121" t="s">
        <v>625</v>
      </c>
    </row>
    <row r="391" spans="1:10">
      <c r="A391" s="114">
        <v>39953</v>
      </c>
      <c r="B391" s="121">
        <v>103.06</v>
      </c>
      <c r="C391" s="121" t="s">
        <v>625</v>
      </c>
      <c r="D391" s="121" t="s">
        <v>625</v>
      </c>
      <c r="E391" s="121" t="s">
        <v>625</v>
      </c>
      <c r="F391" s="121" t="s">
        <v>625</v>
      </c>
      <c r="G391" s="121" t="s">
        <v>625</v>
      </c>
      <c r="H391" s="121" t="e">
        <v>#N/A</v>
      </c>
      <c r="I391" s="121" t="s">
        <v>625</v>
      </c>
      <c r="J391" s="121" t="s">
        <v>625</v>
      </c>
    </row>
    <row r="392" spans="1:10">
      <c r="A392" s="114">
        <v>39954</v>
      </c>
      <c r="B392" s="121">
        <v>102.9</v>
      </c>
      <c r="C392" s="121" t="s">
        <v>625</v>
      </c>
      <c r="D392" s="121" t="s">
        <v>625</v>
      </c>
      <c r="E392" s="121" t="s">
        <v>625</v>
      </c>
      <c r="F392" s="121" t="s">
        <v>625</v>
      </c>
      <c r="G392" s="121" t="s">
        <v>625</v>
      </c>
      <c r="H392" s="121" t="e">
        <v>#N/A</v>
      </c>
      <c r="I392" s="121" t="s">
        <v>625</v>
      </c>
      <c r="J392" s="121" t="s">
        <v>625</v>
      </c>
    </row>
    <row r="393" spans="1:10">
      <c r="A393" s="114">
        <v>39955</v>
      </c>
      <c r="B393" s="121">
        <v>102.9</v>
      </c>
      <c r="C393" s="121" t="s">
        <v>625</v>
      </c>
      <c r="D393" s="121" t="s">
        <v>625</v>
      </c>
      <c r="E393" s="121" t="s">
        <v>625</v>
      </c>
      <c r="F393" s="121" t="s">
        <v>625</v>
      </c>
      <c r="G393" s="121" t="s">
        <v>625</v>
      </c>
      <c r="H393" s="121" t="e">
        <v>#N/A</v>
      </c>
      <c r="I393" s="121" t="s">
        <v>625</v>
      </c>
      <c r="J393" s="121" t="s">
        <v>625</v>
      </c>
    </row>
    <row r="394" spans="1:10">
      <c r="A394" s="114">
        <v>39958</v>
      </c>
      <c r="B394" s="121">
        <v>102.9</v>
      </c>
      <c r="C394" s="121" t="s">
        <v>625</v>
      </c>
      <c r="D394" s="121" t="s">
        <v>625</v>
      </c>
      <c r="E394" s="121" t="s">
        <v>625</v>
      </c>
      <c r="F394" s="121" t="s">
        <v>625</v>
      </c>
      <c r="G394" s="121" t="s">
        <v>625</v>
      </c>
      <c r="H394" s="121" t="e">
        <v>#N/A</v>
      </c>
      <c r="I394" s="121" t="s">
        <v>625</v>
      </c>
      <c r="J394" s="121" t="s">
        <v>625</v>
      </c>
    </row>
    <row r="395" spans="1:10">
      <c r="A395" s="114">
        <v>39959</v>
      </c>
      <c r="B395" s="121">
        <v>101.57</v>
      </c>
      <c r="C395" s="121" t="s">
        <v>625</v>
      </c>
      <c r="D395" s="121" t="s">
        <v>625</v>
      </c>
      <c r="E395" s="121" t="s">
        <v>625</v>
      </c>
      <c r="F395" s="121" t="s">
        <v>625</v>
      </c>
      <c r="G395" s="121" t="s">
        <v>625</v>
      </c>
      <c r="H395" s="121" t="e">
        <v>#N/A</v>
      </c>
      <c r="I395" s="121" t="s">
        <v>625</v>
      </c>
      <c r="J395" s="121" t="s">
        <v>625</v>
      </c>
    </row>
    <row r="396" spans="1:10">
      <c r="A396" s="114">
        <v>39960</v>
      </c>
      <c r="B396" s="121">
        <v>101.57</v>
      </c>
      <c r="C396" s="121" t="s">
        <v>625</v>
      </c>
      <c r="D396" s="121" t="s">
        <v>625</v>
      </c>
      <c r="E396" s="121" t="s">
        <v>625</v>
      </c>
      <c r="F396" s="121" t="s">
        <v>625</v>
      </c>
      <c r="G396" s="121" t="s">
        <v>625</v>
      </c>
      <c r="H396" s="121" t="e">
        <v>#N/A</v>
      </c>
      <c r="I396" s="121" t="s">
        <v>625</v>
      </c>
      <c r="J396" s="121" t="s">
        <v>625</v>
      </c>
    </row>
    <row r="397" spans="1:10">
      <c r="A397" s="114">
        <v>39964</v>
      </c>
      <c r="B397" s="121">
        <v>101.57</v>
      </c>
      <c r="C397" s="121" t="s">
        <v>625</v>
      </c>
      <c r="D397" s="121" t="s">
        <v>625</v>
      </c>
      <c r="E397" s="121" t="s">
        <v>625</v>
      </c>
      <c r="F397" s="121" t="s">
        <v>625</v>
      </c>
      <c r="G397" s="121" t="s">
        <v>625</v>
      </c>
      <c r="H397" s="121" t="e">
        <v>#N/A</v>
      </c>
      <c r="I397" s="121" t="s">
        <v>625</v>
      </c>
      <c r="J397" s="121" t="s">
        <v>625</v>
      </c>
    </row>
    <row r="398" spans="1:10">
      <c r="A398" s="114">
        <v>39965</v>
      </c>
      <c r="B398" s="121">
        <v>101.57</v>
      </c>
      <c r="C398" s="121" t="s">
        <v>625</v>
      </c>
      <c r="D398" s="121" t="s">
        <v>625</v>
      </c>
      <c r="E398" s="121" t="s">
        <v>625</v>
      </c>
      <c r="F398" s="121" t="s">
        <v>625</v>
      </c>
      <c r="G398" s="121" t="s">
        <v>625</v>
      </c>
      <c r="H398" s="121" t="e">
        <v>#N/A</v>
      </c>
      <c r="I398" s="121" t="s">
        <v>625</v>
      </c>
      <c r="J398" s="121" t="s">
        <v>625</v>
      </c>
    </row>
    <row r="399" spans="1:10">
      <c r="A399" s="114">
        <v>39966</v>
      </c>
      <c r="B399" s="121">
        <v>101.57</v>
      </c>
      <c r="C399" s="121" t="s">
        <v>625</v>
      </c>
      <c r="D399" s="121" t="s">
        <v>625</v>
      </c>
      <c r="E399" s="121" t="s">
        <v>625</v>
      </c>
      <c r="F399" s="121" t="s">
        <v>625</v>
      </c>
      <c r="G399" s="121" t="s">
        <v>625</v>
      </c>
      <c r="H399" s="121" t="e">
        <v>#N/A</v>
      </c>
      <c r="I399" s="121" t="s">
        <v>625</v>
      </c>
      <c r="J399" s="121" t="s">
        <v>625</v>
      </c>
    </row>
    <row r="400" spans="1:10">
      <c r="A400" s="114">
        <v>39967</v>
      </c>
      <c r="B400" s="121">
        <v>101.57</v>
      </c>
      <c r="C400" s="121" t="s">
        <v>625</v>
      </c>
      <c r="D400" s="121" t="s">
        <v>625</v>
      </c>
      <c r="E400" s="121" t="s">
        <v>625</v>
      </c>
      <c r="F400" s="121" t="s">
        <v>625</v>
      </c>
      <c r="G400" s="121" t="s">
        <v>625</v>
      </c>
      <c r="H400" s="121" t="e">
        <v>#N/A</v>
      </c>
      <c r="I400" s="121" t="s">
        <v>625</v>
      </c>
      <c r="J400" s="121" t="s">
        <v>625</v>
      </c>
    </row>
    <row r="401" spans="1:10">
      <c r="A401" s="114">
        <v>39968</v>
      </c>
      <c r="B401" s="121">
        <v>101.57</v>
      </c>
      <c r="C401" s="121" t="s">
        <v>625</v>
      </c>
      <c r="D401" s="121" t="s">
        <v>625</v>
      </c>
      <c r="E401" s="121" t="s">
        <v>625</v>
      </c>
      <c r="F401" s="121" t="s">
        <v>625</v>
      </c>
      <c r="G401" s="121" t="s">
        <v>625</v>
      </c>
      <c r="H401" s="121" t="e">
        <v>#N/A</v>
      </c>
      <c r="I401" s="121" t="s">
        <v>625</v>
      </c>
      <c r="J401" s="121" t="s">
        <v>625</v>
      </c>
    </row>
    <row r="402" spans="1:10">
      <c r="A402" s="114">
        <v>39969</v>
      </c>
      <c r="B402" s="121">
        <v>101.57</v>
      </c>
      <c r="C402" s="121" t="s">
        <v>625</v>
      </c>
      <c r="D402" s="121" t="s">
        <v>625</v>
      </c>
      <c r="E402" s="121" t="s">
        <v>625</v>
      </c>
      <c r="F402" s="121" t="s">
        <v>625</v>
      </c>
      <c r="G402" s="121" t="s">
        <v>625</v>
      </c>
      <c r="H402" s="121" t="e">
        <v>#N/A</v>
      </c>
      <c r="I402" s="121" t="s">
        <v>625</v>
      </c>
      <c r="J402" s="121" t="s">
        <v>625</v>
      </c>
    </row>
    <row r="403" spans="1:10">
      <c r="A403" s="114">
        <v>39972</v>
      </c>
      <c r="B403" s="121">
        <v>101.57</v>
      </c>
      <c r="C403" s="121" t="s">
        <v>625</v>
      </c>
      <c r="D403" s="121" t="s">
        <v>625</v>
      </c>
      <c r="E403" s="121" t="s">
        <v>625</v>
      </c>
      <c r="F403" s="121" t="s">
        <v>625</v>
      </c>
      <c r="G403" s="121" t="s">
        <v>625</v>
      </c>
      <c r="H403" s="121" t="e">
        <v>#N/A</v>
      </c>
      <c r="I403" s="121" t="s">
        <v>625</v>
      </c>
      <c r="J403" s="121" t="s">
        <v>625</v>
      </c>
    </row>
    <row r="404" spans="1:10">
      <c r="A404" s="114">
        <v>39973</v>
      </c>
      <c r="B404" s="121">
        <v>101.57</v>
      </c>
      <c r="C404" s="121" t="s">
        <v>625</v>
      </c>
      <c r="D404" s="121" t="s">
        <v>625</v>
      </c>
      <c r="E404" s="121" t="s">
        <v>625</v>
      </c>
      <c r="F404" s="121" t="s">
        <v>625</v>
      </c>
      <c r="G404" s="121" t="s">
        <v>625</v>
      </c>
      <c r="H404" s="121" t="e">
        <v>#N/A</v>
      </c>
      <c r="I404" s="121" t="s">
        <v>625</v>
      </c>
      <c r="J404" s="121" t="s">
        <v>625</v>
      </c>
    </row>
    <row r="405" spans="1:10">
      <c r="A405" s="114">
        <v>39974</v>
      </c>
      <c r="B405" s="121">
        <v>101.57</v>
      </c>
      <c r="C405" s="121" t="s">
        <v>625</v>
      </c>
      <c r="D405" s="121" t="s">
        <v>625</v>
      </c>
      <c r="E405" s="121" t="s">
        <v>625</v>
      </c>
      <c r="F405" s="121" t="s">
        <v>625</v>
      </c>
      <c r="G405" s="121" t="s">
        <v>625</v>
      </c>
      <c r="H405" s="121" t="e">
        <v>#N/A</v>
      </c>
      <c r="I405" s="121" t="s">
        <v>625</v>
      </c>
      <c r="J405" s="121" t="s">
        <v>625</v>
      </c>
    </row>
    <row r="406" spans="1:10">
      <c r="A406" s="114">
        <v>39975</v>
      </c>
      <c r="B406" s="121">
        <v>101.57</v>
      </c>
      <c r="C406" s="121" t="s">
        <v>625</v>
      </c>
      <c r="D406" s="121" t="s">
        <v>625</v>
      </c>
      <c r="E406" s="121" t="s">
        <v>625</v>
      </c>
      <c r="F406" s="121" t="s">
        <v>625</v>
      </c>
      <c r="G406" s="121" t="s">
        <v>625</v>
      </c>
      <c r="H406" s="121" t="e">
        <v>#N/A</v>
      </c>
      <c r="I406" s="121" t="s">
        <v>625</v>
      </c>
      <c r="J406" s="121" t="s">
        <v>625</v>
      </c>
    </row>
    <row r="407" spans="1:10">
      <c r="A407" s="114">
        <v>39976</v>
      </c>
      <c r="B407" s="121">
        <v>101.57</v>
      </c>
      <c r="C407" s="121" t="s">
        <v>625</v>
      </c>
      <c r="D407" s="121" t="s">
        <v>625</v>
      </c>
      <c r="E407" s="121" t="s">
        <v>625</v>
      </c>
      <c r="F407" s="121" t="s">
        <v>625</v>
      </c>
      <c r="G407" s="121" t="s">
        <v>625</v>
      </c>
      <c r="H407" s="121" t="e">
        <v>#N/A</v>
      </c>
      <c r="I407" s="121" t="s">
        <v>625</v>
      </c>
      <c r="J407" s="121" t="s">
        <v>625</v>
      </c>
    </row>
    <row r="408" spans="1:10">
      <c r="A408" s="114">
        <v>39979</v>
      </c>
      <c r="B408" s="121">
        <v>101.57</v>
      </c>
      <c r="C408" s="121" t="s">
        <v>625</v>
      </c>
      <c r="D408" s="121" t="s">
        <v>625</v>
      </c>
      <c r="E408" s="121" t="s">
        <v>625</v>
      </c>
      <c r="F408" s="121" t="s">
        <v>625</v>
      </c>
      <c r="G408" s="121" t="s">
        <v>625</v>
      </c>
      <c r="H408" s="121" t="e">
        <v>#N/A</v>
      </c>
      <c r="I408" s="121" t="s">
        <v>625</v>
      </c>
      <c r="J408" s="121" t="s">
        <v>625</v>
      </c>
    </row>
    <row r="409" spans="1:10">
      <c r="A409" s="114">
        <v>39980</v>
      </c>
      <c r="B409" s="121">
        <v>101.57</v>
      </c>
      <c r="C409" s="121" t="s">
        <v>625</v>
      </c>
      <c r="D409" s="121" t="s">
        <v>625</v>
      </c>
      <c r="E409" s="121" t="s">
        <v>625</v>
      </c>
      <c r="F409" s="121" t="s">
        <v>625</v>
      </c>
      <c r="G409" s="121" t="s">
        <v>625</v>
      </c>
      <c r="H409" s="121" t="e">
        <v>#N/A</v>
      </c>
      <c r="I409" s="121" t="s">
        <v>625</v>
      </c>
      <c r="J409" s="121" t="s">
        <v>625</v>
      </c>
    </row>
    <row r="410" spans="1:10">
      <c r="A410" s="114">
        <v>39981</v>
      </c>
      <c r="B410" s="121">
        <v>101.57</v>
      </c>
      <c r="C410" s="121" t="s">
        <v>625</v>
      </c>
      <c r="D410" s="121" t="s">
        <v>625</v>
      </c>
      <c r="E410" s="121" t="s">
        <v>625</v>
      </c>
      <c r="F410" s="121" t="s">
        <v>625</v>
      </c>
      <c r="G410" s="121" t="s">
        <v>625</v>
      </c>
      <c r="H410" s="121" t="e">
        <v>#N/A</v>
      </c>
      <c r="I410" s="121" t="s">
        <v>625</v>
      </c>
      <c r="J410" s="121" t="s">
        <v>625</v>
      </c>
    </row>
    <row r="411" spans="1:10">
      <c r="A411" s="114">
        <v>39982</v>
      </c>
      <c r="B411" s="121">
        <v>101.57</v>
      </c>
      <c r="C411" s="121" t="s">
        <v>625</v>
      </c>
      <c r="D411" s="121" t="s">
        <v>625</v>
      </c>
      <c r="E411" s="121" t="s">
        <v>625</v>
      </c>
      <c r="F411" s="121" t="s">
        <v>625</v>
      </c>
      <c r="G411" s="121" t="s">
        <v>625</v>
      </c>
      <c r="H411" s="121" t="e">
        <v>#N/A</v>
      </c>
      <c r="I411" s="121" t="s">
        <v>625</v>
      </c>
      <c r="J411" s="121" t="s">
        <v>625</v>
      </c>
    </row>
    <row r="412" spans="1:10">
      <c r="A412" s="114">
        <v>39983</v>
      </c>
      <c r="B412" s="121">
        <v>101.57</v>
      </c>
      <c r="C412" s="121" t="s">
        <v>625</v>
      </c>
      <c r="D412" s="121" t="s">
        <v>625</v>
      </c>
      <c r="E412" s="121" t="s">
        <v>625</v>
      </c>
      <c r="F412" s="121" t="s">
        <v>625</v>
      </c>
      <c r="G412" s="121" t="s">
        <v>625</v>
      </c>
      <c r="H412" s="121" t="e">
        <v>#N/A</v>
      </c>
      <c r="I412" s="121" t="s">
        <v>625</v>
      </c>
      <c r="J412" s="121" t="s">
        <v>625</v>
      </c>
    </row>
    <row r="413" spans="1:10">
      <c r="A413" s="114">
        <v>39986</v>
      </c>
      <c r="B413" s="121">
        <v>101.57</v>
      </c>
      <c r="C413" s="121" t="s">
        <v>625</v>
      </c>
      <c r="D413" s="121" t="s">
        <v>625</v>
      </c>
      <c r="E413" s="121" t="s">
        <v>625</v>
      </c>
      <c r="F413" s="121" t="s">
        <v>625</v>
      </c>
      <c r="G413" s="121" t="s">
        <v>625</v>
      </c>
      <c r="H413" s="121" t="e">
        <v>#N/A</v>
      </c>
      <c r="I413" s="121" t="s">
        <v>625</v>
      </c>
      <c r="J413" s="121" t="s">
        <v>625</v>
      </c>
    </row>
    <row r="414" spans="1:10">
      <c r="A414" s="114">
        <v>39987</v>
      </c>
      <c r="B414" s="121">
        <v>101.57</v>
      </c>
      <c r="C414" s="121" t="s">
        <v>625</v>
      </c>
      <c r="D414" s="121" t="s">
        <v>625</v>
      </c>
      <c r="E414" s="121" t="s">
        <v>625</v>
      </c>
      <c r="F414" s="121" t="s">
        <v>625</v>
      </c>
      <c r="G414" s="121" t="s">
        <v>625</v>
      </c>
      <c r="H414" s="121" t="e">
        <v>#N/A</v>
      </c>
      <c r="I414" s="121" t="s">
        <v>625</v>
      </c>
      <c r="J414" s="121" t="s">
        <v>625</v>
      </c>
    </row>
    <row r="415" spans="1:10">
      <c r="A415" s="114">
        <v>39988</v>
      </c>
      <c r="B415" s="121">
        <v>101.57</v>
      </c>
      <c r="C415" s="121" t="s">
        <v>625</v>
      </c>
      <c r="D415" s="121" t="s">
        <v>625</v>
      </c>
      <c r="E415" s="121" t="s">
        <v>625</v>
      </c>
      <c r="F415" s="121" t="s">
        <v>625</v>
      </c>
      <c r="G415" s="121" t="s">
        <v>625</v>
      </c>
      <c r="H415" s="121" t="e">
        <v>#N/A</v>
      </c>
      <c r="I415" s="121" t="s">
        <v>625</v>
      </c>
      <c r="J415" s="121" t="s">
        <v>625</v>
      </c>
    </row>
    <row r="416" spans="1:10">
      <c r="A416" s="114">
        <v>39989</v>
      </c>
      <c r="B416" s="121">
        <v>101.57</v>
      </c>
      <c r="C416" s="121" t="s">
        <v>625</v>
      </c>
      <c r="D416" s="121" t="s">
        <v>625</v>
      </c>
      <c r="E416" s="121" t="s">
        <v>625</v>
      </c>
      <c r="F416" s="121" t="s">
        <v>625</v>
      </c>
      <c r="G416" s="121" t="s">
        <v>625</v>
      </c>
      <c r="H416" s="121" t="e">
        <v>#N/A</v>
      </c>
      <c r="I416" s="121" t="s">
        <v>625</v>
      </c>
      <c r="J416" s="121" t="s">
        <v>625</v>
      </c>
    </row>
    <row r="417" spans="1:10">
      <c r="A417" s="114">
        <v>39990</v>
      </c>
      <c r="B417" s="121">
        <v>101.57</v>
      </c>
      <c r="C417" s="121" t="s">
        <v>625</v>
      </c>
      <c r="D417" s="121" t="s">
        <v>625</v>
      </c>
      <c r="E417" s="121" t="s">
        <v>625</v>
      </c>
      <c r="F417" s="121" t="s">
        <v>625</v>
      </c>
      <c r="G417" s="121" t="s">
        <v>625</v>
      </c>
      <c r="H417" s="121" t="e">
        <v>#N/A</v>
      </c>
      <c r="I417" s="121" t="s">
        <v>625</v>
      </c>
      <c r="J417" s="121" t="s">
        <v>625</v>
      </c>
    </row>
    <row r="418" spans="1:10">
      <c r="A418" s="114">
        <v>39993</v>
      </c>
      <c r="B418" s="121">
        <v>101.57</v>
      </c>
      <c r="C418" s="121" t="s">
        <v>625</v>
      </c>
      <c r="D418" s="121" t="s">
        <v>625</v>
      </c>
      <c r="E418" s="121" t="s">
        <v>625</v>
      </c>
      <c r="F418" s="121" t="s">
        <v>625</v>
      </c>
      <c r="G418" s="121" t="s">
        <v>625</v>
      </c>
      <c r="H418" s="121" t="e">
        <v>#N/A</v>
      </c>
      <c r="I418" s="121" t="s">
        <v>625</v>
      </c>
      <c r="J418" s="121" t="s">
        <v>625</v>
      </c>
    </row>
    <row r="419" spans="1:10">
      <c r="A419" s="114">
        <v>39994</v>
      </c>
      <c r="B419" s="121">
        <v>101.57</v>
      </c>
      <c r="C419" s="121" t="s">
        <v>625</v>
      </c>
      <c r="D419" s="121" t="s">
        <v>625</v>
      </c>
      <c r="E419" s="121" t="s">
        <v>625</v>
      </c>
      <c r="F419" s="121" t="s">
        <v>625</v>
      </c>
      <c r="G419" s="121" t="s">
        <v>625</v>
      </c>
      <c r="H419" s="121" t="e">
        <v>#N/A</v>
      </c>
      <c r="I419" s="121" t="s">
        <v>625</v>
      </c>
      <c r="J419" s="121" t="s">
        <v>625</v>
      </c>
    </row>
    <row r="420" spans="1:10">
      <c r="A420" s="114">
        <v>39995</v>
      </c>
      <c r="B420" s="121">
        <v>101.57</v>
      </c>
      <c r="C420" s="121" t="s">
        <v>625</v>
      </c>
      <c r="D420" s="121" t="s">
        <v>625</v>
      </c>
      <c r="E420" s="121" t="s">
        <v>625</v>
      </c>
      <c r="F420" s="121" t="s">
        <v>625</v>
      </c>
      <c r="G420" s="121" t="s">
        <v>625</v>
      </c>
      <c r="H420" s="121" t="e">
        <v>#N/A</v>
      </c>
      <c r="I420" s="121" t="s">
        <v>625</v>
      </c>
      <c r="J420" s="121" t="s">
        <v>625</v>
      </c>
    </row>
    <row r="421" spans="1:10">
      <c r="A421" s="114">
        <v>39996</v>
      </c>
      <c r="B421" s="121">
        <v>101.57</v>
      </c>
      <c r="C421" s="121" t="s">
        <v>625</v>
      </c>
      <c r="D421" s="121" t="s">
        <v>625</v>
      </c>
      <c r="E421" s="121" t="s">
        <v>625</v>
      </c>
      <c r="F421" s="121" t="s">
        <v>625</v>
      </c>
      <c r="G421" s="121" t="s">
        <v>625</v>
      </c>
      <c r="H421" s="121" t="e">
        <v>#N/A</v>
      </c>
      <c r="I421" s="121" t="s">
        <v>625</v>
      </c>
      <c r="J421" s="121" t="s">
        <v>625</v>
      </c>
    </row>
    <row r="422" spans="1:10">
      <c r="A422" s="114">
        <v>39997</v>
      </c>
      <c r="B422" s="121">
        <v>101.57</v>
      </c>
      <c r="C422" s="121" t="s">
        <v>625</v>
      </c>
      <c r="D422" s="121" t="s">
        <v>625</v>
      </c>
      <c r="E422" s="121" t="s">
        <v>625</v>
      </c>
      <c r="F422" s="121" t="s">
        <v>625</v>
      </c>
      <c r="G422" s="121" t="s">
        <v>625</v>
      </c>
      <c r="H422" s="121" t="e">
        <v>#N/A</v>
      </c>
      <c r="I422" s="121" t="s">
        <v>625</v>
      </c>
      <c r="J422" s="121" t="s">
        <v>625</v>
      </c>
    </row>
    <row r="423" spans="1:10">
      <c r="A423" s="114">
        <v>40000</v>
      </c>
      <c r="B423" s="121">
        <v>101.57</v>
      </c>
      <c r="C423" s="121" t="s">
        <v>625</v>
      </c>
      <c r="D423" s="121" t="s">
        <v>625</v>
      </c>
      <c r="E423" s="121" t="s">
        <v>625</v>
      </c>
      <c r="F423" s="121" t="s">
        <v>625</v>
      </c>
      <c r="G423" s="121" t="s">
        <v>625</v>
      </c>
      <c r="H423" s="121" t="e">
        <v>#N/A</v>
      </c>
      <c r="I423" s="121" t="s">
        <v>625</v>
      </c>
      <c r="J423" s="121" t="s">
        <v>625</v>
      </c>
    </row>
    <row r="424" spans="1:10">
      <c r="A424" s="114">
        <v>40001</v>
      </c>
      <c r="B424" s="121">
        <v>101.57</v>
      </c>
      <c r="C424" s="121" t="s">
        <v>625</v>
      </c>
      <c r="D424" s="121" t="s">
        <v>625</v>
      </c>
      <c r="E424" s="121" t="s">
        <v>625</v>
      </c>
      <c r="F424" s="121" t="s">
        <v>625</v>
      </c>
      <c r="G424" s="121" t="s">
        <v>625</v>
      </c>
      <c r="H424" s="121" t="e">
        <v>#N/A</v>
      </c>
      <c r="I424" s="121" t="s">
        <v>625</v>
      </c>
      <c r="J424" s="121" t="s">
        <v>625</v>
      </c>
    </row>
    <row r="425" spans="1:10">
      <c r="A425" s="114">
        <v>40002</v>
      </c>
      <c r="B425" s="121">
        <v>101.57</v>
      </c>
      <c r="C425" s="121" t="s">
        <v>625</v>
      </c>
      <c r="D425" s="121" t="s">
        <v>625</v>
      </c>
      <c r="E425" s="121" t="s">
        <v>625</v>
      </c>
      <c r="F425" s="121" t="s">
        <v>625</v>
      </c>
      <c r="G425" s="121" t="s">
        <v>625</v>
      </c>
      <c r="H425" s="121" t="e">
        <v>#N/A</v>
      </c>
      <c r="I425" s="121" t="s">
        <v>625</v>
      </c>
      <c r="J425" s="121" t="s">
        <v>625</v>
      </c>
    </row>
    <row r="426" spans="1:10">
      <c r="A426" s="114">
        <v>40003</v>
      </c>
      <c r="B426" s="121">
        <v>101.57</v>
      </c>
      <c r="C426" s="121" t="s">
        <v>625</v>
      </c>
      <c r="D426" s="121" t="s">
        <v>625</v>
      </c>
      <c r="E426" s="121" t="s">
        <v>625</v>
      </c>
      <c r="F426" s="121" t="s">
        <v>625</v>
      </c>
      <c r="G426" s="121" t="s">
        <v>625</v>
      </c>
      <c r="H426" s="121" t="e">
        <v>#N/A</v>
      </c>
      <c r="I426" s="121" t="s">
        <v>625</v>
      </c>
      <c r="J426" s="121" t="s">
        <v>625</v>
      </c>
    </row>
    <row r="427" spans="1:10">
      <c r="A427" s="114">
        <v>40004</v>
      </c>
      <c r="B427" s="121">
        <v>101.57</v>
      </c>
      <c r="C427" s="121" t="s">
        <v>625</v>
      </c>
      <c r="D427" s="121" t="s">
        <v>625</v>
      </c>
      <c r="E427" s="121" t="s">
        <v>625</v>
      </c>
      <c r="F427" s="121" t="s">
        <v>625</v>
      </c>
      <c r="G427" s="121" t="s">
        <v>625</v>
      </c>
      <c r="H427" s="121" t="e">
        <v>#N/A</v>
      </c>
      <c r="I427" s="121" t="s">
        <v>625</v>
      </c>
      <c r="J427" s="121" t="s">
        <v>625</v>
      </c>
    </row>
    <row r="428" spans="1:10">
      <c r="A428" s="114">
        <v>40007</v>
      </c>
      <c r="B428" s="121">
        <v>101.57</v>
      </c>
      <c r="C428" s="121" t="s">
        <v>625</v>
      </c>
      <c r="D428" s="121" t="s">
        <v>625</v>
      </c>
      <c r="E428" s="121" t="s">
        <v>625</v>
      </c>
      <c r="F428" s="121" t="s">
        <v>625</v>
      </c>
      <c r="G428" s="121" t="s">
        <v>625</v>
      </c>
      <c r="H428" s="121" t="e">
        <v>#N/A</v>
      </c>
      <c r="I428" s="121" t="s">
        <v>625</v>
      </c>
      <c r="J428" s="121" t="s">
        <v>625</v>
      </c>
    </row>
    <row r="429" spans="1:10">
      <c r="A429" s="114">
        <v>40008</v>
      </c>
      <c r="B429" s="121">
        <v>101.57</v>
      </c>
      <c r="C429" s="121" t="s">
        <v>625</v>
      </c>
      <c r="D429" s="121" t="s">
        <v>625</v>
      </c>
      <c r="E429" s="121" t="s">
        <v>625</v>
      </c>
      <c r="F429" s="121" t="s">
        <v>625</v>
      </c>
      <c r="G429" s="121" t="s">
        <v>625</v>
      </c>
      <c r="H429" s="121" t="e">
        <v>#N/A</v>
      </c>
      <c r="I429" s="121" t="s">
        <v>625</v>
      </c>
      <c r="J429" s="121" t="s">
        <v>625</v>
      </c>
    </row>
    <row r="430" spans="1:10">
      <c r="A430" s="114">
        <v>40009</v>
      </c>
      <c r="B430" s="121">
        <v>101.57</v>
      </c>
      <c r="C430" s="121" t="s">
        <v>625</v>
      </c>
      <c r="D430" s="121" t="s">
        <v>625</v>
      </c>
      <c r="E430" s="121" t="s">
        <v>625</v>
      </c>
      <c r="F430" s="121" t="s">
        <v>625</v>
      </c>
      <c r="G430" s="121" t="s">
        <v>625</v>
      </c>
      <c r="H430" s="121" t="e">
        <v>#N/A</v>
      </c>
      <c r="I430" s="121" t="s">
        <v>625</v>
      </c>
      <c r="J430" s="121" t="s">
        <v>625</v>
      </c>
    </row>
    <row r="431" spans="1:10">
      <c r="A431" s="114">
        <v>40010</v>
      </c>
      <c r="B431" s="121">
        <v>101.57</v>
      </c>
      <c r="C431" s="121" t="s">
        <v>625</v>
      </c>
      <c r="D431" s="121" t="s">
        <v>625</v>
      </c>
      <c r="E431" s="121" t="s">
        <v>625</v>
      </c>
      <c r="F431" s="121" t="s">
        <v>625</v>
      </c>
      <c r="G431" s="121" t="s">
        <v>625</v>
      </c>
      <c r="H431" s="121" t="e">
        <v>#N/A</v>
      </c>
      <c r="I431" s="121" t="s">
        <v>625</v>
      </c>
      <c r="J431" s="121" t="s">
        <v>625</v>
      </c>
    </row>
    <row r="432" spans="1:10">
      <c r="A432" s="114">
        <v>40011</v>
      </c>
      <c r="B432" s="121">
        <v>101.57</v>
      </c>
      <c r="C432" s="121" t="s">
        <v>625</v>
      </c>
      <c r="D432" s="121" t="s">
        <v>625</v>
      </c>
      <c r="E432" s="121" t="s">
        <v>625</v>
      </c>
      <c r="F432" s="121" t="s">
        <v>625</v>
      </c>
      <c r="G432" s="121" t="s">
        <v>625</v>
      </c>
      <c r="H432" s="121" t="e">
        <v>#N/A</v>
      </c>
      <c r="I432" s="121" t="s">
        <v>625</v>
      </c>
      <c r="J432" s="121" t="s">
        <v>625</v>
      </c>
    </row>
    <row r="433" spans="1:10">
      <c r="A433" s="114">
        <v>40014</v>
      </c>
      <c r="B433" s="121">
        <v>101.57</v>
      </c>
      <c r="C433" s="121" t="s">
        <v>625</v>
      </c>
      <c r="D433" s="121" t="s">
        <v>625</v>
      </c>
      <c r="E433" s="121" t="s">
        <v>625</v>
      </c>
      <c r="F433" s="121" t="s">
        <v>625</v>
      </c>
      <c r="G433" s="121" t="s">
        <v>625</v>
      </c>
      <c r="H433" s="121" t="e">
        <v>#N/A</v>
      </c>
      <c r="I433" s="121" t="s">
        <v>625</v>
      </c>
      <c r="J433" s="121" t="s">
        <v>625</v>
      </c>
    </row>
    <row r="434" spans="1:10">
      <c r="A434" s="114">
        <v>40015</v>
      </c>
      <c r="B434" s="121">
        <v>101.57</v>
      </c>
      <c r="C434" s="121" t="s">
        <v>625</v>
      </c>
      <c r="D434" s="121" t="s">
        <v>625</v>
      </c>
      <c r="E434" s="121" t="s">
        <v>625</v>
      </c>
      <c r="F434" s="121" t="s">
        <v>625</v>
      </c>
      <c r="G434" s="121" t="s">
        <v>625</v>
      </c>
      <c r="H434" s="121" t="e">
        <v>#N/A</v>
      </c>
      <c r="I434" s="121" t="s">
        <v>625</v>
      </c>
      <c r="J434" s="121" t="s">
        <v>625</v>
      </c>
    </row>
    <row r="435" spans="1:10">
      <c r="A435" s="114">
        <v>40016</v>
      </c>
      <c r="B435" s="121">
        <v>101.57</v>
      </c>
      <c r="C435" s="121" t="s">
        <v>625</v>
      </c>
      <c r="D435" s="121" t="s">
        <v>625</v>
      </c>
      <c r="E435" s="121" t="s">
        <v>625</v>
      </c>
      <c r="F435" s="121" t="s">
        <v>625</v>
      </c>
      <c r="G435" s="121" t="s">
        <v>625</v>
      </c>
      <c r="H435" s="121" t="e">
        <v>#N/A</v>
      </c>
      <c r="I435" s="121" t="s">
        <v>625</v>
      </c>
      <c r="J435" s="121" t="s">
        <v>625</v>
      </c>
    </row>
    <row r="436" spans="1:10">
      <c r="A436" s="114">
        <v>40017</v>
      </c>
      <c r="B436" s="121">
        <v>101.57</v>
      </c>
      <c r="C436" s="121" t="s">
        <v>625</v>
      </c>
      <c r="D436" s="121" t="s">
        <v>625</v>
      </c>
      <c r="E436" s="121" t="s">
        <v>625</v>
      </c>
      <c r="F436" s="121" t="s">
        <v>625</v>
      </c>
      <c r="G436" s="121" t="s">
        <v>625</v>
      </c>
      <c r="H436" s="121" t="e">
        <v>#N/A</v>
      </c>
      <c r="I436" s="121" t="s">
        <v>625</v>
      </c>
      <c r="J436" s="121" t="s">
        <v>625</v>
      </c>
    </row>
    <row r="437" spans="1:10">
      <c r="A437" s="114">
        <v>40018</v>
      </c>
      <c r="B437" s="121">
        <v>101.57</v>
      </c>
      <c r="C437" s="121" t="s">
        <v>625</v>
      </c>
      <c r="D437" s="121" t="s">
        <v>625</v>
      </c>
      <c r="E437" s="121" t="s">
        <v>625</v>
      </c>
      <c r="F437" s="121" t="s">
        <v>625</v>
      </c>
      <c r="G437" s="121" t="s">
        <v>625</v>
      </c>
      <c r="H437" s="121" t="e">
        <v>#N/A</v>
      </c>
      <c r="I437" s="121" t="s">
        <v>625</v>
      </c>
      <c r="J437" s="121" t="s">
        <v>625</v>
      </c>
    </row>
    <row r="438" spans="1:10">
      <c r="A438" s="114">
        <v>40021</v>
      </c>
      <c r="B438" s="121">
        <v>101.57</v>
      </c>
      <c r="C438" s="121" t="s">
        <v>625</v>
      </c>
      <c r="D438" s="121" t="s">
        <v>625</v>
      </c>
      <c r="E438" s="121" t="s">
        <v>625</v>
      </c>
      <c r="F438" s="121" t="s">
        <v>625</v>
      </c>
      <c r="G438" s="121" t="s">
        <v>625</v>
      </c>
      <c r="H438" s="121" t="e">
        <v>#N/A</v>
      </c>
      <c r="I438" s="121" t="s">
        <v>625</v>
      </c>
      <c r="J438" s="121" t="s">
        <v>625</v>
      </c>
    </row>
    <row r="439" spans="1:10">
      <c r="A439" s="114">
        <v>40022</v>
      </c>
      <c r="B439" s="121">
        <v>101.57</v>
      </c>
      <c r="C439" s="121" t="s">
        <v>625</v>
      </c>
      <c r="D439" s="121" t="s">
        <v>625</v>
      </c>
      <c r="E439" s="121" t="s">
        <v>625</v>
      </c>
      <c r="F439" s="121" t="s">
        <v>625</v>
      </c>
      <c r="G439" s="121" t="s">
        <v>625</v>
      </c>
      <c r="H439" s="121" t="e">
        <v>#N/A</v>
      </c>
      <c r="I439" s="121" t="s">
        <v>625</v>
      </c>
      <c r="J439" s="121" t="s">
        <v>625</v>
      </c>
    </row>
    <row r="440" spans="1:10">
      <c r="A440" s="114">
        <v>40023</v>
      </c>
      <c r="B440" s="121">
        <v>101.57</v>
      </c>
      <c r="C440" s="121" t="s">
        <v>625</v>
      </c>
      <c r="D440" s="121" t="s">
        <v>625</v>
      </c>
      <c r="E440" s="121" t="s">
        <v>625</v>
      </c>
      <c r="F440" s="121" t="s">
        <v>625</v>
      </c>
      <c r="G440" s="121" t="s">
        <v>625</v>
      </c>
      <c r="H440" s="121" t="e">
        <v>#N/A</v>
      </c>
      <c r="I440" s="121" t="s">
        <v>625</v>
      </c>
      <c r="J440" s="121" t="s">
        <v>625</v>
      </c>
    </row>
    <row r="441" spans="1:10">
      <c r="A441" s="114">
        <v>40024</v>
      </c>
      <c r="B441" s="121">
        <v>101.57</v>
      </c>
      <c r="C441" s="121" t="s">
        <v>625</v>
      </c>
      <c r="D441" s="121" t="s">
        <v>625</v>
      </c>
      <c r="E441" s="121" t="s">
        <v>625</v>
      </c>
      <c r="F441" s="121" t="s">
        <v>625</v>
      </c>
      <c r="G441" s="121" t="s">
        <v>625</v>
      </c>
      <c r="H441" s="121" t="e">
        <v>#N/A</v>
      </c>
      <c r="I441" s="121" t="s">
        <v>625</v>
      </c>
      <c r="J441" s="121" t="s">
        <v>625</v>
      </c>
    </row>
    <row r="442" spans="1:10">
      <c r="A442" s="114">
        <v>40025</v>
      </c>
      <c r="B442" s="121">
        <v>101.57</v>
      </c>
      <c r="C442" s="121" t="s">
        <v>625</v>
      </c>
      <c r="D442" s="121" t="s">
        <v>625</v>
      </c>
      <c r="E442" s="121" t="s">
        <v>625</v>
      </c>
      <c r="F442" s="121" t="s">
        <v>625</v>
      </c>
      <c r="G442" s="121" t="s">
        <v>625</v>
      </c>
      <c r="H442" s="121" t="e">
        <v>#N/A</v>
      </c>
      <c r="I442" s="121" t="s">
        <v>625</v>
      </c>
      <c r="J442" s="121" t="s">
        <v>625</v>
      </c>
    </row>
    <row r="443" spans="1:10">
      <c r="A443" s="114">
        <v>40028</v>
      </c>
      <c r="B443" s="121">
        <v>101.57</v>
      </c>
      <c r="C443" s="121" t="s">
        <v>625</v>
      </c>
      <c r="D443" s="121" t="s">
        <v>625</v>
      </c>
      <c r="E443" s="121" t="s">
        <v>625</v>
      </c>
      <c r="F443" s="121" t="s">
        <v>625</v>
      </c>
      <c r="G443" s="121" t="s">
        <v>625</v>
      </c>
      <c r="H443" s="121" t="e">
        <v>#N/A</v>
      </c>
      <c r="I443" s="121" t="s">
        <v>625</v>
      </c>
      <c r="J443" s="121" t="s">
        <v>625</v>
      </c>
    </row>
    <row r="444" spans="1:10">
      <c r="A444" s="114">
        <v>40029</v>
      </c>
      <c r="B444" s="121">
        <v>101.57</v>
      </c>
      <c r="C444" s="121" t="s">
        <v>625</v>
      </c>
      <c r="D444" s="121" t="s">
        <v>625</v>
      </c>
      <c r="E444" s="121" t="s">
        <v>625</v>
      </c>
      <c r="F444" s="121" t="s">
        <v>625</v>
      </c>
      <c r="G444" s="121" t="s">
        <v>625</v>
      </c>
      <c r="H444" s="121" t="e">
        <v>#N/A</v>
      </c>
      <c r="I444" s="121" t="s">
        <v>625</v>
      </c>
      <c r="J444" s="121" t="s">
        <v>625</v>
      </c>
    </row>
    <row r="445" spans="1:10">
      <c r="A445" s="114">
        <v>40030</v>
      </c>
      <c r="B445" s="121">
        <v>101.57</v>
      </c>
      <c r="C445" s="121" t="s">
        <v>625</v>
      </c>
      <c r="D445" s="121" t="s">
        <v>625</v>
      </c>
      <c r="E445" s="121" t="s">
        <v>625</v>
      </c>
      <c r="F445" s="121" t="s">
        <v>625</v>
      </c>
      <c r="G445" s="121" t="s">
        <v>625</v>
      </c>
      <c r="H445" s="121" t="e">
        <v>#N/A</v>
      </c>
      <c r="I445" s="121" t="s">
        <v>625</v>
      </c>
      <c r="J445" s="121" t="s">
        <v>625</v>
      </c>
    </row>
    <row r="446" spans="1:10">
      <c r="A446" s="114">
        <v>40031</v>
      </c>
      <c r="B446" s="121">
        <v>101.57</v>
      </c>
      <c r="C446" s="121" t="s">
        <v>625</v>
      </c>
      <c r="D446" s="121" t="s">
        <v>625</v>
      </c>
      <c r="E446" s="121" t="s">
        <v>625</v>
      </c>
      <c r="F446" s="121" t="s">
        <v>625</v>
      </c>
      <c r="G446" s="121" t="s">
        <v>625</v>
      </c>
      <c r="H446" s="121" t="e">
        <v>#N/A</v>
      </c>
      <c r="I446" s="121" t="s">
        <v>625</v>
      </c>
      <c r="J446" s="121" t="s">
        <v>625</v>
      </c>
    </row>
    <row r="447" spans="1:10">
      <c r="A447" s="114">
        <v>40032</v>
      </c>
      <c r="B447" s="121">
        <v>101.57</v>
      </c>
      <c r="C447" s="121" t="s">
        <v>625</v>
      </c>
      <c r="D447" s="121" t="s">
        <v>625</v>
      </c>
      <c r="E447" s="121" t="s">
        <v>625</v>
      </c>
      <c r="F447" s="121" t="s">
        <v>625</v>
      </c>
      <c r="G447" s="121" t="s">
        <v>625</v>
      </c>
      <c r="H447" s="121" t="e">
        <v>#N/A</v>
      </c>
      <c r="I447" s="121" t="s">
        <v>625</v>
      </c>
      <c r="J447" s="121" t="s">
        <v>625</v>
      </c>
    </row>
    <row r="448" spans="1:10">
      <c r="A448" s="114">
        <v>40035</v>
      </c>
      <c r="B448" s="121">
        <v>101.57</v>
      </c>
      <c r="C448" s="121" t="s">
        <v>625</v>
      </c>
      <c r="D448" s="121" t="s">
        <v>625</v>
      </c>
      <c r="E448" s="121" t="s">
        <v>625</v>
      </c>
      <c r="F448" s="121" t="s">
        <v>625</v>
      </c>
      <c r="G448" s="121" t="s">
        <v>625</v>
      </c>
      <c r="H448" s="121" t="e">
        <v>#N/A</v>
      </c>
      <c r="I448" s="121" t="s">
        <v>625</v>
      </c>
      <c r="J448" s="121" t="s">
        <v>625</v>
      </c>
    </row>
    <row r="449" spans="1:10">
      <c r="A449" s="114">
        <v>40036</v>
      </c>
      <c r="B449" s="121">
        <v>101.57</v>
      </c>
      <c r="C449" s="121" t="s">
        <v>625</v>
      </c>
      <c r="D449" s="121" t="s">
        <v>625</v>
      </c>
      <c r="E449" s="121" t="s">
        <v>625</v>
      </c>
      <c r="F449" s="121" t="s">
        <v>625</v>
      </c>
      <c r="G449" s="121" t="s">
        <v>625</v>
      </c>
      <c r="H449" s="121" t="e">
        <v>#N/A</v>
      </c>
      <c r="I449" s="121" t="s">
        <v>625</v>
      </c>
      <c r="J449" s="121" t="s">
        <v>625</v>
      </c>
    </row>
    <row r="450" spans="1:10">
      <c r="A450" s="114">
        <v>40037</v>
      </c>
      <c r="B450" s="121">
        <v>101.57</v>
      </c>
      <c r="C450" s="121" t="s">
        <v>625</v>
      </c>
      <c r="D450" s="121" t="s">
        <v>625</v>
      </c>
      <c r="E450" s="121" t="s">
        <v>625</v>
      </c>
      <c r="F450" s="121" t="s">
        <v>625</v>
      </c>
      <c r="G450" s="121" t="s">
        <v>625</v>
      </c>
      <c r="H450" s="121" t="e">
        <v>#N/A</v>
      </c>
      <c r="I450" s="121" t="s">
        <v>625</v>
      </c>
      <c r="J450" s="121" t="s">
        <v>625</v>
      </c>
    </row>
    <row r="451" spans="1:10">
      <c r="A451" s="114">
        <v>40038</v>
      </c>
      <c r="B451" s="121">
        <v>101.57</v>
      </c>
      <c r="C451" s="121" t="s">
        <v>625</v>
      </c>
      <c r="D451" s="121" t="s">
        <v>625</v>
      </c>
      <c r="E451" s="121" t="s">
        <v>625</v>
      </c>
      <c r="F451" s="121" t="s">
        <v>625</v>
      </c>
      <c r="G451" s="121" t="s">
        <v>625</v>
      </c>
      <c r="H451" s="121" t="e">
        <v>#N/A</v>
      </c>
      <c r="I451" s="121" t="s">
        <v>625</v>
      </c>
      <c r="J451" s="121" t="s">
        <v>625</v>
      </c>
    </row>
    <row r="452" spans="1:10">
      <c r="A452" s="114">
        <v>40039</v>
      </c>
      <c r="B452" s="121">
        <v>101.57</v>
      </c>
      <c r="C452" s="121" t="s">
        <v>625</v>
      </c>
      <c r="D452" s="121" t="s">
        <v>625</v>
      </c>
      <c r="E452" s="121" t="s">
        <v>625</v>
      </c>
      <c r="F452" s="121" t="s">
        <v>625</v>
      </c>
      <c r="G452" s="121" t="s">
        <v>625</v>
      </c>
      <c r="H452" s="121" t="e">
        <v>#N/A</v>
      </c>
      <c r="I452" s="121" t="s">
        <v>625</v>
      </c>
      <c r="J452" s="121" t="s">
        <v>625</v>
      </c>
    </row>
    <row r="453" spans="1:10">
      <c r="A453" s="114">
        <v>40042</v>
      </c>
      <c r="B453" s="121">
        <v>101.57</v>
      </c>
      <c r="C453" s="121" t="s">
        <v>625</v>
      </c>
      <c r="D453" s="121" t="s">
        <v>625</v>
      </c>
      <c r="E453" s="121" t="s">
        <v>625</v>
      </c>
      <c r="F453" s="121" t="s">
        <v>625</v>
      </c>
      <c r="G453" s="121" t="s">
        <v>625</v>
      </c>
      <c r="H453" s="121" t="e">
        <v>#N/A</v>
      </c>
      <c r="I453" s="121" t="s">
        <v>625</v>
      </c>
      <c r="J453" s="121" t="s">
        <v>625</v>
      </c>
    </row>
    <row r="454" spans="1:10">
      <c r="A454" s="114">
        <v>40043</v>
      </c>
      <c r="B454" s="121">
        <v>101.57</v>
      </c>
      <c r="C454" s="121" t="s">
        <v>625</v>
      </c>
      <c r="D454" s="121" t="s">
        <v>625</v>
      </c>
      <c r="E454" s="121" t="s">
        <v>625</v>
      </c>
      <c r="F454" s="121" t="s">
        <v>625</v>
      </c>
      <c r="G454" s="121" t="s">
        <v>625</v>
      </c>
      <c r="H454" s="121" t="e">
        <v>#N/A</v>
      </c>
      <c r="I454" s="121" t="s">
        <v>625</v>
      </c>
      <c r="J454" s="121" t="s">
        <v>625</v>
      </c>
    </row>
    <row r="455" spans="1:10">
      <c r="A455" s="114">
        <v>40044</v>
      </c>
      <c r="B455" s="121">
        <v>101.57</v>
      </c>
      <c r="C455" s="121" t="s">
        <v>625</v>
      </c>
      <c r="D455" s="121" t="s">
        <v>625</v>
      </c>
      <c r="E455" s="121" t="s">
        <v>625</v>
      </c>
      <c r="F455" s="121" t="s">
        <v>625</v>
      </c>
      <c r="G455" s="121" t="s">
        <v>625</v>
      </c>
      <c r="H455" s="121" t="e">
        <v>#N/A</v>
      </c>
      <c r="I455" s="121" t="s">
        <v>625</v>
      </c>
      <c r="J455" s="121" t="s">
        <v>625</v>
      </c>
    </row>
    <row r="456" spans="1:10">
      <c r="A456" s="114">
        <v>40045</v>
      </c>
      <c r="B456" s="121">
        <v>100.6</v>
      </c>
      <c r="C456" s="121" t="s">
        <v>625</v>
      </c>
      <c r="D456" s="121" t="s">
        <v>625</v>
      </c>
      <c r="E456" s="121" t="s">
        <v>625</v>
      </c>
      <c r="F456" s="121" t="s">
        <v>625</v>
      </c>
      <c r="G456" s="121" t="s">
        <v>625</v>
      </c>
      <c r="H456" s="121" t="e">
        <v>#N/A</v>
      </c>
      <c r="I456" s="121" t="s">
        <v>625</v>
      </c>
      <c r="J456" s="121" t="s">
        <v>625</v>
      </c>
    </row>
    <row r="457" spans="1:10">
      <c r="A457" s="114">
        <v>40046</v>
      </c>
      <c r="B457" s="121">
        <v>100.6</v>
      </c>
      <c r="C457" s="121" t="s">
        <v>625</v>
      </c>
      <c r="D457" s="121" t="s">
        <v>625</v>
      </c>
      <c r="E457" s="121" t="s">
        <v>625</v>
      </c>
      <c r="F457" s="121" t="s">
        <v>625</v>
      </c>
      <c r="G457" s="121" t="s">
        <v>625</v>
      </c>
      <c r="H457" s="121" t="e">
        <v>#N/A</v>
      </c>
      <c r="I457" s="121" t="s">
        <v>625</v>
      </c>
      <c r="J457" s="121" t="s">
        <v>625</v>
      </c>
    </row>
    <row r="458" spans="1:10">
      <c r="A458" s="114">
        <v>40049</v>
      </c>
      <c r="B458" s="121">
        <v>100.6</v>
      </c>
      <c r="C458" s="121" t="s">
        <v>625</v>
      </c>
      <c r="D458" s="121" t="s">
        <v>625</v>
      </c>
      <c r="E458" s="121" t="s">
        <v>625</v>
      </c>
      <c r="F458" s="121" t="s">
        <v>625</v>
      </c>
      <c r="G458" s="121" t="s">
        <v>625</v>
      </c>
      <c r="H458" s="121" t="e">
        <v>#N/A</v>
      </c>
      <c r="I458" s="121" t="s">
        <v>625</v>
      </c>
      <c r="J458" s="121" t="s">
        <v>625</v>
      </c>
    </row>
    <row r="459" spans="1:10">
      <c r="A459" s="114">
        <v>40050</v>
      </c>
      <c r="B459" s="121">
        <v>100.6</v>
      </c>
      <c r="C459" s="121" t="s">
        <v>625</v>
      </c>
      <c r="D459" s="121" t="s">
        <v>625</v>
      </c>
      <c r="E459" s="121" t="s">
        <v>625</v>
      </c>
      <c r="F459" s="121" t="s">
        <v>625</v>
      </c>
      <c r="G459" s="121" t="s">
        <v>625</v>
      </c>
      <c r="H459" s="121" t="e">
        <v>#N/A</v>
      </c>
      <c r="I459" s="121" t="s">
        <v>625</v>
      </c>
      <c r="J459" s="121" t="s">
        <v>625</v>
      </c>
    </row>
    <row r="460" spans="1:10">
      <c r="A460" s="114">
        <v>40051</v>
      </c>
      <c r="B460" s="121">
        <v>100.6</v>
      </c>
      <c r="C460" s="121" t="s">
        <v>625</v>
      </c>
      <c r="D460" s="121" t="s">
        <v>625</v>
      </c>
      <c r="E460" s="121" t="s">
        <v>625</v>
      </c>
      <c r="F460" s="121" t="s">
        <v>625</v>
      </c>
      <c r="G460" s="121" t="s">
        <v>625</v>
      </c>
      <c r="H460" s="121" t="e">
        <v>#N/A</v>
      </c>
      <c r="I460" s="121" t="s">
        <v>625</v>
      </c>
      <c r="J460" s="121" t="s">
        <v>625</v>
      </c>
    </row>
    <row r="461" spans="1:10">
      <c r="A461" s="114">
        <v>40052</v>
      </c>
      <c r="B461" s="121">
        <v>100.6</v>
      </c>
      <c r="C461" s="121" t="s">
        <v>625</v>
      </c>
      <c r="D461" s="121" t="s">
        <v>625</v>
      </c>
      <c r="E461" s="121" t="s">
        <v>625</v>
      </c>
      <c r="F461" s="121" t="s">
        <v>625</v>
      </c>
      <c r="G461" s="121" t="s">
        <v>625</v>
      </c>
      <c r="H461" s="121" t="e">
        <v>#N/A</v>
      </c>
      <c r="I461" s="121" t="s">
        <v>625</v>
      </c>
      <c r="J461" s="121" t="s">
        <v>625</v>
      </c>
    </row>
    <row r="462" spans="1:10">
      <c r="A462" s="114">
        <v>40053</v>
      </c>
      <c r="B462" s="121">
        <v>100.6</v>
      </c>
      <c r="C462" s="121" t="s">
        <v>625</v>
      </c>
      <c r="D462" s="121" t="s">
        <v>625</v>
      </c>
      <c r="E462" s="121" t="s">
        <v>625</v>
      </c>
      <c r="F462" s="121" t="s">
        <v>625</v>
      </c>
      <c r="G462" s="121" t="s">
        <v>625</v>
      </c>
      <c r="H462" s="121" t="e">
        <v>#N/A</v>
      </c>
      <c r="I462" s="121" t="s">
        <v>625</v>
      </c>
      <c r="J462" s="121" t="s">
        <v>625</v>
      </c>
    </row>
    <row r="463" spans="1:10">
      <c r="A463" s="114">
        <v>40056</v>
      </c>
      <c r="B463" s="121">
        <v>100.6</v>
      </c>
      <c r="C463" s="121" t="s">
        <v>625</v>
      </c>
      <c r="D463" s="121" t="s">
        <v>625</v>
      </c>
      <c r="E463" s="121" t="s">
        <v>625</v>
      </c>
      <c r="F463" s="121" t="s">
        <v>625</v>
      </c>
      <c r="G463" s="121" t="s">
        <v>625</v>
      </c>
      <c r="H463" s="121" t="e">
        <v>#N/A</v>
      </c>
      <c r="I463" s="121" t="s">
        <v>625</v>
      </c>
      <c r="J463" s="121" t="s">
        <v>625</v>
      </c>
    </row>
    <row r="464" spans="1:10">
      <c r="A464" s="114">
        <v>40057</v>
      </c>
      <c r="B464" s="121">
        <v>100.6</v>
      </c>
      <c r="C464" s="121" t="s">
        <v>625</v>
      </c>
      <c r="D464" s="121" t="s">
        <v>625</v>
      </c>
      <c r="E464" s="121" t="s">
        <v>625</v>
      </c>
      <c r="F464" s="121" t="s">
        <v>625</v>
      </c>
      <c r="G464" s="121" t="s">
        <v>625</v>
      </c>
      <c r="H464" s="121" t="e">
        <v>#N/A</v>
      </c>
      <c r="I464" s="121" t="s">
        <v>625</v>
      </c>
      <c r="J464" s="121" t="s">
        <v>625</v>
      </c>
    </row>
    <row r="465" spans="1:10">
      <c r="A465" s="114">
        <v>40058</v>
      </c>
      <c r="B465" s="121">
        <v>100.6</v>
      </c>
      <c r="C465" s="121" t="s">
        <v>625</v>
      </c>
      <c r="D465" s="121" t="s">
        <v>625</v>
      </c>
      <c r="E465" s="121" t="s">
        <v>625</v>
      </c>
      <c r="F465" s="121" t="s">
        <v>625</v>
      </c>
      <c r="G465" s="121" t="s">
        <v>625</v>
      </c>
      <c r="H465" s="121" t="e">
        <v>#N/A</v>
      </c>
      <c r="I465" s="121" t="s">
        <v>625</v>
      </c>
      <c r="J465" s="121" t="s">
        <v>625</v>
      </c>
    </row>
    <row r="466" spans="1:10">
      <c r="A466" s="114">
        <v>40059</v>
      </c>
      <c r="B466" s="121">
        <v>100.6</v>
      </c>
      <c r="C466" s="121" t="s">
        <v>625</v>
      </c>
      <c r="D466" s="121" t="s">
        <v>625</v>
      </c>
      <c r="E466" s="121" t="s">
        <v>625</v>
      </c>
      <c r="F466" s="121" t="s">
        <v>625</v>
      </c>
      <c r="G466" s="121" t="s">
        <v>625</v>
      </c>
      <c r="H466" s="121" t="e">
        <v>#N/A</v>
      </c>
      <c r="I466" s="121" t="s">
        <v>625</v>
      </c>
      <c r="J466" s="121" t="s">
        <v>625</v>
      </c>
    </row>
    <row r="467" spans="1:10">
      <c r="A467" s="114">
        <v>40060</v>
      </c>
      <c r="B467" s="121">
        <v>100.6</v>
      </c>
      <c r="C467" s="121" t="s">
        <v>625</v>
      </c>
      <c r="D467" s="121" t="s">
        <v>625</v>
      </c>
      <c r="E467" s="121" t="s">
        <v>625</v>
      </c>
      <c r="F467" s="121" t="s">
        <v>625</v>
      </c>
      <c r="G467" s="121" t="s">
        <v>625</v>
      </c>
      <c r="H467" s="121" t="e">
        <v>#N/A</v>
      </c>
      <c r="I467" s="121" t="s">
        <v>625</v>
      </c>
      <c r="J467" s="121" t="s">
        <v>625</v>
      </c>
    </row>
    <row r="468" spans="1:10">
      <c r="A468" s="114">
        <v>40063</v>
      </c>
      <c r="B468" s="121">
        <v>100.41</v>
      </c>
      <c r="C468" s="121" t="s">
        <v>625</v>
      </c>
      <c r="D468" s="121" t="s">
        <v>625</v>
      </c>
      <c r="E468" s="121" t="s">
        <v>625</v>
      </c>
      <c r="F468" s="121" t="s">
        <v>625</v>
      </c>
      <c r="G468" s="121" t="s">
        <v>625</v>
      </c>
      <c r="H468" s="121" t="e">
        <v>#N/A</v>
      </c>
      <c r="I468" s="121" t="s">
        <v>625</v>
      </c>
      <c r="J468" s="121" t="s">
        <v>625</v>
      </c>
    </row>
    <row r="469" spans="1:10">
      <c r="A469" s="114">
        <v>40064</v>
      </c>
      <c r="B469" s="121">
        <v>100.41</v>
      </c>
      <c r="C469" s="121" t="s">
        <v>625</v>
      </c>
      <c r="D469" s="121" t="s">
        <v>625</v>
      </c>
      <c r="E469" s="121" t="s">
        <v>625</v>
      </c>
      <c r="F469" s="121" t="s">
        <v>625</v>
      </c>
      <c r="G469" s="121" t="s">
        <v>625</v>
      </c>
      <c r="H469" s="121" t="e">
        <v>#N/A</v>
      </c>
      <c r="I469" s="121" t="s">
        <v>625</v>
      </c>
      <c r="J469" s="121" t="s">
        <v>625</v>
      </c>
    </row>
    <row r="470" spans="1:10">
      <c r="A470" s="114">
        <v>40065</v>
      </c>
      <c r="B470" s="121">
        <v>100.41</v>
      </c>
      <c r="C470" s="121" t="s">
        <v>625</v>
      </c>
      <c r="D470" s="121" t="s">
        <v>625</v>
      </c>
      <c r="E470" s="121" t="s">
        <v>625</v>
      </c>
      <c r="F470" s="121" t="s">
        <v>625</v>
      </c>
      <c r="G470" s="121" t="s">
        <v>625</v>
      </c>
      <c r="H470" s="121" t="e">
        <v>#N/A</v>
      </c>
      <c r="I470" s="121" t="s">
        <v>625</v>
      </c>
      <c r="J470" s="121" t="s">
        <v>625</v>
      </c>
    </row>
    <row r="471" spans="1:10">
      <c r="A471" s="114">
        <v>40066</v>
      </c>
      <c r="B471" s="121">
        <v>100.41</v>
      </c>
      <c r="C471" s="121" t="s">
        <v>625</v>
      </c>
      <c r="D471" s="121" t="s">
        <v>625</v>
      </c>
      <c r="E471" s="121" t="s">
        <v>625</v>
      </c>
      <c r="F471" s="121" t="s">
        <v>625</v>
      </c>
      <c r="G471" s="121" t="s">
        <v>625</v>
      </c>
      <c r="H471" s="121" t="e">
        <v>#N/A</v>
      </c>
      <c r="I471" s="121" t="s">
        <v>625</v>
      </c>
      <c r="J471" s="121" t="s">
        <v>625</v>
      </c>
    </row>
    <row r="472" spans="1:10">
      <c r="A472" s="114">
        <v>40067</v>
      </c>
      <c r="B472" s="121">
        <v>100.41</v>
      </c>
      <c r="C472" s="121" t="s">
        <v>625</v>
      </c>
      <c r="D472" s="121" t="s">
        <v>625</v>
      </c>
      <c r="E472" s="121" t="s">
        <v>625</v>
      </c>
      <c r="F472" s="121" t="s">
        <v>625</v>
      </c>
      <c r="G472" s="121" t="s">
        <v>625</v>
      </c>
      <c r="H472" s="121" t="e">
        <v>#N/A</v>
      </c>
      <c r="I472" s="121" t="s">
        <v>625</v>
      </c>
      <c r="J472" s="121" t="s">
        <v>625</v>
      </c>
    </row>
    <row r="473" spans="1:10">
      <c r="A473" s="114">
        <v>40070</v>
      </c>
      <c r="B473" s="121">
        <v>100.41</v>
      </c>
      <c r="C473" s="121" t="s">
        <v>625</v>
      </c>
      <c r="D473" s="121" t="s">
        <v>625</v>
      </c>
      <c r="E473" s="121" t="s">
        <v>625</v>
      </c>
      <c r="F473" s="121" t="s">
        <v>625</v>
      </c>
      <c r="G473" s="121" t="s">
        <v>625</v>
      </c>
      <c r="H473" s="121" t="e">
        <v>#N/A</v>
      </c>
      <c r="I473" s="121" t="s">
        <v>625</v>
      </c>
      <c r="J473" s="121" t="s">
        <v>625</v>
      </c>
    </row>
    <row r="474" spans="1:10">
      <c r="A474" s="114">
        <v>40071</v>
      </c>
      <c r="B474" s="121">
        <v>100.41</v>
      </c>
      <c r="C474" s="121" t="s">
        <v>625</v>
      </c>
      <c r="D474" s="121" t="s">
        <v>625</v>
      </c>
      <c r="E474" s="121" t="s">
        <v>625</v>
      </c>
      <c r="F474" s="121" t="s">
        <v>625</v>
      </c>
      <c r="G474" s="121" t="s">
        <v>625</v>
      </c>
      <c r="H474" s="121" t="e">
        <v>#N/A</v>
      </c>
      <c r="I474" s="121" t="s">
        <v>625</v>
      </c>
      <c r="J474" s="121" t="s">
        <v>625</v>
      </c>
    </row>
    <row r="475" spans="1:10">
      <c r="A475" s="114">
        <v>40072</v>
      </c>
      <c r="B475" s="121">
        <v>100.41</v>
      </c>
      <c r="C475" s="121" t="s">
        <v>625</v>
      </c>
      <c r="D475" s="121" t="s">
        <v>625</v>
      </c>
      <c r="E475" s="121" t="s">
        <v>625</v>
      </c>
      <c r="F475" s="121" t="s">
        <v>625</v>
      </c>
      <c r="G475" s="121" t="s">
        <v>625</v>
      </c>
      <c r="H475" s="121" t="e">
        <v>#N/A</v>
      </c>
      <c r="I475" s="121" t="s">
        <v>625</v>
      </c>
      <c r="J475" s="121" t="s">
        <v>625</v>
      </c>
    </row>
    <row r="476" spans="1:10">
      <c r="A476" s="114">
        <v>40073</v>
      </c>
      <c r="B476" s="121">
        <v>100.41</v>
      </c>
      <c r="C476" s="121" t="s">
        <v>625</v>
      </c>
      <c r="D476" s="121" t="s">
        <v>625</v>
      </c>
      <c r="E476" s="121" t="s">
        <v>625</v>
      </c>
      <c r="F476" s="121" t="s">
        <v>625</v>
      </c>
      <c r="G476" s="121" t="s">
        <v>625</v>
      </c>
      <c r="H476" s="121" t="e">
        <v>#N/A</v>
      </c>
      <c r="I476" s="121" t="s">
        <v>625</v>
      </c>
      <c r="J476" s="121" t="s">
        <v>625</v>
      </c>
    </row>
    <row r="477" spans="1:10">
      <c r="A477" s="114">
        <v>40074</v>
      </c>
      <c r="B477" s="121">
        <v>100.41</v>
      </c>
      <c r="C477" s="121" t="s">
        <v>625</v>
      </c>
      <c r="D477" s="121" t="s">
        <v>625</v>
      </c>
      <c r="E477" s="121" t="s">
        <v>625</v>
      </c>
      <c r="F477" s="121" t="s">
        <v>625</v>
      </c>
      <c r="G477" s="121" t="s">
        <v>625</v>
      </c>
      <c r="H477" s="121" t="e">
        <v>#N/A</v>
      </c>
      <c r="I477" s="121" t="s">
        <v>625</v>
      </c>
      <c r="J477" s="121" t="s">
        <v>625</v>
      </c>
    </row>
    <row r="478" spans="1:10">
      <c r="A478" s="114">
        <v>40077</v>
      </c>
      <c r="B478" s="121">
        <v>100.41</v>
      </c>
      <c r="C478" s="121" t="s">
        <v>625</v>
      </c>
      <c r="D478" s="121" t="s">
        <v>625</v>
      </c>
      <c r="E478" s="121" t="s">
        <v>625</v>
      </c>
      <c r="F478" s="121" t="s">
        <v>625</v>
      </c>
      <c r="G478" s="121" t="s">
        <v>625</v>
      </c>
      <c r="H478" s="121" t="e">
        <v>#N/A</v>
      </c>
      <c r="I478" s="121" t="s">
        <v>625</v>
      </c>
      <c r="J478" s="121" t="s">
        <v>625</v>
      </c>
    </row>
    <row r="479" spans="1:10">
      <c r="A479" s="114">
        <v>40078</v>
      </c>
      <c r="B479" s="121">
        <v>100.41</v>
      </c>
      <c r="C479" s="121" t="s">
        <v>625</v>
      </c>
      <c r="D479" s="121" t="s">
        <v>625</v>
      </c>
      <c r="E479" s="121" t="s">
        <v>625</v>
      </c>
      <c r="F479" s="121" t="s">
        <v>625</v>
      </c>
      <c r="G479" s="121" t="s">
        <v>625</v>
      </c>
      <c r="H479" s="121" t="e">
        <v>#N/A</v>
      </c>
      <c r="I479" s="121" t="s">
        <v>625</v>
      </c>
      <c r="J479" s="121" t="s">
        <v>625</v>
      </c>
    </row>
    <row r="480" spans="1:10">
      <c r="A480" s="114">
        <v>40079</v>
      </c>
      <c r="B480" s="121">
        <v>100.41</v>
      </c>
      <c r="C480" s="121" t="s">
        <v>625</v>
      </c>
      <c r="D480" s="121" t="s">
        <v>625</v>
      </c>
      <c r="E480" s="121" t="s">
        <v>625</v>
      </c>
      <c r="F480" s="121" t="s">
        <v>625</v>
      </c>
      <c r="G480" s="121" t="s">
        <v>625</v>
      </c>
      <c r="H480" s="121" t="e">
        <v>#N/A</v>
      </c>
      <c r="I480" s="121" t="s">
        <v>625</v>
      </c>
      <c r="J480" s="121" t="s">
        <v>625</v>
      </c>
    </row>
    <row r="481" spans="1:10">
      <c r="A481" s="114">
        <v>40080</v>
      </c>
      <c r="B481" s="121">
        <v>100.41</v>
      </c>
      <c r="C481" s="121" t="s">
        <v>625</v>
      </c>
      <c r="D481" s="121" t="s">
        <v>625</v>
      </c>
      <c r="E481" s="121" t="s">
        <v>625</v>
      </c>
      <c r="F481" s="121" t="s">
        <v>625</v>
      </c>
      <c r="G481" s="121" t="s">
        <v>625</v>
      </c>
      <c r="H481" s="121" t="e">
        <v>#N/A</v>
      </c>
      <c r="I481" s="121" t="s">
        <v>625</v>
      </c>
      <c r="J481" s="121" t="s">
        <v>625</v>
      </c>
    </row>
    <row r="482" spans="1:10">
      <c r="A482" s="114">
        <v>40081</v>
      </c>
      <c r="B482" s="121">
        <v>100.41</v>
      </c>
      <c r="C482" s="121" t="s">
        <v>625</v>
      </c>
      <c r="D482" s="121" t="s">
        <v>625</v>
      </c>
      <c r="E482" s="121" t="s">
        <v>625</v>
      </c>
      <c r="F482" s="121" t="s">
        <v>625</v>
      </c>
      <c r="G482" s="121" t="s">
        <v>625</v>
      </c>
      <c r="H482" s="121" t="e">
        <v>#N/A</v>
      </c>
      <c r="I482" s="121" t="s">
        <v>625</v>
      </c>
      <c r="J482" s="121" t="s">
        <v>625</v>
      </c>
    </row>
    <row r="483" spans="1:10">
      <c r="A483" s="114">
        <v>40083</v>
      </c>
      <c r="B483" s="121">
        <v>100.41</v>
      </c>
      <c r="C483" s="121" t="s">
        <v>625</v>
      </c>
      <c r="D483" s="121" t="s">
        <v>625</v>
      </c>
      <c r="E483" s="121" t="s">
        <v>625</v>
      </c>
      <c r="F483" s="121" t="s">
        <v>625</v>
      </c>
      <c r="G483" s="121" t="s">
        <v>625</v>
      </c>
      <c r="H483" s="121" t="e">
        <v>#N/A</v>
      </c>
      <c r="I483" s="121" t="s">
        <v>625</v>
      </c>
      <c r="J483" s="121" t="s">
        <v>625</v>
      </c>
    </row>
    <row r="484" spans="1:10">
      <c r="A484" s="114">
        <v>40084</v>
      </c>
      <c r="B484" s="121">
        <v>100.41</v>
      </c>
      <c r="C484" s="121" t="s">
        <v>625</v>
      </c>
      <c r="D484" s="121" t="s">
        <v>625</v>
      </c>
      <c r="E484" s="121" t="s">
        <v>625</v>
      </c>
      <c r="F484" s="121" t="s">
        <v>625</v>
      </c>
      <c r="G484" s="121" t="s">
        <v>625</v>
      </c>
      <c r="H484" s="121" t="e">
        <v>#N/A</v>
      </c>
      <c r="I484" s="121" t="s">
        <v>625</v>
      </c>
      <c r="J484" s="121" t="s">
        <v>625</v>
      </c>
    </row>
    <row r="485" spans="1:10">
      <c r="A485" s="114">
        <v>40085</v>
      </c>
      <c r="B485" s="121">
        <v>100.41</v>
      </c>
      <c r="C485" s="121" t="s">
        <v>625</v>
      </c>
      <c r="D485" s="121" t="s">
        <v>625</v>
      </c>
      <c r="E485" s="121" t="s">
        <v>625</v>
      </c>
      <c r="F485" s="121" t="s">
        <v>625</v>
      </c>
      <c r="G485" s="121" t="s">
        <v>625</v>
      </c>
      <c r="H485" s="121" t="e">
        <v>#N/A</v>
      </c>
      <c r="I485" s="121" t="s">
        <v>625</v>
      </c>
      <c r="J485" s="121" t="s">
        <v>625</v>
      </c>
    </row>
    <row r="486" spans="1:10">
      <c r="A486" s="114">
        <v>40086</v>
      </c>
      <c r="B486" s="121">
        <v>100.41</v>
      </c>
      <c r="C486" s="121" t="s">
        <v>625</v>
      </c>
      <c r="D486" s="121" t="s">
        <v>625</v>
      </c>
      <c r="E486" s="121" t="s">
        <v>625</v>
      </c>
      <c r="F486" s="121" t="s">
        <v>625</v>
      </c>
      <c r="G486" s="121" t="s">
        <v>625</v>
      </c>
      <c r="H486" s="121" t="e">
        <v>#N/A</v>
      </c>
      <c r="I486" s="121" t="s">
        <v>625</v>
      </c>
      <c r="J486" s="121" t="s">
        <v>625</v>
      </c>
    </row>
    <row r="487" spans="1:10">
      <c r="A487" s="114">
        <v>40095</v>
      </c>
      <c r="B487" s="121">
        <v>100.41</v>
      </c>
      <c r="C487" s="121" t="s">
        <v>625</v>
      </c>
      <c r="D487" s="121" t="s">
        <v>625</v>
      </c>
      <c r="E487" s="121" t="s">
        <v>625</v>
      </c>
      <c r="F487" s="121" t="s">
        <v>625</v>
      </c>
      <c r="G487" s="121" t="s">
        <v>625</v>
      </c>
      <c r="H487" s="121" t="e">
        <v>#N/A</v>
      </c>
      <c r="I487" s="121" t="s">
        <v>625</v>
      </c>
      <c r="J487" s="121" t="s">
        <v>625</v>
      </c>
    </row>
    <row r="488" spans="1:10">
      <c r="A488" s="114">
        <v>40096</v>
      </c>
      <c r="B488" s="121">
        <v>100.41</v>
      </c>
      <c r="C488" s="121" t="s">
        <v>625</v>
      </c>
      <c r="D488" s="121" t="s">
        <v>625</v>
      </c>
      <c r="E488" s="121" t="s">
        <v>625</v>
      </c>
      <c r="F488" s="121" t="s">
        <v>625</v>
      </c>
      <c r="G488" s="121" t="s">
        <v>625</v>
      </c>
      <c r="H488" s="121" t="e">
        <v>#N/A</v>
      </c>
      <c r="I488" s="121" t="s">
        <v>625</v>
      </c>
      <c r="J488" s="121" t="s">
        <v>625</v>
      </c>
    </row>
    <row r="489" spans="1:10">
      <c r="A489" s="114">
        <v>40098</v>
      </c>
      <c r="B489" s="121">
        <v>100.41</v>
      </c>
      <c r="C489" s="121" t="s">
        <v>625</v>
      </c>
      <c r="D489" s="121" t="s">
        <v>625</v>
      </c>
      <c r="E489" s="121" t="s">
        <v>625</v>
      </c>
      <c r="F489" s="121" t="s">
        <v>625</v>
      </c>
      <c r="G489" s="121" t="s">
        <v>625</v>
      </c>
      <c r="H489" s="121" t="e">
        <v>#N/A</v>
      </c>
      <c r="I489" s="121" t="s">
        <v>625</v>
      </c>
      <c r="J489" s="121" t="s">
        <v>625</v>
      </c>
    </row>
    <row r="490" spans="1:10">
      <c r="A490" s="114">
        <v>40099</v>
      </c>
      <c r="B490" s="121">
        <v>100.41</v>
      </c>
      <c r="C490" s="121" t="s">
        <v>625</v>
      </c>
      <c r="D490" s="121" t="s">
        <v>625</v>
      </c>
      <c r="E490" s="121" t="s">
        <v>625</v>
      </c>
      <c r="F490" s="121" t="s">
        <v>625</v>
      </c>
      <c r="G490" s="121" t="s">
        <v>625</v>
      </c>
      <c r="H490" s="121" t="e">
        <v>#N/A</v>
      </c>
      <c r="I490" s="121" t="s">
        <v>625</v>
      </c>
      <c r="J490" s="121" t="s">
        <v>625</v>
      </c>
    </row>
    <row r="491" spans="1:10">
      <c r="A491" s="114">
        <v>40100</v>
      </c>
      <c r="B491" s="121">
        <v>99.67</v>
      </c>
      <c r="C491" s="121" t="s">
        <v>625</v>
      </c>
      <c r="D491" s="121" t="s">
        <v>625</v>
      </c>
      <c r="E491" s="121" t="s">
        <v>625</v>
      </c>
      <c r="F491" s="121" t="s">
        <v>625</v>
      </c>
      <c r="G491" s="121" t="s">
        <v>625</v>
      </c>
      <c r="H491" s="121" t="e">
        <v>#N/A</v>
      </c>
      <c r="I491" s="121" t="s">
        <v>625</v>
      </c>
      <c r="J491" s="121" t="s">
        <v>625</v>
      </c>
    </row>
    <row r="492" spans="1:10">
      <c r="A492" s="114">
        <v>40101</v>
      </c>
      <c r="B492" s="121">
        <v>99.67</v>
      </c>
      <c r="C492" s="121" t="s">
        <v>625</v>
      </c>
      <c r="D492" s="121" t="s">
        <v>625</v>
      </c>
      <c r="E492" s="121" t="s">
        <v>625</v>
      </c>
      <c r="F492" s="121" t="s">
        <v>625</v>
      </c>
      <c r="G492" s="121" t="s">
        <v>625</v>
      </c>
      <c r="H492" s="121" t="e">
        <v>#N/A</v>
      </c>
      <c r="I492" s="121" t="s">
        <v>625</v>
      </c>
      <c r="J492" s="121" t="s">
        <v>625</v>
      </c>
    </row>
    <row r="493" spans="1:10">
      <c r="A493" s="114">
        <v>40102</v>
      </c>
      <c r="B493" s="121">
        <v>99.67</v>
      </c>
      <c r="C493" s="121" t="s">
        <v>625</v>
      </c>
      <c r="D493" s="121" t="s">
        <v>625</v>
      </c>
      <c r="E493" s="121" t="s">
        <v>625</v>
      </c>
      <c r="F493" s="121" t="s">
        <v>625</v>
      </c>
      <c r="G493" s="121" t="s">
        <v>625</v>
      </c>
      <c r="H493" s="121" t="e">
        <v>#N/A</v>
      </c>
      <c r="I493" s="121" t="s">
        <v>625</v>
      </c>
      <c r="J493" s="121" t="s">
        <v>625</v>
      </c>
    </row>
    <row r="494" spans="1:10">
      <c r="A494" s="114">
        <v>40105</v>
      </c>
      <c r="B494" s="121">
        <v>99.67</v>
      </c>
      <c r="C494" s="121" t="s">
        <v>625</v>
      </c>
      <c r="D494" s="121" t="s">
        <v>625</v>
      </c>
      <c r="E494" s="121" t="s">
        <v>625</v>
      </c>
      <c r="F494" s="121" t="s">
        <v>625</v>
      </c>
      <c r="G494" s="121" t="s">
        <v>625</v>
      </c>
      <c r="H494" s="121" t="e">
        <v>#N/A</v>
      </c>
      <c r="I494" s="121" t="s">
        <v>625</v>
      </c>
      <c r="J494" s="121" t="s">
        <v>625</v>
      </c>
    </row>
    <row r="495" spans="1:10">
      <c r="A495" s="114">
        <v>40106</v>
      </c>
      <c r="B495" s="121">
        <v>99.67</v>
      </c>
      <c r="C495" s="121" t="s">
        <v>625</v>
      </c>
      <c r="D495" s="121" t="s">
        <v>625</v>
      </c>
      <c r="E495" s="121" t="s">
        <v>625</v>
      </c>
      <c r="F495" s="121" t="s">
        <v>625</v>
      </c>
      <c r="G495" s="121" t="s">
        <v>625</v>
      </c>
      <c r="H495" s="121" t="e">
        <v>#N/A</v>
      </c>
      <c r="I495" s="121" t="s">
        <v>625</v>
      </c>
      <c r="J495" s="121" t="s">
        <v>625</v>
      </c>
    </row>
    <row r="496" spans="1:10">
      <c r="A496" s="114">
        <v>40107</v>
      </c>
      <c r="B496" s="121">
        <v>99.67</v>
      </c>
      <c r="C496" s="121" t="s">
        <v>625</v>
      </c>
      <c r="D496" s="121" t="s">
        <v>625</v>
      </c>
      <c r="E496" s="121" t="s">
        <v>625</v>
      </c>
      <c r="F496" s="121" t="s">
        <v>625</v>
      </c>
      <c r="G496" s="121" t="s">
        <v>625</v>
      </c>
      <c r="H496" s="121" t="e">
        <v>#N/A</v>
      </c>
      <c r="I496" s="121" t="s">
        <v>625</v>
      </c>
      <c r="J496" s="121" t="s">
        <v>625</v>
      </c>
    </row>
    <row r="497" spans="1:10">
      <c r="A497" s="114">
        <v>40108</v>
      </c>
      <c r="B497" s="121">
        <v>99.67</v>
      </c>
      <c r="C497" s="121" t="s">
        <v>625</v>
      </c>
      <c r="D497" s="121" t="s">
        <v>625</v>
      </c>
      <c r="E497" s="121" t="s">
        <v>625</v>
      </c>
      <c r="F497" s="121" t="s">
        <v>625</v>
      </c>
      <c r="G497" s="121" t="s">
        <v>625</v>
      </c>
      <c r="H497" s="121" t="e">
        <v>#N/A</v>
      </c>
      <c r="I497" s="121" t="s">
        <v>625</v>
      </c>
      <c r="J497" s="121" t="s">
        <v>625</v>
      </c>
    </row>
    <row r="498" spans="1:10">
      <c r="A498" s="114">
        <v>40109</v>
      </c>
      <c r="B498" s="121">
        <v>99.67</v>
      </c>
      <c r="C498" s="121" t="s">
        <v>625</v>
      </c>
      <c r="D498" s="121" t="s">
        <v>625</v>
      </c>
      <c r="E498" s="121" t="s">
        <v>625</v>
      </c>
      <c r="F498" s="121" t="s">
        <v>625</v>
      </c>
      <c r="G498" s="121" t="s">
        <v>625</v>
      </c>
      <c r="H498" s="121" t="e">
        <v>#N/A</v>
      </c>
      <c r="I498" s="121" t="s">
        <v>625</v>
      </c>
      <c r="J498" s="121" t="s">
        <v>625</v>
      </c>
    </row>
    <row r="499" spans="1:10">
      <c r="A499" s="114">
        <v>40112</v>
      </c>
      <c r="B499" s="121">
        <v>99.67</v>
      </c>
      <c r="C499" s="121" t="s">
        <v>625</v>
      </c>
      <c r="D499" s="121" t="s">
        <v>625</v>
      </c>
      <c r="E499" s="121" t="s">
        <v>625</v>
      </c>
      <c r="F499" s="121" t="s">
        <v>625</v>
      </c>
      <c r="G499" s="121" t="s">
        <v>625</v>
      </c>
      <c r="H499" s="121" t="e">
        <v>#N/A</v>
      </c>
      <c r="I499" s="121" t="s">
        <v>625</v>
      </c>
      <c r="J499" s="121" t="s">
        <v>625</v>
      </c>
    </row>
    <row r="500" spans="1:10">
      <c r="A500" s="114">
        <v>40113</v>
      </c>
      <c r="B500" s="121">
        <v>99.67</v>
      </c>
      <c r="C500" s="121" t="s">
        <v>625</v>
      </c>
      <c r="D500" s="121" t="s">
        <v>625</v>
      </c>
      <c r="E500" s="121" t="s">
        <v>625</v>
      </c>
      <c r="F500" s="121" t="s">
        <v>625</v>
      </c>
      <c r="G500" s="121" t="s">
        <v>625</v>
      </c>
      <c r="H500" s="121" t="e">
        <v>#N/A</v>
      </c>
      <c r="I500" s="121" t="s">
        <v>625</v>
      </c>
      <c r="J500" s="121" t="s">
        <v>625</v>
      </c>
    </row>
    <row r="501" spans="1:10">
      <c r="A501" s="114">
        <v>40114</v>
      </c>
      <c r="B501" s="121">
        <v>99.67</v>
      </c>
      <c r="C501" s="121" t="s">
        <v>625</v>
      </c>
      <c r="D501" s="121" t="s">
        <v>625</v>
      </c>
      <c r="E501" s="121" t="s">
        <v>625</v>
      </c>
      <c r="F501" s="121" t="s">
        <v>625</v>
      </c>
      <c r="G501" s="121" t="s">
        <v>625</v>
      </c>
      <c r="H501" s="121" t="e">
        <v>#N/A</v>
      </c>
      <c r="I501" s="121" t="s">
        <v>625</v>
      </c>
      <c r="J501" s="121" t="s">
        <v>625</v>
      </c>
    </row>
    <row r="502" spans="1:10">
      <c r="A502" s="114">
        <v>40115</v>
      </c>
      <c r="B502" s="121">
        <v>99.67</v>
      </c>
      <c r="C502" s="121" t="s">
        <v>625</v>
      </c>
      <c r="D502" s="121" t="s">
        <v>625</v>
      </c>
      <c r="E502" s="121" t="s">
        <v>625</v>
      </c>
      <c r="F502" s="121" t="s">
        <v>625</v>
      </c>
      <c r="G502" s="121" t="s">
        <v>625</v>
      </c>
      <c r="H502" s="121" t="e">
        <v>#N/A</v>
      </c>
      <c r="I502" s="121" t="s">
        <v>625</v>
      </c>
      <c r="J502" s="121" t="s">
        <v>625</v>
      </c>
    </row>
    <row r="503" spans="1:10">
      <c r="A503" s="114">
        <v>40116</v>
      </c>
      <c r="B503" s="121">
        <v>99.67</v>
      </c>
      <c r="C503" s="121" t="s">
        <v>625</v>
      </c>
      <c r="D503" s="121" t="s">
        <v>625</v>
      </c>
      <c r="E503" s="121" t="s">
        <v>625</v>
      </c>
      <c r="F503" s="121" t="s">
        <v>625</v>
      </c>
      <c r="G503" s="121" t="s">
        <v>625</v>
      </c>
      <c r="H503" s="121" t="e">
        <v>#N/A</v>
      </c>
      <c r="I503" s="121" t="s">
        <v>625</v>
      </c>
      <c r="J503" s="121" t="s">
        <v>625</v>
      </c>
    </row>
    <row r="504" spans="1:10">
      <c r="A504" s="114">
        <v>40119</v>
      </c>
      <c r="B504" s="121">
        <v>99.67</v>
      </c>
      <c r="C504" s="121" t="s">
        <v>625</v>
      </c>
      <c r="D504" s="121" t="s">
        <v>625</v>
      </c>
      <c r="E504" s="121" t="s">
        <v>625</v>
      </c>
      <c r="F504" s="121" t="s">
        <v>625</v>
      </c>
      <c r="G504" s="121" t="s">
        <v>625</v>
      </c>
      <c r="H504" s="121" t="e">
        <v>#N/A</v>
      </c>
      <c r="I504" s="121" t="s">
        <v>625</v>
      </c>
      <c r="J504" s="121" t="s">
        <v>625</v>
      </c>
    </row>
    <row r="505" spans="1:10">
      <c r="A505" s="114">
        <v>40120</v>
      </c>
      <c r="B505" s="121">
        <v>99.67</v>
      </c>
      <c r="C505" s="121" t="s">
        <v>625</v>
      </c>
      <c r="D505" s="121" t="s">
        <v>625</v>
      </c>
      <c r="E505" s="121" t="s">
        <v>625</v>
      </c>
      <c r="F505" s="121" t="s">
        <v>625</v>
      </c>
      <c r="G505" s="121" t="s">
        <v>625</v>
      </c>
      <c r="H505" s="121" t="e">
        <v>#N/A</v>
      </c>
      <c r="I505" s="121" t="s">
        <v>625</v>
      </c>
      <c r="J505" s="121" t="s">
        <v>625</v>
      </c>
    </row>
    <row r="506" spans="1:10">
      <c r="A506" s="114">
        <v>40121</v>
      </c>
      <c r="B506" s="121">
        <v>99.67</v>
      </c>
      <c r="C506" s="121" t="s">
        <v>625</v>
      </c>
      <c r="D506" s="121" t="s">
        <v>625</v>
      </c>
      <c r="E506" s="121" t="s">
        <v>625</v>
      </c>
      <c r="F506" s="121" t="s">
        <v>625</v>
      </c>
      <c r="G506" s="121" t="s">
        <v>625</v>
      </c>
      <c r="H506" s="121" t="e">
        <v>#N/A</v>
      </c>
      <c r="I506" s="121" t="s">
        <v>625</v>
      </c>
      <c r="J506" s="121" t="s">
        <v>625</v>
      </c>
    </row>
    <row r="507" spans="1:10">
      <c r="A507" s="114">
        <v>40122</v>
      </c>
      <c r="B507" s="121">
        <v>99.67</v>
      </c>
      <c r="C507" s="121" t="s">
        <v>625</v>
      </c>
      <c r="D507" s="121" t="s">
        <v>625</v>
      </c>
      <c r="E507" s="121" t="s">
        <v>625</v>
      </c>
      <c r="F507" s="121" t="s">
        <v>625</v>
      </c>
      <c r="G507" s="121" t="s">
        <v>625</v>
      </c>
      <c r="H507" s="121" t="e">
        <v>#N/A</v>
      </c>
      <c r="I507" s="121" t="s">
        <v>625</v>
      </c>
      <c r="J507" s="121" t="s">
        <v>625</v>
      </c>
    </row>
    <row r="508" spans="1:10">
      <c r="A508" s="114">
        <v>40123</v>
      </c>
      <c r="B508" s="121">
        <v>99.67</v>
      </c>
      <c r="C508" s="121" t="s">
        <v>625</v>
      </c>
      <c r="D508" s="121" t="s">
        <v>625</v>
      </c>
      <c r="E508" s="121" t="s">
        <v>625</v>
      </c>
      <c r="F508" s="121" t="s">
        <v>625</v>
      </c>
      <c r="G508" s="121" t="s">
        <v>625</v>
      </c>
      <c r="H508" s="121" t="e">
        <v>#N/A</v>
      </c>
      <c r="I508" s="121" t="s">
        <v>625</v>
      </c>
      <c r="J508" s="121" t="s">
        <v>625</v>
      </c>
    </row>
    <row r="509" spans="1:10">
      <c r="A509" s="114">
        <v>40126</v>
      </c>
      <c r="B509" s="121">
        <v>99.67</v>
      </c>
      <c r="C509" s="121" t="s">
        <v>625</v>
      </c>
      <c r="D509" s="121" t="s">
        <v>625</v>
      </c>
      <c r="E509" s="121" t="s">
        <v>625</v>
      </c>
      <c r="F509" s="121" t="s">
        <v>625</v>
      </c>
      <c r="G509" s="121" t="s">
        <v>625</v>
      </c>
      <c r="H509" s="121" t="e">
        <v>#N/A</v>
      </c>
      <c r="I509" s="121" t="s">
        <v>625</v>
      </c>
      <c r="J509" s="121" t="s">
        <v>625</v>
      </c>
    </row>
    <row r="510" spans="1:10">
      <c r="A510" s="114">
        <v>40127</v>
      </c>
      <c r="B510" s="121">
        <v>99.67</v>
      </c>
      <c r="C510" s="121" t="s">
        <v>625</v>
      </c>
      <c r="D510" s="121" t="s">
        <v>625</v>
      </c>
      <c r="E510" s="121" t="s">
        <v>625</v>
      </c>
      <c r="F510" s="121" t="s">
        <v>625</v>
      </c>
      <c r="G510" s="121" t="s">
        <v>625</v>
      </c>
      <c r="H510" s="121" t="e">
        <v>#N/A</v>
      </c>
      <c r="I510" s="121" t="s">
        <v>625</v>
      </c>
      <c r="J510" s="121" t="s">
        <v>625</v>
      </c>
    </row>
    <row r="511" spans="1:10">
      <c r="A511" s="114">
        <v>40128</v>
      </c>
      <c r="B511" s="121">
        <v>99.67</v>
      </c>
      <c r="C511" s="121" t="s">
        <v>625</v>
      </c>
      <c r="D511" s="121" t="s">
        <v>625</v>
      </c>
      <c r="E511" s="121" t="s">
        <v>625</v>
      </c>
      <c r="F511" s="121" t="s">
        <v>625</v>
      </c>
      <c r="G511" s="121" t="s">
        <v>625</v>
      </c>
      <c r="H511" s="121" t="e">
        <v>#N/A</v>
      </c>
      <c r="I511" s="121" t="s">
        <v>625</v>
      </c>
      <c r="J511" s="121" t="s">
        <v>625</v>
      </c>
    </row>
    <row r="512" spans="1:10">
      <c r="A512" s="114">
        <v>40129</v>
      </c>
      <c r="B512" s="121">
        <v>99.67</v>
      </c>
      <c r="C512" s="121" t="s">
        <v>625</v>
      </c>
      <c r="D512" s="121" t="s">
        <v>625</v>
      </c>
      <c r="E512" s="121" t="s">
        <v>625</v>
      </c>
      <c r="F512" s="121" t="s">
        <v>625</v>
      </c>
      <c r="G512" s="121" t="s">
        <v>625</v>
      </c>
      <c r="H512" s="121" t="e">
        <v>#N/A</v>
      </c>
      <c r="I512" s="121" t="s">
        <v>625</v>
      </c>
      <c r="J512" s="121" t="s">
        <v>625</v>
      </c>
    </row>
    <row r="513" spans="1:10">
      <c r="A513" s="114">
        <v>40130</v>
      </c>
      <c r="B513" s="121">
        <v>99.67</v>
      </c>
      <c r="C513" s="121" t="s">
        <v>625</v>
      </c>
      <c r="D513" s="121" t="s">
        <v>625</v>
      </c>
      <c r="E513" s="121" t="s">
        <v>625</v>
      </c>
      <c r="F513" s="121" t="s">
        <v>625</v>
      </c>
      <c r="G513" s="121" t="s">
        <v>625</v>
      </c>
      <c r="H513" s="121" t="e">
        <v>#N/A</v>
      </c>
      <c r="I513" s="121" t="s">
        <v>625</v>
      </c>
      <c r="J513" s="121" t="s">
        <v>625</v>
      </c>
    </row>
    <row r="514" spans="1:10">
      <c r="A514" s="114">
        <v>40133</v>
      </c>
      <c r="B514" s="121">
        <v>99.67</v>
      </c>
      <c r="C514" s="121" t="s">
        <v>625</v>
      </c>
      <c r="D514" s="121" t="s">
        <v>625</v>
      </c>
      <c r="E514" s="121" t="s">
        <v>625</v>
      </c>
      <c r="F514" s="121" t="s">
        <v>625</v>
      </c>
      <c r="G514" s="121" t="s">
        <v>625</v>
      </c>
      <c r="H514" s="121" t="e">
        <v>#N/A</v>
      </c>
      <c r="I514" s="121" t="s">
        <v>625</v>
      </c>
      <c r="J514" s="121" t="s">
        <v>625</v>
      </c>
    </row>
    <row r="515" spans="1:10">
      <c r="A515" s="114">
        <v>40134</v>
      </c>
      <c r="B515" s="121">
        <v>99.67</v>
      </c>
      <c r="C515" s="121" t="s">
        <v>625</v>
      </c>
      <c r="D515" s="121" t="s">
        <v>625</v>
      </c>
      <c r="E515" s="121" t="s">
        <v>625</v>
      </c>
      <c r="F515" s="121" t="s">
        <v>625</v>
      </c>
      <c r="G515" s="121" t="s">
        <v>625</v>
      </c>
      <c r="H515" s="121" t="e">
        <v>#N/A</v>
      </c>
      <c r="I515" s="121" t="s">
        <v>625</v>
      </c>
      <c r="J515" s="121" t="s">
        <v>625</v>
      </c>
    </row>
    <row r="516" spans="1:10">
      <c r="A516" s="114">
        <v>40135</v>
      </c>
      <c r="B516" s="121">
        <v>99.67</v>
      </c>
      <c r="C516" s="121" t="s">
        <v>625</v>
      </c>
      <c r="D516" s="121" t="s">
        <v>625</v>
      </c>
      <c r="E516" s="121" t="s">
        <v>625</v>
      </c>
      <c r="F516" s="121" t="s">
        <v>625</v>
      </c>
      <c r="G516" s="121" t="s">
        <v>625</v>
      </c>
      <c r="H516" s="121" t="e">
        <v>#N/A</v>
      </c>
      <c r="I516" s="121" t="s">
        <v>625</v>
      </c>
      <c r="J516" s="121" t="s">
        <v>625</v>
      </c>
    </row>
    <row r="517" spans="1:10">
      <c r="A517" s="114">
        <v>40136</v>
      </c>
      <c r="B517" s="121">
        <v>99.67</v>
      </c>
      <c r="C517" s="121" t="s">
        <v>625</v>
      </c>
      <c r="D517" s="121" t="s">
        <v>625</v>
      </c>
      <c r="E517" s="121" t="s">
        <v>625</v>
      </c>
      <c r="F517" s="121" t="s">
        <v>625</v>
      </c>
      <c r="G517" s="121" t="s">
        <v>625</v>
      </c>
      <c r="H517" s="121" t="e">
        <v>#N/A</v>
      </c>
      <c r="I517" s="121" t="s">
        <v>625</v>
      </c>
      <c r="J517" s="121" t="s">
        <v>625</v>
      </c>
    </row>
    <row r="518" spans="1:10">
      <c r="A518" s="114">
        <v>40137</v>
      </c>
      <c r="B518" s="121">
        <v>99.67</v>
      </c>
      <c r="C518" s="121" t="s">
        <v>625</v>
      </c>
      <c r="D518" s="121" t="s">
        <v>625</v>
      </c>
      <c r="E518" s="121" t="s">
        <v>625</v>
      </c>
      <c r="F518" s="121" t="s">
        <v>625</v>
      </c>
      <c r="G518" s="121" t="s">
        <v>625</v>
      </c>
      <c r="H518" s="121" t="e">
        <v>#N/A</v>
      </c>
      <c r="I518" s="121" t="s">
        <v>625</v>
      </c>
      <c r="J518" s="121" t="s">
        <v>625</v>
      </c>
    </row>
    <row r="519" spans="1:10">
      <c r="A519" s="114">
        <v>40140</v>
      </c>
      <c r="B519" s="121">
        <v>99.67</v>
      </c>
      <c r="C519" s="121" t="s">
        <v>625</v>
      </c>
      <c r="D519" s="121" t="s">
        <v>625</v>
      </c>
      <c r="E519" s="121" t="s">
        <v>625</v>
      </c>
      <c r="F519" s="121" t="s">
        <v>625</v>
      </c>
      <c r="G519" s="121" t="s">
        <v>625</v>
      </c>
      <c r="H519" s="121" t="e">
        <v>#N/A</v>
      </c>
      <c r="I519" s="121" t="s">
        <v>625</v>
      </c>
      <c r="J519" s="121" t="s">
        <v>625</v>
      </c>
    </row>
    <row r="520" spans="1:10">
      <c r="A520" s="114">
        <v>40141</v>
      </c>
      <c r="B520" s="121">
        <v>99.67</v>
      </c>
      <c r="C520" s="121" t="s">
        <v>625</v>
      </c>
      <c r="D520" s="121" t="s">
        <v>625</v>
      </c>
      <c r="E520" s="121" t="s">
        <v>625</v>
      </c>
      <c r="F520" s="121" t="s">
        <v>625</v>
      </c>
      <c r="G520" s="121" t="s">
        <v>625</v>
      </c>
      <c r="H520" s="121" t="e">
        <v>#N/A</v>
      </c>
      <c r="I520" s="121" t="s">
        <v>625</v>
      </c>
      <c r="J520" s="121" t="s">
        <v>625</v>
      </c>
    </row>
    <row r="521" spans="1:10">
      <c r="A521" s="114">
        <v>40142</v>
      </c>
      <c r="B521" s="121">
        <v>99.67</v>
      </c>
      <c r="C521" s="121" t="s">
        <v>625</v>
      </c>
      <c r="D521" s="121" t="s">
        <v>625</v>
      </c>
      <c r="E521" s="121" t="s">
        <v>625</v>
      </c>
      <c r="F521" s="121" t="s">
        <v>625</v>
      </c>
      <c r="G521" s="121" t="s">
        <v>625</v>
      </c>
      <c r="H521" s="121" t="e">
        <v>#N/A</v>
      </c>
      <c r="I521" s="121" t="s">
        <v>625</v>
      </c>
      <c r="J521" s="121" t="s">
        <v>625</v>
      </c>
    </row>
    <row r="522" spans="1:10">
      <c r="A522" s="114">
        <v>40143</v>
      </c>
      <c r="B522" s="121">
        <v>99.67</v>
      </c>
      <c r="C522" s="121" t="s">
        <v>625</v>
      </c>
      <c r="D522" s="121" t="s">
        <v>625</v>
      </c>
      <c r="E522" s="121" t="s">
        <v>625</v>
      </c>
      <c r="F522" s="121" t="s">
        <v>625</v>
      </c>
      <c r="G522" s="121" t="s">
        <v>625</v>
      </c>
      <c r="H522" s="121" t="e">
        <v>#N/A</v>
      </c>
      <c r="I522" s="121" t="s">
        <v>625</v>
      </c>
      <c r="J522" s="121" t="s">
        <v>625</v>
      </c>
    </row>
    <row r="523" spans="1:10">
      <c r="A523" s="114">
        <v>40144</v>
      </c>
      <c r="B523" s="121">
        <v>99.67</v>
      </c>
      <c r="C523" s="121" t="s">
        <v>625</v>
      </c>
      <c r="D523" s="121" t="s">
        <v>625</v>
      </c>
      <c r="E523" s="121" t="s">
        <v>625</v>
      </c>
      <c r="F523" s="121" t="s">
        <v>625</v>
      </c>
      <c r="G523" s="121" t="s">
        <v>625</v>
      </c>
      <c r="H523" s="121" t="e">
        <v>#N/A</v>
      </c>
      <c r="I523" s="121" t="s">
        <v>625</v>
      </c>
      <c r="J523" s="121" t="s">
        <v>625</v>
      </c>
    </row>
    <row r="524" spans="1:10">
      <c r="A524" s="114">
        <v>40147</v>
      </c>
      <c r="B524" s="121">
        <v>99.67</v>
      </c>
      <c r="C524" s="121" t="s">
        <v>625</v>
      </c>
      <c r="D524" s="121" t="s">
        <v>625</v>
      </c>
      <c r="E524" s="121" t="s">
        <v>625</v>
      </c>
      <c r="F524" s="121" t="s">
        <v>625</v>
      </c>
      <c r="G524" s="121" t="s">
        <v>625</v>
      </c>
      <c r="H524" s="121" t="e">
        <v>#N/A</v>
      </c>
      <c r="I524" s="121" t="s">
        <v>625</v>
      </c>
      <c r="J524" s="121" t="s">
        <v>625</v>
      </c>
    </row>
    <row r="525" spans="1:10">
      <c r="A525" s="114">
        <v>40148</v>
      </c>
      <c r="B525" s="121">
        <v>99.67</v>
      </c>
      <c r="C525" s="121" t="s">
        <v>625</v>
      </c>
      <c r="D525" s="121" t="s">
        <v>625</v>
      </c>
      <c r="E525" s="121" t="s">
        <v>625</v>
      </c>
      <c r="F525" s="121" t="s">
        <v>625</v>
      </c>
      <c r="G525" s="121" t="s">
        <v>625</v>
      </c>
      <c r="H525" s="121" t="e">
        <v>#N/A</v>
      </c>
      <c r="I525" s="121" t="s">
        <v>625</v>
      </c>
      <c r="J525" s="121" t="s">
        <v>625</v>
      </c>
    </row>
    <row r="526" spans="1:10">
      <c r="A526" s="114">
        <v>40149</v>
      </c>
      <c r="B526" s="121">
        <v>99.67</v>
      </c>
      <c r="C526" s="121" t="s">
        <v>625</v>
      </c>
      <c r="D526" s="121" t="s">
        <v>625</v>
      </c>
      <c r="E526" s="121" t="s">
        <v>625</v>
      </c>
      <c r="F526" s="121" t="s">
        <v>625</v>
      </c>
      <c r="G526" s="121" t="s">
        <v>625</v>
      </c>
      <c r="H526" s="121" t="e">
        <v>#N/A</v>
      </c>
      <c r="I526" s="121" t="s">
        <v>625</v>
      </c>
      <c r="J526" s="121" t="s">
        <v>625</v>
      </c>
    </row>
    <row r="527" spans="1:10">
      <c r="A527" s="114">
        <v>40150</v>
      </c>
      <c r="B527" s="121">
        <v>99.67</v>
      </c>
      <c r="C527" s="121" t="s">
        <v>625</v>
      </c>
      <c r="D527" s="121" t="s">
        <v>625</v>
      </c>
      <c r="E527" s="121" t="s">
        <v>625</v>
      </c>
      <c r="F527" s="121" t="s">
        <v>625</v>
      </c>
      <c r="G527" s="121" t="s">
        <v>625</v>
      </c>
      <c r="H527" s="121" t="e">
        <v>#N/A</v>
      </c>
      <c r="I527" s="121" t="s">
        <v>625</v>
      </c>
      <c r="J527" s="121" t="s">
        <v>625</v>
      </c>
    </row>
    <row r="528" spans="1:10">
      <c r="A528" s="114">
        <v>40151</v>
      </c>
      <c r="B528" s="121">
        <v>99.67</v>
      </c>
      <c r="C528" s="121" t="s">
        <v>625</v>
      </c>
      <c r="D528" s="121" t="s">
        <v>625</v>
      </c>
      <c r="E528" s="121" t="s">
        <v>625</v>
      </c>
      <c r="F528" s="121" t="s">
        <v>625</v>
      </c>
      <c r="G528" s="121" t="s">
        <v>625</v>
      </c>
      <c r="H528" s="121" t="e">
        <v>#N/A</v>
      </c>
      <c r="I528" s="121" t="s">
        <v>625</v>
      </c>
      <c r="J528" s="121" t="s">
        <v>625</v>
      </c>
    </row>
    <row r="529" spans="1:10">
      <c r="A529" s="114">
        <v>40154</v>
      </c>
      <c r="B529" s="121">
        <v>99.67</v>
      </c>
      <c r="C529" s="121" t="s">
        <v>625</v>
      </c>
      <c r="D529" s="121" t="s">
        <v>625</v>
      </c>
      <c r="E529" s="121" t="s">
        <v>625</v>
      </c>
      <c r="F529" s="121" t="s">
        <v>625</v>
      </c>
      <c r="G529" s="121" t="s">
        <v>625</v>
      </c>
      <c r="H529" s="121" t="e">
        <v>#N/A</v>
      </c>
      <c r="I529" s="121" t="s">
        <v>625</v>
      </c>
      <c r="J529" s="121" t="s">
        <v>625</v>
      </c>
    </row>
    <row r="530" spans="1:10">
      <c r="A530" s="114">
        <v>40155</v>
      </c>
      <c r="B530" s="121">
        <v>99.67</v>
      </c>
      <c r="C530" s="121" t="s">
        <v>625</v>
      </c>
      <c r="D530" s="121" t="s">
        <v>625</v>
      </c>
      <c r="E530" s="121" t="s">
        <v>625</v>
      </c>
      <c r="F530" s="121" t="s">
        <v>625</v>
      </c>
      <c r="G530" s="121" t="s">
        <v>625</v>
      </c>
      <c r="H530" s="121" t="e">
        <v>#N/A</v>
      </c>
      <c r="I530" s="121" t="s">
        <v>625</v>
      </c>
      <c r="J530" s="121" t="s">
        <v>625</v>
      </c>
    </row>
    <row r="531" spans="1:10">
      <c r="A531" s="114">
        <v>40156</v>
      </c>
      <c r="B531" s="121">
        <v>99.67</v>
      </c>
      <c r="C531" s="121" t="s">
        <v>625</v>
      </c>
      <c r="D531" s="121" t="s">
        <v>625</v>
      </c>
      <c r="E531" s="121" t="s">
        <v>625</v>
      </c>
      <c r="F531" s="121" t="s">
        <v>625</v>
      </c>
      <c r="G531" s="121" t="s">
        <v>625</v>
      </c>
      <c r="H531" s="121" t="e">
        <v>#N/A</v>
      </c>
      <c r="I531" s="121" t="s">
        <v>625</v>
      </c>
      <c r="J531" s="121" t="s">
        <v>625</v>
      </c>
    </row>
    <row r="532" spans="1:10">
      <c r="A532" s="114">
        <v>40157</v>
      </c>
      <c r="B532" s="121">
        <v>99.67</v>
      </c>
      <c r="C532" s="121" t="s">
        <v>625</v>
      </c>
      <c r="D532" s="121" t="s">
        <v>625</v>
      </c>
      <c r="E532" s="121" t="s">
        <v>625</v>
      </c>
      <c r="F532" s="121" t="s">
        <v>625</v>
      </c>
      <c r="G532" s="121" t="s">
        <v>625</v>
      </c>
      <c r="H532" s="121" t="e">
        <v>#N/A</v>
      </c>
      <c r="I532" s="121" t="s">
        <v>625</v>
      </c>
      <c r="J532" s="121" t="s">
        <v>625</v>
      </c>
    </row>
    <row r="533" spans="1:10">
      <c r="A533" s="114">
        <v>40158</v>
      </c>
      <c r="B533" s="121">
        <v>99.67</v>
      </c>
      <c r="C533" s="121" t="s">
        <v>625</v>
      </c>
      <c r="D533" s="121" t="s">
        <v>625</v>
      </c>
      <c r="E533" s="121" t="s">
        <v>625</v>
      </c>
      <c r="F533" s="121" t="s">
        <v>625</v>
      </c>
      <c r="G533" s="121" t="s">
        <v>625</v>
      </c>
      <c r="H533" s="121" t="e">
        <v>#N/A</v>
      </c>
      <c r="I533" s="121" t="s">
        <v>625</v>
      </c>
      <c r="J533" s="121" t="s">
        <v>625</v>
      </c>
    </row>
    <row r="534" spans="1:10">
      <c r="A534" s="114">
        <v>40161</v>
      </c>
      <c r="B534" s="121">
        <v>99.67</v>
      </c>
      <c r="C534" s="121" t="s">
        <v>625</v>
      </c>
      <c r="D534" s="121" t="s">
        <v>625</v>
      </c>
      <c r="E534" s="121" t="s">
        <v>625</v>
      </c>
      <c r="F534" s="121" t="s">
        <v>625</v>
      </c>
      <c r="G534" s="121" t="s">
        <v>625</v>
      </c>
      <c r="H534" s="121" t="e">
        <v>#N/A</v>
      </c>
      <c r="I534" s="121" t="s">
        <v>625</v>
      </c>
      <c r="J534" s="121" t="s">
        <v>625</v>
      </c>
    </row>
    <row r="535" spans="1:10">
      <c r="A535" s="114">
        <v>40162</v>
      </c>
      <c r="B535" s="121">
        <v>100.35</v>
      </c>
      <c r="C535" s="121" t="s">
        <v>625</v>
      </c>
      <c r="D535" s="121" t="s">
        <v>625</v>
      </c>
      <c r="E535" s="121" t="s">
        <v>625</v>
      </c>
      <c r="F535" s="121" t="s">
        <v>625</v>
      </c>
      <c r="G535" s="121" t="s">
        <v>625</v>
      </c>
      <c r="H535" s="121" t="e">
        <v>#N/A</v>
      </c>
      <c r="I535" s="121" t="s">
        <v>625</v>
      </c>
      <c r="J535" s="121" t="s">
        <v>625</v>
      </c>
    </row>
    <row r="536" spans="1:10">
      <c r="A536" s="114">
        <v>40163</v>
      </c>
      <c r="B536" s="121">
        <v>100.51</v>
      </c>
      <c r="C536" s="121" t="s">
        <v>625</v>
      </c>
      <c r="D536" s="121" t="s">
        <v>625</v>
      </c>
      <c r="E536" s="121" t="s">
        <v>625</v>
      </c>
      <c r="F536" s="121" t="s">
        <v>625</v>
      </c>
      <c r="G536" s="121" t="s">
        <v>625</v>
      </c>
      <c r="H536" s="121" t="e">
        <v>#N/A</v>
      </c>
      <c r="I536" s="121" t="s">
        <v>625</v>
      </c>
      <c r="J536" s="121" t="s">
        <v>625</v>
      </c>
    </row>
    <row r="537" spans="1:10">
      <c r="A537" s="114">
        <v>40164</v>
      </c>
      <c r="B537" s="121">
        <v>100.51</v>
      </c>
      <c r="C537" s="121" t="s">
        <v>625</v>
      </c>
      <c r="D537" s="121" t="s">
        <v>625</v>
      </c>
      <c r="E537" s="121" t="s">
        <v>625</v>
      </c>
      <c r="F537" s="121" t="s">
        <v>625</v>
      </c>
      <c r="G537" s="121" t="s">
        <v>625</v>
      </c>
      <c r="H537" s="121" t="e">
        <v>#N/A</v>
      </c>
      <c r="I537" s="121" t="s">
        <v>625</v>
      </c>
      <c r="J537" s="121" t="s">
        <v>625</v>
      </c>
    </row>
    <row r="538" spans="1:10">
      <c r="A538" s="114">
        <v>40165</v>
      </c>
      <c r="B538" s="121">
        <v>100.51</v>
      </c>
      <c r="C538" s="121" t="s">
        <v>625</v>
      </c>
      <c r="D538" s="121" t="s">
        <v>625</v>
      </c>
      <c r="E538" s="121" t="s">
        <v>625</v>
      </c>
      <c r="F538" s="121" t="s">
        <v>625</v>
      </c>
      <c r="G538" s="121" t="s">
        <v>625</v>
      </c>
      <c r="H538" s="121" t="e">
        <v>#N/A</v>
      </c>
      <c r="I538" s="121" t="s">
        <v>625</v>
      </c>
      <c r="J538" s="121" t="s">
        <v>625</v>
      </c>
    </row>
    <row r="539" spans="1:10">
      <c r="A539" s="114">
        <v>40168</v>
      </c>
      <c r="B539" s="121">
        <v>100.51</v>
      </c>
      <c r="C539" s="121" t="s">
        <v>625</v>
      </c>
      <c r="D539" s="121" t="s">
        <v>625</v>
      </c>
      <c r="E539" s="121" t="s">
        <v>625</v>
      </c>
      <c r="F539" s="121" t="s">
        <v>625</v>
      </c>
      <c r="G539" s="121" t="s">
        <v>625</v>
      </c>
      <c r="H539" s="121" t="e">
        <v>#N/A</v>
      </c>
      <c r="I539" s="121" t="s">
        <v>625</v>
      </c>
      <c r="J539" s="121" t="s">
        <v>625</v>
      </c>
    </row>
    <row r="540" spans="1:10">
      <c r="A540" s="114">
        <v>40169</v>
      </c>
      <c r="B540" s="121">
        <v>100.51</v>
      </c>
      <c r="C540" s="121" t="s">
        <v>625</v>
      </c>
      <c r="D540" s="121" t="s">
        <v>625</v>
      </c>
      <c r="E540" s="121" t="s">
        <v>625</v>
      </c>
      <c r="F540" s="121" t="s">
        <v>625</v>
      </c>
      <c r="G540" s="121" t="s">
        <v>625</v>
      </c>
      <c r="H540" s="121" t="e">
        <v>#N/A</v>
      </c>
      <c r="I540" s="121" t="s">
        <v>625</v>
      </c>
      <c r="J540" s="121" t="s">
        <v>625</v>
      </c>
    </row>
    <row r="541" spans="1:10">
      <c r="A541" s="114">
        <v>40170</v>
      </c>
      <c r="B541" s="121">
        <v>100.51</v>
      </c>
      <c r="C541" s="121" t="s">
        <v>625</v>
      </c>
      <c r="D541" s="121" t="s">
        <v>625</v>
      </c>
      <c r="E541" s="121" t="s">
        <v>625</v>
      </c>
      <c r="F541" s="121" t="s">
        <v>625</v>
      </c>
      <c r="G541" s="121" t="s">
        <v>625</v>
      </c>
      <c r="H541" s="121" t="e">
        <v>#N/A</v>
      </c>
      <c r="I541" s="121" t="s">
        <v>625</v>
      </c>
      <c r="J541" s="121" t="s">
        <v>625</v>
      </c>
    </row>
    <row r="542" spans="1:10">
      <c r="A542" s="114">
        <v>40171</v>
      </c>
      <c r="B542" s="121">
        <v>100.51</v>
      </c>
      <c r="C542" s="121" t="s">
        <v>625</v>
      </c>
      <c r="D542" s="121" t="s">
        <v>625</v>
      </c>
      <c r="E542" s="121" t="s">
        <v>625</v>
      </c>
      <c r="F542" s="121" t="s">
        <v>625</v>
      </c>
      <c r="G542" s="121" t="s">
        <v>625</v>
      </c>
      <c r="H542" s="121" t="e">
        <v>#N/A</v>
      </c>
      <c r="I542" s="121" t="s">
        <v>625</v>
      </c>
      <c r="J542" s="121" t="s">
        <v>625</v>
      </c>
    </row>
    <row r="543" spans="1:10">
      <c r="A543" s="114">
        <v>40172</v>
      </c>
      <c r="B543" s="121">
        <v>100.51</v>
      </c>
      <c r="C543" s="121" t="s">
        <v>625</v>
      </c>
      <c r="D543" s="121" t="s">
        <v>625</v>
      </c>
      <c r="E543" s="121" t="s">
        <v>625</v>
      </c>
      <c r="F543" s="121" t="s">
        <v>625</v>
      </c>
      <c r="G543" s="121" t="s">
        <v>625</v>
      </c>
      <c r="H543" s="121" t="e">
        <v>#N/A</v>
      </c>
      <c r="I543" s="121" t="s">
        <v>625</v>
      </c>
      <c r="J543" s="121" t="s">
        <v>625</v>
      </c>
    </row>
    <row r="544" spans="1:10">
      <c r="A544" s="114">
        <v>40175</v>
      </c>
      <c r="B544" s="121">
        <v>100.6</v>
      </c>
      <c r="C544" s="121" t="s">
        <v>625</v>
      </c>
      <c r="D544" s="121" t="s">
        <v>625</v>
      </c>
      <c r="E544" s="121" t="s">
        <v>625</v>
      </c>
      <c r="F544" s="121" t="s">
        <v>625</v>
      </c>
      <c r="G544" s="121" t="s">
        <v>625</v>
      </c>
      <c r="H544" s="121" t="e">
        <v>#N/A</v>
      </c>
      <c r="I544" s="121" t="s">
        <v>625</v>
      </c>
      <c r="J544" s="121" t="s">
        <v>625</v>
      </c>
    </row>
    <row r="545" spans="1:10">
      <c r="A545" s="114">
        <v>40176</v>
      </c>
      <c r="B545" s="121">
        <v>100.6</v>
      </c>
      <c r="C545" s="121" t="s">
        <v>625</v>
      </c>
      <c r="D545" s="121" t="s">
        <v>625</v>
      </c>
      <c r="E545" s="121" t="s">
        <v>625</v>
      </c>
      <c r="F545" s="121" t="s">
        <v>625</v>
      </c>
      <c r="G545" s="121" t="s">
        <v>625</v>
      </c>
      <c r="H545" s="121" t="e">
        <v>#N/A</v>
      </c>
      <c r="I545" s="121" t="s">
        <v>625</v>
      </c>
      <c r="J545" s="121" t="s">
        <v>625</v>
      </c>
    </row>
    <row r="546" spans="1:10">
      <c r="A546" s="114">
        <v>40177</v>
      </c>
      <c r="B546" s="121">
        <v>100.55</v>
      </c>
      <c r="C546" s="121" t="s">
        <v>625</v>
      </c>
      <c r="D546" s="121" t="s">
        <v>625</v>
      </c>
      <c r="E546" s="121" t="s">
        <v>625</v>
      </c>
      <c r="F546" s="121" t="s">
        <v>625</v>
      </c>
      <c r="G546" s="121" t="s">
        <v>625</v>
      </c>
      <c r="H546" s="121" t="e">
        <v>#N/A</v>
      </c>
      <c r="I546" s="121" t="s">
        <v>625</v>
      </c>
      <c r="J546" s="121" t="s">
        <v>625</v>
      </c>
    </row>
    <row r="547" spans="1:10">
      <c r="A547" s="114">
        <v>40178</v>
      </c>
      <c r="B547" s="121">
        <v>100.55</v>
      </c>
      <c r="C547" s="121" t="s">
        <v>625</v>
      </c>
      <c r="D547" s="121" t="s">
        <v>625</v>
      </c>
      <c r="E547" s="121" t="s">
        <v>625</v>
      </c>
      <c r="F547" s="121" t="s">
        <v>625</v>
      </c>
      <c r="G547" s="121" t="s">
        <v>625</v>
      </c>
      <c r="H547" s="121" t="e">
        <v>#N/A</v>
      </c>
      <c r="I547" s="121" t="s">
        <v>625</v>
      </c>
      <c r="J547" s="121" t="s">
        <v>625</v>
      </c>
    </row>
    <row r="548" spans="1:10">
      <c r="A548" s="114">
        <v>40182</v>
      </c>
      <c r="B548" s="121">
        <v>100.55</v>
      </c>
      <c r="C548" s="121" t="s">
        <v>625</v>
      </c>
      <c r="D548" s="121" t="s">
        <v>625</v>
      </c>
      <c r="E548" s="121" t="s">
        <v>625</v>
      </c>
      <c r="F548" s="121" t="s">
        <v>625</v>
      </c>
      <c r="G548" s="121" t="s">
        <v>625</v>
      </c>
      <c r="H548" s="121" t="e">
        <v>#N/A</v>
      </c>
      <c r="I548" s="121" t="s">
        <v>625</v>
      </c>
      <c r="J548" s="121" t="s">
        <v>625</v>
      </c>
    </row>
    <row r="549" spans="1:10">
      <c r="A549" s="114">
        <v>40183</v>
      </c>
      <c r="B549" s="121">
        <v>100.55</v>
      </c>
      <c r="C549" s="121" t="s">
        <v>625</v>
      </c>
      <c r="D549" s="121" t="s">
        <v>625</v>
      </c>
      <c r="E549" s="121" t="s">
        <v>625</v>
      </c>
      <c r="F549" s="121" t="s">
        <v>625</v>
      </c>
      <c r="G549" s="121" t="s">
        <v>625</v>
      </c>
      <c r="H549" s="121" t="e">
        <v>#N/A</v>
      </c>
      <c r="I549" s="121" t="s">
        <v>625</v>
      </c>
      <c r="J549" s="121" t="s">
        <v>625</v>
      </c>
    </row>
    <row r="550" spans="1:10">
      <c r="A550" s="114">
        <v>40184</v>
      </c>
      <c r="B550" s="121">
        <v>100.55</v>
      </c>
      <c r="C550" s="121" t="s">
        <v>625</v>
      </c>
      <c r="D550" s="121" t="s">
        <v>625</v>
      </c>
      <c r="E550" s="121" t="s">
        <v>625</v>
      </c>
      <c r="F550" s="121" t="s">
        <v>625</v>
      </c>
      <c r="G550" s="121" t="s">
        <v>625</v>
      </c>
      <c r="H550" s="121" t="e">
        <v>#N/A</v>
      </c>
      <c r="I550" s="121" t="s">
        <v>625</v>
      </c>
      <c r="J550" s="121" t="s">
        <v>625</v>
      </c>
    </row>
    <row r="551" spans="1:10">
      <c r="A551" s="114">
        <v>40185</v>
      </c>
      <c r="B551" s="121">
        <v>100.55</v>
      </c>
      <c r="C551" s="121" t="s">
        <v>625</v>
      </c>
      <c r="D551" s="121" t="s">
        <v>625</v>
      </c>
      <c r="E551" s="121" t="s">
        <v>625</v>
      </c>
      <c r="F551" s="121" t="s">
        <v>625</v>
      </c>
      <c r="G551" s="121" t="s">
        <v>625</v>
      </c>
      <c r="H551" s="121" t="e">
        <v>#N/A</v>
      </c>
      <c r="I551" s="121" t="s">
        <v>625</v>
      </c>
      <c r="J551" s="121" t="s">
        <v>625</v>
      </c>
    </row>
    <row r="552" spans="1:10">
      <c r="A552" s="114">
        <v>40186</v>
      </c>
      <c r="B552" s="121">
        <v>100.55</v>
      </c>
      <c r="C552" s="121" t="s">
        <v>625</v>
      </c>
      <c r="D552" s="121" t="s">
        <v>625</v>
      </c>
      <c r="E552" s="121" t="s">
        <v>625</v>
      </c>
      <c r="F552" s="121" t="s">
        <v>625</v>
      </c>
      <c r="G552" s="121" t="s">
        <v>625</v>
      </c>
      <c r="H552" s="121" t="e">
        <v>#N/A</v>
      </c>
      <c r="I552" s="121" t="s">
        <v>625</v>
      </c>
      <c r="J552" s="121" t="s">
        <v>625</v>
      </c>
    </row>
    <row r="553" spans="1:10">
      <c r="A553" s="114">
        <v>40189</v>
      </c>
      <c r="B553" s="121">
        <v>100.55</v>
      </c>
      <c r="C553" s="121" t="s">
        <v>625</v>
      </c>
      <c r="D553" s="121" t="s">
        <v>625</v>
      </c>
      <c r="E553" s="121" t="s">
        <v>625</v>
      </c>
      <c r="F553" s="121" t="s">
        <v>625</v>
      </c>
      <c r="G553" s="121" t="s">
        <v>625</v>
      </c>
      <c r="H553" s="121" t="e">
        <v>#N/A</v>
      </c>
      <c r="I553" s="121" t="s">
        <v>625</v>
      </c>
      <c r="J553" s="121" t="s">
        <v>625</v>
      </c>
    </row>
    <row r="554" spans="1:10">
      <c r="A554" s="114">
        <v>40190</v>
      </c>
      <c r="B554" s="121">
        <v>100.55</v>
      </c>
      <c r="C554" s="121" t="s">
        <v>625</v>
      </c>
      <c r="D554" s="121" t="s">
        <v>625</v>
      </c>
      <c r="E554" s="121" t="s">
        <v>625</v>
      </c>
      <c r="F554" s="121" t="s">
        <v>625</v>
      </c>
      <c r="G554" s="121" t="s">
        <v>625</v>
      </c>
      <c r="H554" s="121" t="e">
        <v>#N/A</v>
      </c>
      <c r="I554" s="121" t="s">
        <v>625</v>
      </c>
      <c r="J554" s="121" t="s">
        <v>625</v>
      </c>
    </row>
    <row r="555" spans="1:10">
      <c r="A555" s="114">
        <v>40191</v>
      </c>
      <c r="B555" s="121">
        <v>100.55</v>
      </c>
      <c r="C555" s="121" t="s">
        <v>625</v>
      </c>
      <c r="D555" s="121" t="s">
        <v>625</v>
      </c>
      <c r="E555" s="121" t="s">
        <v>625</v>
      </c>
      <c r="F555" s="121" t="s">
        <v>625</v>
      </c>
      <c r="G555" s="121" t="s">
        <v>625</v>
      </c>
      <c r="H555" s="121" t="e">
        <v>#N/A</v>
      </c>
      <c r="I555" s="121" t="s">
        <v>625</v>
      </c>
      <c r="J555" s="121" t="s">
        <v>625</v>
      </c>
    </row>
    <row r="556" spans="1:10">
      <c r="A556" s="114">
        <v>40192</v>
      </c>
      <c r="B556" s="121">
        <v>100.55</v>
      </c>
      <c r="C556" s="121" t="s">
        <v>625</v>
      </c>
      <c r="D556" s="121" t="s">
        <v>625</v>
      </c>
      <c r="E556" s="121" t="s">
        <v>625</v>
      </c>
      <c r="F556" s="121" t="s">
        <v>625</v>
      </c>
      <c r="G556" s="121" t="s">
        <v>625</v>
      </c>
      <c r="H556" s="121" t="e">
        <v>#N/A</v>
      </c>
      <c r="I556" s="121" t="s">
        <v>625</v>
      </c>
      <c r="J556" s="121" t="s">
        <v>625</v>
      </c>
    </row>
    <row r="557" spans="1:10">
      <c r="A557" s="114">
        <v>40193</v>
      </c>
      <c r="B557" s="121">
        <v>100.55</v>
      </c>
      <c r="C557" s="121" t="s">
        <v>625</v>
      </c>
      <c r="D557" s="121" t="s">
        <v>625</v>
      </c>
      <c r="E557" s="121" t="s">
        <v>625</v>
      </c>
      <c r="F557" s="121" t="s">
        <v>625</v>
      </c>
      <c r="G557" s="121" t="s">
        <v>625</v>
      </c>
      <c r="H557" s="121" t="e">
        <v>#N/A</v>
      </c>
      <c r="I557" s="121" t="s">
        <v>625</v>
      </c>
      <c r="J557" s="121" t="s">
        <v>625</v>
      </c>
    </row>
    <row r="558" spans="1:10">
      <c r="A558" s="114">
        <v>40196</v>
      </c>
      <c r="B558" s="121">
        <v>100.55</v>
      </c>
      <c r="C558" s="121" t="s">
        <v>625</v>
      </c>
      <c r="D558" s="121" t="s">
        <v>625</v>
      </c>
      <c r="E558" s="121" t="s">
        <v>625</v>
      </c>
      <c r="F558" s="121" t="s">
        <v>625</v>
      </c>
      <c r="G558" s="121" t="s">
        <v>625</v>
      </c>
      <c r="H558" s="121" t="e">
        <v>#N/A</v>
      </c>
      <c r="I558" s="121" t="s">
        <v>625</v>
      </c>
      <c r="J558" s="121" t="s">
        <v>625</v>
      </c>
    </row>
    <row r="559" spans="1:10">
      <c r="A559" s="114">
        <v>40197</v>
      </c>
      <c r="B559" s="121">
        <v>100.55</v>
      </c>
      <c r="C559" s="121" t="s">
        <v>625</v>
      </c>
      <c r="D559" s="121" t="s">
        <v>625</v>
      </c>
      <c r="E559" s="121" t="s">
        <v>625</v>
      </c>
      <c r="F559" s="121" t="s">
        <v>625</v>
      </c>
      <c r="G559" s="121" t="s">
        <v>625</v>
      </c>
      <c r="H559" s="121" t="e">
        <v>#N/A</v>
      </c>
      <c r="I559" s="121" t="s">
        <v>625</v>
      </c>
      <c r="J559" s="121" t="s">
        <v>625</v>
      </c>
    </row>
    <row r="560" spans="1:10">
      <c r="A560" s="114">
        <v>40198</v>
      </c>
      <c r="B560" s="121">
        <v>100.55</v>
      </c>
      <c r="C560" s="121" t="s">
        <v>625</v>
      </c>
      <c r="D560" s="121" t="s">
        <v>625</v>
      </c>
      <c r="E560" s="121" t="s">
        <v>625</v>
      </c>
      <c r="F560" s="121" t="s">
        <v>625</v>
      </c>
      <c r="G560" s="121" t="s">
        <v>625</v>
      </c>
      <c r="H560" s="121" t="e">
        <v>#N/A</v>
      </c>
      <c r="I560" s="121" t="s">
        <v>625</v>
      </c>
      <c r="J560" s="121" t="s">
        <v>625</v>
      </c>
    </row>
    <row r="561" spans="1:10">
      <c r="A561" s="114">
        <v>40199</v>
      </c>
      <c r="B561" s="121">
        <v>100.55</v>
      </c>
      <c r="C561" s="121" t="s">
        <v>625</v>
      </c>
      <c r="D561" s="121" t="s">
        <v>625</v>
      </c>
      <c r="E561" s="121" t="s">
        <v>625</v>
      </c>
      <c r="F561" s="121" t="s">
        <v>625</v>
      </c>
      <c r="G561" s="121" t="s">
        <v>625</v>
      </c>
      <c r="H561" s="121" t="e">
        <v>#N/A</v>
      </c>
      <c r="I561" s="121" t="s">
        <v>625</v>
      </c>
      <c r="J561" s="121" t="s">
        <v>625</v>
      </c>
    </row>
    <row r="562" spans="1:10">
      <c r="A562" s="114">
        <v>40200</v>
      </c>
      <c r="B562" s="121">
        <v>100.55</v>
      </c>
      <c r="C562" s="121" t="s">
        <v>625</v>
      </c>
      <c r="D562" s="121" t="s">
        <v>625</v>
      </c>
      <c r="E562" s="121" t="s">
        <v>625</v>
      </c>
      <c r="F562" s="121" t="s">
        <v>625</v>
      </c>
      <c r="G562" s="121" t="s">
        <v>625</v>
      </c>
      <c r="H562" s="121" t="e">
        <v>#N/A</v>
      </c>
      <c r="I562" s="121" t="s">
        <v>625</v>
      </c>
      <c r="J562" s="121" t="s">
        <v>625</v>
      </c>
    </row>
    <row r="563" spans="1:10">
      <c r="A563" s="114">
        <v>40203</v>
      </c>
      <c r="B563" s="121">
        <v>100.55</v>
      </c>
      <c r="C563" s="121" t="s">
        <v>625</v>
      </c>
      <c r="D563" s="121" t="s">
        <v>625</v>
      </c>
      <c r="E563" s="121" t="s">
        <v>625</v>
      </c>
      <c r="F563" s="121" t="s">
        <v>625</v>
      </c>
      <c r="G563" s="121" t="s">
        <v>625</v>
      </c>
      <c r="H563" s="121" t="e">
        <v>#N/A</v>
      </c>
      <c r="I563" s="121" t="s">
        <v>625</v>
      </c>
      <c r="J563" s="121" t="s">
        <v>625</v>
      </c>
    </row>
    <row r="564" spans="1:10">
      <c r="A564" s="114">
        <v>40204</v>
      </c>
      <c r="B564" s="121">
        <v>100.55</v>
      </c>
      <c r="C564" s="121" t="s">
        <v>625</v>
      </c>
      <c r="D564" s="121" t="s">
        <v>625</v>
      </c>
      <c r="E564" s="121" t="s">
        <v>625</v>
      </c>
      <c r="F564" s="121" t="s">
        <v>625</v>
      </c>
      <c r="G564" s="121" t="s">
        <v>625</v>
      </c>
      <c r="H564" s="121" t="e">
        <v>#N/A</v>
      </c>
      <c r="I564" s="121" t="s">
        <v>625</v>
      </c>
      <c r="J564" s="121" t="s">
        <v>625</v>
      </c>
    </row>
    <row r="565" spans="1:10">
      <c r="A565" s="114">
        <v>40205</v>
      </c>
      <c r="B565" s="121">
        <v>100.55</v>
      </c>
      <c r="C565" s="121" t="s">
        <v>625</v>
      </c>
      <c r="D565" s="121" t="s">
        <v>625</v>
      </c>
      <c r="E565" s="121" t="s">
        <v>625</v>
      </c>
      <c r="F565" s="121" t="s">
        <v>625</v>
      </c>
      <c r="G565" s="121" t="s">
        <v>625</v>
      </c>
      <c r="H565" s="121" t="e">
        <v>#N/A</v>
      </c>
      <c r="I565" s="121" t="s">
        <v>625</v>
      </c>
      <c r="J565" s="121" t="s">
        <v>625</v>
      </c>
    </row>
    <row r="566" spans="1:10">
      <c r="A566" s="114">
        <v>40206</v>
      </c>
      <c r="B566" s="121">
        <v>100.55</v>
      </c>
      <c r="C566" s="121" t="s">
        <v>625</v>
      </c>
      <c r="D566" s="121" t="s">
        <v>625</v>
      </c>
      <c r="E566" s="121" t="s">
        <v>625</v>
      </c>
      <c r="F566" s="121" t="s">
        <v>625</v>
      </c>
      <c r="G566" s="121" t="s">
        <v>625</v>
      </c>
      <c r="H566" s="121" t="e">
        <v>#N/A</v>
      </c>
      <c r="I566" s="121" t="s">
        <v>625</v>
      </c>
      <c r="J566" s="121" t="s">
        <v>625</v>
      </c>
    </row>
    <row r="567" spans="1:10">
      <c r="A567" s="114">
        <v>40207</v>
      </c>
      <c r="B567" s="121">
        <v>100.55</v>
      </c>
      <c r="C567" s="121" t="s">
        <v>625</v>
      </c>
      <c r="D567" s="121" t="s">
        <v>625</v>
      </c>
      <c r="E567" s="121" t="s">
        <v>625</v>
      </c>
      <c r="F567" s="121" t="s">
        <v>625</v>
      </c>
      <c r="G567" s="121" t="s">
        <v>625</v>
      </c>
      <c r="H567" s="121" t="e">
        <v>#N/A</v>
      </c>
      <c r="I567" s="121" t="s">
        <v>625</v>
      </c>
      <c r="J567" s="121" t="s">
        <v>625</v>
      </c>
    </row>
    <row r="568" spans="1:10">
      <c r="A568" s="114">
        <v>40210</v>
      </c>
      <c r="B568" s="121">
        <v>100.55</v>
      </c>
      <c r="C568" s="121" t="s">
        <v>625</v>
      </c>
      <c r="D568" s="121" t="s">
        <v>625</v>
      </c>
      <c r="E568" s="121" t="s">
        <v>625</v>
      </c>
      <c r="F568" s="121" t="s">
        <v>625</v>
      </c>
      <c r="G568" s="121" t="s">
        <v>625</v>
      </c>
      <c r="H568" s="121" t="e">
        <v>#N/A</v>
      </c>
      <c r="I568" s="121" t="s">
        <v>625</v>
      </c>
      <c r="J568" s="121" t="s">
        <v>625</v>
      </c>
    </row>
    <row r="569" spans="1:10">
      <c r="A569" s="114">
        <v>40211</v>
      </c>
      <c r="B569" s="121">
        <v>100.55</v>
      </c>
      <c r="C569" s="121" t="s">
        <v>625</v>
      </c>
      <c r="D569" s="121" t="s">
        <v>625</v>
      </c>
      <c r="E569" s="121" t="s">
        <v>625</v>
      </c>
      <c r="F569" s="121" t="s">
        <v>625</v>
      </c>
      <c r="G569" s="121" t="s">
        <v>625</v>
      </c>
      <c r="H569" s="121" t="e">
        <v>#N/A</v>
      </c>
      <c r="I569" s="121" t="s">
        <v>625</v>
      </c>
      <c r="J569" s="121" t="s">
        <v>625</v>
      </c>
    </row>
    <row r="570" spans="1:10">
      <c r="A570" s="114">
        <v>40212</v>
      </c>
      <c r="B570" s="121">
        <v>100.55</v>
      </c>
      <c r="C570" s="121" t="s">
        <v>625</v>
      </c>
      <c r="D570" s="121" t="s">
        <v>625</v>
      </c>
      <c r="E570" s="121" t="s">
        <v>625</v>
      </c>
      <c r="F570" s="121" t="s">
        <v>625</v>
      </c>
      <c r="G570" s="121" t="s">
        <v>625</v>
      </c>
      <c r="H570" s="121" t="e">
        <v>#N/A</v>
      </c>
      <c r="I570" s="121" t="s">
        <v>625</v>
      </c>
      <c r="J570" s="121" t="s">
        <v>625</v>
      </c>
    </row>
    <row r="571" spans="1:10">
      <c r="A571" s="114">
        <v>40213</v>
      </c>
      <c r="B571" s="121">
        <v>100.55</v>
      </c>
      <c r="C571" s="121" t="s">
        <v>625</v>
      </c>
      <c r="D571" s="121" t="s">
        <v>625</v>
      </c>
      <c r="E571" s="121" t="s">
        <v>625</v>
      </c>
      <c r="F571" s="121" t="s">
        <v>625</v>
      </c>
      <c r="G571" s="121" t="s">
        <v>625</v>
      </c>
      <c r="H571" s="121" t="e">
        <v>#N/A</v>
      </c>
      <c r="I571" s="121" t="s">
        <v>625</v>
      </c>
      <c r="J571" s="121" t="s">
        <v>625</v>
      </c>
    </row>
    <row r="572" spans="1:10">
      <c r="A572" s="114">
        <v>40214</v>
      </c>
      <c r="B572" s="121">
        <v>100.55</v>
      </c>
      <c r="C572" s="121" t="s">
        <v>625</v>
      </c>
      <c r="D572" s="121" t="s">
        <v>625</v>
      </c>
      <c r="E572" s="121" t="s">
        <v>625</v>
      </c>
      <c r="F572" s="121" t="s">
        <v>625</v>
      </c>
      <c r="G572" s="121" t="s">
        <v>625</v>
      </c>
      <c r="H572" s="121" t="e">
        <v>#N/A</v>
      </c>
      <c r="I572" s="121" t="s">
        <v>625</v>
      </c>
      <c r="J572" s="121" t="s">
        <v>625</v>
      </c>
    </row>
    <row r="573" spans="1:10">
      <c r="A573" s="114">
        <v>40217</v>
      </c>
      <c r="B573" s="121">
        <v>100.55</v>
      </c>
      <c r="C573" s="121" t="s">
        <v>625</v>
      </c>
      <c r="D573" s="121" t="s">
        <v>625</v>
      </c>
      <c r="E573" s="121" t="s">
        <v>625</v>
      </c>
      <c r="F573" s="121" t="s">
        <v>625</v>
      </c>
      <c r="G573" s="121" t="s">
        <v>625</v>
      </c>
      <c r="H573" s="121" t="e">
        <v>#N/A</v>
      </c>
      <c r="I573" s="121" t="s">
        <v>625</v>
      </c>
      <c r="J573" s="121" t="s">
        <v>625</v>
      </c>
    </row>
    <row r="574" spans="1:10">
      <c r="A574" s="114">
        <v>40218</v>
      </c>
      <c r="B574" s="121">
        <v>100.55</v>
      </c>
      <c r="C574" s="121" t="s">
        <v>625</v>
      </c>
      <c r="D574" s="121" t="s">
        <v>625</v>
      </c>
      <c r="E574" s="121" t="s">
        <v>625</v>
      </c>
      <c r="F574" s="121" t="s">
        <v>625</v>
      </c>
      <c r="G574" s="121" t="s">
        <v>625</v>
      </c>
      <c r="H574" s="121" t="e">
        <v>#N/A</v>
      </c>
      <c r="I574" s="121" t="s">
        <v>625</v>
      </c>
      <c r="J574" s="121" t="s">
        <v>625</v>
      </c>
    </row>
    <row r="575" spans="1:10">
      <c r="A575" s="114">
        <v>40219</v>
      </c>
      <c r="B575" s="121">
        <v>100.55</v>
      </c>
      <c r="C575" s="121" t="s">
        <v>625</v>
      </c>
      <c r="D575" s="121" t="s">
        <v>625</v>
      </c>
      <c r="E575" s="121" t="s">
        <v>625</v>
      </c>
      <c r="F575" s="121" t="s">
        <v>625</v>
      </c>
      <c r="G575" s="121" t="s">
        <v>625</v>
      </c>
      <c r="H575" s="121" t="e">
        <v>#N/A</v>
      </c>
      <c r="I575" s="121" t="s">
        <v>625</v>
      </c>
      <c r="J575" s="121" t="s">
        <v>625</v>
      </c>
    </row>
    <row r="576" spans="1:10">
      <c r="A576" s="114">
        <v>40220</v>
      </c>
      <c r="B576" s="121">
        <v>100.55</v>
      </c>
      <c r="C576" s="121" t="s">
        <v>625</v>
      </c>
      <c r="D576" s="121" t="s">
        <v>625</v>
      </c>
      <c r="E576" s="121" t="s">
        <v>625</v>
      </c>
      <c r="F576" s="121" t="s">
        <v>625</v>
      </c>
      <c r="G576" s="121" t="s">
        <v>625</v>
      </c>
      <c r="H576" s="121" t="e">
        <v>#N/A</v>
      </c>
      <c r="I576" s="121" t="s">
        <v>625</v>
      </c>
      <c r="J576" s="121" t="s">
        <v>625</v>
      </c>
    </row>
    <row r="577" spans="1:10">
      <c r="A577" s="114">
        <v>40221</v>
      </c>
      <c r="B577" s="121">
        <v>100.55</v>
      </c>
      <c r="C577" s="121" t="s">
        <v>625</v>
      </c>
      <c r="D577" s="121" t="s">
        <v>625</v>
      </c>
      <c r="E577" s="121" t="s">
        <v>625</v>
      </c>
      <c r="F577" s="121" t="s">
        <v>625</v>
      </c>
      <c r="G577" s="121" t="s">
        <v>625</v>
      </c>
      <c r="H577" s="121" t="e">
        <v>#N/A</v>
      </c>
      <c r="I577" s="121" t="s">
        <v>625</v>
      </c>
      <c r="J577" s="121" t="s">
        <v>625</v>
      </c>
    </row>
    <row r="578" spans="1:10">
      <c r="A578" s="114">
        <v>40229</v>
      </c>
      <c r="B578" s="121">
        <v>100.55</v>
      </c>
      <c r="C578" s="121" t="s">
        <v>625</v>
      </c>
      <c r="D578" s="121" t="s">
        <v>625</v>
      </c>
      <c r="E578" s="121" t="s">
        <v>625</v>
      </c>
      <c r="F578" s="121" t="s">
        <v>625</v>
      </c>
      <c r="G578" s="121" t="s">
        <v>625</v>
      </c>
      <c r="H578" s="121" t="e">
        <v>#N/A</v>
      </c>
      <c r="I578" s="121" t="s">
        <v>625</v>
      </c>
      <c r="J578" s="121" t="s">
        <v>625</v>
      </c>
    </row>
    <row r="579" spans="1:10">
      <c r="A579" s="114">
        <v>40230</v>
      </c>
      <c r="B579" s="121">
        <v>100.55</v>
      </c>
      <c r="C579" s="121" t="s">
        <v>625</v>
      </c>
      <c r="D579" s="121" t="s">
        <v>625</v>
      </c>
      <c r="E579" s="121" t="s">
        <v>625</v>
      </c>
      <c r="F579" s="121" t="s">
        <v>625</v>
      </c>
      <c r="G579" s="121" t="s">
        <v>625</v>
      </c>
      <c r="H579" s="121" t="e">
        <v>#N/A</v>
      </c>
      <c r="I579" s="121" t="s">
        <v>625</v>
      </c>
      <c r="J579" s="121" t="s">
        <v>625</v>
      </c>
    </row>
    <row r="580" spans="1:10">
      <c r="A580" s="114">
        <v>40231</v>
      </c>
      <c r="B580" s="121">
        <v>100.55</v>
      </c>
      <c r="C580" s="121" t="s">
        <v>625</v>
      </c>
      <c r="D580" s="121" t="s">
        <v>625</v>
      </c>
      <c r="E580" s="121" t="s">
        <v>625</v>
      </c>
      <c r="F580" s="121" t="s">
        <v>625</v>
      </c>
      <c r="G580" s="121" t="s">
        <v>625</v>
      </c>
      <c r="H580" s="121" t="e">
        <v>#N/A</v>
      </c>
      <c r="I580" s="121" t="s">
        <v>625</v>
      </c>
      <c r="J580" s="121" t="s">
        <v>625</v>
      </c>
    </row>
    <row r="581" spans="1:10">
      <c r="A581" s="114">
        <v>40232</v>
      </c>
      <c r="B581" s="121">
        <v>100.55</v>
      </c>
      <c r="C581" s="121" t="s">
        <v>625</v>
      </c>
      <c r="D581" s="121" t="s">
        <v>625</v>
      </c>
      <c r="E581" s="121" t="s">
        <v>625</v>
      </c>
      <c r="F581" s="121" t="s">
        <v>625</v>
      </c>
      <c r="G581" s="121" t="s">
        <v>625</v>
      </c>
      <c r="H581" s="121" t="e">
        <v>#N/A</v>
      </c>
      <c r="I581" s="121" t="s">
        <v>625</v>
      </c>
      <c r="J581" s="121" t="s">
        <v>625</v>
      </c>
    </row>
    <row r="582" spans="1:10">
      <c r="A582" s="114">
        <v>40233</v>
      </c>
      <c r="B582" s="121">
        <v>100.55</v>
      </c>
      <c r="C582" s="121" t="s">
        <v>625</v>
      </c>
      <c r="D582" s="121" t="s">
        <v>625</v>
      </c>
      <c r="E582" s="121" t="s">
        <v>625</v>
      </c>
      <c r="F582" s="121" t="s">
        <v>625</v>
      </c>
      <c r="G582" s="121" t="s">
        <v>625</v>
      </c>
      <c r="H582" s="121" t="e">
        <v>#N/A</v>
      </c>
      <c r="I582" s="121" t="s">
        <v>625</v>
      </c>
      <c r="J582" s="121" t="s">
        <v>625</v>
      </c>
    </row>
    <row r="583" spans="1:10">
      <c r="A583" s="114">
        <v>40234</v>
      </c>
      <c r="B583" s="121">
        <v>100.55</v>
      </c>
      <c r="C583" s="121" t="s">
        <v>625</v>
      </c>
      <c r="D583" s="121" t="s">
        <v>625</v>
      </c>
      <c r="E583" s="121" t="s">
        <v>625</v>
      </c>
      <c r="F583" s="121" t="s">
        <v>625</v>
      </c>
      <c r="G583" s="121" t="s">
        <v>625</v>
      </c>
      <c r="H583" s="121" t="e">
        <v>#N/A</v>
      </c>
      <c r="I583" s="121" t="s">
        <v>625</v>
      </c>
      <c r="J583" s="121" t="s">
        <v>625</v>
      </c>
    </row>
    <row r="584" spans="1:10">
      <c r="A584" s="114">
        <v>40235</v>
      </c>
      <c r="B584" s="121">
        <v>100.55</v>
      </c>
      <c r="C584" s="121" t="s">
        <v>625</v>
      </c>
      <c r="D584" s="121" t="s">
        <v>625</v>
      </c>
      <c r="E584" s="121" t="s">
        <v>625</v>
      </c>
      <c r="F584" s="121" t="s">
        <v>625</v>
      </c>
      <c r="G584" s="121" t="s">
        <v>625</v>
      </c>
      <c r="H584" s="121" t="e">
        <v>#N/A</v>
      </c>
      <c r="I584" s="121" t="s">
        <v>625</v>
      </c>
      <c r="J584" s="121" t="s">
        <v>625</v>
      </c>
    </row>
    <row r="585" spans="1:10">
      <c r="A585" s="114">
        <v>40238</v>
      </c>
      <c r="B585" s="121">
        <v>102.21</v>
      </c>
      <c r="C585" s="121" t="s">
        <v>625</v>
      </c>
      <c r="D585" s="121" t="s">
        <v>625</v>
      </c>
      <c r="E585" s="121" t="s">
        <v>625</v>
      </c>
      <c r="F585" s="121" t="s">
        <v>625</v>
      </c>
      <c r="G585" s="121" t="s">
        <v>625</v>
      </c>
      <c r="H585" s="121" t="e">
        <v>#N/A</v>
      </c>
      <c r="I585" s="121" t="s">
        <v>625</v>
      </c>
      <c r="J585" s="121" t="s">
        <v>625</v>
      </c>
    </row>
    <row r="586" spans="1:10">
      <c r="A586" s="114">
        <v>40239</v>
      </c>
      <c r="B586" s="121">
        <v>102.21</v>
      </c>
      <c r="C586" s="121" t="s">
        <v>625</v>
      </c>
      <c r="D586" s="121" t="s">
        <v>625</v>
      </c>
      <c r="E586" s="121" t="s">
        <v>625</v>
      </c>
      <c r="F586" s="121" t="s">
        <v>625</v>
      </c>
      <c r="G586" s="121" t="s">
        <v>625</v>
      </c>
      <c r="H586" s="121" t="e">
        <v>#N/A</v>
      </c>
      <c r="I586" s="121" t="s">
        <v>625</v>
      </c>
      <c r="J586" s="121" t="s">
        <v>625</v>
      </c>
    </row>
    <row r="587" spans="1:10">
      <c r="A587" s="114">
        <v>40240</v>
      </c>
      <c r="B587" s="121">
        <v>102.21</v>
      </c>
      <c r="C587" s="121" t="s">
        <v>625</v>
      </c>
      <c r="D587" s="121" t="s">
        <v>625</v>
      </c>
      <c r="E587" s="121" t="s">
        <v>625</v>
      </c>
      <c r="F587" s="121" t="s">
        <v>625</v>
      </c>
      <c r="G587" s="121" t="s">
        <v>625</v>
      </c>
      <c r="H587" s="121" t="e">
        <v>#N/A</v>
      </c>
      <c r="I587" s="121" t="s">
        <v>625</v>
      </c>
      <c r="J587" s="121" t="s">
        <v>625</v>
      </c>
    </row>
    <row r="588" spans="1:10">
      <c r="A588" s="114">
        <v>40241</v>
      </c>
      <c r="B588" s="121">
        <v>102.21</v>
      </c>
      <c r="C588" s="121" t="s">
        <v>625</v>
      </c>
      <c r="D588" s="121" t="s">
        <v>625</v>
      </c>
      <c r="E588" s="121" t="s">
        <v>625</v>
      </c>
      <c r="F588" s="121" t="s">
        <v>625</v>
      </c>
      <c r="G588" s="121" t="s">
        <v>625</v>
      </c>
      <c r="H588" s="121" t="e">
        <v>#N/A</v>
      </c>
      <c r="I588" s="121" t="s">
        <v>625</v>
      </c>
      <c r="J588" s="121" t="s">
        <v>625</v>
      </c>
    </row>
    <row r="589" spans="1:10">
      <c r="A589" s="114">
        <v>40242</v>
      </c>
      <c r="B589" s="121">
        <v>102.21</v>
      </c>
      <c r="C589" s="121" t="s">
        <v>625</v>
      </c>
      <c r="D589" s="121" t="s">
        <v>625</v>
      </c>
      <c r="E589" s="121" t="s">
        <v>625</v>
      </c>
      <c r="F589" s="121" t="s">
        <v>625</v>
      </c>
      <c r="G589" s="121" t="s">
        <v>625</v>
      </c>
      <c r="H589" s="121" t="e">
        <v>#N/A</v>
      </c>
      <c r="I589" s="121" t="s">
        <v>625</v>
      </c>
      <c r="J589" s="121" t="s">
        <v>625</v>
      </c>
    </row>
    <row r="590" spans="1:10">
      <c r="A590" s="114">
        <v>40245</v>
      </c>
      <c r="B590" s="121">
        <v>102.21</v>
      </c>
      <c r="C590" s="121" t="s">
        <v>625</v>
      </c>
      <c r="D590" s="121" t="s">
        <v>625</v>
      </c>
      <c r="E590" s="121" t="s">
        <v>625</v>
      </c>
      <c r="F590" s="121" t="s">
        <v>625</v>
      </c>
      <c r="G590" s="121" t="s">
        <v>625</v>
      </c>
      <c r="H590" s="121" t="e">
        <v>#N/A</v>
      </c>
      <c r="I590" s="121" t="s">
        <v>625</v>
      </c>
      <c r="J590" s="121" t="s">
        <v>625</v>
      </c>
    </row>
    <row r="591" spans="1:10">
      <c r="A591" s="114">
        <v>40246</v>
      </c>
      <c r="B591" s="121">
        <v>102.21</v>
      </c>
      <c r="C591" s="121" t="s">
        <v>625</v>
      </c>
      <c r="D591" s="121" t="s">
        <v>625</v>
      </c>
      <c r="E591" s="121" t="s">
        <v>625</v>
      </c>
      <c r="F591" s="121" t="s">
        <v>625</v>
      </c>
      <c r="G591" s="121" t="s">
        <v>625</v>
      </c>
      <c r="H591" s="121" t="e">
        <v>#N/A</v>
      </c>
      <c r="I591" s="121" t="s">
        <v>625</v>
      </c>
      <c r="J591" s="121" t="s">
        <v>625</v>
      </c>
    </row>
    <row r="592" spans="1:10">
      <c r="A592" s="114">
        <v>40247</v>
      </c>
      <c r="B592" s="121">
        <v>102.21</v>
      </c>
      <c r="C592" s="121" t="s">
        <v>625</v>
      </c>
      <c r="D592" s="121" t="s">
        <v>625</v>
      </c>
      <c r="E592" s="121" t="s">
        <v>625</v>
      </c>
      <c r="F592" s="121" t="s">
        <v>625</v>
      </c>
      <c r="G592" s="121" t="s">
        <v>625</v>
      </c>
      <c r="H592" s="121" t="e">
        <v>#N/A</v>
      </c>
      <c r="I592" s="121" t="s">
        <v>625</v>
      </c>
      <c r="J592" s="121" t="s">
        <v>625</v>
      </c>
    </row>
    <row r="593" spans="1:10">
      <c r="A593" s="114">
        <v>40248</v>
      </c>
      <c r="B593" s="121">
        <v>102.21</v>
      </c>
      <c r="C593" s="121" t="s">
        <v>625</v>
      </c>
      <c r="D593" s="121" t="s">
        <v>625</v>
      </c>
      <c r="E593" s="121" t="s">
        <v>625</v>
      </c>
      <c r="F593" s="121" t="s">
        <v>625</v>
      </c>
      <c r="G593" s="121" t="s">
        <v>625</v>
      </c>
      <c r="H593" s="121" t="e">
        <v>#N/A</v>
      </c>
      <c r="I593" s="121" t="s">
        <v>625</v>
      </c>
      <c r="J593" s="121" t="s">
        <v>625</v>
      </c>
    </row>
    <row r="594" spans="1:10">
      <c r="A594" s="114">
        <v>40249</v>
      </c>
      <c r="B594" s="121">
        <v>102.13</v>
      </c>
      <c r="C594" s="121" t="s">
        <v>625</v>
      </c>
      <c r="D594" s="121" t="s">
        <v>625</v>
      </c>
      <c r="E594" s="121" t="s">
        <v>625</v>
      </c>
      <c r="F594" s="121" t="s">
        <v>625</v>
      </c>
      <c r="G594" s="121" t="s">
        <v>625</v>
      </c>
      <c r="H594" s="121" t="e">
        <v>#N/A</v>
      </c>
      <c r="I594" s="121" t="s">
        <v>625</v>
      </c>
      <c r="J594" s="121" t="s">
        <v>625</v>
      </c>
    </row>
    <row r="595" spans="1:10">
      <c r="A595" s="114">
        <v>40252</v>
      </c>
      <c r="B595" s="121">
        <v>102.13</v>
      </c>
      <c r="C595" s="121" t="s">
        <v>625</v>
      </c>
      <c r="D595" s="121" t="s">
        <v>625</v>
      </c>
      <c r="E595" s="121" t="s">
        <v>625</v>
      </c>
      <c r="F595" s="121" t="s">
        <v>625</v>
      </c>
      <c r="G595" s="121" t="s">
        <v>625</v>
      </c>
      <c r="H595" s="121" t="e">
        <v>#N/A</v>
      </c>
      <c r="I595" s="121" t="s">
        <v>625</v>
      </c>
      <c r="J595" s="121" t="s">
        <v>625</v>
      </c>
    </row>
    <row r="596" spans="1:10">
      <c r="A596" s="114">
        <v>40253</v>
      </c>
      <c r="B596" s="121">
        <v>102.13</v>
      </c>
      <c r="C596" s="121" t="s">
        <v>625</v>
      </c>
      <c r="D596" s="121" t="s">
        <v>625</v>
      </c>
      <c r="E596" s="121" t="s">
        <v>625</v>
      </c>
      <c r="F596" s="121" t="s">
        <v>625</v>
      </c>
      <c r="G596" s="121" t="s">
        <v>625</v>
      </c>
      <c r="H596" s="121" t="e">
        <v>#N/A</v>
      </c>
      <c r="I596" s="121" t="s">
        <v>625</v>
      </c>
      <c r="J596" s="121" t="s">
        <v>625</v>
      </c>
    </row>
    <row r="597" spans="1:10">
      <c r="A597" s="114">
        <v>40254</v>
      </c>
      <c r="B597" s="121">
        <v>102.13</v>
      </c>
      <c r="C597" s="121" t="s">
        <v>625</v>
      </c>
      <c r="D597" s="121" t="s">
        <v>625</v>
      </c>
      <c r="E597" s="121" t="s">
        <v>625</v>
      </c>
      <c r="F597" s="121" t="s">
        <v>625</v>
      </c>
      <c r="G597" s="121" t="s">
        <v>625</v>
      </c>
      <c r="H597" s="121" t="e">
        <v>#N/A</v>
      </c>
      <c r="I597" s="121" t="s">
        <v>625</v>
      </c>
      <c r="J597" s="121" t="s">
        <v>625</v>
      </c>
    </row>
    <row r="598" spans="1:10">
      <c r="A598" s="114">
        <v>40255</v>
      </c>
      <c r="B598" s="121">
        <v>102.13</v>
      </c>
      <c r="C598" s="121" t="s">
        <v>625</v>
      </c>
      <c r="D598" s="121" t="s">
        <v>625</v>
      </c>
      <c r="E598" s="121" t="s">
        <v>625</v>
      </c>
      <c r="F598" s="121" t="s">
        <v>625</v>
      </c>
      <c r="G598" s="121" t="s">
        <v>625</v>
      </c>
      <c r="H598" s="121" t="e">
        <v>#N/A</v>
      </c>
      <c r="I598" s="121" t="s">
        <v>625</v>
      </c>
      <c r="J598" s="121" t="s">
        <v>625</v>
      </c>
    </row>
    <row r="599" spans="1:10">
      <c r="A599" s="114">
        <v>40256</v>
      </c>
      <c r="B599" s="121">
        <v>102.13</v>
      </c>
      <c r="C599" s="121" t="s">
        <v>625</v>
      </c>
      <c r="D599" s="121" t="s">
        <v>625</v>
      </c>
      <c r="E599" s="121" t="s">
        <v>625</v>
      </c>
      <c r="F599" s="121" t="s">
        <v>625</v>
      </c>
      <c r="G599" s="121" t="s">
        <v>625</v>
      </c>
      <c r="H599" s="121" t="e">
        <v>#N/A</v>
      </c>
      <c r="I599" s="121" t="s">
        <v>625</v>
      </c>
      <c r="J599" s="121" t="s">
        <v>625</v>
      </c>
    </row>
    <row r="600" spans="1:10">
      <c r="A600" s="114">
        <v>40259</v>
      </c>
      <c r="B600" s="121">
        <v>102.13</v>
      </c>
      <c r="C600" s="121" t="s">
        <v>625</v>
      </c>
      <c r="D600" s="121" t="s">
        <v>625</v>
      </c>
      <c r="E600" s="121" t="s">
        <v>625</v>
      </c>
      <c r="F600" s="121" t="s">
        <v>625</v>
      </c>
      <c r="G600" s="121" t="s">
        <v>625</v>
      </c>
      <c r="H600" s="121" t="e">
        <v>#N/A</v>
      </c>
      <c r="I600" s="121" t="s">
        <v>625</v>
      </c>
      <c r="J600" s="121" t="s">
        <v>625</v>
      </c>
    </row>
    <row r="601" spans="1:10">
      <c r="A601" s="114">
        <v>40260</v>
      </c>
      <c r="B601" s="121">
        <v>102.13</v>
      </c>
      <c r="C601" s="121" t="s">
        <v>625</v>
      </c>
      <c r="D601" s="121" t="s">
        <v>625</v>
      </c>
      <c r="E601" s="121" t="s">
        <v>625</v>
      </c>
      <c r="F601" s="121" t="s">
        <v>625</v>
      </c>
      <c r="G601" s="121" t="s">
        <v>625</v>
      </c>
      <c r="H601" s="121" t="e">
        <v>#N/A</v>
      </c>
      <c r="I601" s="121" t="s">
        <v>625</v>
      </c>
      <c r="J601" s="121" t="s">
        <v>625</v>
      </c>
    </row>
    <row r="602" spans="1:10">
      <c r="A602" s="114">
        <v>40261</v>
      </c>
      <c r="B602" s="121">
        <v>102.13</v>
      </c>
      <c r="C602" s="121" t="s">
        <v>625</v>
      </c>
      <c r="D602" s="121" t="s">
        <v>625</v>
      </c>
      <c r="E602" s="121" t="s">
        <v>625</v>
      </c>
      <c r="F602" s="121" t="s">
        <v>625</v>
      </c>
      <c r="G602" s="121" t="s">
        <v>625</v>
      </c>
      <c r="H602" s="121" t="e">
        <v>#N/A</v>
      </c>
      <c r="I602" s="121" t="s">
        <v>625</v>
      </c>
      <c r="J602" s="121" t="s">
        <v>625</v>
      </c>
    </row>
    <row r="603" spans="1:10">
      <c r="A603" s="114">
        <v>40262</v>
      </c>
      <c r="B603" s="121">
        <v>102.13</v>
      </c>
      <c r="C603" s="121" t="s">
        <v>625</v>
      </c>
      <c r="D603" s="121" t="s">
        <v>625</v>
      </c>
      <c r="E603" s="121" t="s">
        <v>625</v>
      </c>
      <c r="F603" s="121" t="s">
        <v>625</v>
      </c>
      <c r="G603" s="121" t="s">
        <v>625</v>
      </c>
      <c r="H603" s="121" t="e">
        <v>#N/A</v>
      </c>
      <c r="I603" s="121" t="s">
        <v>625</v>
      </c>
      <c r="J603" s="121" t="s">
        <v>625</v>
      </c>
    </row>
    <row r="604" spans="1:10">
      <c r="A604" s="114">
        <v>40263</v>
      </c>
      <c r="B604" s="121">
        <v>102.13</v>
      </c>
      <c r="C604" s="121" t="s">
        <v>625</v>
      </c>
      <c r="D604" s="121" t="s">
        <v>625</v>
      </c>
      <c r="E604" s="121" t="s">
        <v>625</v>
      </c>
      <c r="F604" s="121" t="s">
        <v>625</v>
      </c>
      <c r="G604" s="121" t="s">
        <v>625</v>
      </c>
      <c r="H604" s="121" t="e">
        <v>#N/A</v>
      </c>
      <c r="I604" s="121" t="s">
        <v>625</v>
      </c>
      <c r="J604" s="121" t="s">
        <v>625</v>
      </c>
    </row>
    <row r="605" spans="1:10">
      <c r="A605" s="114">
        <v>40266</v>
      </c>
      <c r="B605" s="121">
        <v>102.13</v>
      </c>
      <c r="C605" s="121" t="s">
        <v>625</v>
      </c>
      <c r="D605" s="121" t="s">
        <v>625</v>
      </c>
      <c r="E605" s="121" t="s">
        <v>625</v>
      </c>
      <c r="F605" s="121" t="s">
        <v>625</v>
      </c>
      <c r="G605" s="121" t="s">
        <v>625</v>
      </c>
      <c r="H605" s="121" t="e">
        <v>#N/A</v>
      </c>
      <c r="I605" s="121" t="s">
        <v>625</v>
      </c>
      <c r="J605" s="121" t="s">
        <v>625</v>
      </c>
    </row>
    <row r="606" spans="1:10">
      <c r="A606" s="114">
        <v>40267</v>
      </c>
      <c r="B606" s="121">
        <v>102.13</v>
      </c>
      <c r="C606" s="121" t="s">
        <v>625</v>
      </c>
      <c r="D606" s="121" t="s">
        <v>625</v>
      </c>
      <c r="E606" s="121" t="s">
        <v>625</v>
      </c>
      <c r="F606" s="121" t="s">
        <v>625</v>
      </c>
      <c r="G606" s="121" t="s">
        <v>625</v>
      </c>
      <c r="H606" s="121" t="e">
        <v>#N/A</v>
      </c>
      <c r="I606" s="121" t="s">
        <v>625</v>
      </c>
      <c r="J606" s="121" t="s">
        <v>625</v>
      </c>
    </row>
    <row r="607" spans="1:10">
      <c r="A607" s="114">
        <v>40268</v>
      </c>
      <c r="B607" s="121">
        <v>102.13</v>
      </c>
      <c r="C607" s="121" t="s">
        <v>625</v>
      </c>
      <c r="D607" s="121" t="s">
        <v>625</v>
      </c>
      <c r="E607" s="121" t="s">
        <v>625</v>
      </c>
      <c r="F607" s="121" t="s">
        <v>625</v>
      </c>
      <c r="G607" s="121" t="s">
        <v>625</v>
      </c>
      <c r="H607" s="121" t="e">
        <v>#N/A</v>
      </c>
      <c r="I607" s="121" t="s">
        <v>625</v>
      </c>
      <c r="J607" s="121" t="s">
        <v>625</v>
      </c>
    </row>
    <row r="608" spans="1:10">
      <c r="A608" s="114">
        <v>40269</v>
      </c>
      <c r="B608" s="121">
        <v>102.13</v>
      </c>
      <c r="C608" s="121" t="s">
        <v>625</v>
      </c>
      <c r="D608" s="121" t="s">
        <v>625</v>
      </c>
      <c r="E608" s="121" t="s">
        <v>625</v>
      </c>
      <c r="F608" s="121" t="s">
        <v>625</v>
      </c>
      <c r="G608" s="121" t="s">
        <v>625</v>
      </c>
      <c r="H608" s="121" t="e">
        <v>#N/A</v>
      </c>
      <c r="I608" s="121" t="s">
        <v>625</v>
      </c>
      <c r="J608" s="121" t="s">
        <v>625</v>
      </c>
    </row>
    <row r="609" spans="1:10">
      <c r="A609" s="114">
        <v>40270</v>
      </c>
      <c r="B609" s="121">
        <v>102.13</v>
      </c>
      <c r="C609" s="121" t="s">
        <v>625</v>
      </c>
      <c r="D609" s="121" t="s">
        <v>625</v>
      </c>
      <c r="E609" s="121" t="s">
        <v>625</v>
      </c>
      <c r="F609" s="121" t="s">
        <v>625</v>
      </c>
      <c r="G609" s="121" t="s">
        <v>625</v>
      </c>
      <c r="H609" s="121" t="e">
        <v>#N/A</v>
      </c>
      <c r="I609" s="121" t="s">
        <v>625</v>
      </c>
      <c r="J609" s="121" t="s">
        <v>625</v>
      </c>
    </row>
    <row r="610" spans="1:10">
      <c r="A610" s="114">
        <v>40274</v>
      </c>
      <c r="B610" s="121">
        <v>102.13</v>
      </c>
      <c r="C610" s="121" t="s">
        <v>625</v>
      </c>
      <c r="D610" s="121" t="s">
        <v>625</v>
      </c>
      <c r="E610" s="121" t="s">
        <v>625</v>
      </c>
      <c r="F610" s="121" t="s">
        <v>625</v>
      </c>
      <c r="G610" s="121" t="s">
        <v>625</v>
      </c>
      <c r="H610" s="121" t="e">
        <v>#N/A</v>
      </c>
      <c r="I610" s="121" t="s">
        <v>625</v>
      </c>
      <c r="J610" s="121" t="s">
        <v>625</v>
      </c>
    </row>
    <row r="611" spans="1:10">
      <c r="A611" s="114">
        <v>40275</v>
      </c>
      <c r="B611" s="121">
        <v>102.13</v>
      </c>
      <c r="C611" s="121" t="s">
        <v>625</v>
      </c>
      <c r="D611" s="121" t="s">
        <v>625</v>
      </c>
      <c r="E611" s="121" t="s">
        <v>625</v>
      </c>
      <c r="F611" s="121" t="s">
        <v>625</v>
      </c>
      <c r="G611" s="121" t="s">
        <v>625</v>
      </c>
      <c r="H611" s="121" t="e">
        <v>#N/A</v>
      </c>
      <c r="I611" s="121" t="s">
        <v>625</v>
      </c>
      <c r="J611" s="121" t="s">
        <v>625</v>
      </c>
    </row>
    <row r="612" spans="1:10">
      <c r="A612" s="114">
        <v>40276</v>
      </c>
      <c r="B612" s="121">
        <v>102.13</v>
      </c>
      <c r="C612" s="121" t="s">
        <v>625</v>
      </c>
      <c r="D612" s="121" t="s">
        <v>625</v>
      </c>
      <c r="E612" s="121" t="s">
        <v>625</v>
      </c>
      <c r="F612" s="121" t="s">
        <v>625</v>
      </c>
      <c r="G612" s="121" t="s">
        <v>625</v>
      </c>
      <c r="H612" s="121" t="e">
        <v>#N/A</v>
      </c>
      <c r="I612" s="121" t="s">
        <v>625</v>
      </c>
      <c r="J612" s="121" t="s">
        <v>625</v>
      </c>
    </row>
    <row r="613" spans="1:10">
      <c r="A613" s="114">
        <v>40277</v>
      </c>
      <c r="B613" s="121">
        <v>102.13</v>
      </c>
      <c r="C613" s="121" t="s">
        <v>625</v>
      </c>
      <c r="D613" s="121" t="s">
        <v>625</v>
      </c>
      <c r="E613" s="121" t="s">
        <v>625</v>
      </c>
      <c r="F613" s="121" t="s">
        <v>625</v>
      </c>
      <c r="G613" s="121" t="s">
        <v>625</v>
      </c>
      <c r="H613" s="121" t="e">
        <v>#N/A</v>
      </c>
      <c r="I613" s="121" t="s">
        <v>625</v>
      </c>
      <c r="J613" s="121" t="s">
        <v>625</v>
      </c>
    </row>
    <row r="614" spans="1:10">
      <c r="A614" s="114">
        <v>40280</v>
      </c>
      <c r="B614" s="121">
        <v>102.13</v>
      </c>
      <c r="C614" s="121" t="s">
        <v>625</v>
      </c>
      <c r="D614" s="121" t="s">
        <v>625</v>
      </c>
      <c r="E614" s="121" t="s">
        <v>625</v>
      </c>
      <c r="F614" s="121" t="s">
        <v>625</v>
      </c>
      <c r="G614" s="121" t="s">
        <v>625</v>
      </c>
      <c r="H614" s="121" t="e">
        <v>#N/A</v>
      </c>
      <c r="I614" s="121" t="s">
        <v>625</v>
      </c>
      <c r="J614" s="121" t="s">
        <v>625</v>
      </c>
    </row>
    <row r="615" spans="1:10">
      <c r="A615" s="114">
        <v>40281</v>
      </c>
      <c r="B615" s="121">
        <v>102.13</v>
      </c>
      <c r="C615" s="121" t="s">
        <v>625</v>
      </c>
      <c r="D615" s="121" t="s">
        <v>625</v>
      </c>
      <c r="E615" s="121" t="s">
        <v>625</v>
      </c>
      <c r="F615" s="121" t="s">
        <v>625</v>
      </c>
      <c r="G615" s="121" t="s">
        <v>625</v>
      </c>
      <c r="H615" s="121" t="e">
        <v>#N/A</v>
      </c>
      <c r="I615" s="121" t="s">
        <v>625</v>
      </c>
      <c r="J615" s="121" t="s">
        <v>625</v>
      </c>
    </row>
    <row r="616" spans="1:10">
      <c r="A616" s="114">
        <v>40282</v>
      </c>
      <c r="B616" s="121">
        <v>102.13</v>
      </c>
      <c r="C616" s="121" t="s">
        <v>625</v>
      </c>
      <c r="D616" s="121" t="s">
        <v>625</v>
      </c>
      <c r="E616" s="121" t="s">
        <v>625</v>
      </c>
      <c r="F616" s="121" t="s">
        <v>625</v>
      </c>
      <c r="G616" s="121" t="s">
        <v>625</v>
      </c>
      <c r="H616" s="121" t="e">
        <v>#N/A</v>
      </c>
      <c r="I616" s="121" t="s">
        <v>625</v>
      </c>
      <c r="J616" s="121" t="s">
        <v>625</v>
      </c>
    </row>
    <row r="617" spans="1:10">
      <c r="A617" s="114">
        <v>40283</v>
      </c>
      <c r="B617" s="121">
        <v>102.13</v>
      </c>
      <c r="C617" s="121" t="s">
        <v>625</v>
      </c>
      <c r="D617" s="121" t="s">
        <v>625</v>
      </c>
      <c r="E617" s="121" t="s">
        <v>625</v>
      </c>
      <c r="F617" s="121" t="s">
        <v>625</v>
      </c>
      <c r="G617" s="121" t="s">
        <v>625</v>
      </c>
      <c r="H617" s="121" t="e">
        <v>#N/A</v>
      </c>
      <c r="I617" s="121" t="s">
        <v>625</v>
      </c>
      <c r="J617" s="121" t="s">
        <v>625</v>
      </c>
    </row>
    <row r="618" spans="1:10">
      <c r="A618" s="114">
        <v>40284</v>
      </c>
      <c r="B618" s="121">
        <v>102.13</v>
      </c>
      <c r="C618" s="121" t="s">
        <v>625</v>
      </c>
      <c r="D618" s="121" t="s">
        <v>625</v>
      </c>
      <c r="E618" s="121" t="s">
        <v>625</v>
      </c>
      <c r="F618" s="121" t="s">
        <v>625</v>
      </c>
      <c r="G618" s="121" t="s">
        <v>625</v>
      </c>
      <c r="H618" s="121" t="e">
        <v>#N/A</v>
      </c>
      <c r="I618" s="121" t="s">
        <v>625</v>
      </c>
      <c r="J618" s="121" t="s">
        <v>625</v>
      </c>
    </row>
    <row r="619" spans="1:10">
      <c r="A619" s="114">
        <v>40287</v>
      </c>
      <c r="B619" s="121">
        <v>102.13</v>
      </c>
      <c r="C619" s="121" t="s">
        <v>625</v>
      </c>
      <c r="D619" s="121" t="s">
        <v>625</v>
      </c>
      <c r="E619" s="121" t="s">
        <v>625</v>
      </c>
      <c r="F619" s="121" t="s">
        <v>625</v>
      </c>
      <c r="G619" s="121" t="s">
        <v>625</v>
      </c>
      <c r="H619" s="121" t="e">
        <v>#N/A</v>
      </c>
      <c r="I619" s="121" t="s">
        <v>625</v>
      </c>
      <c r="J619" s="121" t="s">
        <v>625</v>
      </c>
    </row>
    <row r="620" spans="1:10">
      <c r="A620" s="114">
        <v>40288</v>
      </c>
      <c r="B620" s="121">
        <v>102.13</v>
      </c>
      <c r="C620" s="121" t="s">
        <v>625</v>
      </c>
      <c r="D620" s="121" t="s">
        <v>625</v>
      </c>
      <c r="E620" s="121" t="s">
        <v>625</v>
      </c>
      <c r="F620" s="121" t="s">
        <v>625</v>
      </c>
      <c r="G620" s="121" t="s">
        <v>625</v>
      </c>
      <c r="H620" s="121" t="e">
        <v>#N/A</v>
      </c>
      <c r="I620" s="121" t="s">
        <v>625</v>
      </c>
      <c r="J620" s="121" t="s">
        <v>625</v>
      </c>
    </row>
    <row r="621" spans="1:10">
      <c r="A621" s="114">
        <v>40289</v>
      </c>
      <c r="B621" s="121">
        <v>102.13</v>
      </c>
      <c r="C621" s="121" t="s">
        <v>625</v>
      </c>
      <c r="D621" s="121" t="s">
        <v>625</v>
      </c>
      <c r="E621" s="121" t="s">
        <v>625</v>
      </c>
      <c r="F621" s="121" t="s">
        <v>625</v>
      </c>
      <c r="G621" s="121" t="s">
        <v>625</v>
      </c>
      <c r="H621" s="121" t="e">
        <v>#N/A</v>
      </c>
      <c r="I621" s="121" t="s">
        <v>625</v>
      </c>
      <c r="J621" s="121" t="s">
        <v>625</v>
      </c>
    </row>
    <row r="622" spans="1:10">
      <c r="A622" s="114">
        <v>40290</v>
      </c>
      <c r="B622" s="121">
        <v>102.13</v>
      </c>
      <c r="C622" s="121" t="s">
        <v>625</v>
      </c>
      <c r="D622" s="121" t="s">
        <v>625</v>
      </c>
      <c r="E622" s="121" t="s">
        <v>625</v>
      </c>
      <c r="F622" s="121" t="s">
        <v>625</v>
      </c>
      <c r="G622" s="121" t="s">
        <v>625</v>
      </c>
      <c r="H622" s="121" t="e">
        <v>#N/A</v>
      </c>
      <c r="I622" s="121" t="s">
        <v>625</v>
      </c>
      <c r="J622" s="121" t="s">
        <v>625</v>
      </c>
    </row>
    <row r="623" spans="1:10">
      <c r="A623" s="114">
        <v>40291</v>
      </c>
      <c r="B623" s="121">
        <v>102.13</v>
      </c>
      <c r="C623" s="121" t="s">
        <v>625</v>
      </c>
      <c r="D623" s="121" t="s">
        <v>625</v>
      </c>
      <c r="E623" s="121" t="s">
        <v>625</v>
      </c>
      <c r="F623" s="121" t="s">
        <v>625</v>
      </c>
      <c r="G623" s="121" t="s">
        <v>625</v>
      </c>
      <c r="H623" s="121" t="e">
        <v>#N/A</v>
      </c>
      <c r="I623" s="121" t="s">
        <v>625</v>
      </c>
      <c r="J623" s="121" t="s">
        <v>625</v>
      </c>
    </row>
    <row r="624" spans="1:10">
      <c r="A624" s="114">
        <v>40294</v>
      </c>
      <c r="B624" s="121">
        <v>102.13</v>
      </c>
      <c r="C624" s="121" t="s">
        <v>625</v>
      </c>
      <c r="D624" s="121" t="s">
        <v>625</v>
      </c>
      <c r="E624" s="121" t="s">
        <v>625</v>
      </c>
      <c r="F624" s="121" t="s">
        <v>625</v>
      </c>
      <c r="G624" s="121" t="s">
        <v>625</v>
      </c>
      <c r="H624" s="121" t="e">
        <v>#N/A</v>
      </c>
      <c r="I624" s="121" t="s">
        <v>625</v>
      </c>
      <c r="J624" s="121" t="s">
        <v>625</v>
      </c>
    </row>
    <row r="625" spans="1:10">
      <c r="A625" s="114">
        <v>40295</v>
      </c>
      <c r="B625" s="121">
        <v>102.13</v>
      </c>
      <c r="C625" s="121" t="s">
        <v>625</v>
      </c>
      <c r="D625" s="121" t="s">
        <v>625</v>
      </c>
      <c r="E625" s="121" t="s">
        <v>625</v>
      </c>
      <c r="F625" s="121" t="s">
        <v>625</v>
      </c>
      <c r="G625" s="121" t="s">
        <v>625</v>
      </c>
      <c r="H625" s="121" t="e">
        <v>#N/A</v>
      </c>
      <c r="I625" s="121" t="s">
        <v>625</v>
      </c>
      <c r="J625" s="121" t="s">
        <v>625</v>
      </c>
    </row>
    <row r="626" spans="1:10">
      <c r="A626" s="114">
        <v>40296</v>
      </c>
      <c r="B626" s="121">
        <v>102.13</v>
      </c>
      <c r="C626" s="121" t="s">
        <v>625</v>
      </c>
      <c r="D626" s="121" t="s">
        <v>625</v>
      </c>
      <c r="E626" s="121" t="s">
        <v>625</v>
      </c>
      <c r="F626" s="121" t="s">
        <v>625</v>
      </c>
      <c r="G626" s="121" t="s">
        <v>625</v>
      </c>
      <c r="H626" s="121" t="e">
        <v>#N/A</v>
      </c>
      <c r="I626" s="121" t="s">
        <v>625</v>
      </c>
      <c r="J626" s="121" t="s">
        <v>625</v>
      </c>
    </row>
    <row r="627" spans="1:10">
      <c r="A627" s="114">
        <v>40297</v>
      </c>
      <c r="B627" s="121">
        <v>102.13</v>
      </c>
      <c r="C627" s="121" t="s">
        <v>625</v>
      </c>
      <c r="D627" s="121" t="s">
        <v>625</v>
      </c>
      <c r="E627" s="121" t="s">
        <v>625</v>
      </c>
      <c r="F627" s="121" t="s">
        <v>625</v>
      </c>
      <c r="G627" s="121" t="s">
        <v>625</v>
      </c>
      <c r="H627" s="121" t="e">
        <v>#N/A</v>
      </c>
      <c r="I627" s="121" t="s">
        <v>625</v>
      </c>
      <c r="J627" s="121" t="s">
        <v>625</v>
      </c>
    </row>
    <row r="628" spans="1:10">
      <c r="A628" s="114">
        <v>40298</v>
      </c>
      <c r="B628" s="121">
        <v>102.13</v>
      </c>
      <c r="C628" s="121" t="s">
        <v>625</v>
      </c>
      <c r="D628" s="121" t="s">
        <v>625</v>
      </c>
      <c r="E628" s="121" t="s">
        <v>625</v>
      </c>
      <c r="F628" s="121" t="s">
        <v>625</v>
      </c>
      <c r="G628" s="121" t="s">
        <v>625</v>
      </c>
      <c r="H628" s="121" t="e">
        <v>#N/A</v>
      </c>
      <c r="I628" s="121" t="s">
        <v>625</v>
      </c>
      <c r="J628" s="121" t="s">
        <v>625</v>
      </c>
    </row>
    <row r="629" spans="1:10">
      <c r="A629" s="114">
        <v>40302</v>
      </c>
      <c r="B629" s="121">
        <v>102.13</v>
      </c>
      <c r="C629" s="121" t="s">
        <v>625</v>
      </c>
      <c r="D629" s="121" t="s">
        <v>625</v>
      </c>
      <c r="E629" s="121" t="s">
        <v>625</v>
      </c>
      <c r="F629" s="121" t="s">
        <v>625</v>
      </c>
      <c r="G629" s="121" t="s">
        <v>625</v>
      </c>
      <c r="H629" s="121" t="e">
        <v>#N/A</v>
      </c>
      <c r="I629" s="121" t="s">
        <v>625</v>
      </c>
      <c r="J629" s="121" t="s">
        <v>625</v>
      </c>
    </row>
    <row r="630" spans="1:10">
      <c r="A630" s="114">
        <v>40303</v>
      </c>
      <c r="B630" s="121">
        <v>102.13</v>
      </c>
      <c r="C630" s="121" t="s">
        <v>625</v>
      </c>
      <c r="D630" s="121" t="s">
        <v>625</v>
      </c>
      <c r="E630" s="121" t="s">
        <v>625</v>
      </c>
      <c r="F630" s="121" t="s">
        <v>625</v>
      </c>
      <c r="G630" s="121" t="s">
        <v>625</v>
      </c>
      <c r="H630" s="121" t="e">
        <v>#N/A</v>
      </c>
      <c r="I630" s="121" t="s">
        <v>625</v>
      </c>
      <c r="J630" s="121" t="s">
        <v>625</v>
      </c>
    </row>
    <row r="631" spans="1:10">
      <c r="A631" s="114">
        <v>40304</v>
      </c>
      <c r="B631" s="121">
        <v>102.13</v>
      </c>
      <c r="C631" s="121" t="s">
        <v>625</v>
      </c>
      <c r="D631" s="121" t="s">
        <v>625</v>
      </c>
      <c r="E631" s="121" t="s">
        <v>625</v>
      </c>
      <c r="F631" s="121" t="s">
        <v>625</v>
      </c>
      <c r="G631" s="121" t="s">
        <v>625</v>
      </c>
      <c r="H631" s="121" t="e">
        <v>#N/A</v>
      </c>
      <c r="I631" s="121" t="s">
        <v>625</v>
      </c>
      <c r="J631" s="121" t="s">
        <v>625</v>
      </c>
    </row>
    <row r="632" spans="1:10">
      <c r="A632" s="114">
        <v>40305</v>
      </c>
      <c r="B632" s="121">
        <v>102.13</v>
      </c>
      <c r="C632" s="121" t="s">
        <v>625</v>
      </c>
      <c r="D632" s="121" t="s">
        <v>625</v>
      </c>
      <c r="E632" s="121" t="s">
        <v>625</v>
      </c>
      <c r="F632" s="121" t="s">
        <v>625</v>
      </c>
      <c r="G632" s="121" t="s">
        <v>625</v>
      </c>
      <c r="H632" s="121" t="e">
        <v>#N/A</v>
      </c>
      <c r="I632" s="121" t="s">
        <v>625</v>
      </c>
      <c r="J632" s="121" t="s">
        <v>625</v>
      </c>
    </row>
    <row r="633" spans="1:10">
      <c r="A633" s="114">
        <v>40308</v>
      </c>
      <c r="B633" s="121">
        <v>102.13</v>
      </c>
      <c r="C633" s="121" t="s">
        <v>625</v>
      </c>
      <c r="D633" s="121" t="s">
        <v>625</v>
      </c>
      <c r="E633" s="121" t="s">
        <v>625</v>
      </c>
      <c r="F633" s="121" t="s">
        <v>625</v>
      </c>
      <c r="G633" s="121" t="s">
        <v>625</v>
      </c>
      <c r="H633" s="121" t="e">
        <v>#N/A</v>
      </c>
      <c r="I633" s="121" t="s">
        <v>625</v>
      </c>
      <c r="J633" s="121" t="s">
        <v>625</v>
      </c>
    </row>
    <row r="634" spans="1:10">
      <c r="A634" s="114">
        <v>40309</v>
      </c>
      <c r="B634" s="121">
        <v>102.13</v>
      </c>
      <c r="C634" s="121" t="s">
        <v>625</v>
      </c>
      <c r="D634" s="121" t="s">
        <v>625</v>
      </c>
      <c r="E634" s="121" t="s">
        <v>625</v>
      </c>
      <c r="F634" s="121" t="s">
        <v>625</v>
      </c>
      <c r="G634" s="121" t="s">
        <v>625</v>
      </c>
      <c r="H634" s="121" t="e">
        <v>#N/A</v>
      </c>
      <c r="I634" s="121" t="s">
        <v>625</v>
      </c>
      <c r="J634" s="121" t="s">
        <v>625</v>
      </c>
    </row>
    <row r="635" spans="1:10">
      <c r="A635" s="114">
        <v>40310</v>
      </c>
      <c r="B635" s="121">
        <v>102.13</v>
      </c>
      <c r="C635" s="121" t="s">
        <v>625</v>
      </c>
      <c r="D635" s="121" t="s">
        <v>625</v>
      </c>
      <c r="E635" s="121" t="s">
        <v>625</v>
      </c>
      <c r="F635" s="121" t="s">
        <v>625</v>
      </c>
      <c r="G635" s="121" t="s">
        <v>625</v>
      </c>
      <c r="H635" s="121" t="e">
        <v>#N/A</v>
      </c>
      <c r="I635" s="121" t="s">
        <v>625</v>
      </c>
      <c r="J635" s="121" t="s">
        <v>625</v>
      </c>
    </row>
    <row r="636" spans="1:10">
      <c r="A636" s="114">
        <v>40311</v>
      </c>
      <c r="B636" s="121">
        <v>102.7</v>
      </c>
      <c r="C636" s="121" t="s">
        <v>625</v>
      </c>
      <c r="D636" s="121" t="s">
        <v>625</v>
      </c>
      <c r="E636" s="121" t="s">
        <v>625</v>
      </c>
      <c r="F636" s="121" t="s">
        <v>625</v>
      </c>
      <c r="G636" s="121" t="s">
        <v>625</v>
      </c>
      <c r="H636" s="121" t="e">
        <v>#N/A</v>
      </c>
      <c r="I636" s="121" t="s">
        <v>625</v>
      </c>
      <c r="J636" s="121" t="s">
        <v>625</v>
      </c>
    </row>
    <row r="637" spans="1:10">
      <c r="A637" s="114">
        <v>40312</v>
      </c>
      <c r="B637" s="121">
        <v>102.7</v>
      </c>
      <c r="C637" s="121" t="s">
        <v>625</v>
      </c>
      <c r="D637" s="121" t="s">
        <v>625</v>
      </c>
      <c r="E637" s="121" t="s">
        <v>625</v>
      </c>
      <c r="F637" s="121" t="s">
        <v>625</v>
      </c>
      <c r="G637" s="121" t="s">
        <v>625</v>
      </c>
      <c r="H637" s="121" t="e">
        <v>#N/A</v>
      </c>
      <c r="I637" s="121" t="s">
        <v>625</v>
      </c>
      <c r="J637" s="121" t="s">
        <v>625</v>
      </c>
    </row>
    <row r="638" spans="1:10">
      <c r="A638" s="114">
        <v>40315</v>
      </c>
      <c r="B638" s="121">
        <v>102.7</v>
      </c>
      <c r="C638" s="121" t="s">
        <v>625</v>
      </c>
      <c r="D638" s="121" t="s">
        <v>625</v>
      </c>
      <c r="E638" s="121" t="s">
        <v>625</v>
      </c>
      <c r="F638" s="121" t="s">
        <v>625</v>
      </c>
      <c r="G638" s="121" t="s">
        <v>625</v>
      </c>
      <c r="H638" s="121" t="e">
        <v>#N/A</v>
      </c>
      <c r="I638" s="121" t="s">
        <v>625</v>
      </c>
      <c r="J638" s="121" t="s">
        <v>625</v>
      </c>
    </row>
    <row r="639" spans="1:10">
      <c r="A639" s="114">
        <v>40316</v>
      </c>
      <c r="B639" s="121">
        <v>102.7</v>
      </c>
      <c r="C639" s="121" t="s">
        <v>625</v>
      </c>
      <c r="D639" s="121" t="s">
        <v>625</v>
      </c>
      <c r="E639" s="121" t="s">
        <v>625</v>
      </c>
      <c r="F639" s="121" t="s">
        <v>625</v>
      </c>
      <c r="G639" s="121" t="s">
        <v>625</v>
      </c>
      <c r="H639" s="121" t="e">
        <v>#N/A</v>
      </c>
      <c r="I639" s="121" t="s">
        <v>625</v>
      </c>
      <c r="J639" s="121" t="s">
        <v>625</v>
      </c>
    </row>
    <row r="640" spans="1:10">
      <c r="A640" s="114">
        <v>40317</v>
      </c>
      <c r="B640" s="121">
        <v>102.7</v>
      </c>
      <c r="C640" s="121" t="s">
        <v>625</v>
      </c>
      <c r="D640" s="121" t="s">
        <v>625</v>
      </c>
      <c r="E640" s="121" t="s">
        <v>625</v>
      </c>
      <c r="F640" s="121" t="s">
        <v>625</v>
      </c>
      <c r="G640" s="121" t="s">
        <v>625</v>
      </c>
      <c r="H640" s="121" t="e">
        <v>#N/A</v>
      </c>
      <c r="I640" s="121" t="s">
        <v>625</v>
      </c>
      <c r="J640" s="121" t="s">
        <v>625</v>
      </c>
    </row>
    <row r="641" spans="1:10">
      <c r="A641" s="114">
        <v>40318</v>
      </c>
      <c r="B641" s="121">
        <v>102.7</v>
      </c>
      <c r="C641" s="121" t="s">
        <v>625</v>
      </c>
      <c r="D641" s="121" t="s">
        <v>625</v>
      </c>
      <c r="E641" s="121" t="s">
        <v>625</v>
      </c>
      <c r="F641" s="121" t="s">
        <v>625</v>
      </c>
      <c r="G641" s="121" t="s">
        <v>625</v>
      </c>
      <c r="H641" s="121" t="e">
        <v>#N/A</v>
      </c>
      <c r="I641" s="121" t="s">
        <v>625</v>
      </c>
      <c r="J641" s="121" t="s">
        <v>625</v>
      </c>
    </row>
    <row r="642" spans="1:10">
      <c r="A642" s="114">
        <v>40319</v>
      </c>
      <c r="B642" s="121">
        <v>102.7</v>
      </c>
      <c r="C642" s="121" t="s">
        <v>625</v>
      </c>
      <c r="D642" s="121" t="s">
        <v>625</v>
      </c>
      <c r="E642" s="121" t="s">
        <v>625</v>
      </c>
      <c r="F642" s="121" t="s">
        <v>625</v>
      </c>
      <c r="G642" s="121" t="s">
        <v>625</v>
      </c>
      <c r="H642" s="121" t="e">
        <v>#N/A</v>
      </c>
      <c r="I642" s="121" t="s">
        <v>625</v>
      </c>
      <c r="J642" s="121" t="s">
        <v>625</v>
      </c>
    </row>
    <row r="643" spans="1:10">
      <c r="A643" s="114">
        <v>40322</v>
      </c>
      <c r="B643" s="121">
        <v>102.7</v>
      </c>
      <c r="C643" s="121" t="s">
        <v>625</v>
      </c>
      <c r="D643" s="121" t="s">
        <v>625</v>
      </c>
      <c r="E643" s="121" t="s">
        <v>625</v>
      </c>
      <c r="F643" s="121" t="s">
        <v>625</v>
      </c>
      <c r="G643" s="121" t="s">
        <v>625</v>
      </c>
      <c r="H643" s="121" t="e">
        <v>#N/A</v>
      </c>
      <c r="I643" s="121" t="s">
        <v>625</v>
      </c>
      <c r="J643" s="121" t="s">
        <v>625</v>
      </c>
    </row>
    <row r="644" spans="1:10">
      <c r="A644" s="114">
        <v>40323</v>
      </c>
      <c r="B644" s="121">
        <v>104.33</v>
      </c>
      <c r="C644" s="121" t="s">
        <v>625</v>
      </c>
      <c r="D644" s="121" t="s">
        <v>625</v>
      </c>
      <c r="E644" s="121" t="s">
        <v>625</v>
      </c>
      <c r="F644" s="121" t="s">
        <v>625</v>
      </c>
      <c r="G644" s="121" t="s">
        <v>625</v>
      </c>
      <c r="H644" s="121" t="e">
        <v>#N/A</v>
      </c>
      <c r="I644" s="121" t="s">
        <v>625</v>
      </c>
      <c r="J644" s="121" t="s">
        <v>625</v>
      </c>
    </row>
    <row r="645" spans="1:10">
      <c r="A645" s="114">
        <v>40324</v>
      </c>
      <c r="B645" s="121">
        <v>103.38</v>
      </c>
      <c r="C645" s="121" t="s">
        <v>625</v>
      </c>
      <c r="D645" s="121" t="s">
        <v>625</v>
      </c>
      <c r="E645" s="121" t="s">
        <v>625</v>
      </c>
      <c r="F645" s="121" t="s">
        <v>625</v>
      </c>
      <c r="G645" s="121" t="s">
        <v>625</v>
      </c>
      <c r="H645" s="121" t="e">
        <v>#N/A</v>
      </c>
      <c r="I645" s="121" t="s">
        <v>625</v>
      </c>
      <c r="J645" s="121" t="s">
        <v>625</v>
      </c>
    </row>
    <row r="646" spans="1:10">
      <c r="A646" s="114">
        <v>40325</v>
      </c>
      <c r="B646" s="121">
        <v>103.38</v>
      </c>
      <c r="C646" s="121" t="s">
        <v>625</v>
      </c>
      <c r="D646" s="121" t="s">
        <v>625</v>
      </c>
      <c r="E646" s="121" t="s">
        <v>625</v>
      </c>
      <c r="F646" s="121" t="s">
        <v>625</v>
      </c>
      <c r="G646" s="121" t="s">
        <v>625</v>
      </c>
      <c r="H646" s="121" t="e">
        <v>#N/A</v>
      </c>
      <c r="I646" s="121" t="s">
        <v>625</v>
      </c>
      <c r="J646" s="121" t="s">
        <v>625</v>
      </c>
    </row>
    <row r="647" spans="1:10">
      <c r="A647" s="114">
        <v>40326</v>
      </c>
      <c r="B647" s="121">
        <v>103.38</v>
      </c>
      <c r="C647" s="121" t="s">
        <v>625</v>
      </c>
      <c r="D647" s="121" t="s">
        <v>625</v>
      </c>
      <c r="E647" s="121" t="s">
        <v>625</v>
      </c>
      <c r="F647" s="121" t="s">
        <v>625</v>
      </c>
      <c r="G647" s="121" t="s">
        <v>625</v>
      </c>
      <c r="H647" s="121" t="e">
        <v>#N/A</v>
      </c>
      <c r="I647" s="121" t="s">
        <v>625</v>
      </c>
      <c r="J647" s="121" t="s">
        <v>625</v>
      </c>
    </row>
    <row r="648" spans="1:10">
      <c r="A648" s="114">
        <v>40329</v>
      </c>
      <c r="B648" s="121">
        <v>103.38</v>
      </c>
      <c r="C648" s="121" t="s">
        <v>625</v>
      </c>
      <c r="D648" s="121" t="s">
        <v>625</v>
      </c>
      <c r="E648" s="121" t="s">
        <v>625</v>
      </c>
      <c r="F648" s="121" t="s">
        <v>625</v>
      </c>
      <c r="G648" s="121" t="s">
        <v>625</v>
      </c>
      <c r="H648" s="121" t="e">
        <v>#N/A</v>
      </c>
      <c r="I648" s="121" t="s">
        <v>625</v>
      </c>
      <c r="J648" s="121" t="s">
        <v>625</v>
      </c>
    </row>
    <row r="649" spans="1:10">
      <c r="A649" s="114">
        <v>40330</v>
      </c>
      <c r="B649" s="121">
        <v>104.32</v>
      </c>
      <c r="C649" s="121" t="s">
        <v>625</v>
      </c>
      <c r="D649" s="121" t="s">
        <v>625</v>
      </c>
      <c r="E649" s="121" t="s">
        <v>625</v>
      </c>
      <c r="F649" s="121" t="s">
        <v>625</v>
      </c>
      <c r="G649" s="121" t="s">
        <v>625</v>
      </c>
      <c r="H649" s="121" t="e">
        <v>#N/A</v>
      </c>
      <c r="I649" s="121" t="s">
        <v>625</v>
      </c>
      <c r="J649" s="121" t="s">
        <v>625</v>
      </c>
    </row>
    <row r="650" spans="1:10">
      <c r="A650" s="114">
        <v>40331</v>
      </c>
      <c r="B650" s="121">
        <v>104.32</v>
      </c>
      <c r="C650" s="121" t="s">
        <v>625</v>
      </c>
      <c r="D650" s="121" t="s">
        <v>625</v>
      </c>
      <c r="E650" s="121" t="s">
        <v>625</v>
      </c>
      <c r="F650" s="121" t="s">
        <v>625</v>
      </c>
      <c r="G650" s="121" t="s">
        <v>625</v>
      </c>
      <c r="H650" s="121" t="e">
        <v>#N/A</v>
      </c>
      <c r="I650" s="121" t="s">
        <v>625</v>
      </c>
      <c r="J650" s="121" t="s">
        <v>625</v>
      </c>
    </row>
    <row r="651" spans="1:10">
      <c r="A651" s="114">
        <v>40332</v>
      </c>
      <c r="B651" s="121">
        <v>104.32</v>
      </c>
      <c r="C651" s="121" t="s">
        <v>625</v>
      </c>
      <c r="D651" s="121" t="s">
        <v>625</v>
      </c>
      <c r="E651" s="121" t="s">
        <v>625</v>
      </c>
      <c r="F651" s="121" t="s">
        <v>625</v>
      </c>
      <c r="G651" s="121" t="s">
        <v>625</v>
      </c>
      <c r="H651" s="121" t="e">
        <v>#N/A</v>
      </c>
      <c r="I651" s="121" t="s">
        <v>625</v>
      </c>
      <c r="J651" s="121" t="s">
        <v>625</v>
      </c>
    </row>
    <row r="652" spans="1:10">
      <c r="A652" s="114">
        <v>40333</v>
      </c>
      <c r="B652" s="121">
        <v>104.32</v>
      </c>
      <c r="C652" s="121" t="s">
        <v>625</v>
      </c>
      <c r="D652" s="121" t="s">
        <v>625</v>
      </c>
      <c r="E652" s="121" t="s">
        <v>625</v>
      </c>
      <c r="F652" s="121" t="s">
        <v>625</v>
      </c>
      <c r="G652" s="121" t="s">
        <v>625</v>
      </c>
      <c r="H652" s="121" t="e">
        <v>#N/A</v>
      </c>
      <c r="I652" s="121" t="s">
        <v>625</v>
      </c>
      <c r="J652" s="121" t="s">
        <v>625</v>
      </c>
    </row>
    <row r="653" spans="1:10">
      <c r="A653" s="114">
        <v>40336</v>
      </c>
      <c r="B653" s="121">
        <v>104.32</v>
      </c>
      <c r="C653" s="121" t="s">
        <v>625</v>
      </c>
      <c r="D653" s="121" t="s">
        <v>625</v>
      </c>
      <c r="E653" s="121" t="s">
        <v>625</v>
      </c>
      <c r="F653" s="121" t="s">
        <v>625</v>
      </c>
      <c r="G653" s="121" t="s">
        <v>625</v>
      </c>
      <c r="H653" s="121" t="e">
        <v>#N/A</v>
      </c>
      <c r="I653" s="121" t="s">
        <v>625</v>
      </c>
      <c r="J653" s="121" t="s">
        <v>625</v>
      </c>
    </row>
    <row r="654" spans="1:10">
      <c r="A654" s="114">
        <v>40337</v>
      </c>
      <c r="B654" s="121">
        <v>104.32</v>
      </c>
      <c r="C654" s="121" t="s">
        <v>625</v>
      </c>
      <c r="D654" s="121" t="s">
        <v>625</v>
      </c>
      <c r="E654" s="121" t="s">
        <v>625</v>
      </c>
      <c r="F654" s="121" t="s">
        <v>625</v>
      </c>
      <c r="G654" s="121" t="s">
        <v>625</v>
      </c>
      <c r="H654" s="121" t="e">
        <v>#N/A</v>
      </c>
      <c r="I654" s="121" t="s">
        <v>625</v>
      </c>
      <c r="J654" s="121" t="s">
        <v>625</v>
      </c>
    </row>
    <row r="655" spans="1:10">
      <c r="A655" s="114">
        <v>40338</v>
      </c>
      <c r="B655" s="121">
        <v>104.32</v>
      </c>
      <c r="C655" s="121" t="s">
        <v>625</v>
      </c>
      <c r="D655" s="121" t="s">
        <v>625</v>
      </c>
      <c r="E655" s="121" t="s">
        <v>625</v>
      </c>
      <c r="F655" s="121" t="s">
        <v>625</v>
      </c>
      <c r="G655" s="121" t="s">
        <v>625</v>
      </c>
      <c r="H655" s="121" t="e">
        <v>#N/A</v>
      </c>
      <c r="I655" s="121" t="s">
        <v>625</v>
      </c>
      <c r="J655" s="121" t="s">
        <v>625</v>
      </c>
    </row>
    <row r="656" spans="1:10">
      <c r="A656" s="114">
        <v>40339</v>
      </c>
      <c r="B656" s="121">
        <v>104.32</v>
      </c>
      <c r="C656" s="121" t="s">
        <v>625</v>
      </c>
      <c r="D656" s="121" t="s">
        <v>625</v>
      </c>
      <c r="E656" s="121" t="s">
        <v>625</v>
      </c>
      <c r="F656" s="121" t="s">
        <v>625</v>
      </c>
      <c r="G656" s="121" t="s">
        <v>625</v>
      </c>
      <c r="H656" s="121" t="e">
        <v>#N/A</v>
      </c>
      <c r="I656" s="121" t="s">
        <v>625</v>
      </c>
      <c r="J656" s="121" t="s">
        <v>625</v>
      </c>
    </row>
    <row r="657" spans="1:10">
      <c r="A657" s="114">
        <v>40340</v>
      </c>
      <c r="B657" s="121">
        <v>104.32</v>
      </c>
      <c r="C657" s="121" t="s">
        <v>625</v>
      </c>
      <c r="D657" s="121" t="s">
        <v>625</v>
      </c>
      <c r="E657" s="121" t="s">
        <v>625</v>
      </c>
      <c r="F657" s="121" t="s">
        <v>625</v>
      </c>
      <c r="G657" s="121" t="s">
        <v>625</v>
      </c>
      <c r="H657" s="121" t="e">
        <v>#N/A</v>
      </c>
      <c r="I657" s="121" t="s">
        <v>625</v>
      </c>
      <c r="J657" s="121" t="s">
        <v>625</v>
      </c>
    </row>
    <row r="658" spans="1:10">
      <c r="A658" s="114">
        <v>40341</v>
      </c>
      <c r="B658" s="121">
        <v>104.32</v>
      </c>
      <c r="C658" s="121" t="s">
        <v>625</v>
      </c>
      <c r="D658" s="121" t="s">
        <v>625</v>
      </c>
      <c r="E658" s="121" t="s">
        <v>625</v>
      </c>
      <c r="F658" s="121" t="s">
        <v>625</v>
      </c>
      <c r="G658" s="121" t="s">
        <v>625</v>
      </c>
      <c r="H658" s="121" t="e">
        <v>#N/A</v>
      </c>
      <c r="I658" s="121" t="s">
        <v>625</v>
      </c>
      <c r="J658" s="121" t="s">
        <v>625</v>
      </c>
    </row>
    <row r="659" spans="1:10">
      <c r="A659" s="114">
        <v>40342</v>
      </c>
      <c r="B659" s="121">
        <v>104.32</v>
      </c>
      <c r="C659" s="121" t="s">
        <v>625</v>
      </c>
      <c r="D659" s="121" t="s">
        <v>625</v>
      </c>
      <c r="E659" s="121" t="s">
        <v>625</v>
      </c>
      <c r="F659" s="121" t="s">
        <v>625</v>
      </c>
      <c r="G659" s="121" t="s">
        <v>625</v>
      </c>
      <c r="H659" s="121" t="e">
        <v>#N/A</v>
      </c>
      <c r="I659" s="121" t="s">
        <v>625</v>
      </c>
      <c r="J659" s="121" t="s">
        <v>625</v>
      </c>
    </row>
    <row r="660" spans="1:10">
      <c r="A660" s="114">
        <v>40346</v>
      </c>
      <c r="B660" s="121">
        <v>104.32</v>
      </c>
      <c r="C660" s="121" t="s">
        <v>625</v>
      </c>
      <c r="D660" s="121" t="s">
        <v>625</v>
      </c>
      <c r="E660" s="121" t="s">
        <v>625</v>
      </c>
      <c r="F660" s="121" t="s">
        <v>625</v>
      </c>
      <c r="G660" s="121" t="s">
        <v>625</v>
      </c>
      <c r="H660" s="121" t="e">
        <v>#N/A</v>
      </c>
      <c r="I660" s="121" t="s">
        <v>625</v>
      </c>
      <c r="J660" s="121" t="s">
        <v>625</v>
      </c>
    </row>
    <row r="661" spans="1:10">
      <c r="A661" s="114">
        <v>40347</v>
      </c>
      <c r="B661" s="121">
        <v>104.32</v>
      </c>
      <c r="C661" s="121" t="s">
        <v>625</v>
      </c>
      <c r="D661" s="121" t="s">
        <v>625</v>
      </c>
      <c r="E661" s="121" t="s">
        <v>625</v>
      </c>
      <c r="F661" s="121" t="s">
        <v>625</v>
      </c>
      <c r="G661" s="121" t="s">
        <v>625</v>
      </c>
      <c r="H661" s="121" t="e">
        <v>#N/A</v>
      </c>
      <c r="I661" s="121" t="s">
        <v>625</v>
      </c>
      <c r="J661" s="121" t="s">
        <v>625</v>
      </c>
    </row>
    <row r="662" spans="1:10">
      <c r="A662" s="114">
        <v>40350</v>
      </c>
      <c r="B662" s="121">
        <v>104.32</v>
      </c>
      <c r="C662" s="121" t="s">
        <v>625</v>
      </c>
      <c r="D662" s="121" t="s">
        <v>625</v>
      </c>
      <c r="E662" s="121" t="s">
        <v>625</v>
      </c>
      <c r="F662" s="121" t="s">
        <v>625</v>
      </c>
      <c r="G662" s="121" t="s">
        <v>625</v>
      </c>
      <c r="H662" s="121" t="e">
        <v>#N/A</v>
      </c>
      <c r="I662" s="121" t="s">
        <v>625</v>
      </c>
      <c r="J662" s="121" t="s">
        <v>625</v>
      </c>
    </row>
    <row r="663" spans="1:10">
      <c r="A663" s="114">
        <v>40351</v>
      </c>
      <c r="B663" s="121">
        <v>104.32</v>
      </c>
      <c r="C663" s="121" t="s">
        <v>625</v>
      </c>
      <c r="D663" s="121" t="s">
        <v>625</v>
      </c>
      <c r="E663" s="121" t="s">
        <v>625</v>
      </c>
      <c r="F663" s="121" t="s">
        <v>625</v>
      </c>
      <c r="G663" s="121" t="s">
        <v>625</v>
      </c>
      <c r="H663" s="121" t="e">
        <v>#N/A</v>
      </c>
      <c r="I663" s="121" t="s">
        <v>625</v>
      </c>
      <c r="J663" s="121" t="s">
        <v>625</v>
      </c>
    </row>
    <row r="664" spans="1:10">
      <c r="A664" s="114">
        <v>40352</v>
      </c>
      <c r="B664" s="121">
        <v>104.32</v>
      </c>
      <c r="C664" s="121" t="s">
        <v>625</v>
      </c>
      <c r="D664" s="121" t="s">
        <v>625</v>
      </c>
      <c r="E664" s="121" t="s">
        <v>625</v>
      </c>
      <c r="F664" s="121" t="s">
        <v>625</v>
      </c>
      <c r="G664" s="121" t="s">
        <v>625</v>
      </c>
      <c r="H664" s="121" t="e">
        <v>#N/A</v>
      </c>
      <c r="I664" s="121" t="s">
        <v>625</v>
      </c>
      <c r="J664" s="121" t="s">
        <v>625</v>
      </c>
    </row>
    <row r="665" spans="1:10">
      <c r="A665" s="114">
        <v>40353</v>
      </c>
      <c r="B665" s="121">
        <v>104.32</v>
      </c>
      <c r="C665" s="121" t="s">
        <v>625</v>
      </c>
      <c r="D665" s="121" t="s">
        <v>625</v>
      </c>
      <c r="E665" s="121" t="s">
        <v>625</v>
      </c>
      <c r="F665" s="121" t="s">
        <v>625</v>
      </c>
      <c r="G665" s="121" t="s">
        <v>625</v>
      </c>
      <c r="H665" s="121" t="e">
        <v>#N/A</v>
      </c>
      <c r="I665" s="121" t="s">
        <v>625</v>
      </c>
      <c r="J665" s="121" t="s">
        <v>625</v>
      </c>
    </row>
    <row r="666" spans="1:10">
      <c r="A666" s="114">
        <v>40354</v>
      </c>
      <c r="B666" s="121">
        <v>104.32</v>
      </c>
      <c r="C666" s="121" t="s">
        <v>625</v>
      </c>
      <c r="D666" s="121" t="s">
        <v>625</v>
      </c>
      <c r="E666" s="121" t="s">
        <v>625</v>
      </c>
      <c r="F666" s="121" t="s">
        <v>625</v>
      </c>
      <c r="G666" s="121" t="s">
        <v>625</v>
      </c>
      <c r="H666" s="121" t="e">
        <v>#N/A</v>
      </c>
      <c r="I666" s="121" t="s">
        <v>625</v>
      </c>
      <c r="J666" s="121" t="s">
        <v>625</v>
      </c>
    </row>
    <row r="667" spans="1:10">
      <c r="A667" s="114">
        <v>40357</v>
      </c>
      <c r="B667" s="121">
        <v>104.32</v>
      </c>
      <c r="C667" s="121" t="s">
        <v>625</v>
      </c>
      <c r="D667" s="121" t="s">
        <v>625</v>
      </c>
      <c r="E667" s="121" t="s">
        <v>625</v>
      </c>
      <c r="F667" s="121" t="s">
        <v>625</v>
      </c>
      <c r="G667" s="121" t="s">
        <v>625</v>
      </c>
      <c r="H667" s="121" t="e">
        <v>#N/A</v>
      </c>
      <c r="I667" s="121" t="s">
        <v>625</v>
      </c>
      <c r="J667" s="121" t="s">
        <v>625</v>
      </c>
    </row>
    <row r="668" spans="1:10">
      <c r="A668" s="114">
        <v>40358</v>
      </c>
      <c r="B668" s="121">
        <v>104.32</v>
      </c>
      <c r="C668" s="121" t="s">
        <v>625</v>
      </c>
      <c r="D668" s="121" t="s">
        <v>625</v>
      </c>
      <c r="E668" s="121" t="s">
        <v>625</v>
      </c>
      <c r="F668" s="121" t="s">
        <v>625</v>
      </c>
      <c r="G668" s="121" t="s">
        <v>625</v>
      </c>
      <c r="H668" s="121" t="e">
        <v>#N/A</v>
      </c>
      <c r="I668" s="121" t="s">
        <v>625</v>
      </c>
      <c r="J668" s="121" t="s">
        <v>625</v>
      </c>
    </row>
    <row r="669" spans="1:10">
      <c r="A669" s="114">
        <v>40359</v>
      </c>
      <c r="B669" s="121">
        <v>104.32</v>
      </c>
      <c r="C669" s="121" t="s">
        <v>625</v>
      </c>
      <c r="D669" s="121" t="s">
        <v>625</v>
      </c>
      <c r="E669" s="121" t="s">
        <v>625</v>
      </c>
      <c r="F669" s="121" t="s">
        <v>625</v>
      </c>
      <c r="G669" s="121" t="s">
        <v>625</v>
      </c>
      <c r="H669" s="121" t="e">
        <v>#N/A</v>
      </c>
      <c r="I669" s="121" t="s">
        <v>625</v>
      </c>
      <c r="J669" s="121" t="s">
        <v>625</v>
      </c>
    </row>
    <row r="670" spans="1:10">
      <c r="A670" s="114">
        <v>40360</v>
      </c>
      <c r="B670" s="121">
        <v>104.32</v>
      </c>
      <c r="C670" s="121" t="s">
        <v>625</v>
      </c>
      <c r="D670" s="121" t="s">
        <v>625</v>
      </c>
      <c r="E670" s="121" t="s">
        <v>625</v>
      </c>
      <c r="F670" s="121" t="s">
        <v>625</v>
      </c>
      <c r="G670" s="121" t="s">
        <v>625</v>
      </c>
      <c r="H670" s="121" t="e">
        <v>#N/A</v>
      </c>
      <c r="I670" s="121" t="s">
        <v>625</v>
      </c>
      <c r="J670" s="121" t="s">
        <v>625</v>
      </c>
    </row>
    <row r="671" spans="1:10">
      <c r="A671" s="114">
        <v>40361</v>
      </c>
      <c r="B671" s="121">
        <v>104.32</v>
      </c>
      <c r="C671" s="121" t="s">
        <v>625</v>
      </c>
      <c r="D671" s="121" t="s">
        <v>625</v>
      </c>
      <c r="E671" s="121" t="s">
        <v>625</v>
      </c>
      <c r="F671" s="121" t="s">
        <v>625</v>
      </c>
      <c r="G671" s="121" t="s">
        <v>625</v>
      </c>
      <c r="H671" s="121" t="e">
        <v>#N/A</v>
      </c>
      <c r="I671" s="121" t="s">
        <v>625</v>
      </c>
      <c r="J671" s="121" t="s">
        <v>625</v>
      </c>
    </row>
    <row r="672" spans="1:10">
      <c r="A672" s="114">
        <v>40364</v>
      </c>
      <c r="B672" s="121">
        <v>104.32</v>
      </c>
      <c r="C672" s="121" t="s">
        <v>625</v>
      </c>
      <c r="D672" s="121" t="s">
        <v>625</v>
      </c>
      <c r="E672" s="121" t="s">
        <v>625</v>
      </c>
      <c r="F672" s="121" t="s">
        <v>625</v>
      </c>
      <c r="G672" s="121" t="s">
        <v>625</v>
      </c>
      <c r="H672" s="121" t="e">
        <v>#N/A</v>
      </c>
      <c r="I672" s="121" t="s">
        <v>625</v>
      </c>
      <c r="J672" s="121" t="s">
        <v>625</v>
      </c>
    </row>
    <row r="673" spans="1:10">
      <c r="A673" s="114">
        <v>40365</v>
      </c>
      <c r="B673" s="121">
        <v>103.65</v>
      </c>
      <c r="C673" s="121" t="s">
        <v>625</v>
      </c>
      <c r="D673" s="121" t="s">
        <v>625</v>
      </c>
      <c r="E673" s="121" t="s">
        <v>625</v>
      </c>
      <c r="F673" s="121" t="s">
        <v>625</v>
      </c>
      <c r="G673" s="121" t="s">
        <v>625</v>
      </c>
      <c r="H673" s="121" t="e">
        <v>#N/A</v>
      </c>
      <c r="I673" s="121" t="s">
        <v>625</v>
      </c>
      <c r="J673" s="121" t="s">
        <v>625</v>
      </c>
    </row>
    <row r="674" spans="1:10">
      <c r="A674" s="114">
        <v>40366</v>
      </c>
      <c r="B674" s="121">
        <v>103.65</v>
      </c>
      <c r="C674" s="121" t="s">
        <v>625</v>
      </c>
      <c r="D674" s="121" t="s">
        <v>625</v>
      </c>
      <c r="E674" s="121" t="s">
        <v>625</v>
      </c>
      <c r="F674" s="121" t="s">
        <v>625</v>
      </c>
      <c r="G674" s="121" t="s">
        <v>625</v>
      </c>
      <c r="H674" s="121" t="e">
        <v>#N/A</v>
      </c>
      <c r="I674" s="121" t="s">
        <v>625</v>
      </c>
      <c r="J674" s="121" t="s">
        <v>625</v>
      </c>
    </row>
    <row r="675" spans="1:10">
      <c r="A675" s="114">
        <v>40367</v>
      </c>
      <c r="B675" s="121">
        <v>103.65</v>
      </c>
      <c r="C675" s="121" t="s">
        <v>625</v>
      </c>
      <c r="D675" s="121" t="s">
        <v>625</v>
      </c>
      <c r="E675" s="121" t="s">
        <v>625</v>
      </c>
      <c r="F675" s="121" t="s">
        <v>625</v>
      </c>
      <c r="G675" s="121" t="s">
        <v>625</v>
      </c>
      <c r="H675" s="121" t="e">
        <v>#N/A</v>
      </c>
      <c r="I675" s="121" t="s">
        <v>625</v>
      </c>
      <c r="J675" s="121" t="s">
        <v>625</v>
      </c>
    </row>
    <row r="676" spans="1:10">
      <c r="A676" s="114">
        <v>40368</v>
      </c>
      <c r="B676" s="121">
        <v>103.65</v>
      </c>
      <c r="C676" s="121" t="s">
        <v>625</v>
      </c>
      <c r="D676" s="121" t="s">
        <v>625</v>
      </c>
      <c r="E676" s="121" t="s">
        <v>625</v>
      </c>
      <c r="F676" s="121" t="s">
        <v>625</v>
      </c>
      <c r="G676" s="121" t="s">
        <v>625</v>
      </c>
      <c r="H676" s="121" t="e">
        <v>#N/A</v>
      </c>
      <c r="I676" s="121" t="s">
        <v>625</v>
      </c>
      <c r="J676" s="121" t="s">
        <v>625</v>
      </c>
    </row>
    <row r="677" spans="1:10">
      <c r="A677" s="114">
        <v>40371</v>
      </c>
      <c r="B677" s="121">
        <v>103.65</v>
      </c>
      <c r="C677" s="121" t="s">
        <v>625</v>
      </c>
      <c r="D677" s="121" t="s">
        <v>625</v>
      </c>
      <c r="E677" s="121" t="s">
        <v>625</v>
      </c>
      <c r="F677" s="121" t="s">
        <v>625</v>
      </c>
      <c r="G677" s="121" t="s">
        <v>625</v>
      </c>
      <c r="H677" s="121" t="e">
        <v>#N/A</v>
      </c>
      <c r="I677" s="121" t="s">
        <v>625</v>
      </c>
      <c r="J677" s="121" t="s">
        <v>625</v>
      </c>
    </row>
    <row r="678" spans="1:10">
      <c r="A678" s="114">
        <v>40372</v>
      </c>
      <c r="B678" s="121">
        <v>103.65</v>
      </c>
      <c r="C678" s="121" t="s">
        <v>625</v>
      </c>
      <c r="D678" s="121" t="s">
        <v>625</v>
      </c>
      <c r="E678" s="121" t="s">
        <v>625</v>
      </c>
      <c r="F678" s="121" t="s">
        <v>625</v>
      </c>
      <c r="G678" s="121" t="s">
        <v>625</v>
      </c>
      <c r="H678" s="121" t="e">
        <v>#N/A</v>
      </c>
      <c r="I678" s="121" t="s">
        <v>625</v>
      </c>
      <c r="J678" s="121" t="s">
        <v>625</v>
      </c>
    </row>
    <row r="679" spans="1:10">
      <c r="A679" s="114">
        <v>40373</v>
      </c>
      <c r="B679" s="121">
        <v>103.65</v>
      </c>
      <c r="C679" s="121" t="s">
        <v>625</v>
      </c>
      <c r="D679" s="121" t="s">
        <v>625</v>
      </c>
      <c r="E679" s="121" t="s">
        <v>625</v>
      </c>
      <c r="F679" s="121" t="s">
        <v>625</v>
      </c>
      <c r="G679" s="121" t="s">
        <v>625</v>
      </c>
      <c r="H679" s="121" t="e">
        <v>#N/A</v>
      </c>
      <c r="I679" s="121" t="s">
        <v>625</v>
      </c>
      <c r="J679" s="121" t="s">
        <v>625</v>
      </c>
    </row>
    <row r="680" spans="1:10">
      <c r="A680" s="114">
        <v>40374</v>
      </c>
      <c r="B680" s="121">
        <v>103.65</v>
      </c>
      <c r="C680" s="121" t="s">
        <v>625</v>
      </c>
      <c r="D680" s="121" t="s">
        <v>625</v>
      </c>
      <c r="E680" s="121" t="s">
        <v>625</v>
      </c>
      <c r="F680" s="121" t="s">
        <v>625</v>
      </c>
      <c r="G680" s="121" t="s">
        <v>625</v>
      </c>
      <c r="H680" s="121" t="e">
        <v>#N/A</v>
      </c>
      <c r="I680" s="121" t="s">
        <v>625</v>
      </c>
      <c r="J680" s="121" t="s">
        <v>625</v>
      </c>
    </row>
    <row r="681" spans="1:10">
      <c r="A681" s="114">
        <v>40375</v>
      </c>
      <c r="B681" s="121">
        <v>103.65</v>
      </c>
      <c r="C681" s="121" t="s">
        <v>625</v>
      </c>
      <c r="D681" s="121" t="s">
        <v>625</v>
      </c>
      <c r="E681" s="121" t="s">
        <v>625</v>
      </c>
      <c r="F681" s="121" t="s">
        <v>625</v>
      </c>
      <c r="G681" s="121" t="s">
        <v>625</v>
      </c>
      <c r="H681" s="121" t="e">
        <v>#N/A</v>
      </c>
      <c r="I681" s="121" t="s">
        <v>625</v>
      </c>
      <c r="J681" s="121" t="s">
        <v>625</v>
      </c>
    </row>
    <row r="682" spans="1:10">
      <c r="A682" s="114">
        <v>40378</v>
      </c>
      <c r="B682" s="121">
        <v>103.65</v>
      </c>
      <c r="C682" s="121" t="s">
        <v>625</v>
      </c>
      <c r="D682" s="121" t="s">
        <v>625</v>
      </c>
      <c r="E682" s="121" t="s">
        <v>625</v>
      </c>
      <c r="F682" s="121" t="s">
        <v>625</v>
      </c>
      <c r="G682" s="121" t="s">
        <v>625</v>
      </c>
      <c r="H682" s="121" t="e">
        <v>#N/A</v>
      </c>
      <c r="I682" s="121" t="s">
        <v>625</v>
      </c>
      <c r="J682" s="121" t="s">
        <v>625</v>
      </c>
    </row>
    <row r="683" spans="1:10">
      <c r="A683" s="114">
        <v>40379</v>
      </c>
      <c r="B683" s="121">
        <v>103.65</v>
      </c>
      <c r="C683" s="121" t="s">
        <v>625</v>
      </c>
      <c r="D683" s="121" t="s">
        <v>625</v>
      </c>
      <c r="E683" s="121" t="s">
        <v>625</v>
      </c>
      <c r="F683" s="121" t="s">
        <v>625</v>
      </c>
      <c r="G683" s="121" t="s">
        <v>625</v>
      </c>
      <c r="H683" s="121" t="e">
        <v>#N/A</v>
      </c>
      <c r="I683" s="121" t="s">
        <v>625</v>
      </c>
      <c r="J683" s="121" t="s">
        <v>625</v>
      </c>
    </row>
    <row r="684" spans="1:10">
      <c r="A684" s="114">
        <v>40380</v>
      </c>
      <c r="B684" s="121">
        <v>103.65</v>
      </c>
      <c r="C684" s="121" t="s">
        <v>625</v>
      </c>
      <c r="D684" s="121" t="s">
        <v>625</v>
      </c>
      <c r="E684" s="121" t="s">
        <v>625</v>
      </c>
      <c r="F684" s="121" t="s">
        <v>625</v>
      </c>
      <c r="G684" s="121" t="s">
        <v>625</v>
      </c>
      <c r="H684" s="121" t="e">
        <v>#N/A</v>
      </c>
      <c r="I684" s="121" t="s">
        <v>625</v>
      </c>
      <c r="J684" s="121" t="s">
        <v>625</v>
      </c>
    </row>
    <row r="685" spans="1:10">
      <c r="A685" s="114">
        <v>40381</v>
      </c>
      <c r="B685" s="121">
        <v>103.65</v>
      </c>
      <c r="C685" s="121" t="s">
        <v>625</v>
      </c>
      <c r="D685" s="121" t="s">
        <v>625</v>
      </c>
      <c r="E685" s="121" t="s">
        <v>625</v>
      </c>
      <c r="F685" s="121" t="s">
        <v>625</v>
      </c>
      <c r="G685" s="121" t="s">
        <v>625</v>
      </c>
      <c r="H685" s="121" t="e">
        <v>#N/A</v>
      </c>
      <c r="I685" s="121" t="s">
        <v>625</v>
      </c>
      <c r="J685" s="121" t="s">
        <v>625</v>
      </c>
    </row>
    <row r="686" spans="1:10">
      <c r="A686" s="114">
        <v>40382</v>
      </c>
      <c r="B686" s="121">
        <v>103.65</v>
      </c>
      <c r="C686" s="121" t="s">
        <v>625</v>
      </c>
      <c r="D686" s="121" t="s">
        <v>625</v>
      </c>
      <c r="E686" s="121" t="s">
        <v>625</v>
      </c>
      <c r="F686" s="121" t="s">
        <v>625</v>
      </c>
      <c r="G686" s="121" t="s">
        <v>625</v>
      </c>
      <c r="H686" s="121" t="e">
        <v>#N/A</v>
      </c>
      <c r="I686" s="121" t="s">
        <v>625</v>
      </c>
      <c r="J686" s="121" t="s">
        <v>625</v>
      </c>
    </row>
    <row r="687" spans="1:10">
      <c r="A687" s="114">
        <v>40385</v>
      </c>
      <c r="B687" s="121">
        <v>103.65</v>
      </c>
      <c r="C687" s="121" t="s">
        <v>625</v>
      </c>
      <c r="D687" s="121" t="s">
        <v>625</v>
      </c>
      <c r="E687" s="121" t="s">
        <v>625</v>
      </c>
      <c r="F687" s="121" t="s">
        <v>625</v>
      </c>
      <c r="G687" s="121" t="s">
        <v>625</v>
      </c>
      <c r="H687" s="121" t="e">
        <v>#N/A</v>
      </c>
      <c r="I687" s="121" t="s">
        <v>625</v>
      </c>
      <c r="J687" s="121" t="s">
        <v>625</v>
      </c>
    </row>
    <row r="688" spans="1:10">
      <c r="A688" s="114">
        <v>40386</v>
      </c>
      <c r="B688" s="121">
        <v>103.65</v>
      </c>
      <c r="C688" s="121" t="s">
        <v>625</v>
      </c>
      <c r="D688" s="121" t="s">
        <v>625</v>
      </c>
      <c r="E688" s="121" t="s">
        <v>625</v>
      </c>
      <c r="F688" s="121" t="s">
        <v>625</v>
      </c>
      <c r="G688" s="121" t="s">
        <v>625</v>
      </c>
      <c r="H688" s="121" t="e">
        <v>#N/A</v>
      </c>
      <c r="I688" s="121" t="s">
        <v>625</v>
      </c>
      <c r="J688" s="121" t="s">
        <v>625</v>
      </c>
    </row>
    <row r="689" spans="1:10">
      <c r="A689" s="114">
        <v>40387</v>
      </c>
      <c r="B689" s="121">
        <v>103.65</v>
      </c>
      <c r="C689" s="121" t="s">
        <v>625</v>
      </c>
      <c r="D689" s="121" t="s">
        <v>625</v>
      </c>
      <c r="E689" s="121" t="s">
        <v>625</v>
      </c>
      <c r="F689" s="121" t="s">
        <v>625</v>
      </c>
      <c r="G689" s="121" t="s">
        <v>625</v>
      </c>
      <c r="H689" s="121" t="e">
        <v>#N/A</v>
      </c>
      <c r="I689" s="121" t="s">
        <v>625</v>
      </c>
      <c r="J689" s="121" t="s">
        <v>625</v>
      </c>
    </row>
    <row r="690" spans="1:10">
      <c r="A690" s="114">
        <v>40388</v>
      </c>
      <c r="B690" s="121">
        <v>103.65</v>
      </c>
      <c r="C690" s="121" t="s">
        <v>625</v>
      </c>
      <c r="D690" s="121" t="s">
        <v>625</v>
      </c>
      <c r="E690" s="121" t="s">
        <v>625</v>
      </c>
      <c r="F690" s="121" t="s">
        <v>625</v>
      </c>
      <c r="G690" s="121" t="s">
        <v>625</v>
      </c>
      <c r="H690" s="121" t="e">
        <v>#N/A</v>
      </c>
      <c r="I690" s="121" t="s">
        <v>625</v>
      </c>
      <c r="J690" s="121" t="s">
        <v>625</v>
      </c>
    </row>
    <row r="691" spans="1:10">
      <c r="A691" s="114">
        <v>40389</v>
      </c>
      <c r="B691" s="121">
        <v>103.65</v>
      </c>
      <c r="C691" s="121" t="s">
        <v>625</v>
      </c>
      <c r="D691" s="121" t="s">
        <v>625</v>
      </c>
      <c r="E691" s="121" t="s">
        <v>625</v>
      </c>
      <c r="F691" s="121" t="s">
        <v>625</v>
      </c>
      <c r="G691" s="121" t="s">
        <v>625</v>
      </c>
      <c r="H691" s="121" t="e">
        <v>#N/A</v>
      </c>
      <c r="I691" s="121" t="s">
        <v>625</v>
      </c>
      <c r="J691" s="121" t="s">
        <v>625</v>
      </c>
    </row>
    <row r="692" spans="1:10">
      <c r="A692" s="114">
        <v>40392</v>
      </c>
      <c r="B692" s="121">
        <v>103.65</v>
      </c>
      <c r="C692" s="121" t="s">
        <v>625</v>
      </c>
      <c r="D692" s="121" t="s">
        <v>625</v>
      </c>
      <c r="E692" s="121" t="s">
        <v>625</v>
      </c>
      <c r="F692" s="121" t="s">
        <v>625</v>
      </c>
      <c r="G692" s="121" t="s">
        <v>625</v>
      </c>
      <c r="H692" s="121" t="e">
        <v>#N/A</v>
      </c>
      <c r="I692" s="121" t="s">
        <v>625</v>
      </c>
      <c r="J692" s="121" t="s">
        <v>625</v>
      </c>
    </row>
    <row r="693" spans="1:10">
      <c r="A693" s="114">
        <v>40393</v>
      </c>
      <c r="B693" s="121">
        <v>103.65</v>
      </c>
      <c r="C693" s="121" t="s">
        <v>625</v>
      </c>
      <c r="D693" s="121" t="s">
        <v>625</v>
      </c>
      <c r="E693" s="121" t="s">
        <v>625</v>
      </c>
      <c r="F693" s="121" t="s">
        <v>625</v>
      </c>
      <c r="G693" s="121" t="s">
        <v>625</v>
      </c>
      <c r="H693" s="121" t="e">
        <v>#N/A</v>
      </c>
      <c r="I693" s="121" t="s">
        <v>625</v>
      </c>
      <c r="J693" s="121" t="s">
        <v>625</v>
      </c>
    </row>
    <row r="694" spans="1:10">
      <c r="A694" s="114">
        <v>40394</v>
      </c>
      <c r="B694" s="121">
        <v>103.65</v>
      </c>
      <c r="C694" s="121" t="s">
        <v>625</v>
      </c>
      <c r="D694" s="121" t="s">
        <v>625</v>
      </c>
      <c r="E694" s="121" t="s">
        <v>625</v>
      </c>
      <c r="F694" s="121" t="s">
        <v>625</v>
      </c>
      <c r="G694" s="121" t="s">
        <v>625</v>
      </c>
      <c r="H694" s="121" t="e">
        <v>#N/A</v>
      </c>
      <c r="I694" s="121" t="s">
        <v>625</v>
      </c>
      <c r="J694" s="121" t="s">
        <v>625</v>
      </c>
    </row>
    <row r="695" spans="1:10">
      <c r="A695" s="114">
        <v>40395</v>
      </c>
      <c r="B695" s="121">
        <v>103.65</v>
      </c>
      <c r="C695" s="121" t="s">
        <v>625</v>
      </c>
      <c r="D695" s="121" t="s">
        <v>625</v>
      </c>
      <c r="E695" s="121" t="s">
        <v>625</v>
      </c>
      <c r="F695" s="121" t="s">
        <v>625</v>
      </c>
      <c r="G695" s="121" t="s">
        <v>625</v>
      </c>
      <c r="H695" s="121" t="e">
        <v>#N/A</v>
      </c>
      <c r="I695" s="121" t="s">
        <v>625</v>
      </c>
      <c r="J695" s="121" t="s">
        <v>625</v>
      </c>
    </row>
    <row r="696" spans="1:10">
      <c r="A696" s="114">
        <v>40396</v>
      </c>
      <c r="B696" s="121">
        <v>103.65</v>
      </c>
      <c r="C696" s="121" t="s">
        <v>625</v>
      </c>
      <c r="D696" s="121" t="s">
        <v>625</v>
      </c>
      <c r="E696" s="121" t="s">
        <v>625</v>
      </c>
      <c r="F696" s="121" t="s">
        <v>625</v>
      </c>
      <c r="G696" s="121" t="s">
        <v>625</v>
      </c>
      <c r="H696" s="121" t="e">
        <v>#N/A</v>
      </c>
      <c r="I696" s="121" t="s">
        <v>625</v>
      </c>
      <c r="J696" s="121" t="s">
        <v>625</v>
      </c>
    </row>
    <row r="697" spans="1:10">
      <c r="A697" s="114">
        <v>40399</v>
      </c>
      <c r="B697" s="121">
        <v>103.65</v>
      </c>
      <c r="C697" s="121" t="s">
        <v>625</v>
      </c>
      <c r="D697" s="121" t="s">
        <v>625</v>
      </c>
      <c r="E697" s="121" t="s">
        <v>625</v>
      </c>
      <c r="F697" s="121" t="s">
        <v>625</v>
      </c>
      <c r="G697" s="121" t="s">
        <v>625</v>
      </c>
      <c r="H697" s="121" t="e">
        <v>#N/A</v>
      </c>
      <c r="I697" s="121" t="s">
        <v>625</v>
      </c>
      <c r="J697" s="121" t="s">
        <v>625</v>
      </c>
    </row>
    <row r="698" spans="1:10">
      <c r="A698" s="114">
        <v>40400</v>
      </c>
      <c r="B698" s="121">
        <v>103.65</v>
      </c>
      <c r="C698" s="121" t="s">
        <v>625</v>
      </c>
      <c r="D698" s="121" t="s">
        <v>625</v>
      </c>
      <c r="E698" s="121" t="s">
        <v>625</v>
      </c>
      <c r="F698" s="121" t="s">
        <v>625</v>
      </c>
      <c r="G698" s="121" t="s">
        <v>625</v>
      </c>
      <c r="H698" s="121" t="e">
        <v>#N/A</v>
      </c>
      <c r="I698" s="121" t="s">
        <v>625</v>
      </c>
      <c r="J698" s="121" t="s">
        <v>625</v>
      </c>
    </row>
    <row r="699" spans="1:10">
      <c r="A699" s="114">
        <v>40401</v>
      </c>
      <c r="B699" s="121">
        <v>103.65</v>
      </c>
      <c r="C699" s="121" t="s">
        <v>625</v>
      </c>
      <c r="D699" s="121" t="s">
        <v>625</v>
      </c>
      <c r="E699" s="121" t="s">
        <v>625</v>
      </c>
      <c r="F699" s="121" t="s">
        <v>625</v>
      </c>
      <c r="G699" s="121" t="s">
        <v>625</v>
      </c>
      <c r="H699" s="121" t="e">
        <v>#N/A</v>
      </c>
      <c r="I699" s="121" t="s">
        <v>625</v>
      </c>
      <c r="J699" s="121" t="s">
        <v>625</v>
      </c>
    </row>
    <row r="700" spans="1:10">
      <c r="A700" s="114">
        <v>40402</v>
      </c>
      <c r="B700" s="121">
        <v>103.65</v>
      </c>
      <c r="C700" s="121" t="s">
        <v>625</v>
      </c>
      <c r="D700" s="121" t="s">
        <v>625</v>
      </c>
      <c r="E700" s="121" t="s">
        <v>625</v>
      </c>
      <c r="F700" s="121" t="s">
        <v>625</v>
      </c>
      <c r="G700" s="121" t="s">
        <v>625</v>
      </c>
      <c r="H700" s="121" t="e">
        <v>#N/A</v>
      </c>
      <c r="I700" s="121" t="s">
        <v>625</v>
      </c>
      <c r="J700" s="121" t="s">
        <v>625</v>
      </c>
    </row>
    <row r="701" spans="1:10">
      <c r="A701" s="114">
        <v>40403</v>
      </c>
      <c r="B701" s="121">
        <v>103.65</v>
      </c>
      <c r="C701" s="121" t="s">
        <v>625</v>
      </c>
      <c r="D701" s="121" t="s">
        <v>625</v>
      </c>
      <c r="E701" s="121" t="s">
        <v>625</v>
      </c>
      <c r="F701" s="121" t="s">
        <v>625</v>
      </c>
      <c r="G701" s="121" t="s">
        <v>625</v>
      </c>
      <c r="H701" s="121" t="e">
        <v>#N/A</v>
      </c>
      <c r="I701" s="121" t="s">
        <v>625</v>
      </c>
      <c r="J701" s="121" t="s">
        <v>625</v>
      </c>
    </row>
    <row r="702" spans="1:10">
      <c r="A702" s="114">
        <v>40406</v>
      </c>
      <c r="B702" s="121">
        <v>103.65</v>
      </c>
      <c r="C702" s="121" t="s">
        <v>625</v>
      </c>
      <c r="D702" s="121" t="s">
        <v>625</v>
      </c>
      <c r="E702" s="121" t="s">
        <v>625</v>
      </c>
      <c r="F702" s="121" t="s">
        <v>625</v>
      </c>
      <c r="G702" s="121" t="s">
        <v>625</v>
      </c>
      <c r="H702" s="121" t="e">
        <v>#N/A</v>
      </c>
      <c r="I702" s="121" t="s">
        <v>625</v>
      </c>
      <c r="J702" s="121" t="s">
        <v>625</v>
      </c>
    </row>
    <row r="703" spans="1:10">
      <c r="A703" s="114">
        <v>40407</v>
      </c>
      <c r="B703" s="121">
        <v>103.65</v>
      </c>
      <c r="C703" s="121" t="s">
        <v>625</v>
      </c>
      <c r="D703" s="121" t="s">
        <v>625</v>
      </c>
      <c r="E703" s="121" t="s">
        <v>625</v>
      </c>
      <c r="F703" s="121" t="s">
        <v>625</v>
      </c>
      <c r="G703" s="121" t="s">
        <v>625</v>
      </c>
      <c r="H703" s="121" t="e">
        <v>#N/A</v>
      </c>
      <c r="I703" s="121" t="s">
        <v>625</v>
      </c>
      <c r="J703" s="121" t="s">
        <v>625</v>
      </c>
    </row>
    <row r="704" spans="1:10">
      <c r="A704" s="114">
        <v>40408</v>
      </c>
      <c r="B704" s="121">
        <v>103.65</v>
      </c>
      <c r="C704" s="121" t="s">
        <v>625</v>
      </c>
      <c r="D704" s="121" t="s">
        <v>625</v>
      </c>
      <c r="E704" s="121" t="s">
        <v>625</v>
      </c>
      <c r="F704" s="121" t="s">
        <v>625</v>
      </c>
      <c r="G704" s="121" t="s">
        <v>625</v>
      </c>
      <c r="H704" s="121" t="e">
        <v>#N/A</v>
      </c>
      <c r="I704" s="121" t="s">
        <v>625</v>
      </c>
      <c r="J704" s="121" t="s">
        <v>625</v>
      </c>
    </row>
    <row r="705" spans="1:10">
      <c r="A705" s="114">
        <v>40409</v>
      </c>
      <c r="B705" s="121">
        <v>103.65</v>
      </c>
      <c r="C705" s="121" t="s">
        <v>625</v>
      </c>
      <c r="D705" s="121" t="s">
        <v>625</v>
      </c>
      <c r="E705" s="121" t="s">
        <v>625</v>
      </c>
      <c r="F705" s="121" t="s">
        <v>625</v>
      </c>
      <c r="G705" s="121" t="s">
        <v>625</v>
      </c>
      <c r="H705" s="121" t="e">
        <v>#N/A</v>
      </c>
      <c r="I705" s="121" t="s">
        <v>625</v>
      </c>
      <c r="J705" s="121" t="s">
        <v>625</v>
      </c>
    </row>
    <row r="706" spans="1:10">
      <c r="A706" s="114">
        <v>40410</v>
      </c>
      <c r="B706" s="121">
        <v>103.65</v>
      </c>
      <c r="C706" s="121" t="s">
        <v>625</v>
      </c>
      <c r="D706" s="121" t="s">
        <v>625</v>
      </c>
      <c r="E706" s="121" t="s">
        <v>625</v>
      </c>
      <c r="F706" s="121" t="s">
        <v>625</v>
      </c>
      <c r="G706" s="121" t="s">
        <v>625</v>
      </c>
      <c r="H706" s="121" t="e">
        <v>#N/A</v>
      </c>
      <c r="I706" s="121" t="s">
        <v>625</v>
      </c>
      <c r="J706" s="121" t="s">
        <v>625</v>
      </c>
    </row>
    <row r="707" spans="1:10">
      <c r="A707" s="114">
        <v>40413</v>
      </c>
      <c r="B707" s="121">
        <v>103.65</v>
      </c>
      <c r="C707" s="121" t="s">
        <v>625</v>
      </c>
      <c r="D707" s="121" t="s">
        <v>625</v>
      </c>
      <c r="E707" s="121" t="s">
        <v>625</v>
      </c>
      <c r="F707" s="121" t="s">
        <v>625</v>
      </c>
      <c r="G707" s="121" t="s">
        <v>625</v>
      </c>
      <c r="H707" s="121" t="e">
        <v>#N/A</v>
      </c>
      <c r="I707" s="121" t="s">
        <v>625</v>
      </c>
      <c r="J707" s="121" t="s">
        <v>625</v>
      </c>
    </row>
    <row r="708" spans="1:10">
      <c r="A708" s="114">
        <v>40414</v>
      </c>
      <c r="B708" s="121">
        <v>103.65</v>
      </c>
      <c r="C708" s="121" t="s">
        <v>625</v>
      </c>
      <c r="D708" s="121" t="s">
        <v>625</v>
      </c>
      <c r="E708" s="121" t="s">
        <v>625</v>
      </c>
      <c r="F708" s="121" t="s">
        <v>625</v>
      </c>
      <c r="G708" s="121" t="s">
        <v>625</v>
      </c>
      <c r="H708" s="121" t="e">
        <v>#N/A</v>
      </c>
      <c r="I708" s="121" t="s">
        <v>625</v>
      </c>
      <c r="J708" s="121" t="s">
        <v>625</v>
      </c>
    </row>
    <row r="709" spans="1:10">
      <c r="A709" s="114">
        <v>40415</v>
      </c>
      <c r="B709" s="121">
        <v>103.65</v>
      </c>
      <c r="C709" s="121" t="s">
        <v>625</v>
      </c>
      <c r="D709" s="121" t="s">
        <v>625</v>
      </c>
      <c r="E709" s="121" t="s">
        <v>625</v>
      </c>
      <c r="F709" s="121" t="s">
        <v>625</v>
      </c>
      <c r="G709" s="121" t="s">
        <v>625</v>
      </c>
      <c r="H709" s="121" t="e">
        <v>#N/A</v>
      </c>
      <c r="I709" s="121" t="s">
        <v>625</v>
      </c>
      <c r="J709" s="121" t="s">
        <v>625</v>
      </c>
    </row>
    <row r="710" spans="1:10">
      <c r="A710" s="114">
        <v>40416</v>
      </c>
      <c r="B710" s="121">
        <v>103.65</v>
      </c>
      <c r="C710" s="121" t="s">
        <v>625</v>
      </c>
      <c r="D710" s="121" t="s">
        <v>625</v>
      </c>
      <c r="E710" s="121" t="s">
        <v>625</v>
      </c>
      <c r="F710" s="121" t="s">
        <v>625</v>
      </c>
      <c r="G710" s="121" t="s">
        <v>625</v>
      </c>
      <c r="H710" s="121" t="e">
        <v>#N/A</v>
      </c>
      <c r="I710" s="121" t="s">
        <v>625</v>
      </c>
      <c r="J710" s="121" t="s">
        <v>625</v>
      </c>
    </row>
    <row r="711" spans="1:10">
      <c r="A711" s="114">
        <v>40417</v>
      </c>
      <c r="B711" s="121">
        <v>103.65</v>
      </c>
      <c r="C711" s="121" t="s">
        <v>625</v>
      </c>
      <c r="D711" s="121" t="s">
        <v>625</v>
      </c>
      <c r="E711" s="121" t="s">
        <v>625</v>
      </c>
      <c r="F711" s="121" t="s">
        <v>625</v>
      </c>
      <c r="G711" s="121" t="s">
        <v>625</v>
      </c>
      <c r="H711" s="121" t="e">
        <v>#N/A</v>
      </c>
      <c r="I711" s="121" t="s">
        <v>625</v>
      </c>
      <c r="J711" s="121" t="s">
        <v>625</v>
      </c>
    </row>
    <row r="712" spans="1:10">
      <c r="A712" s="114">
        <v>40420</v>
      </c>
      <c r="B712" s="121">
        <v>103.65</v>
      </c>
      <c r="C712" s="121" t="s">
        <v>625</v>
      </c>
      <c r="D712" s="121" t="s">
        <v>625</v>
      </c>
      <c r="E712" s="121" t="s">
        <v>625</v>
      </c>
      <c r="F712" s="121" t="s">
        <v>625</v>
      </c>
      <c r="G712" s="121" t="s">
        <v>625</v>
      </c>
      <c r="H712" s="121" t="e">
        <v>#N/A</v>
      </c>
      <c r="I712" s="121" t="s">
        <v>625</v>
      </c>
      <c r="J712" s="121" t="s">
        <v>625</v>
      </c>
    </row>
    <row r="713" spans="1:10">
      <c r="A713" s="114">
        <v>40421</v>
      </c>
      <c r="B713" s="121">
        <v>103.65</v>
      </c>
      <c r="C713" s="121">
        <v>100</v>
      </c>
      <c r="D713" s="121" t="s">
        <v>625</v>
      </c>
      <c r="E713" s="121" t="s">
        <v>625</v>
      </c>
      <c r="F713" s="121" t="s">
        <v>625</v>
      </c>
      <c r="G713" s="121" t="s">
        <v>625</v>
      </c>
      <c r="H713" s="121" t="e">
        <v>#N/A</v>
      </c>
      <c r="I713" s="121" t="s">
        <v>625</v>
      </c>
      <c r="J713" s="121" t="s">
        <v>625</v>
      </c>
    </row>
    <row r="714" spans="1:10">
      <c r="A714" s="114">
        <v>40422</v>
      </c>
      <c r="B714" s="121">
        <v>103.65</v>
      </c>
      <c r="C714" s="121">
        <v>99.760999999999996</v>
      </c>
      <c r="D714" s="121" t="s">
        <v>625</v>
      </c>
      <c r="E714" s="121" t="s">
        <v>625</v>
      </c>
      <c r="F714" s="121" t="s">
        <v>625</v>
      </c>
      <c r="G714" s="121" t="s">
        <v>625</v>
      </c>
      <c r="H714" s="121" t="e">
        <v>#N/A</v>
      </c>
      <c r="I714" s="121" t="s">
        <v>625</v>
      </c>
      <c r="J714" s="121" t="s">
        <v>625</v>
      </c>
    </row>
    <row r="715" spans="1:10">
      <c r="A715" s="114">
        <v>40423</v>
      </c>
      <c r="B715" s="121">
        <v>103.65</v>
      </c>
      <c r="C715" s="121">
        <v>99.814899999999994</v>
      </c>
      <c r="D715" s="121" t="s">
        <v>625</v>
      </c>
      <c r="E715" s="121" t="s">
        <v>625</v>
      </c>
      <c r="F715" s="121" t="s">
        <v>625</v>
      </c>
      <c r="G715" s="121" t="s">
        <v>625</v>
      </c>
      <c r="H715" s="121" t="e">
        <v>#N/A</v>
      </c>
      <c r="I715" s="121" t="s">
        <v>625</v>
      </c>
      <c r="J715" s="121" t="s">
        <v>625</v>
      </c>
    </row>
    <row r="716" spans="1:10">
      <c r="A716" s="114">
        <v>40424</v>
      </c>
      <c r="B716" s="121">
        <v>103.65</v>
      </c>
      <c r="C716" s="121">
        <v>99.814899999999994</v>
      </c>
      <c r="D716" s="121" t="s">
        <v>625</v>
      </c>
      <c r="E716" s="121" t="s">
        <v>625</v>
      </c>
      <c r="F716" s="121" t="s">
        <v>625</v>
      </c>
      <c r="G716" s="121" t="s">
        <v>625</v>
      </c>
      <c r="H716" s="121" t="e">
        <v>#N/A</v>
      </c>
      <c r="I716" s="121" t="s">
        <v>625</v>
      </c>
      <c r="J716" s="121" t="s">
        <v>625</v>
      </c>
    </row>
    <row r="717" spans="1:10">
      <c r="A717" s="114">
        <v>40427</v>
      </c>
      <c r="B717" s="121">
        <v>103.65</v>
      </c>
      <c r="C717" s="121">
        <v>99.722999999999999</v>
      </c>
      <c r="D717" s="121" t="s">
        <v>625</v>
      </c>
      <c r="E717" s="121" t="s">
        <v>625</v>
      </c>
      <c r="F717" s="121" t="s">
        <v>625</v>
      </c>
      <c r="G717" s="121" t="s">
        <v>625</v>
      </c>
      <c r="H717" s="121" t="e">
        <v>#N/A</v>
      </c>
      <c r="I717" s="121" t="s">
        <v>625</v>
      </c>
      <c r="J717" s="121" t="s">
        <v>625</v>
      </c>
    </row>
    <row r="718" spans="1:10">
      <c r="A718" s="114">
        <v>40428</v>
      </c>
      <c r="B718" s="121">
        <v>103.65</v>
      </c>
      <c r="C718" s="121">
        <v>99.539699999999996</v>
      </c>
      <c r="D718" s="121" t="s">
        <v>625</v>
      </c>
      <c r="E718" s="121" t="s">
        <v>625</v>
      </c>
      <c r="F718" s="121" t="s">
        <v>625</v>
      </c>
      <c r="G718" s="121" t="s">
        <v>625</v>
      </c>
      <c r="H718" s="121" t="e">
        <v>#N/A</v>
      </c>
      <c r="I718" s="121" t="s">
        <v>625</v>
      </c>
      <c r="J718" s="121" t="s">
        <v>625</v>
      </c>
    </row>
    <row r="719" spans="1:10">
      <c r="A719" s="114">
        <v>40429</v>
      </c>
      <c r="B719" s="121">
        <v>103.65</v>
      </c>
      <c r="C719" s="121">
        <v>99.905000000000001</v>
      </c>
      <c r="D719" s="121" t="s">
        <v>625</v>
      </c>
      <c r="E719" s="121" t="s">
        <v>625</v>
      </c>
      <c r="F719" s="121" t="s">
        <v>625</v>
      </c>
      <c r="G719" s="121" t="s">
        <v>625</v>
      </c>
      <c r="H719" s="121" t="e">
        <v>#N/A</v>
      </c>
      <c r="I719" s="121" t="s">
        <v>625</v>
      </c>
      <c r="J719" s="121" t="s">
        <v>625</v>
      </c>
    </row>
    <row r="720" spans="1:10">
      <c r="A720" s="114">
        <v>40430</v>
      </c>
      <c r="B720" s="121">
        <v>103.65</v>
      </c>
      <c r="C720" s="121">
        <v>99.905000000000001</v>
      </c>
      <c r="D720" s="121" t="s">
        <v>625</v>
      </c>
      <c r="E720" s="121" t="s">
        <v>625</v>
      </c>
      <c r="F720" s="121" t="s">
        <v>625</v>
      </c>
      <c r="G720" s="121" t="s">
        <v>625</v>
      </c>
      <c r="H720" s="121" t="e">
        <v>#N/A</v>
      </c>
      <c r="I720" s="121" t="s">
        <v>625</v>
      </c>
      <c r="J720" s="121" t="s">
        <v>625</v>
      </c>
    </row>
    <row r="721" spans="1:10">
      <c r="A721" s="114">
        <v>40431</v>
      </c>
      <c r="B721" s="121">
        <v>103.65</v>
      </c>
      <c r="C721" s="121">
        <v>99.449200000000005</v>
      </c>
      <c r="D721" s="121" t="s">
        <v>625</v>
      </c>
      <c r="E721" s="121" t="s">
        <v>625</v>
      </c>
      <c r="F721" s="121" t="s">
        <v>625</v>
      </c>
      <c r="G721" s="121" t="s">
        <v>625</v>
      </c>
      <c r="H721" s="121" t="e">
        <v>#N/A</v>
      </c>
      <c r="I721" s="121" t="s">
        <v>625</v>
      </c>
      <c r="J721" s="121" t="s">
        <v>625</v>
      </c>
    </row>
    <row r="722" spans="1:10">
      <c r="A722" s="114">
        <v>40434</v>
      </c>
      <c r="B722" s="121">
        <v>103.65</v>
      </c>
      <c r="C722" s="121">
        <v>99.449200000000005</v>
      </c>
      <c r="D722" s="121" t="s">
        <v>625</v>
      </c>
      <c r="E722" s="121" t="s">
        <v>625</v>
      </c>
      <c r="F722" s="121" t="s">
        <v>625</v>
      </c>
      <c r="G722" s="121" t="s">
        <v>625</v>
      </c>
      <c r="H722" s="121" t="e">
        <v>#N/A</v>
      </c>
      <c r="I722" s="121" t="s">
        <v>625</v>
      </c>
      <c r="J722" s="121" t="s">
        <v>625</v>
      </c>
    </row>
    <row r="723" spans="1:10">
      <c r="A723" s="114">
        <v>40435</v>
      </c>
      <c r="B723" s="121">
        <v>103.65</v>
      </c>
      <c r="C723" s="121">
        <v>99.358500000000006</v>
      </c>
      <c r="D723" s="121" t="s">
        <v>625</v>
      </c>
      <c r="E723" s="121" t="s">
        <v>625</v>
      </c>
      <c r="F723" s="121" t="s">
        <v>625</v>
      </c>
      <c r="G723" s="121" t="s">
        <v>625</v>
      </c>
      <c r="H723" s="121" t="e">
        <v>#N/A</v>
      </c>
      <c r="I723" s="121" t="s">
        <v>625</v>
      </c>
      <c r="J723" s="121" t="s">
        <v>625</v>
      </c>
    </row>
    <row r="724" spans="1:10">
      <c r="A724" s="114">
        <v>40436</v>
      </c>
      <c r="B724" s="121">
        <v>103.65</v>
      </c>
      <c r="C724" s="121">
        <v>99.449799999999996</v>
      </c>
      <c r="D724" s="121" t="s">
        <v>625</v>
      </c>
      <c r="E724" s="121" t="s">
        <v>625</v>
      </c>
      <c r="F724" s="121" t="s">
        <v>625</v>
      </c>
      <c r="G724" s="121" t="s">
        <v>625</v>
      </c>
      <c r="H724" s="121" t="e">
        <v>#N/A</v>
      </c>
      <c r="I724" s="121" t="s">
        <v>625</v>
      </c>
      <c r="J724" s="121" t="s">
        <v>625</v>
      </c>
    </row>
    <row r="725" spans="1:10">
      <c r="A725" s="114">
        <v>40437</v>
      </c>
      <c r="B725" s="121">
        <v>103.65</v>
      </c>
      <c r="C725" s="121">
        <v>99.358999999999995</v>
      </c>
      <c r="D725" s="121" t="s">
        <v>625</v>
      </c>
      <c r="E725" s="121" t="s">
        <v>625</v>
      </c>
      <c r="F725" s="121" t="s">
        <v>625</v>
      </c>
      <c r="G725" s="121" t="s">
        <v>625</v>
      </c>
      <c r="H725" s="121" t="e">
        <v>#N/A</v>
      </c>
      <c r="I725" s="121" t="s">
        <v>625</v>
      </c>
      <c r="J725" s="121" t="s">
        <v>625</v>
      </c>
    </row>
    <row r="726" spans="1:10">
      <c r="A726" s="114">
        <v>40438</v>
      </c>
      <c r="B726" s="121">
        <v>103.65</v>
      </c>
      <c r="C726" s="121">
        <v>99.358999999999995</v>
      </c>
      <c r="D726" s="121" t="s">
        <v>625</v>
      </c>
      <c r="E726" s="121" t="s">
        <v>625</v>
      </c>
      <c r="F726" s="121" t="s">
        <v>625</v>
      </c>
      <c r="G726" s="121" t="s">
        <v>625</v>
      </c>
      <c r="H726" s="121" t="e">
        <v>#N/A</v>
      </c>
      <c r="I726" s="121" t="s">
        <v>625</v>
      </c>
      <c r="J726" s="121" t="s">
        <v>625</v>
      </c>
    </row>
    <row r="727" spans="1:10">
      <c r="A727" s="114">
        <v>40440</v>
      </c>
      <c r="B727" s="121">
        <v>103.65</v>
      </c>
      <c r="C727" s="121">
        <v>99.358999999999995</v>
      </c>
      <c r="D727" s="121" t="s">
        <v>625</v>
      </c>
      <c r="E727" s="121" t="s">
        <v>625</v>
      </c>
      <c r="F727" s="121" t="s">
        <v>625</v>
      </c>
      <c r="G727" s="121" t="s">
        <v>625</v>
      </c>
      <c r="H727" s="121" t="e">
        <v>#N/A</v>
      </c>
      <c r="I727" s="121" t="s">
        <v>625</v>
      </c>
      <c r="J727" s="121" t="s">
        <v>625</v>
      </c>
    </row>
    <row r="728" spans="1:10">
      <c r="A728" s="114">
        <v>40441</v>
      </c>
      <c r="B728" s="121">
        <v>103.65</v>
      </c>
      <c r="C728" s="121">
        <v>99.169399999999996</v>
      </c>
      <c r="D728" s="121" t="s">
        <v>625</v>
      </c>
      <c r="E728" s="121" t="s">
        <v>625</v>
      </c>
      <c r="F728" s="121" t="s">
        <v>625</v>
      </c>
      <c r="G728" s="121" t="s">
        <v>625</v>
      </c>
      <c r="H728" s="121" t="e">
        <v>#N/A</v>
      </c>
      <c r="I728" s="121" t="s">
        <v>625</v>
      </c>
      <c r="J728" s="121" t="s">
        <v>625</v>
      </c>
    </row>
    <row r="729" spans="1:10">
      <c r="A729" s="114">
        <v>40442</v>
      </c>
      <c r="B729" s="121">
        <v>103.65</v>
      </c>
      <c r="C729" s="121">
        <v>99.308099999999996</v>
      </c>
      <c r="D729" s="121" t="s">
        <v>625</v>
      </c>
      <c r="E729" s="121" t="s">
        <v>625</v>
      </c>
      <c r="F729" s="121" t="s">
        <v>625</v>
      </c>
      <c r="G729" s="121" t="s">
        <v>625</v>
      </c>
      <c r="H729" s="121" t="e">
        <v>#N/A</v>
      </c>
      <c r="I729" s="121" t="s">
        <v>625</v>
      </c>
      <c r="J729" s="121" t="s">
        <v>625</v>
      </c>
    </row>
    <row r="730" spans="1:10">
      <c r="A730" s="114">
        <v>40446</v>
      </c>
      <c r="B730" s="121">
        <v>103.65</v>
      </c>
      <c r="C730" s="121">
        <v>99.314499999999995</v>
      </c>
      <c r="D730" s="121" t="s">
        <v>625</v>
      </c>
      <c r="E730" s="121" t="s">
        <v>625</v>
      </c>
      <c r="F730" s="121" t="s">
        <v>625</v>
      </c>
      <c r="G730" s="121" t="s">
        <v>625</v>
      </c>
      <c r="H730" s="121" t="e">
        <v>#N/A</v>
      </c>
      <c r="I730" s="121" t="s">
        <v>625</v>
      </c>
      <c r="J730" s="121" t="s">
        <v>625</v>
      </c>
    </row>
    <row r="731" spans="1:10">
      <c r="A731" s="114">
        <v>40447</v>
      </c>
      <c r="B731" s="121">
        <v>103.65</v>
      </c>
      <c r="C731" s="121">
        <v>99.314300000000003</v>
      </c>
      <c r="D731" s="121" t="s">
        <v>625</v>
      </c>
      <c r="E731" s="121" t="s">
        <v>625</v>
      </c>
      <c r="F731" s="121" t="s">
        <v>625</v>
      </c>
      <c r="G731" s="121" t="s">
        <v>625</v>
      </c>
      <c r="H731" s="121" t="e">
        <v>#N/A</v>
      </c>
      <c r="I731" s="121" t="s">
        <v>625</v>
      </c>
      <c r="J731" s="121" t="s">
        <v>625</v>
      </c>
    </row>
    <row r="732" spans="1:10">
      <c r="A732" s="114">
        <v>40448</v>
      </c>
      <c r="B732" s="121">
        <v>103.65</v>
      </c>
      <c r="C732" s="121">
        <v>99.314499999999995</v>
      </c>
      <c r="D732" s="121" t="s">
        <v>625</v>
      </c>
      <c r="E732" s="121" t="s">
        <v>625</v>
      </c>
      <c r="F732" s="121" t="s">
        <v>625</v>
      </c>
      <c r="G732" s="121" t="s">
        <v>625</v>
      </c>
      <c r="H732" s="121" t="e">
        <v>#N/A</v>
      </c>
      <c r="I732" s="121" t="s">
        <v>625</v>
      </c>
      <c r="J732" s="121" t="s">
        <v>625</v>
      </c>
    </row>
    <row r="733" spans="1:10">
      <c r="A733" s="114">
        <v>40449</v>
      </c>
      <c r="B733" s="121">
        <v>103.65</v>
      </c>
      <c r="C733" s="121">
        <v>99.315100000000001</v>
      </c>
      <c r="D733" s="121" t="s">
        <v>625</v>
      </c>
      <c r="E733" s="121" t="s">
        <v>625</v>
      </c>
      <c r="F733" s="121" t="s">
        <v>625</v>
      </c>
      <c r="G733" s="121" t="s">
        <v>625</v>
      </c>
      <c r="H733" s="121" t="e">
        <v>#N/A</v>
      </c>
      <c r="I733" s="121" t="s">
        <v>625</v>
      </c>
      <c r="J733" s="121" t="s">
        <v>625</v>
      </c>
    </row>
    <row r="734" spans="1:10">
      <c r="A734" s="114">
        <v>40450</v>
      </c>
      <c r="B734" s="121">
        <v>103.65</v>
      </c>
      <c r="C734" s="121">
        <v>99.384900000000002</v>
      </c>
      <c r="D734" s="121" t="s">
        <v>625</v>
      </c>
      <c r="E734" s="121" t="s">
        <v>625</v>
      </c>
      <c r="F734" s="121" t="s">
        <v>625</v>
      </c>
      <c r="G734" s="121" t="s">
        <v>625</v>
      </c>
      <c r="H734" s="121" t="e">
        <v>#N/A</v>
      </c>
      <c r="I734" s="121" t="s">
        <v>625</v>
      </c>
      <c r="J734" s="121" t="s">
        <v>625</v>
      </c>
    </row>
    <row r="735" spans="1:10">
      <c r="A735" s="114">
        <v>40451</v>
      </c>
      <c r="B735" s="121">
        <v>103.65</v>
      </c>
      <c r="C735" s="121">
        <v>99.276799999999994</v>
      </c>
      <c r="D735" s="121" t="s">
        <v>625</v>
      </c>
      <c r="E735" s="121" t="s">
        <v>625</v>
      </c>
      <c r="F735" s="121" t="s">
        <v>625</v>
      </c>
      <c r="G735" s="121" t="s">
        <v>625</v>
      </c>
      <c r="H735" s="121" t="e">
        <v>#N/A</v>
      </c>
      <c r="I735" s="121" t="s">
        <v>625</v>
      </c>
      <c r="J735" s="121" t="s">
        <v>625</v>
      </c>
    </row>
    <row r="736" spans="1:10">
      <c r="A736" s="114">
        <v>40459</v>
      </c>
      <c r="B736" s="121">
        <v>103.65</v>
      </c>
      <c r="C736" s="121">
        <v>99.317599999999999</v>
      </c>
      <c r="D736" s="121" t="s">
        <v>625</v>
      </c>
      <c r="E736" s="121" t="s">
        <v>625</v>
      </c>
      <c r="F736" s="121" t="s">
        <v>625</v>
      </c>
      <c r="G736" s="121" t="s">
        <v>625</v>
      </c>
      <c r="H736" s="121" t="e">
        <v>#N/A</v>
      </c>
      <c r="I736" s="121" t="s">
        <v>625</v>
      </c>
      <c r="J736" s="121" t="s">
        <v>625</v>
      </c>
    </row>
    <row r="737" spans="1:10">
      <c r="A737" s="114">
        <v>40460</v>
      </c>
      <c r="B737" s="121">
        <v>103.65</v>
      </c>
      <c r="C737" s="121">
        <v>99.317599999999999</v>
      </c>
      <c r="D737" s="121" t="s">
        <v>625</v>
      </c>
      <c r="E737" s="121" t="s">
        <v>625</v>
      </c>
      <c r="F737" s="121" t="s">
        <v>625</v>
      </c>
      <c r="G737" s="121" t="s">
        <v>625</v>
      </c>
      <c r="H737" s="121" t="e">
        <v>#N/A</v>
      </c>
      <c r="I737" s="121" t="s">
        <v>625</v>
      </c>
      <c r="J737" s="121" t="s">
        <v>625</v>
      </c>
    </row>
    <row r="738" spans="1:10">
      <c r="A738" s="114">
        <v>40462</v>
      </c>
      <c r="B738" s="121">
        <v>103.65</v>
      </c>
      <c r="C738" s="121">
        <v>99.096500000000006</v>
      </c>
      <c r="D738" s="121" t="s">
        <v>625</v>
      </c>
      <c r="E738" s="121" t="s">
        <v>625</v>
      </c>
      <c r="F738" s="121" t="s">
        <v>625</v>
      </c>
      <c r="G738" s="121" t="s">
        <v>625</v>
      </c>
      <c r="H738" s="121" t="e">
        <v>#N/A</v>
      </c>
      <c r="I738" s="121" t="s">
        <v>625</v>
      </c>
      <c r="J738" s="121" t="s">
        <v>625</v>
      </c>
    </row>
    <row r="739" spans="1:10">
      <c r="A739" s="114">
        <v>40463</v>
      </c>
      <c r="B739" s="121">
        <v>103.65</v>
      </c>
      <c r="C739" s="121">
        <v>99.183899999999994</v>
      </c>
      <c r="D739" s="121" t="s">
        <v>625</v>
      </c>
      <c r="E739" s="121" t="s">
        <v>625</v>
      </c>
      <c r="F739" s="121" t="s">
        <v>625</v>
      </c>
      <c r="G739" s="121" t="s">
        <v>625</v>
      </c>
      <c r="H739" s="121" t="e">
        <v>#N/A</v>
      </c>
      <c r="I739" s="121" t="s">
        <v>625</v>
      </c>
      <c r="J739" s="121" t="s">
        <v>625</v>
      </c>
    </row>
    <row r="740" spans="1:10">
      <c r="A740" s="114">
        <v>40464</v>
      </c>
      <c r="B740" s="121">
        <v>103.65</v>
      </c>
      <c r="C740" s="121">
        <v>99.052599999999998</v>
      </c>
      <c r="D740" s="121" t="s">
        <v>625</v>
      </c>
      <c r="E740" s="121" t="s">
        <v>625</v>
      </c>
      <c r="F740" s="121" t="s">
        <v>625</v>
      </c>
      <c r="G740" s="121" t="s">
        <v>625</v>
      </c>
      <c r="H740" s="121" t="e">
        <v>#N/A</v>
      </c>
      <c r="I740" s="121" t="s">
        <v>625</v>
      </c>
      <c r="J740" s="121" t="s">
        <v>625</v>
      </c>
    </row>
    <row r="741" spans="1:10">
      <c r="A741" s="114">
        <v>40465</v>
      </c>
      <c r="B741" s="121">
        <v>103.65</v>
      </c>
      <c r="C741" s="121">
        <v>99.1798</v>
      </c>
      <c r="D741" s="121" t="s">
        <v>625</v>
      </c>
      <c r="E741" s="121" t="s">
        <v>625</v>
      </c>
      <c r="F741" s="121" t="s">
        <v>625</v>
      </c>
      <c r="G741" s="121" t="s">
        <v>625</v>
      </c>
      <c r="H741" s="121" t="e">
        <v>#N/A</v>
      </c>
      <c r="I741" s="121" t="s">
        <v>625</v>
      </c>
      <c r="J741" s="121" t="s">
        <v>625</v>
      </c>
    </row>
    <row r="742" spans="1:10">
      <c r="A742" s="114">
        <v>40466</v>
      </c>
      <c r="B742" s="121">
        <v>103.65</v>
      </c>
      <c r="C742" s="121">
        <v>99.232799999999997</v>
      </c>
      <c r="D742" s="121" t="s">
        <v>625</v>
      </c>
      <c r="E742" s="121" t="s">
        <v>625</v>
      </c>
      <c r="F742" s="121" t="s">
        <v>625</v>
      </c>
      <c r="G742" s="121" t="s">
        <v>625</v>
      </c>
      <c r="H742" s="121" t="e">
        <v>#N/A</v>
      </c>
      <c r="I742" s="121" t="s">
        <v>625</v>
      </c>
      <c r="J742" s="121" t="s">
        <v>625</v>
      </c>
    </row>
    <row r="743" spans="1:10">
      <c r="A743" s="114">
        <v>40469</v>
      </c>
      <c r="B743" s="121">
        <v>103.65</v>
      </c>
      <c r="C743" s="121">
        <v>99.233199999999997</v>
      </c>
      <c r="D743" s="121" t="s">
        <v>625</v>
      </c>
      <c r="E743" s="121" t="s">
        <v>625</v>
      </c>
      <c r="F743" s="121" t="s">
        <v>625</v>
      </c>
      <c r="G743" s="121" t="s">
        <v>625</v>
      </c>
      <c r="H743" s="121" t="e">
        <v>#N/A</v>
      </c>
      <c r="I743" s="121" t="s">
        <v>625</v>
      </c>
      <c r="J743" s="121" t="s">
        <v>625</v>
      </c>
    </row>
    <row r="744" spans="1:10">
      <c r="A744" s="114">
        <v>40470</v>
      </c>
      <c r="B744" s="121">
        <v>103.65</v>
      </c>
      <c r="C744" s="121">
        <v>99.168800000000005</v>
      </c>
      <c r="D744" s="121">
        <v>100</v>
      </c>
      <c r="E744" s="121" t="s">
        <v>625</v>
      </c>
      <c r="F744" s="121" t="s">
        <v>625</v>
      </c>
      <c r="G744" s="121" t="s">
        <v>625</v>
      </c>
      <c r="H744" s="121" t="e">
        <v>#N/A</v>
      </c>
      <c r="I744" s="121" t="s">
        <v>625</v>
      </c>
      <c r="J744" s="121" t="s">
        <v>625</v>
      </c>
    </row>
    <row r="745" spans="1:10">
      <c r="A745" s="114">
        <v>40471</v>
      </c>
      <c r="B745" s="121">
        <v>103.65</v>
      </c>
      <c r="C745" s="121">
        <v>100.001</v>
      </c>
      <c r="D745" s="121">
        <v>99.804299999999998</v>
      </c>
      <c r="E745" s="121" t="s">
        <v>625</v>
      </c>
      <c r="F745" s="121" t="s">
        <v>625</v>
      </c>
      <c r="G745" s="121" t="s">
        <v>625</v>
      </c>
      <c r="H745" s="121" t="e">
        <v>#N/A</v>
      </c>
      <c r="I745" s="121" t="s">
        <v>625</v>
      </c>
      <c r="J745" s="121" t="s">
        <v>625</v>
      </c>
    </row>
    <row r="746" spans="1:10">
      <c r="A746" s="114">
        <v>40472</v>
      </c>
      <c r="B746" s="121">
        <v>103.65</v>
      </c>
      <c r="C746" s="121">
        <v>99.3</v>
      </c>
      <c r="D746" s="121">
        <v>97.559799999999996</v>
      </c>
      <c r="E746" s="121" t="s">
        <v>625</v>
      </c>
      <c r="F746" s="121" t="s">
        <v>625</v>
      </c>
      <c r="G746" s="121" t="s">
        <v>625</v>
      </c>
      <c r="H746" s="121" t="e">
        <v>#N/A</v>
      </c>
      <c r="I746" s="121" t="s">
        <v>625</v>
      </c>
      <c r="J746" s="121" t="s">
        <v>625</v>
      </c>
    </row>
    <row r="747" spans="1:10">
      <c r="A747" s="114">
        <v>40473</v>
      </c>
      <c r="B747" s="121">
        <v>103.65</v>
      </c>
      <c r="C747" s="121">
        <v>97.858400000000003</v>
      </c>
      <c r="D747" s="121">
        <v>97.8626</v>
      </c>
      <c r="E747" s="121" t="s">
        <v>625</v>
      </c>
      <c r="F747" s="121" t="s">
        <v>625</v>
      </c>
      <c r="G747" s="121" t="s">
        <v>625</v>
      </c>
      <c r="H747" s="121" t="e">
        <v>#N/A</v>
      </c>
      <c r="I747" s="121" t="s">
        <v>625</v>
      </c>
      <c r="J747" s="121" t="s">
        <v>625</v>
      </c>
    </row>
    <row r="748" spans="1:10">
      <c r="A748" s="114">
        <v>40476</v>
      </c>
      <c r="B748" s="121">
        <v>103.65</v>
      </c>
      <c r="C748" s="121">
        <v>99.351500000000001</v>
      </c>
      <c r="D748" s="121">
        <v>98.043999999999997</v>
      </c>
      <c r="E748" s="121" t="s">
        <v>625</v>
      </c>
      <c r="F748" s="121" t="s">
        <v>625</v>
      </c>
      <c r="G748" s="121" t="s">
        <v>625</v>
      </c>
      <c r="H748" s="121" t="e">
        <v>#N/A</v>
      </c>
      <c r="I748" s="121" t="s">
        <v>625</v>
      </c>
      <c r="J748" s="121" t="s">
        <v>625</v>
      </c>
    </row>
    <row r="749" spans="1:10">
      <c r="A749" s="114">
        <v>40477</v>
      </c>
      <c r="B749" s="121">
        <v>103.65</v>
      </c>
      <c r="C749" s="121">
        <v>99.349199999999996</v>
      </c>
      <c r="D749" s="121">
        <v>98.981700000000004</v>
      </c>
      <c r="E749" s="121" t="s">
        <v>625</v>
      </c>
      <c r="F749" s="121" t="s">
        <v>625</v>
      </c>
      <c r="G749" s="121" t="s">
        <v>625</v>
      </c>
      <c r="H749" s="121" t="e">
        <v>#N/A</v>
      </c>
      <c r="I749" s="121" t="s">
        <v>625</v>
      </c>
      <c r="J749" s="121" t="s">
        <v>625</v>
      </c>
    </row>
    <row r="750" spans="1:10">
      <c r="A750" s="114">
        <v>40478</v>
      </c>
      <c r="B750" s="121">
        <v>103.65</v>
      </c>
      <c r="C750" s="121">
        <v>97.565200000000004</v>
      </c>
      <c r="D750" s="121">
        <v>98.977900000000005</v>
      </c>
      <c r="E750" s="121" t="s">
        <v>625</v>
      </c>
      <c r="F750" s="121" t="s">
        <v>625</v>
      </c>
      <c r="G750" s="121" t="s">
        <v>625</v>
      </c>
      <c r="H750" s="121" t="e">
        <v>#N/A</v>
      </c>
      <c r="I750" s="121" t="s">
        <v>625</v>
      </c>
      <c r="J750" s="121" t="s">
        <v>625</v>
      </c>
    </row>
    <row r="751" spans="1:10">
      <c r="A751" s="114">
        <v>40479</v>
      </c>
      <c r="B751" s="121">
        <v>103.65</v>
      </c>
      <c r="C751" s="121">
        <v>97.566400000000002</v>
      </c>
      <c r="D751" s="121">
        <v>99.285600000000002</v>
      </c>
      <c r="E751" s="121" t="s">
        <v>625</v>
      </c>
      <c r="F751" s="121" t="s">
        <v>625</v>
      </c>
      <c r="G751" s="121" t="s">
        <v>625</v>
      </c>
      <c r="H751" s="121" t="e">
        <v>#N/A</v>
      </c>
      <c r="I751" s="121" t="s">
        <v>625</v>
      </c>
      <c r="J751" s="121" t="s">
        <v>625</v>
      </c>
    </row>
    <row r="752" spans="1:10">
      <c r="A752" s="114">
        <v>40480</v>
      </c>
      <c r="B752" s="121">
        <v>103.65</v>
      </c>
      <c r="C752" s="121">
        <v>99.193399999999997</v>
      </c>
      <c r="D752" s="121">
        <v>98.969099999999997</v>
      </c>
      <c r="E752" s="121" t="s">
        <v>625</v>
      </c>
      <c r="F752" s="121" t="s">
        <v>625</v>
      </c>
      <c r="G752" s="121" t="s">
        <v>625</v>
      </c>
      <c r="H752" s="121" t="e">
        <v>#N/A</v>
      </c>
      <c r="I752" s="121" t="s">
        <v>625</v>
      </c>
      <c r="J752" s="121" t="s">
        <v>625</v>
      </c>
    </row>
    <row r="753" spans="1:10">
      <c r="A753" s="114">
        <v>40483</v>
      </c>
      <c r="B753" s="121">
        <v>103.65</v>
      </c>
      <c r="C753" s="121">
        <v>99.193399999999997</v>
      </c>
      <c r="D753" s="121">
        <v>98.969099999999997</v>
      </c>
      <c r="E753" s="121" t="s">
        <v>625</v>
      </c>
      <c r="F753" s="121" t="s">
        <v>625</v>
      </c>
      <c r="G753" s="121" t="s">
        <v>625</v>
      </c>
      <c r="H753" s="121" t="e">
        <v>#N/A</v>
      </c>
      <c r="I753" s="121" t="s">
        <v>625</v>
      </c>
      <c r="J753" s="121" t="s">
        <v>625</v>
      </c>
    </row>
    <row r="754" spans="1:10">
      <c r="A754" s="114">
        <v>40484</v>
      </c>
      <c r="B754" s="121">
        <v>103.65</v>
      </c>
      <c r="C754" s="121">
        <v>97.269400000000005</v>
      </c>
      <c r="D754" s="121">
        <v>97.661600000000007</v>
      </c>
      <c r="E754" s="121" t="s">
        <v>625</v>
      </c>
      <c r="F754" s="121" t="s">
        <v>625</v>
      </c>
      <c r="G754" s="121" t="s">
        <v>625</v>
      </c>
      <c r="H754" s="121" t="e">
        <v>#N/A</v>
      </c>
      <c r="I754" s="121" t="s">
        <v>625</v>
      </c>
      <c r="J754" s="121" t="s">
        <v>625</v>
      </c>
    </row>
    <row r="755" spans="1:10">
      <c r="A755" s="114">
        <v>40485</v>
      </c>
      <c r="B755" s="121">
        <v>103.65</v>
      </c>
      <c r="C755" s="121">
        <v>96.838499999999996</v>
      </c>
      <c r="D755" s="121">
        <v>97.657899999999998</v>
      </c>
      <c r="E755" s="121" t="s">
        <v>625</v>
      </c>
      <c r="F755" s="121" t="s">
        <v>625</v>
      </c>
      <c r="G755" s="121" t="s">
        <v>625</v>
      </c>
      <c r="H755" s="121" t="e">
        <v>#N/A</v>
      </c>
      <c r="I755" s="121" t="s">
        <v>625</v>
      </c>
      <c r="J755" s="121" t="s">
        <v>625</v>
      </c>
    </row>
    <row r="756" spans="1:10">
      <c r="A756" s="114">
        <v>40486</v>
      </c>
      <c r="B756" s="121">
        <v>103.65</v>
      </c>
      <c r="C756" s="121">
        <v>96.413600000000002</v>
      </c>
      <c r="D756" s="121">
        <v>96.530299999999997</v>
      </c>
      <c r="E756" s="121" t="s">
        <v>625</v>
      </c>
      <c r="F756" s="121" t="s">
        <v>625</v>
      </c>
      <c r="G756" s="121" t="s">
        <v>625</v>
      </c>
      <c r="H756" s="121" t="e">
        <v>#N/A</v>
      </c>
      <c r="I756" s="121" t="s">
        <v>625</v>
      </c>
      <c r="J756" s="121" t="s">
        <v>625</v>
      </c>
    </row>
    <row r="757" spans="1:10">
      <c r="A757" s="114">
        <v>40487</v>
      </c>
      <c r="B757" s="121">
        <v>103.65</v>
      </c>
      <c r="C757" s="121">
        <v>96.418999999999997</v>
      </c>
      <c r="D757" s="121">
        <v>97.642799999999994</v>
      </c>
      <c r="E757" s="121" t="s">
        <v>625</v>
      </c>
      <c r="F757" s="121" t="s">
        <v>625</v>
      </c>
      <c r="G757" s="121" t="s">
        <v>625</v>
      </c>
      <c r="H757" s="121" t="e">
        <v>#N/A</v>
      </c>
      <c r="I757" s="121" t="s">
        <v>625</v>
      </c>
      <c r="J757" s="121" t="s">
        <v>625</v>
      </c>
    </row>
    <row r="758" spans="1:10">
      <c r="A758" s="114">
        <v>40490</v>
      </c>
      <c r="B758" s="121">
        <v>103.65</v>
      </c>
      <c r="C758" s="121">
        <v>99.185900000000004</v>
      </c>
      <c r="D758" s="121">
        <v>98.951499999999996</v>
      </c>
      <c r="E758" s="121" t="s">
        <v>625</v>
      </c>
      <c r="F758" s="121" t="s">
        <v>625</v>
      </c>
      <c r="G758" s="121" t="s">
        <v>625</v>
      </c>
      <c r="H758" s="121" t="e">
        <v>#N/A</v>
      </c>
      <c r="I758" s="121" t="s">
        <v>625</v>
      </c>
      <c r="J758" s="121" t="s">
        <v>625</v>
      </c>
    </row>
    <row r="759" spans="1:10">
      <c r="A759" s="114">
        <v>40491</v>
      </c>
      <c r="B759" s="121">
        <v>103.65</v>
      </c>
      <c r="C759" s="121">
        <v>97.860399999999998</v>
      </c>
      <c r="D759" s="121">
        <v>97.7547</v>
      </c>
      <c r="E759" s="121" t="s">
        <v>625</v>
      </c>
      <c r="F759" s="121" t="s">
        <v>625</v>
      </c>
      <c r="G759" s="121" t="s">
        <v>625</v>
      </c>
      <c r="H759" s="121" t="e">
        <v>#N/A</v>
      </c>
      <c r="I759" s="121" t="s">
        <v>625</v>
      </c>
      <c r="J759" s="121" t="s">
        <v>625</v>
      </c>
    </row>
    <row r="760" spans="1:10">
      <c r="A760" s="114">
        <v>40492</v>
      </c>
      <c r="B760" s="121">
        <v>103.65</v>
      </c>
      <c r="C760" s="121">
        <v>97.468400000000003</v>
      </c>
      <c r="D760" s="121">
        <v>97.334000000000003</v>
      </c>
      <c r="E760" s="121" t="s">
        <v>625</v>
      </c>
      <c r="F760" s="121" t="s">
        <v>625</v>
      </c>
      <c r="G760" s="121" t="s">
        <v>625</v>
      </c>
      <c r="H760" s="121" t="e">
        <v>#N/A</v>
      </c>
      <c r="I760" s="121" t="s">
        <v>625</v>
      </c>
      <c r="J760" s="121" t="s">
        <v>625</v>
      </c>
    </row>
    <row r="761" spans="1:10">
      <c r="A761" s="114">
        <v>40493</v>
      </c>
      <c r="B761" s="121">
        <v>103.65</v>
      </c>
      <c r="C761" s="121">
        <v>97.468400000000003</v>
      </c>
      <c r="D761" s="121">
        <v>95.746899999999997</v>
      </c>
      <c r="E761" s="121" t="s">
        <v>625</v>
      </c>
      <c r="F761" s="121" t="s">
        <v>625</v>
      </c>
      <c r="G761" s="121" t="s">
        <v>625</v>
      </c>
      <c r="H761" s="121" t="e">
        <v>#N/A</v>
      </c>
      <c r="I761" s="121" t="s">
        <v>625</v>
      </c>
      <c r="J761" s="121" t="s">
        <v>625</v>
      </c>
    </row>
    <row r="762" spans="1:10">
      <c r="A762" s="114">
        <v>40494</v>
      </c>
      <c r="B762" s="121">
        <v>103.65</v>
      </c>
      <c r="C762" s="121">
        <v>97.468400000000003</v>
      </c>
      <c r="D762" s="121">
        <v>95.746899999999997</v>
      </c>
      <c r="E762" s="121" t="s">
        <v>625</v>
      </c>
      <c r="F762" s="121" t="s">
        <v>625</v>
      </c>
      <c r="G762" s="121" t="s">
        <v>625</v>
      </c>
      <c r="H762" s="121" t="e">
        <v>#N/A</v>
      </c>
      <c r="I762" s="121" t="s">
        <v>625</v>
      </c>
      <c r="J762" s="121" t="s">
        <v>625</v>
      </c>
    </row>
    <row r="763" spans="1:10">
      <c r="A763" s="114">
        <v>40497</v>
      </c>
      <c r="B763" s="121">
        <v>103.65</v>
      </c>
      <c r="C763" s="121">
        <v>95.2958</v>
      </c>
      <c r="D763" s="121">
        <v>95.746899999999997</v>
      </c>
      <c r="E763" s="121" t="s">
        <v>625</v>
      </c>
      <c r="F763" s="121" t="s">
        <v>625</v>
      </c>
      <c r="G763" s="121" t="s">
        <v>625</v>
      </c>
      <c r="H763" s="121" t="e">
        <v>#N/A</v>
      </c>
      <c r="I763" s="121" t="s">
        <v>625</v>
      </c>
      <c r="J763" s="121" t="s">
        <v>625</v>
      </c>
    </row>
    <row r="764" spans="1:10">
      <c r="A764" s="114">
        <v>40498</v>
      </c>
      <c r="B764" s="121">
        <v>103.65</v>
      </c>
      <c r="C764" s="121">
        <v>97.331699999999998</v>
      </c>
      <c r="D764" s="121">
        <v>95.746899999999997</v>
      </c>
      <c r="E764" s="121" t="s">
        <v>625</v>
      </c>
      <c r="F764" s="121" t="s">
        <v>625</v>
      </c>
      <c r="G764" s="121" t="s">
        <v>625</v>
      </c>
      <c r="H764" s="121" t="e">
        <v>#N/A</v>
      </c>
      <c r="I764" s="121" t="s">
        <v>625</v>
      </c>
      <c r="J764" s="121" t="s">
        <v>625</v>
      </c>
    </row>
    <row r="765" spans="1:10">
      <c r="A765" s="114">
        <v>40499</v>
      </c>
      <c r="B765" s="121">
        <v>103.65</v>
      </c>
      <c r="C765" s="121">
        <v>97.235299999999995</v>
      </c>
      <c r="D765" s="121">
        <v>97.445099999999996</v>
      </c>
      <c r="E765" s="121" t="s">
        <v>625</v>
      </c>
      <c r="F765" s="121" t="s">
        <v>625</v>
      </c>
      <c r="G765" s="121" t="s">
        <v>625</v>
      </c>
      <c r="H765" s="121" t="e">
        <v>#N/A</v>
      </c>
      <c r="I765" s="121" t="s">
        <v>625</v>
      </c>
      <c r="J765" s="121" t="s">
        <v>625</v>
      </c>
    </row>
    <row r="766" spans="1:10">
      <c r="A766" s="114">
        <v>40500</v>
      </c>
      <c r="B766" s="121">
        <v>103.65</v>
      </c>
      <c r="C766" s="121">
        <v>97.246799999999993</v>
      </c>
      <c r="D766" s="121">
        <v>97.672399999999996</v>
      </c>
      <c r="E766" s="121" t="s">
        <v>625</v>
      </c>
      <c r="F766" s="121" t="s">
        <v>625</v>
      </c>
      <c r="G766" s="121" t="s">
        <v>625</v>
      </c>
      <c r="H766" s="121" t="e">
        <v>#N/A</v>
      </c>
      <c r="I766" s="121" t="s">
        <v>625</v>
      </c>
      <c r="J766" s="121" t="s">
        <v>625</v>
      </c>
    </row>
    <row r="767" spans="1:10">
      <c r="A767" s="114">
        <v>40501</v>
      </c>
      <c r="B767" s="121">
        <v>103.65</v>
      </c>
      <c r="C767" s="121">
        <v>95.854200000000006</v>
      </c>
      <c r="D767" s="121">
        <v>98.053399999999996</v>
      </c>
      <c r="E767" s="121" t="s">
        <v>625</v>
      </c>
      <c r="F767" s="121" t="s">
        <v>625</v>
      </c>
      <c r="G767" s="121" t="s">
        <v>625</v>
      </c>
      <c r="H767" s="121" t="e">
        <v>#N/A</v>
      </c>
      <c r="I767" s="121" t="s">
        <v>625</v>
      </c>
      <c r="J767" s="121" t="s">
        <v>625</v>
      </c>
    </row>
    <row r="768" spans="1:10">
      <c r="A768" s="114">
        <v>40504</v>
      </c>
      <c r="B768" s="121">
        <v>103.65</v>
      </c>
      <c r="C768" s="121">
        <v>97.712400000000002</v>
      </c>
      <c r="D768" s="121">
        <v>97.981300000000005</v>
      </c>
      <c r="E768" s="121" t="s">
        <v>625</v>
      </c>
      <c r="F768" s="121" t="s">
        <v>625</v>
      </c>
      <c r="G768" s="121" t="s">
        <v>625</v>
      </c>
      <c r="H768" s="121" t="e">
        <v>#N/A</v>
      </c>
      <c r="I768" s="121" t="s">
        <v>625</v>
      </c>
      <c r="J768" s="121" t="s">
        <v>625</v>
      </c>
    </row>
    <row r="769" spans="1:10">
      <c r="A769" s="114">
        <v>40505</v>
      </c>
      <c r="B769" s="121">
        <v>103.65</v>
      </c>
      <c r="C769" s="121">
        <v>97.505600000000001</v>
      </c>
      <c r="D769" s="121">
        <v>97.555800000000005</v>
      </c>
      <c r="E769" s="121" t="s">
        <v>625</v>
      </c>
      <c r="F769" s="121" t="s">
        <v>625</v>
      </c>
      <c r="G769" s="121" t="s">
        <v>625</v>
      </c>
      <c r="H769" s="121" t="e">
        <v>#N/A</v>
      </c>
      <c r="I769" s="121" t="s">
        <v>625</v>
      </c>
      <c r="J769" s="121" t="s">
        <v>625</v>
      </c>
    </row>
    <row r="770" spans="1:10">
      <c r="A770" s="114">
        <v>40506</v>
      </c>
      <c r="B770" s="121">
        <v>103.65</v>
      </c>
      <c r="C770" s="121">
        <v>95.358999999999995</v>
      </c>
      <c r="D770" s="121">
        <v>97.084800000000001</v>
      </c>
      <c r="E770" s="121" t="s">
        <v>625</v>
      </c>
      <c r="F770" s="121" t="s">
        <v>625</v>
      </c>
      <c r="G770" s="121" t="s">
        <v>625</v>
      </c>
      <c r="H770" s="121" t="e">
        <v>#N/A</v>
      </c>
      <c r="I770" s="121" t="s">
        <v>625</v>
      </c>
      <c r="J770" s="121" t="s">
        <v>625</v>
      </c>
    </row>
    <row r="771" spans="1:10">
      <c r="A771" s="114">
        <v>40507</v>
      </c>
      <c r="B771" s="121">
        <v>103.65</v>
      </c>
      <c r="C771" s="121">
        <v>96.957300000000004</v>
      </c>
      <c r="D771" s="121">
        <v>97.024299999999997</v>
      </c>
      <c r="E771" s="121" t="s">
        <v>625</v>
      </c>
      <c r="F771" s="121" t="s">
        <v>625</v>
      </c>
      <c r="G771" s="121" t="s">
        <v>625</v>
      </c>
      <c r="H771" s="121" t="e">
        <v>#N/A</v>
      </c>
      <c r="I771" s="121" t="s">
        <v>625</v>
      </c>
      <c r="J771" s="121" t="s">
        <v>625</v>
      </c>
    </row>
    <row r="772" spans="1:10">
      <c r="A772" s="114">
        <v>40508</v>
      </c>
      <c r="B772" s="121">
        <v>103.65</v>
      </c>
      <c r="C772" s="121">
        <v>96.816400000000002</v>
      </c>
      <c r="D772" s="121">
        <v>97.042100000000005</v>
      </c>
      <c r="E772" s="121" t="s">
        <v>625</v>
      </c>
      <c r="F772" s="121" t="s">
        <v>625</v>
      </c>
      <c r="G772" s="121" t="s">
        <v>625</v>
      </c>
      <c r="H772" s="121" t="e">
        <v>#N/A</v>
      </c>
      <c r="I772" s="121" t="s">
        <v>625</v>
      </c>
      <c r="J772" s="121" t="s">
        <v>625</v>
      </c>
    </row>
    <row r="773" spans="1:10">
      <c r="A773" s="114">
        <v>40511</v>
      </c>
      <c r="B773" s="121">
        <v>103.65</v>
      </c>
      <c r="C773" s="121">
        <v>95.999099999999999</v>
      </c>
      <c r="D773" s="121">
        <v>96.897499999999994</v>
      </c>
      <c r="E773" s="121" t="s">
        <v>625</v>
      </c>
      <c r="F773" s="121" t="s">
        <v>625</v>
      </c>
      <c r="G773" s="121" t="s">
        <v>625</v>
      </c>
      <c r="H773" s="121" t="e">
        <v>#N/A</v>
      </c>
      <c r="I773" s="121" t="s">
        <v>625</v>
      </c>
      <c r="J773" s="121" t="s">
        <v>625</v>
      </c>
    </row>
    <row r="774" spans="1:10">
      <c r="A774" s="114">
        <v>40512</v>
      </c>
      <c r="B774" s="121">
        <v>103.65</v>
      </c>
      <c r="C774" s="121">
        <v>96.73</v>
      </c>
      <c r="D774" s="121">
        <v>96.74</v>
      </c>
      <c r="E774" s="121" t="s">
        <v>625</v>
      </c>
      <c r="F774" s="121" t="s">
        <v>625</v>
      </c>
      <c r="G774" s="121" t="s">
        <v>625</v>
      </c>
      <c r="H774" s="121" t="e">
        <v>#N/A</v>
      </c>
      <c r="I774" s="121" t="s">
        <v>625</v>
      </c>
      <c r="J774" s="121" t="s">
        <v>625</v>
      </c>
    </row>
    <row r="775" spans="1:10">
      <c r="A775" s="114">
        <v>40513</v>
      </c>
      <c r="B775" s="121">
        <v>103.65</v>
      </c>
      <c r="C775" s="121">
        <v>95.2928</v>
      </c>
      <c r="D775" s="121">
        <v>96.74</v>
      </c>
      <c r="E775" s="121" t="s">
        <v>625</v>
      </c>
      <c r="F775" s="121" t="s">
        <v>625</v>
      </c>
      <c r="G775" s="121" t="s">
        <v>625</v>
      </c>
      <c r="H775" s="121" t="e">
        <v>#N/A</v>
      </c>
      <c r="I775" s="121" t="s">
        <v>625</v>
      </c>
      <c r="J775" s="121" t="s">
        <v>625</v>
      </c>
    </row>
    <row r="776" spans="1:10">
      <c r="A776" s="114">
        <v>40514</v>
      </c>
      <c r="B776" s="121">
        <v>103.65</v>
      </c>
      <c r="C776" s="121">
        <v>95.2928</v>
      </c>
      <c r="D776" s="121">
        <v>96.74</v>
      </c>
      <c r="E776" s="121" t="s">
        <v>625</v>
      </c>
      <c r="F776" s="121" t="s">
        <v>625</v>
      </c>
      <c r="G776" s="121" t="s">
        <v>625</v>
      </c>
      <c r="H776" s="121" t="e">
        <v>#N/A</v>
      </c>
      <c r="I776" s="121" t="s">
        <v>625</v>
      </c>
      <c r="J776" s="121" t="s">
        <v>625</v>
      </c>
    </row>
    <row r="777" spans="1:10">
      <c r="A777" s="114">
        <v>40515</v>
      </c>
      <c r="B777" s="121">
        <v>103.65</v>
      </c>
      <c r="C777" s="121">
        <v>95.2928</v>
      </c>
      <c r="D777" s="121">
        <v>96.74</v>
      </c>
      <c r="E777" s="121" t="s">
        <v>625</v>
      </c>
      <c r="F777" s="121" t="s">
        <v>625</v>
      </c>
      <c r="G777" s="121" t="s">
        <v>625</v>
      </c>
      <c r="H777" s="121" t="e">
        <v>#N/A</v>
      </c>
      <c r="I777" s="121" t="s">
        <v>625</v>
      </c>
      <c r="J777" s="121" t="s">
        <v>625</v>
      </c>
    </row>
    <row r="778" spans="1:10">
      <c r="A778" s="114">
        <v>40518</v>
      </c>
      <c r="B778" s="121">
        <v>103.65</v>
      </c>
      <c r="C778" s="121">
        <v>96.736599999999996</v>
      </c>
      <c r="D778" s="121">
        <v>96.736400000000003</v>
      </c>
      <c r="E778" s="121" t="s">
        <v>625</v>
      </c>
      <c r="F778" s="121" t="s">
        <v>625</v>
      </c>
      <c r="G778" s="121" t="s">
        <v>625</v>
      </c>
      <c r="H778" s="121" t="e">
        <v>#N/A</v>
      </c>
      <c r="I778" s="121" t="s">
        <v>625</v>
      </c>
      <c r="J778" s="121" t="s">
        <v>625</v>
      </c>
    </row>
    <row r="779" spans="1:10">
      <c r="A779" s="114">
        <v>40519</v>
      </c>
      <c r="B779" s="121">
        <v>103.65</v>
      </c>
      <c r="C779" s="121">
        <v>96.735399999999998</v>
      </c>
      <c r="D779" s="121">
        <v>96.733800000000002</v>
      </c>
      <c r="E779" s="121" t="s">
        <v>625</v>
      </c>
      <c r="F779" s="121" t="s">
        <v>625</v>
      </c>
      <c r="G779" s="121" t="s">
        <v>625</v>
      </c>
      <c r="H779" s="121" t="e">
        <v>#N/A</v>
      </c>
      <c r="I779" s="121" t="s">
        <v>625</v>
      </c>
      <c r="J779" s="121" t="s">
        <v>625</v>
      </c>
    </row>
    <row r="780" spans="1:10">
      <c r="A780" s="114">
        <v>40520</v>
      </c>
      <c r="B780" s="121">
        <v>103.65</v>
      </c>
      <c r="C780" s="121">
        <v>97.299099999999996</v>
      </c>
      <c r="D780" s="121">
        <v>96.897599999999997</v>
      </c>
      <c r="E780" s="121" t="s">
        <v>625</v>
      </c>
      <c r="F780" s="121" t="s">
        <v>625</v>
      </c>
      <c r="G780" s="121" t="s">
        <v>625</v>
      </c>
      <c r="H780" s="121" t="e">
        <v>#N/A</v>
      </c>
      <c r="I780" s="121" t="s">
        <v>625</v>
      </c>
      <c r="J780" s="121" t="s">
        <v>625</v>
      </c>
    </row>
    <row r="781" spans="1:10">
      <c r="A781" s="114">
        <v>40521</v>
      </c>
      <c r="B781" s="121">
        <v>103.65</v>
      </c>
      <c r="C781" s="121">
        <v>97.298199999999994</v>
      </c>
      <c r="D781" s="121">
        <v>96.895200000000003</v>
      </c>
      <c r="E781" s="121" t="s">
        <v>625</v>
      </c>
      <c r="F781" s="121" t="s">
        <v>625</v>
      </c>
      <c r="G781" s="121" t="s">
        <v>625</v>
      </c>
      <c r="H781" s="121" t="e">
        <v>#N/A</v>
      </c>
      <c r="I781" s="121" t="s">
        <v>625</v>
      </c>
      <c r="J781" s="121" t="s">
        <v>625</v>
      </c>
    </row>
    <row r="782" spans="1:10">
      <c r="A782" s="114">
        <v>40522</v>
      </c>
      <c r="B782" s="121">
        <v>103.65</v>
      </c>
      <c r="C782" s="121">
        <v>97.295599999999993</v>
      </c>
      <c r="D782" s="121">
        <v>96.888099999999994</v>
      </c>
      <c r="E782" s="121" t="s">
        <v>625</v>
      </c>
      <c r="F782" s="121" t="s">
        <v>625</v>
      </c>
      <c r="G782" s="121" t="s">
        <v>625</v>
      </c>
      <c r="H782" s="121" t="e">
        <v>#N/A</v>
      </c>
      <c r="I782" s="121" t="s">
        <v>625</v>
      </c>
      <c r="J782" s="121" t="s">
        <v>625</v>
      </c>
    </row>
    <row r="783" spans="1:10">
      <c r="A783" s="114">
        <v>40525</v>
      </c>
      <c r="B783" s="121">
        <v>103.65</v>
      </c>
      <c r="C783" s="121">
        <v>96.808999999999997</v>
      </c>
      <c r="D783" s="121">
        <v>97.165899999999993</v>
      </c>
      <c r="E783" s="121" t="s">
        <v>625</v>
      </c>
      <c r="F783" s="121" t="s">
        <v>625</v>
      </c>
      <c r="G783" s="121" t="s">
        <v>625</v>
      </c>
      <c r="H783" s="121" t="e">
        <v>#N/A</v>
      </c>
      <c r="I783" s="121" t="s">
        <v>625</v>
      </c>
      <c r="J783" s="121" t="s">
        <v>625</v>
      </c>
    </row>
    <row r="784" spans="1:10">
      <c r="A784" s="114">
        <v>40526</v>
      </c>
      <c r="B784" s="121">
        <v>103.65</v>
      </c>
      <c r="C784" s="121">
        <v>96.808099999999996</v>
      </c>
      <c r="D784" s="121">
        <v>97.697400000000002</v>
      </c>
      <c r="E784" s="121" t="s">
        <v>625</v>
      </c>
      <c r="F784" s="121" t="s">
        <v>625</v>
      </c>
      <c r="G784" s="121" t="s">
        <v>625</v>
      </c>
      <c r="H784" s="121" t="e">
        <v>#N/A</v>
      </c>
      <c r="I784" s="121" t="s">
        <v>625</v>
      </c>
      <c r="J784" s="121" t="s">
        <v>625</v>
      </c>
    </row>
    <row r="785" spans="1:10">
      <c r="A785" s="114">
        <v>40527</v>
      </c>
      <c r="B785" s="121">
        <v>98.54</v>
      </c>
      <c r="C785" s="121">
        <v>96.809399999999997</v>
      </c>
      <c r="D785" s="121">
        <v>97.907499999999999</v>
      </c>
      <c r="E785" s="121" t="s">
        <v>625</v>
      </c>
      <c r="F785" s="121" t="s">
        <v>625</v>
      </c>
      <c r="G785" s="121" t="s">
        <v>625</v>
      </c>
      <c r="H785" s="121" t="e">
        <v>#N/A</v>
      </c>
      <c r="I785" s="121" t="s">
        <v>625</v>
      </c>
      <c r="J785" s="121" t="s">
        <v>625</v>
      </c>
    </row>
    <row r="786" spans="1:10">
      <c r="A786" s="114">
        <v>40528</v>
      </c>
      <c r="B786" s="121">
        <v>98.54</v>
      </c>
      <c r="C786" s="121">
        <v>97.029399999999995</v>
      </c>
      <c r="D786" s="121">
        <v>98.007499999999993</v>
      </c>
      <c r="E786" s="121" t="s">
        <v>625</v>
      </c>
      <c r="F786" s="121" t="s">
        <v>625</v>
      </c>
      <c r="G786" s="121" t="s">
        <v>625</v>
      </c>
      <c r="H786" s="121" t="e">
        <v>#N/A</v>
      </c>
      <c r="I786" s="121" t="s">
        <v>625</v>
      </c>
      <c r="J786" s="121" t="s">
        <v>625</v>
      </c>
    </row>
    <row r="787" spans="1:10">
      <c r="A787" s="114">
        <v>40529</v>
      </c>
      <c r="B787" s="121">
        <v>98.54</v>
      </c>
      <c r="C787" s="121">
        <v>97.027500000000003</v>
      </c>
      <c r="D787" s="121">
        <v>97.999799999999993</v>
      </c>
      <c r="E787" s="121" t="s">
        <v>625</v>
      </c>
      <c r="F787" s="121" t="s">
        <v>625</v>
      </c>
      <c r="G787" s="121" t="s">
        <v>625</v>
      </c>
      <c r="H787" s="121" t="e">
        <v>#N/A</v>
      </c>
      <c r="I787" s="121" t="s">
        <v>625</v>
      </c>
      <c r="J787" s="121" t="s">
        <v>625</v>
      </c>
    </row>
    <row r="788" spans="1:10">
      <c r="A788" s="114">
        <v>40532</v>
      </c>
      <c r="B788" s="121">
        <v>98.54</v>
      </c>
      <c r="C788" s="121">
        <v>97.058700000000002</v>
      </c>
      <c r="D788" s="121">
        <v>97.651899999999998</v>
      </c>
      <c r="E788" s="121" t="s">
        <v>625</v>
      </c>
      <c r="F788" s="121" t="s">
        <v>625</v>
      </c>
      <c r="G788" s="121" t="s">
        <v>625</v>
      </c>
      <c r="H788" s="121" t="e">
        <v>#N/A</v>
      </c>
      <c r="I788" s="121" t="s">
        <v>625</v>
      </c>
      <c r="J788" s="121" t="s">
        <v>625</v>
      </c>
    </row>
    <row r="789" spans="1:10">
      <c r="A789" s="114">
        <v>40533</v>
      </c>
      <c r="B789" s="121">
        <v>98.54</v>
      </c>
      <c r="C789" s="121">
        <v>97.058899999999994</v>
      </c>
      <c r="D789" s="121">
        <v>97.650800000000004</v>
      </c>
      <c r="E789" s="121" t="s">
        <v>625</v>
      </c>
      <c r="F789" s="121" t="s">
        <v>625</v>
      </c>
      <c r="G789" s="121" t="s">
        <v>625</v>
      </c>
      <c r="H789" s="121" t="e">
        <v>#N/A</v>
      </c>
      <c r="I789" s="121" t="s">
        <v>625</v>
      </c>
      <c r="J789" s="121" t="s">
        <v>625</v>
      </c>
    </row>
    <row r="790" spans="1:10">
      <c r="A790" s="114">
        <v>40534</v>
      </c>
      <c r="B790" s="121">
        <v>98.54</v>
      </c>
      <c r="C790" s="121">
        <v>97.059600000000003</v>
      </c>
      <c r="D790" s="121">
        <v>97.650099999999995</v>
      </c>
      <c r="E790" s="121" t="s">
        <v>625</v>
      </c>
      <c r="F790" s="121" t="s">
        <v>625</v>
      </c>
      <c r="G790" s="121" t="s">
        <v>625</v>
      </c>
      <c r="H790" s="121" t="e">
        <v>#N/A</v>
      </c>
      <c r="I790" s="121" t="s">
        <v>625</v>
      </c>
      <c r="J790" s="121" t="s">
        <v>625</v>
      </c>
    </row>
    <row r="791" spans="1:10">
      <c r="A791" s="114">
        <v>40535</v>
      </c>
      <c r="B791" s="121">
        <v>98.54</v>
      </c>
      <c r="C791" s="121">
        <v>95.951999999999998</v>
      </c>
      <c r="D791" s="121">
        <v>97.651300000000006</v>
      </c>
      <c r="E791" s="121" t="s">
        <v>625</v>
      </c>
      <c r="F791" s="121" t="s">
        <v>625</v>
      </c>
      <c r="G791" s="121" t="s">
        <v>625</v>
      </c>
      <c r="H791" s="121" t="e">
        <v>#N/A</v>
      </c>
      <c r="I791" s="121" t="s">
        <v>625</v>
      </c>
      <c r="J791" s="121" t="s">
        <v>625</v>
      </c>
    </row>
    <row r="792" spans="1:10">
      <c r="A792" s="114">
        <v>40536</v>
      </c>
      <c r="B792" s="121">
        <v>98.54</v>
      </c>
      <c r="C792" s="121">
        <v>97.075900000000004</v>
      </c>
      <c r="D792" s="121">
        <v>97.660899999999998</v>
      </c>
      <c r="E792" s="121" t="s">
        <v>625</v>
      </c>
      <c r="F792" s="121" t="s">
        <v>625</v>
      </c>
      <c r="G792" s="121" t="s">
        <v>625</v>
      </c>
      <c r="H792" s="121" t="e">
        <v>#N/A</v>
      </c>
      <c r="I792" s="121" t="s">
        <v>625</v>
      </c>
      <c r="J792" s="121" t="s">
        <v>625</v>
      </c>
    </row>
    <row r="793" spans="1:10">
      <c r="A793" s="114">
        <v>40539</v>
      </c>
      <c r="B793" s="121">
        <v>98.54</v>
      </c>
      <c r="C793" s="121">
        <v>97.080399999999997</v>
      </c>
      <c r="D793" s="121">
        <v>97.664000000000001</v>
      </c>
      <c r="E793" s="121" t="s">
        <v>625</v>
      </c>
      <c r="F793" s="121" t="s">
        <v>625</v>
      </c>
      <c r="G793" s="121" t="s">
        <v>625</v>
      </c>
      <c r="H793" s="121" t="e">
        <v>#N/A</v>
      </c>
      <c r="I793" s="121" t="s">
        <v>625</v>
      </c>
      <c r="J793" s="121" t="s">
        <v>625</v>
      </c>
    </row>
    <row r="794" spans="1:10">
      <c r="A794" s="114">
        <v>40540</v>
      </c>
      <c r="B794" s="121">
        <v>98.54</v>
      </c>
      <c r="C794" s="121">
        <v>97.080399999999997</v>
      </c>
      <c r="D794" s="121">
        <v>97.664000000000001</v>
      </c>
      <c r="E794" s="121" t="s">
        <v>625</v>
      </c>
      <c r="F794" s="121" t="s">
        <v>625</v>
      </c>
      <c r="G794" s="121" t="s">
        <v>625</v>
      </c>
      <c r="H794" s="121" t="e">
        <v>#N/A</v>
      </c>
      <c r="I794" s="121" t="s">
        <v>625</v>
      </c>
      <c r="J794" s="121" t="s">
        <v>625</v>
      </c>
    </row>
    <row r="795" spans="1:10">
      <c r="A795" s="114">
        <v>40541</v>
      </c>
      <c r="B795" s="121">
        <v>98.54</v>
      </c>
      <c r="C795" s="121">
        <v>95.686700000000002</v>
      </c>
      <c r="D795" s="121">
        <v>97.664000000000001</v>
      </c>
      <c r="E795" s="121" t="s">
        <v>625</v>
      </c>
      <c r="F795" s="121" t="s">
        <v>625</v>
      </c>
      <c r="G795" s="121" t="s">
        <v>625</v>
      </c>
      <c r="H795" s="121" t="e">
        <v>#N/A</v>
      </c>
      <c r="I795" s="121" t="s">
        <v>625</v>
      </c>
      <c r="J795" s="121" t="s">
        <v>625</v>
      </c>
    </row>
    <row r="796" spans="1:10">
      <c r="A796" s="114">
        <v>40542</v>
      </c>
      <c r="B796" s="121">
        <v>98.54</v>
      </c>
      <c r="C796" s="121">
        <v>95.686700000000002</v>
      </c>
      <c r="D796" s="121">
        <v>96.158600000000007</v>
      </c>
      <c r="E796" s="121" t="s">
        <v>625</v>
      </c>
      <c r="F796" s="121" t="s">
        <v>625</v>
      </c>
      <c r="G796" s="121" t="s">
        <v>625</v>
      </c>
      <c r="H796" s="121" t="e">
        <v>#N/A</v>
      </c>
      <c r="I796" s="121" t="s">
        <v>625</v>
      </c>
      <c r="J796" s="121" t="s">
        <v>625</v>
      </c>
    </row>
    <row r="797" spans="1:10">
      <c r="A797" s="114">
        <v>40543</v>
      </c>
      <c r="B797" s="121">
        <v>98.54</v>
      </c>
      <c r="C797" s="121">
        <v>95.49</v>
      </c>
      <c r="D797" s="121">
        <v>96.158600000000007</v>
      </c>
      <c r="E797" s="121" t="s">
        <v>625</v>
      </c>
      <c r="F797" s="121" t="s">
        <v>625</v>
      </c>
      <c r="G797" s="121" t="s">
        <v>625</v>
      </c>
      <c r="H797" s="121" t="e">
        <v>#N/A</v>
      </c>
      <c r="I797" s="121" t="s">
        <v>625</v>
      </c>
      <c r="J797" s="121" t="s">
        <v>625</v>
      </c>
    </row>
    <row r="798" spans="1:10">
      <c r="A798" s="114">
        <v>40547</v>
      </c>
      <c r="B798" s="121">
        <v>98.54</v>
      </c>
      <c r="C798" s="121">
        <v>96.973100000000002</v>
      </c>
      <c r="D798" s="121">
        <v>96.158600000000007</v>
      </c>
      <c r="E798" s="121" t="s">
        <v>625</v>
      </c>
      <c r="F798" s="121" t="s">
        <v>625</v>
      </c>
      <c r="G798" s="121" t="s">
        <v>625</v>
      </c>
      <c r="H798" s="121" t="e">
        <v>#N/A</v>
      </c>
      <c r="I798" s="121" t="s">
        <v>625</v>
      </c>
      <c r="J798" s="121" t="s">
        <v>625</v>
      </c>
    </row>
    <row r="799" spans="1:10">
      <c r="A799" s="114">
        <v>40548</v>
      </c>
      <c r="B799" s="121">
        <v>98.54</v>
      </c>
      <c r="C799" s="121">
        <v>95.766900000000007</v>
      </c>
      <c r="D799" s="121">
        <v>96.158600000000007</v>
      </c>
      <c r="E799" s="121" t="s">
        <v>625</v>
      </c>
      <c r="F799" s="121" t="s">
        <v>625</v>
      </c>
      <c r="G799" s="121" t="s">
        <v>625</v>
      </c>
      <c r="H799" s="121" t="e">
        <v>#N/A</v>
      </c>
      <c r="I799" s="121" t="s">
        <v>625</v>
      </c>
      <c r="J799" s="121" t="s">
        <v>625</v>
      </c>
    </row>
    <row r="800" spans="1:10">
      <c r="A800" s="114">
        <v>40549</v>
      </c>
      <c r="B800" s="121">
        <v>98.54</v>
      </c>
      <c r="C800" s="121">
        <v>96.527299999999997</v>
      </c>
      <c r="D800" s="121">
        <v>96.232200000000006</v>
      </c>
      <c r="E800" s="121" t="s">
        <v>625</v>
      </c>
      <c r="F800" s="121" t="s">
        <v>625</v>
      </c>
      <c r="G800" s="121" t="s">
        <v>625</v>
      </c>
      <c r="H800" s="121" t="e">
        <v>#N/A</v>
      </c>
      <c r="I800" s="121" t="s">
        <v>625</v>
      </c>
      <c r="J800" s="121" t="s">
        <v>625</v>
      </c>
    </row>
    <row r="801" spans="1:10">
      <c r="A801" s="114">
        <v>40550</v>
      </c>
      <c r="B801" s="121">
        <v>98.54</v>
      </c>
      <c r="C801" s="121">
        <v>96.6173</v>
      </c>
      <c r="D801" s="121">
        <v>98.553700000000006</v>
      </c>
      <c r="E801" s="121" t="s">
        <v>625</v>
      </c>
      <c r="F801" s="121" t="s">
        <v>625</v>
      </c>
      <c r="G801" s="121" t="s">
        <v>625</v>
      </c>
      <c r="H801" s="121" t="e">
        <v>#N/A</v>
      </c>
      <c r="I801" s="121" t="s">
        <v>625</v>
      </c>
      <c r="J801" s="121" t="s">
        <v>625</v>
      </c>
    </row>
    <row r="802" spans="1:10">
      <c r="A802" s="114">
        <v>40553</v>
      </c>
      <c r="B802" s="121">
        <v>98.54</v>
      </c>
      <c r="C802" s="121">
        <v>96.6173</v>
      </c>
      <c r="D802" s="121">
        <v>98.748099999999994</v>
      </c>
      <c r="E802" s="121" t="s">
        <v>625</v>
      </c>
      <c r="F802" s="121" t="s">
        <v>625</v>
      </c>
      <c r="G802" s="121" t="s">
        <v>625</v>
      </c>
      <c r="H802" s="121" t="e">
        <v>#N/A</v>
      </c>
      <c r="I802" s="121" t="s">
        <v>625</v>
      </c>
      <c r="J802" s="121" t="s">
        <v>625</v>
      </c>
    </row>
    <row r="803" spans="1:10">
      <c r="A803" s="114">
        <v>40554</v>
      </c>
      <c r="B803" s="121">
        <v>98.54</v>
      </c>
      <c r="C803" s="121">
        <v>96.6173</v>
      </c>
      <c r="D803" s="121">
        <v>98.746099999999998</v>
      </c>
      <c r="E803" s="121" t="s">
        <v>625</v>
      </c>
      <c r="F803" s="121" t="s">
        <v>625</v>
      </c>
      <c r="G803" s="121" t="s">
        <v>625</v>
      </c>
      <c r="H803" s="121" t="e">
        <v>#N/A</v>
      </c>
      <c r="I803" s="121" t="s">
        <v>625</v>
      </c>
      <c r="J803" s="121" t="s">
        <v>625</v>
      </c>
    </row>
    <row r="804" spans="1:10">
      <c r="A804" s="114">
        <v>40555</v>
      </c>
      <c r="B804" s="121">
        <v>98.54</v>
      </c>
      <c r="C804" s="121">
        <v>96.540300000000002</v>
      </c>
      <c r="D804" s="121">
        <v>98.548000000000002</v>
      </c>
      <c r="E804" s="121" t="s">
        <v>625</v>
      </c>
      <c r="F804" s="121" t="s">
        <v>625</v>
      </c>
      <c r="G804" s="121" t="s">
        <v>625</v>
      </c>
      <c r="H804" s="121" t="e">
        <v>#N/A</v>
      </c>
      <c r="I804" s="121" t="s">
        <v>625</v>
      </c>
      <c r="J804" s="121" t="s">
        <v>625</v>
      </c>
    </row>
    <row r="805" spans="1:10">
      <c r="A805" s="114">
        <v>40556</v>
      </c>
      <c r="B805" s="121">
        <v>98.54</v>
      </c>
      <c r="C805" s="121">
        <v>96.540300000000002</v>
      </c>
      <c r="D805" s="121">
        <v>98.545500000000004</v>
      </c>
      <c r="E805" s="121" t="s">
        <v>625</v>
      </c>
      <c r="F805" s="121" t="s">
        <v>625</v>
      </c>
      <c r="G805" s="121" t="s">
        <v>625</v>
      </c>
      <c r="H805" s="121" t="e">
        <v>#N/A</v>
      </c>
      <c r="I805" s="121" t="s">
        <v>625</v>
      </c>
      <c r="J805" s="121" t="s">
        <v>625</v>
      </c>
    </row>
    <row r="806" spans="1:10">
      <c r="A806" s="114">
        <v>40557</v>
      </c>
      <c r="B806" s="121">
        <v>98.54</v>
      </c>
      <c r="C806" s="121">
        <v>96.540300000000002</v>
      </c>
      <c r="D806" s="121">
        <v>98.440799999999996</v>
      </c>
      <c r="E806" s="121" t="s">
        <v>625</v>
      </c>
      <c r="F806" s="121" t="s">
        <v>625</v>
      </c>
      <c r="G806" s="121" t="s">
        <v>625</v>
      </c>
      <c r="H806" s="121" t="e">
        <v>#N/A</v>
      </c>
      <c r="I806" s="121" t="s">
        <v>625</v>
      </c>
      <c r="J806" s="121" t="s">
        <v>625</v>
      </c>
    </row>
    <row r="807" spans="1:10">
      <c r="A807" s="114">
        <v>40560</v>
      </c>
      <c r="B807" s="121">
        <v>98.54</v>
      </c>
      <c r="C807" s="121">
        <v>96.540300000000002</v>
      </c>
      <c r="D807" s="121">
        <v>98.046899999999994</v>
      </c>
      <c r="E807" s="121" t="s">
        <v>625</v>
      </c>
      <c r="F807" s="121" t="s">
        <v>625</v>
      </c>
      <c r="G807" s="121" t="s">
        <v>625</v>
      </c>
      <c r="H807" s="121" t="e">
        <v>#N/A</v>
      </c>
      <c r="I807" s="121" t="s">
        <v>625</v>
      </c>
      <c r="J807" s="121" t="s">
        <v>625</v>
      </c>
    </row>
    <row r="808" spans="1:10">
      <c r="A808" s="114">
        <v>40561</v>
      </c>
      <c r="B808" s="121">
        <v>98.54</v>
      </c>
      <c r="C808" s="121">
        <v>96.540300000000002</v>
      </c>
      <c r="D808" s="121">
        <v>97.846900000000005</v>
      </c>
      <c r="E808" s="121" t="s">
        <v>625</v>
      </c>
      <c r="F808" s="121" t="s">
        <v>625</v>
      </c>
      <c r="G808" s="121" t="s">
        <v>625</v>
      </c>
      <c r="H808" s="121" t="e">
        <v>#N/A</v>
      </c>
      <c r="I808" s="121" t="s">
        <v>625</v>
      </c>
      <c r="J808" s="121" t="s">
        <v>625</v>
      </c>
    </row>
    <row r="809" spans="1:10">
      <c r="A809" s="114">
        <v>40562</v>
      </c>
      <c r="B809" s="121">
        <v>98.54</v>
      </c>
      <c r="C809" s="121">
        <v>96.540300000000002</v>
      </c>
      <c r="D809" s="121">
        <v>97.398799999999994</v>
      </c>
      <c r="E809" s="121" t="s">
        <v>625</v>
      </c>
      <c r="F809" s="121" t="s">
        <v>625</v>
      </c>
      <c r="G809" s="121" t="s">
        <v>625</v>
      </c>
      <c r="H809" s="121" t="e">
        <v>#N/A</v>
      </c>
      <c r="I809" s="121" t="s">
        <v>625</v>
      </c>
      <c r="J809" s="121" t="s">
        <v>625</v>
      </c>
    </row>
    <row r="810" spans="1:10">
      <c r="A810" s="114">
        <v>40563</v>
      </c>
      <c r="B810" s="121">
        <v>98.54</v>
      </c>
      <c r="C810" s="121">
        <v>96.540300000000002</v>
      </c>
      <c r="D810" s="121">
        <v>97.304900000000004</v>
      </c>
      <c r="E810" s="121" t="s">
        <v>625</v>
      </c>
      <c r="F810" s="121" t="s">
        <v>625</v>
      </c>
      <c r="G810" s="121" t="s">
        <v>625</v>
      </c>
      <c r="H810" s="121" t="e">
        <v>#N/A</v>
      </c>
      <c r="I810" s="121" t="s">
        <v>625</v>
      </c>
      <c r="J810" s="121" t="s">
        <v>625</v>
      </c>
    </row>
    <row r="811" spans="1:10">
      <c r="A811" s="114">
        <v>40564</v>
      </c>
      <c r="B811" s="121">
        <v>98.54</v>
      </c>
      <c r="C811" s="121">
        <v>96.540300000000002</v>
      </c>
      <c r="D811" s="121">
        <v>97.366500000000002</v>
      </c>
      <c r="E811" s="121" t="s">
        <v>625</v>
      </c>
      <c r="F811" s="121" t="s">
        <v>625</v>
      </c>
      <c r="G811" s="121" t="s">
        <v>625</v>
      </c>
      <c r="H811" s="121" t="e">
        <v>#N/A</v>
      </c>
      <c r="I811" s="121" t="s">
        <v>625</v>
      </c>
      <c r="J811" s="121" t="s">
        <v>625</v>
      </c>
    </row>
    <row r="812" spans="1:10">
      <c r="A812" s="114">
        <v>40567</v>
      </c>
      <c r="B812" s="121">
        <v>98.54</v>
      </c>
      <c r="C812" s="121">
        <v>96.540300000000002</v>
      </c>
      <c r="D812" s="121">
        <v>97.556100000000001</v>
      </c>
      <c r="E812" s="121" t="s">
        <v>625</v>
      </c>
      <c r="F812" s="121" t="s">
        <v>625</v>
      </c>
      <c r="G812" s="121" t="s">
        <v>625</v>
      </c>
      <c r="H812" s="121" t="e">
        <v>#N/A</v>
      </c>
      <c r="I812" s="121" t="s">
        <v>625</v>
      </c>
      <c r="J812" s="121" t="s">
        <v>625</v>
      </c>
    </row>
    <row r="813" spans="1:10">
      <c r="A813" s="114">
        <v>40568</v>
      </c>
      <c r="B813" s="121">
        <v>98.54</v>
      </c>
      <c r="C813" s="121">
        <v>96.540300000000002</v>
      </c>
      <c r="D813" s="121">
        <v>97.566500000000005</v>
      </c>
      <c r="E813" s="121" t="s">
        <v>625</v>
      </c>
      <c r="F813" s="121" t="s">
        <v>625</v>
      </c>
      <c r="G813" s="121" t="s">
        <v>625</v>
      </c>
      <c r="H813" s="121" t="e">
        <v>#N/A</v>
      </c>
      <c r="I813" s="121" t="s">
        <v>625</v>
      </c>
      <c r="J813" s="121" t="s">
        <v>625</v>
      </c>
    </row>
    <row r="814" spans="1:10">
      <c r="A814" s="114">
        <v>40569</v>
      </c>
      <c r="B814" s="121">
        <v>98.54</v>
      </c>
      <c r="C814" s="121">
        <v>96.540300000000002</v>
      </c>
      <c r="D814" s="121">
        <v>97.512299999999996</v>
      </c>
      <c r="E814" s="121" t="s">
        <v>625</v>
      </c>
      <c r="F814" s="121" t="s">
        <v>625</v>
      </c>
      <c r="G814" s="121" t="s">
        <v>625</v>
      </c>
      <c r="H814" s="121" t="e">
        <v>#N/A</v>
      </c>
      <c r="I814" s="121" t="s">
        <v>625</v>
      </c>
      <c r="J814" s="121" t="s">
        <v>625</v>
      </c>
    </row>
    <row r="815" spans="1:10">
      <c r="A815" s="114">
        <v>40570</v>
      </c>
      <c r="B815" s="121">
        <v>98.54</v>
      </c>
      <c r="C815" s="121">
        <v>94.61</v>
      </c>
      <c r="D815" s="121">
        <v>97.513099999999994</v>
      </c>
      <c r="E815" s="121" t="s">
        <v>625</v>
      </c>
      <c r="F815" s="121" t="s">
        <v>625</v>
      </c>
      <c r="G815" s="121" t="s">
        <v>625</v>
      </c>
      <c r="H815" s="121" t="e">
        <v>#N/A</v>
      </c>
      <c r="I815" s="121" t="s">
        <v>625</v>
      </c>
      <c r="J815" s="121" t="s">
        <v>625</v>
      </c>
    </row>
    <row r="816" spans="1:10">
      <c r="A816" s="114">
        <v>40571</v>
      </c>
      <c r="B816" s="121">
        <v>98.54</v>
      </c>
      <c r="C816" s="121">
        <v>94.61</v>
      </c>
      <c r="D816" s="121">
        <v>97.511600000000001</v>
      </c>
      <c r="E816" s="121" t="s">
        <v>625</v>
      </c>
      <c r="F816" s="121" t="s">
        <v>625</v>
      </c>
      <c r="G816" s="121" t="s">
        <v>625</v>
      </c>
      <c r="H816" s="121" t="e">
        <v>#N/A</v>
      </c>
      <c r="I816" s="121" t="s">
        <v>625</v>
      </c>
      <c r="J816" s="121" t="s">
        <v>625</v>
      </c>
    </row>
    <row r="817" spans="1:10">
      <c r="A817" s="114">
        <v>40573</v>
      </c>
      <c r="B817" s="121">
        <v>98.54</v>
      </c>
      <c r="C817" s="121">
        <v>94.61</v>
      </c>
      <c r="D817" s="121">
        <v>97.511600000000001</v>
      </c>
      <c r="E817" s="121" t="s">
        <v>625</v>
      </c>
      <c r="F817" s="121" t="s">
        <v>625</v>
      </c>
      <c r="G817" s="121" t="s">
        <v>625</v>
      </c>
      <c r="H817" s="121" t="e">
        <v>#N/A</v>
      </c>
      <c r="I817" s="121" t="s">
        <v>625</v>
      </c>
      <c r="J817" s="121" t="s">
        <v>625</v>
      </c>
    </row>
    <row r="818" spans="1:10">
      <c r="A818" s="114">
        <v>40574</v>
      </c>
      <c r="B818" s="121">
        <v>98.54</v>
      </c>
      <c r="C818" s="121">
        <v>94.61</v>
      </c>
      <c r="D818" s="121">
        <v>97.511600000000001</v>
      </c>
      <c r="E818" s="121" t="s">
        <v>625</v>
      </c>
      <c r="F818" s="121" t="s">
        <v>625</v>
      </c>
      <c r="G818" s="121" t="s">
        <v>625</v>
      </c>
      <c r="H818" s="121" t="e">
        <v>#N/A</v>
      </c>
      <c r="I818" s="121" t="s">
        <v>625</v>
      </c>
      <c r="J818" s="121" t="s">
        <v>625</v>
      </c>
    </row>
    <row r="819" spans="1:10">
      <c r="A819" s="114">
        <v>40575</v>
      </c>
      <c r="B819" s="121">
        <v>98.54</v>
      </c>
      <c r="C819" s="121">
        <v>94.61</v>
      </c>
      <c r="D819" s="121">
        <v>97.511600000000001</v>
      </c>
      <c r="E819" s="121" t="s">
        <v>625</v>
      </c>
      <c r="F819" s="121" t="s">
        <v>625</v>
      </c>
      <c r="G819" s="121" t="s">
        <v>625</v>
      </c>
      <c r="H819" s="121" t="e">
        <v>#N/A</v>
      </c>
      <c r="I819" s="121" t="s">
        <v>625</v>
      </c>
      <c r="J819" s="121" t="s">
        <v>625</v>
      </c>
    </row>
    <row r="820" spans="1:10">
      <c r="A820" s="114">
        <v>40583</v>
      </c>
      <c r="B820" s="121">
        <v>98.54</v>
      </c>
      <c r="C820" s="121">
        <v>94.61</v>
      </c>
      <c r="D820" s="121">
        <v>97.511600000000001</v>
      </c>
      <c r="E820" s="121" t="s">
        <v>625</v>
      </c>
      <c r="F820" s="121" t="s">
        <v>625</v>
      </c>
      <c r="G820" s="121" t="s">
        <v>625</v>
      </c>
      <c r="H820" s="121" t="e">
        <v>#N/A</v>
      </c>
      <c r="I820" s="121" t="s">
        <v>625</v>
      </c>
      <c r="J820" s="121" t="s">
        <v>625</v>
      </c>
    </row>
    <row r="821" spans="1:10">
      <c r="A821" s="114">
        <v>40584</v>
      </c>
      <c r="B821" s="121">
        <v>98.54</v>
      </c>
      <c r="C821" s="121">
        <v>95.548000000000002</v>
      </c>
      <c r="D821" s="121">
        <v>97.511600000000001</v>
      </c>
      <c r="E821" s="121" t="s">
        <v>625</v>
      </c>
      <c r="F821" s="121" t="s">
        <v>625</v>
      </c>
      <c r="G821" s="121" t="s">
        <v>625</v>
      </c>
      <c r="H821" s="121" t="e">
        <v>#N/A</v>
      </c>
      <c r="I821" s="121" t="s">
        <v>625</v>
      </c>
      <c r="J821" s="121" t="s">
        <v>625</v>
      </c>
    </row>
    <row r="822" spans="1:10">
      <c r="A822" s="114">
        <v>40585</v>
      </c>
      <c r="B822" s="121">
        <v>98.54</v>
      </c>
      <c r="C822" s="121">
        <v>95.548000000000002</v>
      </c>
      <c r="D822" s="121">
        <v>97.511600000000001</v>
      </c>
      <c r="E822" s="121" t="s">
        <v>625</v>
      </c>
      <c r="F822" s="121" t="s">
        <v>625</v>
      </c>
      <c r="G822" s="121" t="s">
        <v>625</v>
      </c>
      <c r="H822" s="121" t="e">
        <v>#N/A</v>
      </c>
      <c r="I822" s="121" t="s">
        <v>625</v>
      </c>
      <c r="J822" s="121" t="s">
        <v>625</v>
      </c>
    </row>
    <row r="823" spans="1:10">
      <c r="A823" s="114">
        <v>40586</v>
      </c>
      <c r="B823" s="121">
        <v>98.54</v>
      </c>
      <c r="C823" s="121">
        <v>95.548000000000002</v>
      </c>
      <c r="D823" s="121">
        <v>97.511600000000001</v>
      </c>
      <c r="E823" s="121" t="s">
        <v>625</v>
      </c>
      <c r="F823" s="121" t="s">
        <v>625</v>
      </c>
      <c r="G823" s="121" t="s">
        <v>625</v>
      </c>
      <c r="H823" s="121" t="e">
        <v>#N/A</v>
      </c>
      <c r="I823" s="121" t="s">
        <v>625</v>
      </c>
      <c r="J823" s="121" t="s">
        <v>625</v>
      </c>
    </row>
    <row r="824" spans="1:10">
      <c r="A824" s="114">
        <v>40588</v>
      </c>
      <c r="B824" s="121">
        <v>98.54</v>
      </c>
      <c r="C824" s="121">
        <v>95.548000000000002</v>
      </c>
      <c r="D824" s="121">
        <v>97.245000000000005</v>
      </c>
      <c r="E824" s="121" t="s">
        <v>625</v>
      </c>
      <c r="F824" s="121" t="s">
        <v>625</v>
      </c>
      <c r="G824" s="121" t="s">
        <v>625</v>
      </c>
      <c r="H824" s="121" t="e">
        <v>#N/A</v>
      </c>
      <c r="I824" s="121" t="s">
        <v>625</v>
      </c>
      <c r="J824" s="121" t="s">
        <v>625</v>
      </c>
    </row>
    <row r="825" spans="1:10">
      <c r="A825" s="114">
        <v>40589</v>
      </c>
      <c r="B825" s="121">
        <v>98.54</v>
      </c>
      <c r="C825" s="121">
        <v>95.548000000000002</v>
      </c>
      <c r="D825" s="121">
        <v>97.297399999999996</v>
      </c>
      <c r="E825" s="121" t="s">
        <v>625</v>
      </c>
      <c r="F825" s="121" t="s">
        <v>625</v>
      </c>
      <c r="G825" s="121" t="s">
        <v>625</v>
      </c>
      <c r="H825" s="121" t="e">
        <v>#N/A</v>
      </c>
      <c r="I825" s="121" t="s">
        <v>625</v>
      </c>
      <c r="J825" s="121" t="s">
        <v>625</v>
      </c>
    </row>
    <row r="826" spans="1:10">
      <c r="A826" s="114">
        <v>40590</v>
      </c>
      <c r="B826" s="121">
        <v>98.54</v>
      </c>
      <c r="C826" s="121">
        <v>95.548000000000002</v>
      </c>
      <c r="D826" s="121">
        <v>97.247399999999999</v>
      </c>
      <c r="E826" s="121" t="s">
        <v>625</v>
      </c>
      <c r="F826" s="121" t="s">
        <v>625</v>
      </c>
      <c r="G826" s="121" t="s">
        <v>625</v>
      </c>
      <c r="H826" s="121" t="e">
        <v>#N/A</v>
      </c>
      <c r="I826" s="121" t="s">
        <v>625</v>
      </c>
      <c r="J826" s="121" t="s">
        <v>625</v>
      </c>
    </row>
    <row r="827" spans="1:10">
      <c r="A827" s="114">
        <v>40591</v>
      </c>
      <c r="B827" s="121">
        <v>98.54</v>
      </c>
      <c r="C827" s="121">
        <v>95.548000000000002</v>
      </c>
      <c r="D827" s="121">
        <v>97.147400000000005</v>
      </c>
      <c r="E827" s="121" t="s">
        <v>625</v>
      </c>
      <c r="F827" s="121" t="s">
        <v>625</v>
      </c>
      <c r="G827" s="121" t="s">
        <v>625</v>
      </c>
      <c r="H827" s="121" t="e">
        <v>#N/A</v>
      </c>
      <c r="I827" s="121" t="s">
        <v>625</v>
      </c>
      <c r="J827" s="121" t="s">
        <v>625</v>
      </c>
    </row>
    <row r="828" spans="1:10">
      <c r="A828" s="114">
        <v>40592</v>
      </c>
      <c r="B828" s="121">
        <v>98.54</v>
      </c>
      <c r="C828" s="121">
        <v>95.548000000000002</v>
      </c>
      <c r="D828" s="121">
        <v>97.244699999999995</v>
      </c>
      <c r="E828" s="121" t="s">
        <v>625</v>
      </c>
      <c r="F828" s="121" t="s">
        <v>625</v>
      </c>
      <c r="G828" s="121" t="s">
        <v>625</v>
      </c>
      <c r="H828" s="121" t="e">
        <v>#N/A</v>
      </c>
      <c r="I828" s="121" t="s">
        <v>625</v>
      </c>
      <c r="J828" s="121" t="s">
        <v>625</v>
      </c>
    </row>
    <row r="829" spans="1:10">
      <c r="A829" s="114">
        <v>40595</v>
      </c>
      <c r="B829" s="121">
        <v>98.54</v>
      </c>
      <c r="C829" s="121">
        <v>97.391800000000003</v>
      </c>
      <c r="D829" s="121">
        <v>97.197400000000002</v>
      </c>
      <c r="E829" s="121" t="s">
        <v>625</v>
      </c>
      <c r="F829" s="121" t="s">
        <v>625</v>
      </c>
      <c r="G829" s="121" t="s">
        <v>625</v>
      </c>
      <c r="H829" s="121" t="e">
        <v>#N/A</v>
      </c>
      <c r="I829" s="121" t="s">
        <v>625</v>
      </c>
      <c r="J829" s="121" t="s">
        <v>625</v>
      </c>
    </row>
    <row r="830" spans="1:10">
      <c r="A830" s="114">
        <v>40596</v>
      </c>
      <c r="B830" s="121">
        <v>98.54</v>
      </c>
      <c r="C830" s="121">
        <v>97.391800000000003</v>
      </c>
      <c r="D830" s="121">
        <v>97.047399999999996</v>
      </c>
      <c r="E830" s="121" t="s">
        <v>625</v>
      </c>
      <c r="F830" s="121" t="s">
        <v>625</v>
      </c>
      <c r="G830" s="121" t="s">
        <v>625</v>
      </c>
      <c r="H830" s="121" t="e">
        <v>#N/A</v>
      </c>
      <c r="I830" s="121" t="s">
        <v>625</v>
      </c>
      <c r="J830" s="121" t="s">
        <v>625</v>
      </c>
    </row>
    <row r="831" spans="1:10">
      <c r="A831" s="114">
        <v>40597</v>
      </c>
      <c r="B831" s="121">
        <v>98.54</v>
      </c>
      <c r="C831" s="121">
        <v>97.391800000000003</v>
      </c>
      <c r="D831" s="121">
        <v>96.997399999999999</v>
      </c>
      <c r="E831" s="121" t="s">
        <v>625</v>
      </c>
      <c r="F831" s="121" t="s">
        <v>625</v>
      </c>
      <c r="G831" s="121" t="s">
        <v>625</v>
      </c>
      <c r="H831" s="121" t="e">
        <v>#N/A</v>
      </c>
      <c r="I831" s="121" t="s">
        <v>625</v>
      </c>
      <c r="J831" s="121" t="s">
        <v>625</v>
      </c>
    </row>
    <row r="832" spans="1:10">
      <c r="A832" s="114">
        <v>40598</v>
      </c>
      <c r="B832" s="121">
        <v>98.54</v>
      </c>
      <c r="C832" s="121">
        <v>97.391800000000003</v>
      </c>
      <c r="D832" s="121">
        <v>97.397400000000005</v>
      </c>
      <c r="E832" s="121" t="s">
        <v>625</v>
      </c>
      <c r="F832" s="121" t="s">
        <v>625</v>
      </c>
      <c r="G832" s="121" t="s">
        <v>625</v>
      </c>
      <c r="H832" s="121" t="e">
        <v>#N/A</v>
      </c>
      <c r="I832" s="121" t="s">
        <v>625</v>
      </c>
      <c r="J832" s="121" t="s">
        <v>625</v>
      </c>
    </row>
    <row r="833" spans="1:10">
      <c r="A833" s="114">
        <v>40599</v>
      </c>
      <c r="B833" s="121">
        <v>98.54</v>
      </c>
      <c r="C833" s="121">
        <v>97.391800000000003</v>
      </c>
      <c r="D833" s="121">
        <v>97.543199999999999</v>
      </c>
      <c r="E833" s="121" t="s">
        <v>625</v>
      </c>
      <c r="F833" s="121" t="s">
        <v>625</v>
      </c>
      <c r="G833" s="121" t="s">
        <v>625</v>
      </c>
      <c r="H833" s="121" t="e">
        <v>#N/A</v>
      </c>
      <c r="I833" s="121" t="s">
        <v>625</v>
      </c>
      <c r="J833" s="121" t="s">
        <v>625</v>
      </c>
    </row>
    <row r="834" spans="1:10">
      <c r="A834" s="114">
        <v>40602</v>
      </c>
      <c r="B834" s="121">
        <v>98.54</v>
      </c>
      <c r="C834" s="121">
        <v>97.463399999999993</v>
      </c>
      <c r="D834" s="121">
        <v>97.448300000000003</v>
      </c>
      <c r="E834" s="121" t="s">
        <v>625</v>
      </c>
      <c r="F834" s="121" t="s">
        <v>625</v>
      </c>
      <c r="G834" s="121" t="s">
        <v>625</v>
      </c>
      <c r="H834" s="121" t="e">
        <v>#N/A</v>
      </c>
      <c r="I834" s="121" t="s">
        <v>625</v>
      </c>
      <c r="J834" s="121" t="s">
        <v>625</v>
      </c>
    </row>
    <row r="835" spans="1:10">
      <c r="A835" s="114">
        <v>40603</v>
      </c>
      <c r="B835" s="121">
        <v>98.54</v>
      </c>
      <c r="C835" s="121">
        <v>97.463399999999993</v>
      </c>
      <c r="D835" s="121">
        <v>97.397999999999996</v>
      </c>
      <c r="E835" s="121" t="s">
        <v>625</v>
      </c>
      <c r="F835" s="121" t="s">
        <v>625</v>
      </c>
      <c r="G835" s="121" t="s">
        <v>625</v>
      </c>
      <c r="H835" s="121" t="e">
        <v>#N/A</v>
      </c>
      <c r="I835" s="121" t="s">
        <v>625</v>
      </c>
      <c r="J835" s="121" t="s">
        <v>625</v>
      </c>
    </row>
    <row r="836" spans="1:10">
      <c r="A836" s="114">
        <v>40604</v>
      </c>
      <c r="B836" s="121">
        <v>98.54</v>
      </c>
      <c r="C836" s="121">
        <v>97.463399999999993</v>
      </c>
      <c r="D836" s="121">
        <v>97.447500000000005</v>
      </c>
      <c r="E836" s="121" t="s">
        <v>625</v>
      </c>
      <c r="F836" s="121" t="s">
        <v>625</v>
      </c>
      <c r="G836" s="121" t="s">
        <v>625</v>
      </c>
      <c r="H836" s="121" t="e">
        <v>#N/A</v>
      </c>
      <c r="I836" s="121" t="s">
        <v>625</v>
      </c>
      <c r="J836" s="121" t="s">
        <v>625</v>
      </c>
    </row>
    <row r="837" spans="1:10">
      <c r="A837" s="114">
        <v>40605</v>
      </c>
      <c r="B837" s="121">
        <v>98.54</v>
      </c>
      <c r="C837" s="121">
        <v>97.463399999999993</v>
      </c>
      <c r="D837" s="121">
        <v>97.447299999999998</v>
      </c>
      <c r="E837" s="121" t="s">
        <v>625</v>
      </c>
      <c r="F837" s="121" t="s">
        <v>625</v>
      </c>
      <c r="G837" s="121" t="s">
        <v>625</v>
      </c>
      <c r="H837" s="121" t="e">
        <v>#N/A</v>
      </c>
      <c r="I837" s="121" t="s">
        <v>625</v>
      </c>
      <c r="J837" s="121" t="s">
        <v>625</v>
      </c>
    </row>
    <row r="838" spans="1:10">
      <c r="A838" s="114">
        <v>40606</v>
      </c>
      <c r="B838" s="121">
        <v>98.54</v>
      </c>
      <c r="C838" s="121">
        <v>95.918700000000001</v>
      </c>
      <c r="D838" s="121">
        <v>97.441500000000005</v>
      </c>
      <c r="E838" s="121" t="s">
        <v>625</v>
      </c>
      <c r="F838" s="121" t="s">
        <v>625</v>
      </c>
      <c r="G838" s="121" t="s">
        <v>625</v>
      </c>
      <c r="H838" s="121" t="e">
        <v>#N/A</v>
      </c>
      <c r="I838" s="121" t="s">
        <v>625</v>
      </c>
      <c r="J838" s="121" t="s">
        <v>625</v>
      </c>
    </row>
    <row r="839" spans="1:10">
      <c r="A839" s="114">
        <v>40609</v>
      </c>
      <c r="B839" s="121">
        <v>98.54</v>
      </c>
      <c r="C839" s="121">
        <v>95.918700000000001</v>
      </c>
      <c r="D839" s="121">
        <v>97.446899999999999</v>
      </c>
      <c r="E839" s="121" t="s">
        <v>625</v>
      </c>
      <c r="F839" s="121" t="s">
        <v>625</v>
      </c>
      <c r="G839" s="121" t="s">
        <v>625</v>
      </c>
      <c r="H839" s="121" t="e">
        <v>#N/A</v>
      </c>
      <c r="I839" s="121" t="s">
        <v>625</v>
      </c>
      <c r="J839" s="121" t="s">
        <v>625</v>
      </c>
    </row>
    <row r="840" spans="1:10">
      <c r="A840" s="114">
        <v>40610</v>
      </c>
      <c r="B840" s="121">
        <v>98.54</v>
      </c>
      <c r="C840" s="121">
        <v>96.086799999999997</v>
      </c>
      <c r="D840" s="121">
        <v>97.496600000000001</v>
      </c>
      <c r="E840" s="121" t="s">
        <v>625</v>
      </c>
      <c r="F840" s="121" t="s">
        <v>625</v>
      </c>
      <c r="G840" s="121" t="s">
        <v>625</v>
      </c>
      <c r="H840" s="121" t="e">
        <v>#N/A</v>
      </c>
      <c r="I840" s="121" t="s">
        <v>625</v>
      </c>
      <c r="J840" s="121" t="s">
        <v>625</v>
      </c>
    </row>
    <row r="841" spans="1:10">
      <c r="A841" s="114">
        <v>40611</v>
      </c>
      <c r="B841" s="121">
        <v>98.54</v>
      </c>
      <c r="C841" s="121">
        <v>96.086799999999997</v>
      </c>
      <c r="D841" s="121">
        <v>96.248699999999999</v>
      </c>
      <c r="E841" s="121" t="s">
        <v>625</v>
      </c>
      <c r="F841" s="121" t="s">
        <v>625</v>
      </c>
      <c r="G841" s="121" t="s">
        <v>625</v>
      </c>
      <c r="H841" s="121" t="e">
        <v>#N/A</v>
      </c>
      <c r="I841" s="121" t="s">
        <v>625</v>
      </c>
      <c r="J841" s="121" t="s">
        <v>625</v>
      </c>
    </row>
    <row r="842" spans="1:10">
      <c r="A842" s="114">
        <v>40612</v>
      </c>
      <c r="B842" s="121">
        <v>98.54</v>
      </c>
      <c r="C842" s="121">
        <v>96.388900000000007</v>
      </c>
      <c r="D842" s="121">
        <v>97.596500000000006</v>
      </c>
      <c r="E842" s="121" t="s">
        <v>625</v>
      </c>
      <c r="F842" s="121" t="s">
        <v>625</v>
      </c>
      <c r="G842" s="121" t="s">
        <v>625</v>
      </c>
      <c r="H842" s="121" t="e">
        <v>#N/A</v>
      </c>
      <c r="I842" s="121" t="s">
        <v>625</v>
      </c>
      <c r="J842" s="121" t="s">
        <v>625</v>
      </c>
    </row>
    <row r="843" spans="1:10">
      <c r="A843" s="114">
        <v>40613</v>
      </c>
      <c r="B843" s="121">
        <v>98.54</v>
      </c>
      <c r="C843" s="121">
        <v>96.408900000000003</v>
      </c>
      <c r="D843" s="121">
        <v>97.589600000000004</v>
      </c>
      <c r="E843" s="121" t="s">
        <v>625</v>
      </c>
      <c r="F843" s="121" t="s">
        <v>625</v>
      </c>
      <c r="G843" s="121" t="s">
        <v>625</v>
      </c>
      <c r="H843" s="121" t="e">
        <v>#N/A</v>
      </c>
      <c r="I843" s="121" t="s">
        <v>625</v>
      </c>
      <c r="J843" s="121" t="s">
        <v>625</v>
      </c>
    </row>
    <row r="844" spans="1:10">
      <c r="A844" s="114">
        <v>40616</v>
      </c>
      <c r="B844" s="121">
        <v>98.54</v>
      </c>
      <c r="C844" s="121">
        <v>96.060599999999994</v>
      </c>
      <c r="D844" s="121">
        <v>97.496499999999997</v>
      </c>
      <c r="E844" s="121" t="s">
        <v>625</v>
      </c>
      <c r="F844" s="121" t="s">
        <v>625</v>
      </c>
      <c r="G844" s="121" t="s">
        <v>625</v>
      </c>
      <c r="H844" s="121" t="e">
        <v>#N/A</v>
      </c>
      <c r="I844" s="121" t="s">
        <v>625</v>
      </c>
      <c r="J844" s="121" t="s">
        <v>625</v>
      </c>
    </row>
    <row r="845" spans="1:10">
      <c r="A845" s="114">
        <v>40617</v>
      </c>
      <c r="B845" s="121">
        <v>98.54</v>
      </c>
      <c r="C845" s="121">
        <v>96.060599999999994</v>
      </c>
      <c r="D845" s="121">
        <v>97.606499999999997</v>
      </c>
      <c r="E845" s="121" t="s">
        <v>625</v>
      </c>
      <c r="F845" s="121" t="s">
        <v>625</v>
      </c>
      <c r="G845" s="121" t="s">
        <v>625</v>
      </c>
      <c r="H845" s="121" t="e">
        <v>#N/A</v>
      </c>
      <c r="I845" s="121" t="s">
        <v>625</v>
      </c>
      <c r="J845" s="121" t="s">
        <v>625</v>
      </c>
    </row>
    <row r="846" spans="1:10">
      <c r="A846" s="114">
        <v>40618</v>
      </c>
      <c r="B846" s="121">
        <v>98.54</v>
      </c>
      <c r="C846" s="121">
        <v>96.421199999999999</v>
      </c>
      <c r="D846" s="121">
        <v>97.706500000000005</v>
      </c>
      <c r="E846" s="121" t="s">
        <v>625</v>
      </c>
      <c r="F846" s="121" t="s">
        <v>625</v>
      </c>
      <c r="G846" s="121" t="s">
        <v>625</v>
      </c>
      <c r="H846" s="121" t="e">
        <v>#N/A</v>
      </c>
      <c r="I846" s="121" t="s">
        <v>625</v>
      </c>
      <c r="J846" s="121" t="s">
        <v>625</v>
      </c>
    </row>
    <row r="847" spans="1:10">
      <c r="A847" s="114">
        <v>40619</v>
      </c>
      <c r="B847" s="121">
        <v>98.54</v>
      </c>
      <c r="C847" s="121">
        <v>96.421199999999999</v>
      </c>
      <c r="D847" s="121">
        <v>97.706500000000005</v>
      </c>
      <c r="E847" s="121" t="s">
        <v>625</v>
      </c>
      <c r="F847" s="121" t="s">
        <v>625</v>
      </c>
      <c r="G847" s="121" t="s">
        <v>625</v>
      </c>
      <c r="H847" s="121" t="e">
        <v>#N/A</v>
      </c>
      <c r="I847" s="121" t="s">
        <v>625</v>
      </c>
      <c r="J847" s="121" t="s">
        <v>625</v>
      </c>
    </row>
    <row r="848" spans="1:10">
      <c r="A848" s="114">
        <v>40620</v>
      </c>
      <c r="B848" s="121">
        <v>98.54</v>
      </c>
      <c r="C848" s="121">
        <v>96.421199999999999</v>
      </c>
      <c r="D848" s="121">
        <v>97.839600000000004</v>
      </c>
      <c r="E848" s="121" t="s">
        <v>625</v>
      </c>
      <c r="F848" s="121" t="s">
        <v>625</v>
      </c>
      <c r="G848" s="121" t="s">
        <v>625</v>
      </c>
      <c r="H848" s="121" t="e">
        <v>#N/A</v>
      </c>
      <c r="I848" s="121" t="s">
        <v>625</v>
      </c>
      <c r="J848" s="121" t="s">
        <v>625</v>
      </c>
    </row>
    <row r="849" spans="1:10">
      <c r="A849" s="114">
        <v>40623</v>
      </c>
      <c r="B849" s="121">
        <v>98.54</v>
      </c>
      <c r="C849" s="121">
        <v>96.421199999999999</v>
      </c>
      <c r="D849" s="121">
        <v>97.896500000000003</v>
      </c>
      <c r="E849" s="121" t="s">
        <v>625</v>
      </c>
      <c r="F849" s="121" t="s">
        <v>625</v>
      </c>
      <c r="G849" s="121" t="s">
        <v>625</v>
      </c>
      <c r="H849" s="121" t="e">
        <v>#N/A</v>
      </c>
      <c r="I849" s="121" t="s">
        <v>625</v>
      </c>
      <c r="J849" s="121" t="s">
        <v>625</v>
      </c>
    </row>
    <row r="850" spans="1:10">
      <c r="A850" s="114">
        <v>40624</v>
      </c>
      <c r="B850" s="121">
        <v>98.54</v>
      </c>
      <c r="C850" s="121">
        <v>96.421199999999999</v>
      </c>
      <c r="D850" s="121">
        <v>97.697500000000005</v>
      </c>
      <c r="E850" s="121" t="s">
        <v>625</v>
      </c>
      <c r="F850" s="121" t="s">
        <v>625</v>
      </c>
      <c r="G850" s="121" t="s">
        <v>625</v>
      </c>
      <c r="H850" s="121" t="e">
        <v>#N/A</v>
      </c>
      <c r="I850" s="121" t="s">
        <v>625</v>
      </c>
      <c r="J850" s="121" t="s">
        <v>625</v>
      </c>
    </row>
    <row r="851" spans="1:10">
      <c r="A851" s="114">
        <v>40625</v>
      </c>
      <c r="B851" s="121">
        <v>98.54</v>
      </c>
      <c r="C851" s="121">
        <v>96.396100000000004</v>
      </c>
      <c r="D851" s="121">
        <v>97.697500000000005</v>
      </c>
      <c r="E851" s="121" t="s">
        <v>625</v>
      </c>
      <c r="F851" s="121" t="s">
        <v>625</v>
      </c>
      <c r="G851" s="121" t="s">
        <v>625</v>
      </c>
      <c r="H851" s="121" t="e">
        <v>#N/A</v>
      </c>
      <c r="I851" s="121" t="s">
        <v>625</v>
      </c>
      <c r="J851" s="121" t="s">
        <v>625</v>
      </c>
    </row>
    <row r="852" spans="1:10">
      <c r="A852" s="114">
        <v>40626</v>
      </c>
      <c r="B852" s="121">
        <v>98.54</v>
      </c>
      <c r="C852" s="121">
        <v>96.396100000000004</v>
      </c>
      <c r="D852" s="121">
        <v>97.697500000000005</v>
      </c>
      <c r="E852" s="121" t="s">
        <v>625</v>
      </c>
      <c r="F852" s="121" t="s">
        <v>625</v>
      </c>
      <c r="G852" s="121" t="s">
        <v>625</v>
      </c>
      <c r="H852" s="121" t="e">
        <v>#N/A</v>
      </c>
      <c r="I852" s="121" t="s">
        <v>625</v>
      </c>
      <c r="J852" s="121" t="s">
        <v>625</v>
      </c>
    </row>
    <row r="853" spans="1:10">
      <c r="A853" s="114">
        <v>40627</v>
      </c>
      <c r="B853" s="121">
        <v>98.54</v>
      </c>
      <c r="C853" s="121">
        <v>96.364999999999995</v>
      </c>
      <c r="D853" s="121">
        <v>97.592399999999998</v>
      </c>
      <c r="E853" s="121" t="s">
        <v>625</v>
      </c>
      <c r="F853" s="121" t="s">
        <v>625</v>
      </c>
      <c r="G853" s="121" t="s">
        <v>625</v>
      </c>
      <c r="H853" s="121" t="e">
        <v>#N/A</v>
      </c>
      <c r="I853" s="121" t="s">
        <v>625</v>
      </c>
      <c r="J853" s="121" t="s">
        <v>625</v>
      </c>
    </row>
    <row r="854" spans="1:10">
      <c r="A854" s="114">
        <v>40630</v>
      </c>
      <c r="B854" s="121">
        <v>98.54</v>
      </c>
      <c r="C854" s="121">
        <v>96.364999999999995</v>
      </c>
      <c r="D854" s="121">
        <v>97.596699999999998</v>
      </c>
      <c r="E854" s="121" t="s">
        <v>625</v>
      </c>
      <c r="F854" s="121" t="s">
        <v>625</v>
      </c>
      <c r="G854" s="121" t="s">
        <v>625</v>
      </c>
      <c r="H854" s="121" t="e">
        <v>#N/A</v>
      </c>
      <c r="I854" s="121" t="s">
        <v>625</v>
      </c>
      <c r="J854" s="121" t="s">
        <v>625</v>
      </c>
    </row>
    <row r="855" spans="1:10">
      <c r="A855" s="114">
        <v>40631</v>
      </c>
      <c r="B855" s="121">
        <v>98.54</v>
      </c>
      <c r="C855" s="121">
        <v>96.094399999999993</v>
      </c>
      <c r="D855" s="121">
        <v>97.596699999999998</v>
      </c>
      <c r="E855" s="121" t="s">
        <v>625</v>
      </c>
      <c r="F855" s="121" t="s">
        <v>625</v>
      </c>
      <c r="G855" s="121" t="s">
        <v>625</v>
      </c>
      <c r="H855" s="121" t="e">
        <v>#N/A</v>
      </c>
      <c r="I855" s="121" t="s">
        <v>625</v>
      </c>
      <c r="J855" s="121" t="s">
        <v>625</v>
      </c>
    </row>
    <row r="856" spans="1:10">
      <c r="A856" s="114">
        <v>40632</v>
      </c>
      <c r="B856" s="121">
        <v>98.54</v>
      </c>
      <c r="C856" s="121">
        <v>96.094700000000003</v>
      </c>
      <c r="D856" s="121">
        <v>97.6</v>
      </c>
      <c r="E856" s="121" t="s">
        <v>625</v>
      </c>
      <c r="F856" s="121" t="s">
        <v>625</v>
      </c>
      <c r="G856" s="121" t="s">
        <v>625</v>
      </c>
      <c r="H856" s="121" t="e">
        <v>#N/A</v>
      </c>
      <c r="I856" s="121" t="s">
        <v>625</v>
      </c>
      <c r="J856" s="121" t="s">
        <v>625</v>
      </c>
    </row>
    <row r="857" spans="1:10">
      <c r="A857" s="114">
        <v>40633</v>
      </c>
      <c r="B857" s="121">
        <v>98.54</v>
      </c>
      <c r="C857" s="121">
        <v>96.094700000000003</v>
      </c>
      <c r="D857" s="121">
        <v>97.597499999999997</v>
      </c>
      <c r="E857" s="121" t="s">
        <v>625</v>
      </c>
      <c r="F857" s="121" t="s">
        <v>625</v>
      </c>
      <c r="G857" s="121" t="s">
        <v>625</v>
      </c>
      <c r="H857" s="121" t="e">
        <v>#N/A</v>
      </c>
      <c r="I857" s="121" t="s">
        <v>625</v>
      </c>
      <c r="J857" s="121" t="s">
        <v>625</v>
      </c>
    </row>
    <row r="858" spans="1:10">
      <c r="A858" s="114">
        <v>40634</v>
      </c>
      <c r="B858" s="121">
        <v>98.54</v>
      </c>
      <c r="C858" s="121">
        <v>96.094700000000003</v>
      </c>
      <c r="D858" s="121">
        <v>97.596699999999998</v>
      </c>
      <c r="E858" s="121" t="s">
        <v>625</v>
      </c>
      <c r="F858" s="121" t="s">
        <v>625</v>
      </c>
      <c r="G858" s="121" t="s">
        <v>625</v>
      </c>
      <c r="H858" s="121" t="e">
        <v>#N/A</v>
      </c>
      <c r="I858" s="121" t="s">
        <v>625</v>
      </c>
      <c r="J858" s="121" t="s">
        <v>625</v>
      </c>
    </row>
    <row r="859" spans="1:10">
      <c r="A859" s="114">
        <v>40635</v>
      </c>
      <c r="B859" s="121">
        <v>98.54</v>
      </c>
      <c r="C859" s="121">
        <v>96.094700000000003</v>
      </c>
      <c r="D859" s="121">
        <v>97.586500000000001</v>
      </c>
      <c r="E859" s="121" t="s">
        <v>625</v>
      </c>
      <c r="F859" s="121" t="s">
        <v>625</v>
      </c>
      <c r="G859" s="121" t="s">
        <v>625</v>
      </c>
      <c r="H859" s="121" t="e">
        <v>#N/A</v>
      </c>
      <c r="I859" s="121" t="s">
        <v>625</v>
      </c>
      <c r="J859" s="121" t="s">
        <v>625</v>
      </c>
    </row>
    <row r="860" spans="1:10">
      <c r="A860" s="114">
        <v>40639</v>
      </c>
      <c r="B860" s="121">
        <v>98.54</v>
      </c>
      <c r="C860" s="121">
        <v>96.094700000000003</v>
      </c>
      <c r="D860" s="121">
        <v>97.496700000000004</v>
      </c>
      <c r="E860" s="121" t="s">
        <v>625</v>
      </c>
      <c r="F860" s="121" t="s">
        <v>625</v>
      </c>
      <c r="G860" s="121" t="s">
        <v>625</v>
      </c>
      <c r="H860" s="121" t="e">
        <v>#N/A</v>
      </c>
      <c r="I860" s="121" t="s">
        <v>625</v>
      </c>
      <c r="J860" s="121" t="s">
        <v>625</v>
      </c>
    </row>
    <row r="861" spans="1:10">
      <c r="A861" s="114">
        <v>40640</v>
      </c>
      <c r="B861" s="121">
        <v>98.54</v>
      </c>
      <c r="C861" s="121">
        <v>96.094700000000003</v>
      </c>
      <c r="D861" s="121">
        <v>97.496700000000004</v>
      </c>
      <c r="E861" s="121" t="s">
        <v>625</v>
      </c>
      <c r="F861" s="121" t="s">
        <v>625</v>
      </c>
      <c r="G861" s="121" t="s">
        <v>625</v>
      </c>
      <c r="H861" s="121" t="e">
        <v>#N/A</v>
      </c>
      <c r="I861" s="121" t="s">
        <v>625</v>
      </c>
      <c r="J861" s="121" t="s">
        <v>625</v>
      </c>
    </row>
    <row r="862" spans="1:10">
      <c r="A862" s="114">
        <v>40641</v>
      </c>
      <c r="B862" s="121">
        <v>98.54</v>
      </c>
      <c r="C862" s="121">
        <v>96.094700000000003</v>
      </c>
      <c r="D862" s="121">
        <v>97.489800000000002</v>
      </c>
      <c r="E862" s="121" t="s">
        <v>625</v>
      </c>
      <c r="F862" s="121" t="s">
        <v>625</v>
      </c>
      <c r="G862" s="121" t="s">
        <v>625</v>
      </c>
      <c r="H862" s="121" t="e">
        <v>#N/A</v>
      </c>
      <c r="I862" s="121" t="s">
        <v>625</v>
      </c>
      <c r="J862" s="121" t="s">
        <v>625</v>
      </c>
    </row>
    <row r="863" spans="1:10">
      <c r="A863" s="114">
        <v>40644</v>
      </c>
      <c r="B863" s="121">
        <v>98.54</v>
      </c>
      <c r="C863" s="121">
        <v>96.094700000000003</v>
      </c>
      <c r="D863" s="121">
        <v>97.496600000000001</v>
      </c>
      <c r="E863" s="121" t="s">
        <v>625</v>
      </c>
      <c r="F863" s="121" t="s">
        <v>625</v>
      </c>
      <c r="G863" s="121" t="s">
        <v>625</v>
      </c>
      <c r="H863" s="121" t="e">
        <v>#N/A</v>
      </c>
      <c r="I863" s="121" t="s">
        <v>625</v>
      </c>
      <c r="J863" s="121" t="s">
        <v>625</v>
      </c>
    </row>
    <row r="864" spans="1:10">
      <c r="A864" s="114">
        <v>40645</v>
      </c>
      <c r="B864" s="121">
        <v>98.54</v>
      </c>
      <c r="C864" s="121">
        <v>96.094700000000003</v>
      </c>
      <c r="D864" s="121">
        <v>97.448599999999999</v>
      </c>
      <c r="E864" s="121" t="s">
        <v>625</v>
      </c>
      <c r="F864" s="121" t="s">
        <v>625</v>
      </c>
      <c r="G864" s="121" t="s">
        <v>625</v>
      </c>
      <c r="H864" s="121" t="e">
        <v>#N/A</v>
      </c>
      <c r="I864" s="121" t="s">
        <v>625</v>
      </c>
      <c r="J864" s="121" t="s">
        <v>625</v>
      </c>
    </row>
    <row r="865" spans="1:10">
      <c r="A865" s="114">
        <v>40646</v>
      </c>
      <c r="B865" s="121">
        <v>98.54</v>
      </c>
      <c r="C865" s="121">
        <v>96.094700000000003</v>
      </c>
      <c r="D865" s="121">
        <v>97.595500000000001</v>
      </c>
      <c r="E865" s="121" t="s">
        <v>625</v>
      </c>
      <c r="F865" s="121" t="s">
        <v>625</v>
      </c>
      <c r="G865" s="121" t="s">
        <v>625</v>
      </c>
      <c r="H865" s="121" t="e">
        <v>#N/A</v>
      </c>
      <c r="I865" s="121" t="s">
        <v>625</v>
      </c>
      <c r="J865" s="121" t="s">
        <v>625</v>
      </c>
    </row>
    <row r="866" spans="1:10">
      <c r="A866" s="114">
        <v>40647</v>
      </c>
      <c r="B866" s="121">
        <v>98.54</v>
      </c>
      <c r="C866" s="121">
        <v>96.094700000000003</v>
      </c>
      <c r="D866" s="121">
        <v>97.595500000000001</v>
      </c>
      <c r="E866" s="121" t="s">
        <v>625</v>
      </c>
      <c r="F866" s="121" t="s">
        <v>625</v>
      </c>
      <c r="G866" s="121" t="s">
        <v>625</v>
      </c>
      <c r="H866" s="121" t="e">
        <v>#N/A</v>
      </c>
      <c r="I866" s="121" t="s">
        <v>625</v>
      </c>
      <c r="J866" s="121" t="s">
        <v>625</v>
      </c>
    </row>
    <row r="867" spans="1:10">
      <c r="A867" s="114">
        <v>40648</v>
      </c>
      <c r="B867" s="121">
        <v>98.54</v>
      </c>
      <c r="C867" s="121">
        <v>96.094700000000003</v>
      </c>
      <c r="D867" s="121">
        <v>97.609499999999997</v>
      </c>
      <c r="E867" s="121" t="s">
        <v>625</v>
      </c>
      <c r="F867" s="121" t="s">
        <v>625</v>
      </c>
      <c r="G867" s="121" t="s">
        <v>625</v>
      </c>
      <c r="H867" s="121" t="e">
        <v>#N/A</v>
      </c>
      <c r="I867" s="121" t="s">
        <v>625</v>
      </c>
      <c r="J867" s="121" t="s">
        <v>625</v>
      </c>
    </row>
    <row r="868" spans="1:10">
      <c r="A868" s="114">
        <v>40651</v>
      </c>
      <c r="B868" s="121">
        <v>98.54</v>
      </c>
      <c r="C868" s="121">
        <v>96.094700000000003</v>
      </c>
      <c r="D868" s="121">
        <v>97.721400000000003</v>
      </c>
      <c r="E868" s="121" t="s">
        <v>625</v>
      </c>
      <c r="F868" s="121" t="s">
        <v>625</v>
      </c>
      <c r="G868" s="121" t="s">
        <v>625</v>
      </c>
      <c r="H868" s="121" t="e">
        <v>#N/A</v>
      </c>
      <c r="I868" s="121" t="s">
        <v>625</v>
      </c>
      <c r="J868" s="121" t="s">
        <v>625</v>
      </c>
    </row>
    <row r="869" spans="1:10">
      <c r="A869" s="114">
        <v>40652</v>
      </c>
      <c r="B869" s="121">
        <v>98.54</v>
      </c>
      <c r="C869" s="121">
        <v>96.094700000000003</v>
      </c>
      <c r="D869" s="121">
        <v>97.721800000000002</v>
      </c>
      <c r="E869" s="121" t="s">
        <v>625</v>
      </c>
      <c r="F869" s="121" t="s">
        <v>625</v>
      </c>
      <c r="G869" s="121" t="s">
        <v>625</v>
      </c>
      <c r="H869" s="121" t="e">
        <v>#N/A</v>
      </c>
      <c r="I869" s="121" t="s">
        <v>625</v>
      </c>
      <c r="J869" s="121" t="s">
        <v>625</v>
      </c>
    </row>
    <row r="870" spans="1:10">
      <c r="A870" s="114">
        <v>40653</v>
      </c>
      <c r="B870" s="121">
        <v>98.54</v>
      </c>
      <c r="C870" s="121">
        <v>97.477199999999996</v>
      </c>
      <c r="D870" s="121">
        <v>97.746499999999997</v>
      </c>
      <c r="E870" s="121" t="s">
        <v>625</v>
      </c>
      <c r="F870" s="121" t="s">
        <v>625</v>
      </c>
      <c r="G870" s="121" t="s">
        <v>625</v>
      </c>
      <c r="H870" s="121" t="e">
        <v>#N/A</v>
      </c>
      <c r="I870" s="121" t="s">
        <v>625</v>
      </c>
      <c r="J870" s="121" t="s">
        <v>625</v>
      </c>
    </row>
    <row r="871" spans="1:10">
      <c r="A871" s="114">
        <v>40654</v>
      </c>
      <c r="B871" s="121">
        <v>98.54</v>
      </c>
      <c r="C871" s="121">
        <v>96.703599999999994</v>
      </c>
      <c r="D871" s="121">
        <v>98.151499999999999</v>
      </c>
      <c r="E871" s="121" t="s">
        <v>625</v>
      </c>
      <c r="F871" s="121" t="s">
        <v>625</v>
      </c>
      <c r="G871" s="121" t="s">
        <v>625</v>
      </c>
      <c r="H871" s="121" t="e">
        <v>#N/A</v>
      </c>
      <c r="I871" s="121" t="s">
        <v>625</v>
      </c>
      <c r="J871" s="121" t="s">
        <v>625</v>
      </c>
    </row>
    <row r="872" spans="1:10">
      <c r="A872" s="114">
        <v>40655</v>
      </c>
      <c r="B872" s="121">
        <v>98.54</v>
      </c>
      <c r="C872" s="121">
        <v>96.706000000000003</v>
      </c>
      <c r="D872" s="121">
        <v>98.152100000000004</v>
      </c>
      <c r="E872" s="121" t="s">
        <v>625</v>
      </c>
      <c r="F872" s="121" t="s">
        <v>625</v>
      </c>
      <c r="G872" s="121" t="s">
        <v>625</v>
      </c>
      <c r="H872" s="121" t="e">
        <v>#N/A</v>
      </c>
      <c r="I872" s="121" t="s">
        <v>625</v>
      </c>
      <c r="J872" s="121" t="s">
        <v>625</v>
      </c>
    </row>
    <row r="873" spans="1:10">
      <c r="A873" s="114">
        <v>40658</v>
      </c>
      <c r="B873" s="121">
        <v>98.54</v>
      </c>
      <c r="C873" s="121">
        <v>96.700800000000001</v>
      </c>
      <c r="D873" s="121">
        <v>98.299599999999998</v>
      </c>
      <c r="E873" s="121" t="s">
        <v>625</v>
      </c>
      <c r="F873" s="121" t="s">
        <v>625</v>
      </c>
      <c r="G873" s="121" t="s">
        <v>625</v>
      </c>
      <c r="H873" s="121" t="e">
        <v>#N/A</v>
      </c>
      <c r="I873" s="121" t="s">
        <v>625</v>
      </c>
      <c r="J873" s="121" t="s">
        <v>625</v>
      </c>
    </row>
    <row r="874" spans="1:10">
      <c r="A874" s="114">
        <v>40659</v>
      </c>
      <c r="B874" s="121">
        <v>98.54</v>
      </c>
      <c r="C874" s="121">
        <v>96.721100000000007</v>
      </c>
      <c r="D874" s="121">
        <v>98.089799999999997</v>
      </c>
      <c r="E874" s="121" t="s">
        <v>625</v>
      </c>
      <c r="F874" s="121" t="s">
        <v>625</v>
      </c>
      <c r="G874" s="121" t="s">
        <v>625</v>
      </c>
      <c r="H874" s="121" t="e">
        <v>#N/A</v>
      </c>
      <c r="I874" s="121" t="s">
        <v>625</v>
      </c>
      <c r="J874" s="121" t="s">
        <v>625</v>
      </c>
    </row>
    <row r="875" spans="1:10">
      <c r="A875" s="114">
        <v>40660</v>
      </c>
      <c r="B875" s="121">
        <v>98.54</v>
      </c>
      <c r="C875" s="121">
        <v>96.719499999999996</v>
      </c>
      <c r="D875" s="121">
        <v>98.088200000000001</v>
      </c>
      <c r="E875" s="121" t="s">
        <v>625</v>
      </c>
      <c r="F875" s="121" t="s">
        <v>625</v>
      </c>
      <c r="G875" s="121" t="s">
        <v>625</v>
      </c>
      <c r="H875" s="121" t="e">
        <v>#N/A</v>
      </c>
      <c r="I875" s="121" t="s">
        <v>625</v>
      </c>
      <c r="J875" s="121" t="s">
        <v>625</v>
      </c>
    </row>
    <row r="876" spans="1:10">
      <c r="A876" s="114">
        <v>40661</v>
      </c>
      <c r="B876" s="121">
        <v>98.54</v>
      </c>
      <c r="C876" s="121">
        <v>96.6995</v>
      </c>
      <c r="D876" s="121">
        <v>98.088200000000001</v>
      </c>
      <c r="E876" s="121" t="s">
        <v>625</v>
      </c>
      <c r="F876" s="121" t="s">
        <v>625</v>
      </c>
      <c r="G876" s="121" t="s">
        <v>625</v>
      </c>
      <c r="H876" s="121" t="e">
        <v>#N/A</v>
      </c>
      <c r="I876" s="121" t="s">
        <v>625</v>
      </c>
      <c r="J876" s="121" t="s">
        <v>625</v>
      </c>
    </row>
    <row r="877" spans="1:10">
      <c r="A877" s="114">
        <v>40662</v>
      </c>
      <c r="B877" s="121">
        <v>98.54</v>
      </c>
      <c r="C877" s="121">
        <v>96.773300000000006</v>
      </c>
      <c r="D877" s="121">
        <v>98.087699999999998</v>
      </c>
      <c r="E877" s="121" t="s">
        <v>625</v>
      </c>
      <c r="F877" s="121" t="s">
        <v>625</v>
      </c>
      <c r="G877" s="121" t="s">
        <v>625</v>
      </c>
      <c r="H877" s="121" t="e">
        <v>#N/A</v>
      </c>
      <c r="I877" s="121" t="s">
        <v>625</v>
      </c>
      <c r="J877" s="121" t="s">
        <v>625</v>
      </c>
    </row>
    <row r="878" spans="1:10">
      <c r="A878" s="114">
        <v>40666</v>
      </c>
      <c r="B878" s="121">
        <v>98.54</v>
      </c>
      <c r="C878" s="121">
        <v>96.750900000000001</v>
      </c>
      <c r="D878" s="121">
        <v>97.999799999999993</v>
      </c>
      <c r="E878" s="121" t="s">
        <v>625</v>
      </c>
      <c r="F878" s="121" t="s">
        <v>625</v>
      </c>
      <c r="G878" s="121" t="s">
        <v>625</v>
      </c>
      <c r="H878" s="121" t="e">
        <v>#N/A</v>
      </c>
      <c r="I878" s="121" t="s">
        <v>625</v>
      </c>
      <c r="J878" s="121" t="s">
        <v>625</v>
      </c>
    </row>
    <row r="879" spans="1:10">
      <c r="A879" s="114">
        <v>40667</v>
      </c>
      <c r="B879" s="121">
        <v>98.54</v>
      </c>
      <c r="C879" s="121">
        <v>96.561300000000003</v>
      </c>
      <c r="D879" s="121">
        <v>97.949600000000004</v>
      </c>
      <c r="E879" s="121" t="s">
        <v>625</v>
      </c>
      <c r="F879" s="121" t="s">
        <v>625</v>
      </c>
      <c r="G879" s="121" t="s">
        <v>625</v>
      </c>
      <c r="H879" s="121" t="e">
        <v>#N/A</v>
      </c>
      <c r="I879" s="121" t="s">
        <v>625</v>
      </c>
      <c r="J879" s="121" t="s">
        <v>625</v>
      </c>
    </row>
    <row r="880" spans="1:10">
      <c r="A880" s="114">
        <v>40668</v>
      </c>
      <c r="B880" s="121">
        <v>98.54</v>
      </c>
      <c r="C880" s="121">
        <v>96.8095</v>
      </c>
      <c r="D880" s="121">
        <v>97.948099999999997</v>
      </c>
      <c r="E880" s="121" t="s">
        <v>625</v>
      </c>
      <c r="F880" s="121" t="s">
        <v>625</v>
      </c>
      <c r="G880" s="121" t="s">
        <v>625</v>
      </c>
      <c r="H880" s="121" t="e">
        <v>#N/A</v>
      </c>
      <c r="I880" s="121" t="s">
        <v>625</v>
      </c>
      <c r="J880" s="121" t="s">
        <v>625</v>
      </c>
    </row>
    <row r="881" spans="1:10">
      <c r="A881" s="114">
        <v>40669</v>
      </c>
      <c r="B881" s="121">
        <v>98.54</v>
      </c>
      <c r="C881" s="121">
        <v>96.798299999999998</v>
      </c>
      <c r="D881" s="121">
        <v>97.894300000000001</v>
      </c>
      <c r="E881" s="121" t="s">
        <v>625</v>
      </c>
      <c r="F881" s="121" t="s">
        <v>625</v>
      </c>
      <c r="G881" s="121" t="s">
        <v>625</v>
      </c>
      <c r="H881" s="121" t="e">
        <v>#N/A</v>
      </c>
      <c r="I881" s="121" t="s">
        <v>625</v>
      </c>
      <c r="J881" s="121" t="s">
        <v>625</v>
      </c>
    </row>
    <row r="882" spans="1:10">
      <c r="A882" s="114">
        <v>40672</v>
      </c>
      <c r="B882" s="121">
        <v>98.54</v>
      </c>
      <c r="C882" s="121">
        <v>96.799800000000005</v>
      </c>
      <c r="D882" s="121">
        <v>97.998500000000007</v>
      </c>
      <c r="E882" s="121" t="s">
        <v>625</v>
      </c>
      <c r="F882" s="121" t="s">
        <v>625</v>
      </c>
      <c r="G882" s="121" t="s">
        <v>625</v>
      </c>
      <c r="H882" s="121" t="e">
        <v>#N/A</v>
      </c>
      <c r="I882" s="121" t="s">
        <v>625</v>
      </c>
      <c r="J882" s="121" t="s">
        <v>625</v>
      </c>
    </row>
    <row r="883" spans="1:10">
      <c r="A883" s="114">
        <v>40673</v>
      </c>
      <c r="B883" s="121">
        <v>98.54</v>
      </c>
      <c r="C883" s="121">
        <v>96.819800000000001</v>
      </c>
      <c r="D883" s="121">
        <v>98.057699999999997</v>
      </c>
      <c r="E883" s="121" t="s">
        <v>625</v>
      </c>
      <c r="F883" s="121" t="s">
        <v>625</v>
      </c>
      <c r="G883" s="121" t="s">
        <v>625</v>
      </c>
      <c r="H883" s="121" t="e">
        <v>#N/A</v>
      </c>
      <c r="I883" s="121" t="s">
        <v>625</v>
      </c>
      <c r="J883" s="121" t="s">
        <v>625</v>
      </c>
    </row>
    <row r="884" spans="1:10">
      <c r="A884" s="114">
        <v>40674</v>
      </c>
      <c r="B884" s="121">
        <v>98.54</v>
      </c>
      <c r="C884" s="121">
        <v>96.652699999999996</v>
      </c>
      <c r="D884" s="121">
        <v>98.237700000000004</v>
      </c>
      <c r="E884" s="121" t="s">
        <v>625</v>
      </c>
      <c r="F884" s="121" t="s">
        <v>625</v>
      </c>
      <c r="G884" s="121" t="s">
        <v>625</v>
      </c>
      <c r="H884" s="121" t="e">
        <v>#N/A</v>
      </c>
      <c r="I884" s="121" t="s">
        <v>625</v>
      </c>
      <c r="J884" s="121" t="s">
        <v>625</v>
      </c>
    </row>
    <row r="885" spans="1:10">
      <c r="A885" s="114">
        <v>40675</v>
      </c>
      <c r="B885" s="121">
        <v>98.54</v>
      </c>
      <c r="C885" s="121">
        <v>96.819699999999997</v>
      </c>
      <c r="D885" s="121">
        <v>98.387600000000006</v>
      </c>
      <c r="E885" s="121" t="s">
        <v>625</v>
      </c>
      <c r="F885" s="121" t="s">
        <v>625</v>
      </c>
      <c r="G885" s="121" t="s">
        <v>625</v>
      </c>
      <c r="H885" s="121" t="e">
        <v>#N/A</v>
      </c>
      <c r="I885" s="121" t="s">
        <v>625</v>
      </c>
      <c r="J885" s="121" t="s">
        <v>625</v>
      </c>
    </row>
    <row r="886" spans="1:10">
      <c r="A886" s="114">
        <v>40676</v>
      </c>
      <c r="B886" s="121">
        <v>98.54</v>
      </c>
      <c r="C886" s="121">
        <v>96.829099999999997</v>
      </c>
      <c r="D886" s="121">
        <v>98.372799999999998</v>
      </c>
      <c r="E886" s="121" t="s">
        <v>625</v>
      </c>
      <c r="F886" s="121" t="s">
        <v>625</v>
      </c>
      <c r="G886" s="121" t="s">
        <v>625</v>
      </c>
      <c r="H886" s="121" t="e">
        <v>#N/A</v>
      </c>
      <c r="I886" s="121" t="s">
        <v>625</v>
      </c>
      <c r="J886" s="121" t="s">
        <v>625</v>
      </c>
    </row>
    <row r="887" spans="1:10">
      <c r="A887" s="114">
        <v>40679</v>
      </c>
      <c r="B887" s="121">
        <v>98.54</v>
      </c>
      <c r="C887" s="121">
        <v>96.778000000000006</v>
      </c>
      <c r="D887" s="121">
        <v>98.337599999999995</v>
      </c>
      <c r="E887" s="121" t="s">
        <v>625</v>
      </c>
      <c r="F887" s="121" t="s">
        <v>625</v>
      </c>
      <c r="G887" s="121" t="s">
        <v>625</v>
      </c>
      <c r="H887" s="121" t="e">
        <v>#N/A</v>
      </c>
      <c r="I887" s="121" t="s">
        <v>625</v>
      </c>
      <c r="J887" s="121" t="s">
        <v>625</v>
      </c>
    </row>
    <row r="888" spans="1:10">
      <c r="A888" s="114">
        <v>40680</v>
      </c>
      <c r="B888" s="121">
        <v>98.54</v>
      </c>
      <c r="C888" s="121">
        <v>96.799800000000005</v>
      </c>
      <c r="D888" s="121">
        <v>98.307599999999994</v>
      </c>
      <c r="E888" s="121" t="s">
        <v>625</v>
      </c>
      <c r="F888" s="121" t="s">
        <v>625</v>
      </c>
      <c r="G888" s="121" t="s">
        <v>625</v>
      </c>
      <c r="H888" s="121" t="e">
        <v>#N/A</v>
      </c>
      <c r="I888" s="121" t="s">
        <v>625</v>
      </c>
      <c r="J888" s="121" t="s">
        <v>625</v>
      </c>
    </row>
    <row r="889" spans="1:10">
      <c r="A889" s="114">
        <v>40681</v>
      </c>
      <c r="B889" s="121">
        <v>98.54</v>
      </c>
      <c r="C889" s="121">
        <v>96.814300000000003</v>
      </c>
      <c r="D889" s="121">
        <v>96.856300000000005</v>
      </c>
      <c r="E889" s="121" t="s">
        <v>625</v>
      </c>
      <c r="F889" s="121" t="s">
        <v>625</v>
      </c>
      <c r="G889" s="121" t="s">
        <v>625</v>
      </c>
      <c r="H889" s="121" t="e">
        <v>#N/A</v>
      </c>
      <c r="I889" s="121" t="s">
        <v>625</v>
      </c>
      <c r="J889" s="121" t="s">
        <v>625</v>
      </c>
    </row>
    <row r="890" spans="1:10">
      <c r="A890" s="114">
        <v>40682</v>
      </c>
      <c r="B890" s="121">
        <v>98.54</v>
      </c>
      <c r="C890" s="121">
        <v>96.821100000000001</v>
      </c>
      <c r="D890" s="121">
        <v>96.859300000000005</v>
      </c>
      <c r="E890" s="121" t="s">
        <v>625</v>
      </c>
      <c r="F890" s="121" t="s">
        <v>625</v>
      </c>
      <c r="G890" s="121" t="s">
        <v>625</v>
      </c>
      <c r="H890" s="121" t="e">
        <v>#N/A</v>
      </c>
      <c r="I890" s="121" t="s">
        <v>625</v>
      </c>
      <c r="J890" s="121" t="s">
        <v>625</v>
      </c>
    </row>
    <row r="891" spans="1:10">
      <c r="A891" s="114">
        <v>40683</v>
      </c>
      <c r="B891" s="121">
        <v>98.54</v>
      </c>
      <c r="C891" s="121">
        <v>96.832899999999995</v>
      </c>
      <c r="D891" s="121">
        <v>98.350800000000007</v>
      </c>
      <c r="E891" s="121" t="s">
        <v>625</v>
      </c>
      <c r="F891" s="121" t="s">
        <v>625</v>
      </c>
      <c r="G891" s="121" t="s">
        <v>625</v>
      </c>
      <c r="H891" s="121" t="e">
        <v>#N/A</v>
      </c>
      <c r="I891" s="121" t="s">
        <v>625</v>
      </c>
      <c r="J891" s="121" t="s">
        <v>625</v>
      </c>
    </row>
    <row r="892" spans="1:10">
      <c r="A892" s="114">
        <v>40686</v>
      </c>
      <c r="B892" s="121">
        <v>98.54</v>
      </c>
      <c r="C892" s="121">
        <v>96.638900000000007</v>
      </c>
      <c r="D892" s="121">
        <v>98.343699999999998</v>
      </c>
      <c r="E892" s="121" t="s">
        <v>625</v>
      </c>
      <c r="F892" s="121" t="s">
        <v>625</v>
      </c>
      <c r="G892" s="121" t="s">
        <v>625</v>
      </c>
      <c r="H892" s="121" t="e">
        <v>#N/A</v>
      </c>
      <c r="I892" s="121" t="s">
        <v>625</v>
      </c>
      <c r="J892" s="121" t="s">
        <v>625</v>
      </c>
    </row>
    <row r="893" spans="1:10">
      <c r="A893" s="114">
        <v>40687</v>
      </c>
      <c r="B893" s="121">
        <v>98.54</v>
      </c>
      <c r="C893" s="121">
        <v>96.806100000000001</v>
      </c>
      <c r="D893" s="121">
        <v>98.355000000000004</v>
      </c>
      <c r="E893" s="121" t="s">
        <v>625</v>
      </c>
      <c r="F893" s="121" t="s">
        <v>625</v>
      </c>
      <c r="G893" s="121" t="s">
        <v>625</v>
      </c>
      <c r="H893" s="121" t="e">
        <v>#N/A</v>
      </c>
      <c r="I893" s="121" t="s">
        <v>625</v>
      </c>
      <c r="J893" s="121" t="s">
        <v>625</v>
      </c>
    </row>
    <row r="894" spans="1:10">
      <c r="A894" s="114">
        <v>40688</v>
      </c>
      <c r="B894" s="121">
        <v>98.54</v>
      </c>
      <c r="C894" s="121">
        <v>96.488500000000002</v>
      </c>
      <c r="D894" s="121">
        <v>98.376400000000004</v>
      </c>
      <c r="E894" s="121" t="s">
        <v>625</v>
      </c>
      <c r="F894" s="121" t="s">
        <v>625</v>
      </c>
      <c r="G894" s="121" t="s">
        <v>625</v>
      </c>
      <c r="H894" s="121" t="e">
        <v>#N/A</v>
      </c>
      <c r="I894" s="121" t="s">
        <v>625</v>
      </c>
      <c r="J894" s="121" t="s">
        <v>625</v>
      </c>
    </row>
    <row r="895" spans="1:10">
      <c r="A895" s="114">
        <v>40689</v>
      </c>
      <c r="B895" s="121">
        <v>98.54</v>
      </c>
      <c r="C895" s="121">
        <v>96.907200000000003</v>
      </c>
      <c r="D895" s="121">
        <v>98.376099999999994</v>
      </c>
      <c r="E895" s="121" t="s">
        <v>625</v>
      </c>
      <c r="F895" s="121" t="s">
        <v>625</v>
      </c>
      <c r="G895" s="121" t="s">
        <v>625</v>
      </c>
      <c r="H895" s="121" t="e">
        <v>#N/A</v>
      </c>
      <c r="I895" s="121" t="s">
        <v>625</v>
      </c>
      <c r="J895" s="121" t="s">
        <v>625</v>
      </c>
    </row>
    <row r="896" spans="1:10">
      <c r="A896" s="114">
        <v>40690</v>
      </c>
      <c r="B896" s="121">
        <v>98.54</v>
      </c>
      <c r="C896" s="121">
        <v>97.005200000000002</v>
      </c>
      <c r="D896" s="121">
        <v>98.4114</v>
      </c>
      <c r="E896" s="121" t="s">
        <v>625</v>
      </c>
      <c r="F896" s="121" t="s">
        <v>625</v>
      </c>
      <c r="G896" s="121" t="s">
        <v>625</v>
      </c>
      <c r="H896" s="121" t="e">
        <v>#N/A</v>
      </c>
      <c r="I896" s="121" t="s">
        <v>625</v>
      </c>
      <c r="J896" s="121" t="s">
        <v>625</v>
      </c>
    </row>
    <row r="897" spans="1:10">
      <c r="A897" s="114">
        <v>40693</v>
      </c>
      <c r="B897" s="121">
        <v>98.54</v>
      </c>
      <c r="C897" s="121">
        <v>97.001000000000005</v>
      </c>
      <c r="D897" s="121">
        <v>98.429699999999997</v>
      </c>
      <c r="E897" s="121" t="s">
        <v>625</v>
      </c>
      <c r="F897" s="121" t="s">
        <v>625</v>
      </c>
      <c r="G897" s="121" t="s">
        <v>625</v>
      </c>
      <c r="H897" s="121" t="e">
        <v>#N/A</v>
      </c>
      <c r="I897" s="121" t="s">
        <v>625</v>
      </c>
      <c r="J897" s="121" t="s">
        <v>625</v>
      </c>
    </row>
    <row r="898" spans="1:10">
      <c r="A898" s="114">
        <v>40694</v>
      </c>
      <c r="B898" s="121">
        <v>98.54</v>
      </c>
      <c r="C898" s="121">
        <v>97.004300000000001</v>
      </c>
      <c r="D898" s="121">
        <v>98.433199999999999</v>
      </c>
      <c r="E898" s="121" t="s">
        <v>625</v>
      </c>
      <c r="F898" s="121" t="s">
        <v>625</v>
      </c>
      <c r="G898" s="121" t="s">
        <v>625</v>
      </c>
      <c r="H898" s="121" t="e">
        <v>#N/A</v>
      </c>
      <c r="I898" s="121" t="s">
        <v>625</v>
      </c>
      <c r="J898" s="121" t="s">
        <v>625</v>
      </c>
    </row>
    <row r="899" spans="1:10">
      <c r="A899" s="114">
        <v>40695</v>
      </c>
      <c r="B899" s="121">
        <v>98.54</v>
      </c>
      <c r="C899" s="121">
        <v>97.002600000000001</v>
      </c>
      <c r="D899" s="121">
        <v>98.351299999999995</v>
      </c>
      <c r="E899" s="121" t="s">
        <v>625</v>
      </c>
      <c r="F899" s="121" t="s">
        <v>625</v>
      </c>
      <c r="G899" s="121" t="s">
        <v>625</v>
      </c>
      <c r="H899" s="121" t="e">
        <v>#N/A</v>
      </c>
      <c r="I899" s="121" t="s">
        <v>625</v>
      </c>
      <c r="J899" s="121" t="s">
        <v>625</v>
      </c>
    </row>
    <row r="900" spans="1:10">
      <c r="A900" s="114">
        <v>40696</v>
      </c>
      <c r="B900" s="121">
        <v>98.54</v>
      </c>
      <c r="C900" s="121">
        <v>96.901700000000005</v>
      </c>
      <c r="D900" s="121">
        <v>98.350499999999997</v>
      </c>
      <c r="E900" s="121" t="s">
        <v>625</v>
      </c>
      <c r="F900" s="121" t="s">
        <v>625</v>
      </c>
      <c r="G900" s="121" t="s">
        <v>625</v>
      </c>
      <c r="H900" s="121" t="e">
        <v>#N/A</v>
      </c>
      <c r="I900" s="121" t="s">
        <v>625</v>
      </c>
      <c r="J900" s="121" t="s">
        <v>625</v>
      </c>
    </row>
    <row r="901" spans="1:10">
      <c r="A901" s="114">
        <v>40697</v>
      </c>
      <c r="B901" s="121">
        <v>98.54</v>
      </c>
      <c r="C901" s="121">
        <v>96.803600000000003</v>
      </c>
      <c r="D901" s="121">
        <v>98.348299999999995</v>
      </c>
      <c r="E901" s="121" t="s">
        <v>625</v>
      </c>
      <c r="F901" s="121" t="s">
        <v>625</v>
      </c>
      <c r="G901" s="121" t="s">
        <v>625</v>
      </c>
      <c r="H901" s="121" t="e">
        <v>#N/A</v>
      </c>
      <c r="I901" s="121" t="s">
        <v>625</v>
      </c>
      <c r="J901" s="121" t="s">
        <v>625</v>
      </c>
    </row>
    <row r="902" spans="1:10">
      <c r="A902" s="114">
        <v>40701</v>
      </c>
      <c r="B902" s="121">
        <v>98.54</v>
      </c>
      <c r="C902" s="121">
        <v>97.002200000000002</v>
      </c>
      <c r="D902" s="121">
        <v>98.350899999999996</v>
      </c>
      <c r="E902" s="121" t="s">
        <v>625</v>
      </c>
      <c r="F902" s="121" t="s">
        <v>625</v>
      </c>
      <c r="G902" s="121" t="s">
        <v>625</v>
      </c>
      <c r="H902" s="121" t="e">
        <v>#N/A</v>
      </c>
      <c r="I902" s="121" t="s">
        <v>625</v>
      </c>
      <c r="J902" s="121" t="s">
        <v>625</v>
      </c>
    </row>
    <row r="903" spans="1:10">
      <c r="A903" s="114">
        <v>40702</v>
      </c>
      <c r="B903" s="121">
        <v>98.54</v>
      </c>
      <c r="C903" s="121">
        <v>100.0047</v>
      </c>
      <c r="D903" s="121">
        <v>98.292699999999996</v>
      </c>
      <c r="E903" s="121" t="s">
        <v>625</v>
      </c>
      <c r="F903" s="121" t="s">
        <v>625</v>
      </c>
      <c r="G903" s="121" t="s">
        <v>625</v>
      </c>
      <c r="H903" s="121" t="e">
        <v>#N/A</v>
      </c>
      <c r="I903" s="121" t="s">
        <v>625</v>
      </c>
      <c r="J903" s="121" t="s">
        <v>625</v>
      </c>
    </row>
    <row r="904" spans="1:10">
      <c r="A904" s="114">
        <v>40703</v>
      </c>
      <c r="B904" s="121">
        <v>98.54</v>
      </c>
      <c r="C904" s="121">
        <v>96.804299999999998</v>
      </c>
      <c r="D904" s="121">
        <v>98.253100000000003</v>
      </c>
      <c r="E904" s="121" t="s">
        <v>625</v>
      </c>
      <c r="F904" s="121" t="s">
        <v>625</v>
      </c>
      <c r="G904" s="121" t="s">
        <v>625</v>
      </c>
      <c r="H904" s="121" t="e">
        <v>#N/A</v>
      </c>
      <c r="I904" s="121" t="s">
        <v>625</v>
      </c>
      <c r="J904" s="121" t="s">
        <v>625</v>
      </c>
    </row>
    <row r="905" spans="1:10">
      <c r="A905" s="114">
        <v>40704</v>
      </c>
      <c r="B905" s="121">
        <v>98.54</v>
      </c>
      <c r="C905" s="121">
        <v>96.813199999999995</v>
      </c>
      <c r="D905" s="121">
        <v>98.219300000000004</v>
      </c>
      <c r="E905" s="121" t="s">
        <v>625</v>
      </c>
      <c r="F905" s="121" t="s">
        <v>625</v>
      </c>
      <c r="G905" s="121" t="s">
        <v>625</v>
      </c>
      <c r="H905" s="121" t="e">
        <v>#N/A</v>
      </c>
      <c r="I905" s="121" t="s">
        <v>625</v>
      </c>
      <c r="J905" s="121" t="s">
        <v>625</v>
      </c>
    </row>
    <row r="906" spans="1:10">
      <c r="A906" s="114">
        <v>40707</v>
      </c>
      <c r="B906" s="121">
        <v>98.54</v>
      </c>
      <c r="C906" s="121">
        <v>96.804400000000001</v>
      </c>
      <c r="D906" s="121">
        <v>98.1631</v>
      </c>
      <c r="E906" s="121" t="s">
        <v>625</v>
      </c>
      <c r="F906" s="121" t="s">
        <v>625</v>
      </c>
      <c r="G906" s="121" t="s">
        <v>625</v>
      </c>
      <c r="H906" s="121" t="e">
        <v>#N/A</v>
      </c>
      <c r="I906" s="121" t="s">
        <v>625</v>
      </c>
      <c r="J906" s="121" t="s">
        <v>625</v>
      </c>
    </row>
    <row r="907" spans="1:10">
      <c r="A907" s="114">
        <v>40708</v>
      </c>
      <c r="B907" s="121">
        <v>98.54</v>
      </c>
      <c r="C907" s="121">
        <v>96.928899999999999</v>
      </c>
      <c r="D907" s="121">
        <v>98.022300000000001</v>
      </c>
      <c r="E907" s="121" t="s">
        <v>625</v>
      </c>
      <c r="F907" s="121" t="s">
        <v>625</v>
      </c>
      <c r="G907" s="121" t="s">
        <v>625</v>
      </c>
      <c r="H907" s="121" t="e">
        <v>#N/A</v>
      </c>
      <c r="I907" s="121" t="s">
        <v>625</v>
      </c>
      <c r="J907" s="121" t="s">
        <v>625</v>
      </c>
    </row>
    <row r="908" spans="1:10">
      <c r="A908" s="114">
        <v>40709</v>
      </c>
      <c r="B908" s="121">
        <v>98.54</v>
      </c>
      <c r="C908" s="121">
        <v>96.5047</v>
      </c>
      <c r="D908" s="121">
        <v>97.903599999999997</v>
      </c>
      <c r="E908" s="121" t="s">
        <v>625</v>
      </c>
      <c r="F908" s="121" t="s">
        <v>625</v>
      </c>
      <c r="G908" s="121" t="s">
        <v>625</v>
      </c>
      <c r="H908" s="121" t="e">
        <v>#N/A</v>
      </c>
      <c r="I908" s="121" t="s">
        <v>625</v>
      </c>
      <c r="J908" s="121" t="s">
        <v>625</v>
      </c>
    </row>
    <row r="909" spans="1:10">
      <c r="A909" s="114">
        <v>40710</v>
      </c>
      <c r="B909" s="121">
        <v>98.54</v>
      </c>
      <c r="C909" s="121">
        <v>96.214500000000001</v>
      </c>
      <c r="D909" s="121">
        <v>97.683599999999998</v>
      </c>
      <c r="E909" s="121" t="s">
        <v>625</v>
      </c>
      <c r="F909" s="121" t="s">
        <v>625</v>
      </c>
      <c r="G909" s="121" t="s">
        <v>625</v>
      </c>
      <c r="H909" s="121" t="e">
        <v>#N/A</v>
      </c>
      <c r="I909" s="121" t="s">
        <v>625</v>
      </c>
      <c r="J909" s="121" t="s">
        <v>625</v>
      </c>
    </row>
    <row r="910" spans="1:10">
      <c r="A910" s="114">
        <v>40711</v>
      </c>
      <c r="B910" s="121">
        <v>98.54</v>
      </c>
      <c r="C910" s="121">
        <v>96.514399999999995</v>
      </c>
      <c r="D910" s="121">
        <v>97.690600000000003</v>
      </c>
      <c r="E910" s="121" t="s">
        <v>625</v>
      </c>
      <c r="F910" s="121" t="s">
        <v>625</v>
      </c>
      <c r="G910" s="121" t="s">
        <v>625</v>
      </c>
      <c r="H910" s="121" t="e">
        <v>#N/A</v>
      </c>
      <c r="I910" s="121" t="s">
        <v>625</v>
      </c>
      <c r="J910" s="121" t="s">
        <v>625</v>
      </c>
    </row>
    <row r="911" spans="1:10">
      <c r="A911" s="114">
        <v>40714</v>
      </c>
      <c r="B911" s="121">
        <v>98.54</v>
      </c>
      <c r="C911" s="121">
        <v>96.513400000000004</v>
      </c>
      <c r="D911" s="121">
        <v>97.611400000000003</v>
      </c>
      <c r="E911" s="121" t="s">
        <v>625</v>
      </c>
      <c r="F911" s="121" t="s">
        <v>625</v>
      </c>
      <c r="G911" s="121" t="s">
        <v>625</v>
      </c>
      <c r="H911" s="121" t="e">
        <v>#N/A</v>
      </c>
      <c r="I911" s="121" t="s">
        <v>625</v>
      </c>
      <c r="J911" s="121" t="s">
        <v>625</v>
      </c>
    </row>
    <row r="912" spans="1:10">
      <c r="A912" s="114">
        <v>40715</v>
      </c>
      <c r="B912" s="121">
        <v>98.54</v>
      </c>
      <c r="C912" s="121">
        <v>96.671099999999996</v>
      </c>
      <c r="D912" s="121">
        <v>97.831999999999994</v>
      </c>
      <c r="E912" s="121" t="s">
        <v>625</v>
      </c>
      <c r="F912" s="121" t="s">
        <v>625</v>
      </c>
      <c r="G912" s="121" t="s">
        <v>625</v>
      </c>
      <c r="H912" s="121" t="e">
        <v>#N/A</v>
      </c>
      <c r="I912" s="121" t="s">
        <v>625</v>
      </c>
      <c r="J912" s="121" t="s">
        <v>625</v>
      </c>
    </row>
    <row r="913" spans="1:10">
      <c r="A913" s="114">
        <v>40716</v>
      </c>
      <c r="B913" s="121">
        <v>98.54</v>
      </c>
      <c r="C913" s="121">
        <v>96.514700000000005</v>
      </c>
      <c r="D913" s="121">
        <v>97.813599999999994</v>
      </c>
      <c r="E913" s="121" t="s">
        <v>625</v>
      </c>
      <c r="F913" s="121" t="s">
        <v>625</v>
      </c>
      <c r="G913" s="121" t="s">
        <v>625</v>
      </c>
      <c r="H913" s="121" t="e">
        <v>#N/A</v>
      </c>
      <c r="I913" s="121" t="s">
        <v>625</v>
      </c>
      <c r="J913" s="121" t="s">
        <v>625</v>
      </c>
    </row>
    <row r="914" spans="1:10">
      <c r="A914" s="114">
        <v>40717</v>
      </c>
      <c r="B914" s="121">
        <v>98.54</v>
      </c>
      <c r="C914" s="121">
        <v>97.270300000000006</v>
      </c>
      <c r="D914" s="121">
        <v>97.812700000000007</v>
      </c>
      <c r="E914" s="121" t="s">
        <v>625</v>
      </c>
      <c r="F914" s="121" t="s">
        <v>625</v>
      </c>
      <c r="G914" s="121" t="s">
        <v>625</v>
      </c>
      <c r="H914" s="121" t="e">
        <v>#N/A</v>
      </c>
      <c r="I914" s="121" t="s">
        <v>625</v>
      </c>
      <c r="J914" s="121" t="s">
        <v>625</v>
      </c>
    </row>
    <row r="915" spans="1:10">
      <c r="A915" s="114">
        <v>40718</v>
      </c>
      <c r="B915" s="121">
        <v>98.54</v>
      </c>
      <c r="C915" s="121">
        <v>96.039000000000001</v>
      </c>
      <c r="D915" s="121">
        <v>97.885900000000007</v>
      </c>
      <c r="E915" s="121" t="s">
        <v>625</v>
      </c>
      <c r="F915" s="121" t="s">
        <v>625</v>
      </c>
      <c r="G915" s="121" t="s">
        <v>625</v>
      </c>
      <c r="H915" s="121" t="e">
        <v>#N/A</v>
      </c>
      <c r="I915" s="121" t="s">
        <v>625</v>
      </c>
      <c r="J915" s="121" t="s">
        <v>625</v>
      </c>
    </row>
    <row r="916" spans="1:10">
      <c r="A916" s="114">
        <v>40721</v>
      </c>
      <c r="B916" s="121">
        <v>98.54</v>
      </c>
      <c r="C916" s="121">
        <v>96.010499999999993</v>
      </c>
      <c r="D916" s="121">
        <v>98.129400000000004</v>
      </c>
      <c r="E916" s="121" t="s">
        <v>625</v>
      </c>
      <c r="F916" s="121" t="s">
        <v>625</v>
      </c>
      <c r="G916" s="121" t="s">
        <v>625</v>
      </c>
      <c r="H916" s="121" t="e">
        <v>#N/A</v>
      </c>
      <c r="I916" s="121" t="s">
        <v>625</v>
      </c>
      <c r="J916" s="121" t="s">
        <v>625</v>
      </c>
    </row>
    <row r="917" spans="1:10">
      <c r="A917" s="114">
        <v>40722</v>
      </c>
      <c r="B917" s="121">
        <v>98.54</v>
      </c>
      <c r="C917" s="121">
        <v>96.818100000000001</v>
      </c>
      <c r="D917" s="121">
        <v>98.186400000000006</v>
      </c>
      <c r="E917" s="121" t="s">
        <v>625</v>
      </c>
      <c r="F917" s="121" t="s">
        <v>625</v>
      </c>
      <c r="G917" s="121" t="s">
        <v>625</v>
      </c>
      <c r="H917" s="121" t="e">
        <v>#N/A</v>
      </c>
      <c r="I917" s="121" t="s">
        <v>625</v>
      </c>
      <c r="J917" s="121" t="s">
        <v>625</v>
      </c>
    </row>
    <row r="918" spans="1:10">
      <c r="A918" s="114">
        <v>40723</v>
      </c>
      <c r="B918" s="121">
        <v>98.54</v>
      </c>
      <c r="C918" s="121">
        <v>96.5077</v>
      </c>
      <c r="D918" s="121">
        <v>98.186599999999999</v>
      </c>
      <c r="E918" s="121" t="s">
        <v>625</v>
      </c>
      <c r="F918" s="121" t="s">
        <v>625</v>
      </c>
      <c r="G918" s="121" t="s">
        <v>625</v>
      </c>
      <c r="H918" s="121" t="e">
        <v>#N/A</v>
      </c>
      <c r="I918" s="121" t="s">
        <v>625</v>
      </c>
      <c r="J918" s="121" t="s">
        <v>625</v>
      </c>
    </row>
    <row r="919" spans="1:10">
      <c r="A919" s="114">
        <v>40724</v>
      </c>
      <c r="B919" s="121">
        <v>98.54</v>
      </c>
      <c r="C919" s="121">
        <v>96.507599999999996</v>
      </c>
      <c r="D919" s="121">
        <v>98.186400000000006</v>
      </c>
      <c r="E919" s="121" t="s">
        <v>625</v>
      </c>
      <c r="F919" s="121" t="s">
        <v>625</v>
      </c>
      <c r="G919" s="121" t="s">
        <v>625</v>
      </c>
      <c r="H919" s="121" t="e">
        <v>#N/A</v>
      </c>
      <c r="I919" s="121" t="s">
        <v>625</v>
      </c>
      <c r="J919" s="121" t="s">
        <v>625</v>
      </c>
    </row>
    <row r="920" spans="1:10">
      <c r="A920" s="114">
        <v>40725</v>
      </c>
      <c r="B920" s="121">
        <v>98.54</v>
      </c>
      <c r="C920" s="121">
        <v>96.520499999999998</v>
      </c>
      <c r="D920" s="121">
        <v>98.126900000000006</v>
      </c>
      <c r="E920" s="121" t="s">
        <v>625</v>
      </c>
      <c r="F920" s="121" t="s">
        <v>625</v>
      </c>
      <c r="G920" s="121" t="s">
        <v>625</v>
      </c>
      <c r="H920" s="121" t="e">
        <v>#N/A</v>
      </c>
      <c r="I920" s="121" t="s">
        <v>625</v>
      </c>
      <c r="J920" s="121" t="s">
        <v>625</v>
      </c>
    </row>
    <row r="921" spans="1:10">
      <c r="A921" s="114">
        <v>40728</v>
      </c>
      <c r="B921" s="121">
        <v>98.54</v>
      </c>
      <c r="C921" s="121">
        <v>96.501800000000003</v>
      </c>
      <c r="D921" s="121">
        <v>98.110500000000002</v>
      </c>
      <c r="E921" s="121" t="s">
        <v>625</v>
      </c>
      <c r="F921" s="121" t="s">
        <v>625</v>
      </c>
      <c r="G921" s="121" t="s">
        <v>625</v>
      </c>
      <c r="H921" s="121" t="e">
        <v>#N/A</v>
      </c>
      <c r="I921" s="121" t="s">
        <v>625</v>
      </c>
      <c r="J921" s="121" t="s">
        <v>625</v>
      </c>
    </row>
    <row r="922" spans="1:10">
      <c r="A922" s="114">
        <v>40729</v>
      </c>
      <c r="B922" s="121">
        <v>98.54</v>
      </c>
      <c r="C922" s="121">
        <v>96.5</v>
      </c>
      <c r="D922" s="121">
        <v>98.128799999999998</v>
      </c>
      <c r="E922" s="121" t="s">
        <v>625</v>
      </c>
      <c r="F922" s="121" t="s">
        <v>625</v>
      </c>
      <c r="G922" s="121" t="s">
        <v>625</v>
      </c>
      <c r="H922" s="121" t="e">
        <v>#N/A</v>
      </c>
      <c r="I922" s="121" t="s">
        <v>625</v>
      </c>
      <c r="J922" s="121" t="s">
        <v>625</v>
      </c>
    </row>
    <row r="923" spans="1:10">
      <c r="A923" s="114">
        <v>40730</v>
      </c>
      <c r="B923" s="121">
        <v>98.54</v>
      </c>
      <c r="C923" s="121">
        <v>96.509100000000004</v>
      </c>
      <c r="D923" s="121">
        <v>98.137900000000002</v>
      </c>
      <c r="E923" s="121" t="s">
        <v>625</v>
      </c>
      <c r="F923" s="121" t="s">
        <v>625</v>
      </c>
      <c r="G923" s="121" t="s">
        <v>625</v>
      </c>
      <c r="H923" s="121" t="e">
        <v>#N/A</v>
      </c>
      <c r="I923" s="121" t="s">
        <v>625</v>
      </c>
      <c r="J923" s="121" t="s">
        <v>625</v>
      </c>
    </row>
    <row r="924" spans="1:10">
      <c r="A924" s="114">
        <v>40731</v>
      </c>
      <c r="B924" s="121">
        <v>98.54</v>
      </c>
      <c r="C924" s="121">
        <v>96.507099999999994</v>
      </c>
      <c r="D924" s="121">
        <v>98.135900000000007</v>
      </c>
      <c r="E924" s="121" t="s">
        <v>625</v>
      </c>
      <c r="F924" s="121" t="s">
        <v>625</v>
      </c>
      <c r="G924" s="121" t="s">
        <v>625</v>
      </c>
      <c r="H924" s="121" t="e">
        <v>#N/A</v>
      </c>
      <c r="I924" s="121" t="s">
        <v>625</v>
      </c>
      <c r="J924" s="121" t="s">
        <v>625</v>
      </c>
    </row>
    <row r="925" spans="1:10">
      <c r="A925" s="114">
        <v>40732</v>
      </c>
      <c r="B925" s="121">
        <v>98.54</v>
      </c>
      <c r="C925" s="121">
        <v>96.5</v>
      </c>
      <c r="D925" s="121">
        <v>98.119299999999996</v>
      </c>
      <c r="E925" s="121" t="s">
        <v>625</v>
      </c>
      <c r="F925" s="121" t="s">
        <v>625</v>
      </c>
      <c r="G925" s="121" t="s">
        <v>625</v>
      </c>
      <c r="H925" s="121" t="e">
        <v>#N/A</v>
      </c>
      <c r="I925" s="121" t="s">
        <v>625</v>
      </c>
      <c r="J925" s="121" t="s">
        <v>625</v>
      </c>
    </row>
    <row r="926" spans="1:10">
      <c r="A926" s="114">
        <v>40735</v>
      </c>
      <c r="B926" s="121">
        <v>98.54</v>
      </c>
      <c r="C926" s="121">
        <v>96.504999999999995</v>
      </c>
      <c r="D926" s="121">
        <v>97.903700000000001</v>
      </c>
      <c r="E926" s="121" t="s">
        <v>625</v>
      </c>
      <c r="F926" s="121" t="s">
        <v>625</v>
      </c>
      <c r="G926" s="121" t="s">
        <v>625</v>
      </c>
      <c r="H926" s="121" t="e">
        <v>#N/A</v>
      </c>
      <c r="I926" s="121" t="s">
        <v>625</v>
      </c>
      <c r="J926" s="121" t="s">
        <v>625</v>
      </c>
    </row>
    <row r="927" spans="1:10">
      <c r="A927" s="114">
        <v>40736</v>
      </c>
      <c r="B927" s="121">
        <v>98.54</v>
      </c>
      <c r="C927" s="121">
        <v>96.442499999999995</v>
      </c>
      <c r="D927" s="121">
        <v>97.599299999999999</v>
      </c>
      <c r="E927" s="121" t="s">
        <v>625</v>
      </c>
      <c r="F927" s="121" t="s">
        <v>625</v>
      </c>
      <c r="G927" s="121" t="s">
        <v>625</v>
      </c>
      <c r="H927" s="121" t="e">
        <v>#N/A</v>
      </c>
      <c r="I927" s="121" t="s">
        <v>625</v>
      </c>
      <c r="J927" s="121" t="s">
        <v>625</v>
      </c>
    </row>
    <row r="928" spans="1:10">
      <c r="A928" s="114">
        <v>40737</v>
      </c>
      <c r="B928" s="121">
        <v>98.54</v>
      </c>
      <c r="C928" s="121">
        <v>96.445300000000003</v>
      </c>
      <c r="D928" s="121">
        <v>97.552099999999996</v>
      </c>
      <c r="E928" s="121" t="s">
        <v>625</v>
      </c>
      <c r="F928" s="121" t="s">
        <v>625</v>
      </c>
      <c r="G928" s="121" t="s">
        <v>625</v>
      </c>
      <c r="H928" s="121" t="e">
        <v>#N/A</v>
      </c>
      <c r="I928" s="121" t="s">
        <v>625</v>
      </c>
      <c r="J928" s="121" t="s">
        <v>625</v>
      </c>
    </row>
    <row r="929" spans="1:10">
      <c r="A929" s="114">
        <v>40738</v>
      </c>
      <c r="B929" s="121">
        <v>98.54</v>
      </c>
      <c r="C929" s="121">
        <v>96.505600000000001</v>
      </c>
      <c r="D929" s="121">
        <v>97.503900000000002</v>
      </c>
      <c r="E929" s="121" t="s">
        <v>625</v>
      </c>
      <c r="F929" s="121" t="s">
        <v>625</v>
      </c>
      <c r="G929" s="121" t="s">
        <v>625</v>
      </c>
      <c r="H929" s="121" t="e">
        <v>#N/A</v>
      </c>
      <c r="I929" s="121" t="s">
        <v>625</v>
      </c>
      <c r="J929" s="121" t="s">
        <v>625</v>
      </c>
    </row>
    <row r="930" spans="1:10">
      <c r="A930" s="114">
        <v>40739</v>
      </c>
      <c r="B930" s="121">
        <v>98.54</v>
      </c>
      <c r="C930" s="121">
        <v>96.513499999999993</v>
      </c>
      <c r="D930" s="121">
        <v>97.479500000000002</v>
      </c>
      <c r="E930" s="121" t="s">
        <v>625</v>
      </c>
      <c r="F930" s="121" t="s">
        <v>625</v>
      </c>
      <c r="G930" s="121" t="s">
        <v>625</v>
      </c>
      <c r="H930" s="121" t="e">
        <v>#N/A</v>
      </c>
      <c r="I930" s="121" t="s">
        <v>625</v>
      </c>
      <c r="J930" s="121" t="s">
        <v>625</v>
      </c>
    </row>
    <row r="931" spans="1:10">
      <c r="A931" s="114">
        <v>40742</v>
      </c>
      <c r="B931" s="121">
        <v>98.54</v>
      </c>
      <c r="C931" s="121">
        <v>96.303799999999995</v>
      </c>
      <c r="D931" s="121">
        <v>97.472499999999997</v>
      </c>
      <c r="E931" s="121" t="s">
        <v>625</v>
      </c>
      <c r="F931" s="121" t="s">
        <v>625</v>
      </c>
      <c r="G931" s="121" t="s">
        <v>625</v>
      </c>
      <c r="H931" s="121" t="e">
        <v>#N/A</v>
      </c>
      <c r="I931" s="121" t="s">
        <v>625</v>
      </c>
      <c r="J931" s="121" t="s">
        <v>625</v>
      </c>
    </row>
    <row r="932" spans="1:10">
      <c r="A932" s="114">
        <v>40743</v>
      </c>
      <c r="B932" s="121">
        <v>98.54</v>
      </c>
      <c r="C932" s="121">
        <v>96.305800000000005</v>
      </c>
      <c r="D932" s="121">
        <v>97.424499999999995</v>
      </c>
      <c r="E932" s="121" t="s">
        <v>625</v>
      </c>
      <c r="F932" s="121" t="s">
        <v>625</v>
      </c>
      <c r="G932" s="121" t="s">
        <v>625</v>
      </c>
      <c r="H932" s="121" t="e">
        <v>#N/A</v>
      </c>
      <c r="I932" s="121" t="s">
        <v>625</v>
      </c>
      <c r="J932" s="121" t="s">
        <v>625</v>
      </c>
    </row>
    <row r="933" spans="1:10">
      <c r="A933" s="114">
        <v>40744</v>
      </c>
      <c r="B933" s="121">
        <v>98.54</v>
      </c>
      <c r="C933" s="121">
        <v>97.471400000000003</v>
      </c>
      <c r="D933" s="121">
        <v>97.205399999999997</v>
      </c>
      <c r="E933" s="121" t="s">
        <v>625</v>
      </c>
      <c r="F933" s="121" t="s">
        <v>625</v>
      </c>
      <c r="G933" s="121" t="s">
        <v>625</v>
      </c>
      <c r="H933" s="121" t="e">
        <v>#N/A</v>
      </c>
      <c r="I933" s="121" t="s">
        <v>625</v>
      </c>
      <c r="J933" s="121" t="s">
        <v>625</v>
      </c>
    </row>
    <row r="934" spans="1:10">
      <c r="A934" s="114">
        <v>40745</v>
      </c>
      <c r="B934" s="121">
        <v>98.54</v>
      </c>
      <c r="C934" s="121">
        <v>96.308599999999998</v>
      </c>
      <c r="D934" s="121">
        <v>96.707300000000004</v>
      </c>
      <c r="E934" s="121" t="s">
        <v>625</v>
      </c>
      <c r="F934" s="121" t="s">
        <v>625</v>
      </c>
      <c r="G934" s="121" t="s">
        <v>625</v>
      </c>
      <c r="H934" s="121" t="e">
        <v>#N/A</v>
      </c>
      <c r="I934" s="121" t="s">
        <v>625</v>
      </c>
      <c r="J934" s="121" t="s">
        <v>625</v>
      </c>
    </row>
    <row r="935" spans="1:10">
      <c r="A935" s="114">
        <v>40746</v>
      </c>
      <c r="B935" s="121">
        <v>98.54</v>
      </c>
      <c r="C935" s="121">
        <v>96.324600000000004</v>
      </c>
      <c r="D935" s="121">
        <v>96.420400000000001</v>
      </c>
      <c r="E935" s="121" t="s">
        <v>625</v>
      </c>
      <c r="F935" s="121" t="s">
        <v>625</v>
      </c>
      <c r="G935" s="121" t="s">
        <v>625</v>
      </c>
      <c r="H935" s="121" t="e">
        <v>#N/A</v>
      </c>
      <c r="I935" s="121" t="s">
        <v>625</v>
      </c>
      <c r="J935" s="121" t="s">
        <v>625</v>
      </c>
    </row>
    <row r="936" spans="1:10">
      <c r="A936" s="114">
        <v>40749</v>
      </c>
      <c r="B936" s="121">
        <v>98.54</v>
      </c>
      <c r="C936" s="121">
        <v>95.507800000000003</v>
      </c>
      <c r="D936" s="121">
        <v>96.406499999999994</v>
      </c>
      <c r="E936" s="121" t="s">
        <v>625</v>
      </c>
      <c r="F936" s="121" t="s">
        <v>625</v>
      </c>
      <c r="G936" s="121" t="s">
        <v>625</v>
      </c>
      <c r="H936" s="121" t="e">
        <v>#N/A</v>
      </c>
      <c r="I936" s="121" t="s">
        <v>625</v>
      </c>
      <c r="J936" s="121" t="s">
        <v>625</v>
      </c>
    </row>
    <row r="937" spans="1:10">
      <c r="A937" s="114">
        <v>40750</v>
      </c>
      <c r="B937" s="121">
        <v>98.54</v>
      </c>
      <c r="C937" s="121">
        <v>95.506399999999999</v>
      </c>
      <c r="D937" s="121">
        <v>96.804599999999994</v>
      </c>
      <c r="E937" s="121" t="s">
        <v>625</v>
      </c>
      <c r="F937" s="121" t="s">
        <v>625</v>
      </c>
      <c r="G937" s="121" t="s">
        <v>625</v>
      </c>
      <c r="H937" s="121" t="e">
        <v>#N/A</v>
      </c>
      <c r="I937" s="121" t="s">
        <v>625</v>
      </c>
      <c r="J937" s="121" t="s">
        <v>625</v>
      </c>
    </row>
    <row r="938" spans="1:10">
      <c r="A938" s="114">
        <v>40751</v>
      </c>
      <c r="B938" s="121">
        <v>98.54</v>
      </c>
      <c r="C938" s="121">
        <v>95.505200000000002</v>
      </c>
      <c r="D938" s="121">
        <v>96.803399999999996</v>
      </c>
      <c r="E938" s="121" t="s">
        <v>625</v>
      </c>
      <c r="F938" s="121" t="s">
        <v>625</v>
      </c>
      <c r="G938" s="121" t="s">
        <v>625</v>
      </c>
      <c r="H938" s="121" t="e">
        <v>#N/A</v>
      </c>
      <c r="I938" s="121" t="s">
        <v>625</v>
      </c>
      <c r="J938" s="121" t="s">
        <v>625</v>
      </c>
    </row>
    <row r="939" spans="1:10">
      <c r="A939" s="114">
        <v>40752</v>
      </c>
      <c r="B939" s="121">
        <v>98.54</v>
      </c>
      <c r="C939" s="121">
        <v>95.503799999999998</v>
      </c>
      <c r="D939" s="121">
        <v>96.902000000000001</v>
      </c>
      <c r="E939" s="121" t="s">
        <v>625</v>
      </c>
      <c r="F939" s="121" t="s">
        <v>625</v>
      </c>
      <c r="G939" s="121" t="s">
        <v>625</v>
      </c>
      <c r="H939" s="121" t="e">
        <v>#N/A</v>
      </c>
      <c r="I939" s="121" t="s">
        <v>625</v>
      </c>
      <c r="J939" s="121" t="s">
        <v>625</v>
      </c>
    </row>
    <row r="940" spans="1:10">
      <c r="A940" s="114">
        <v>40753</v>
      </c>
      <c r="B940" s="121">
        <v>98.54</v>
      </c>
      <c r="C940" s="121">
        <v>95.510400000000004</v>
      </c>
      <c r="D940" s="121">
        <v>96.904700000000005</v>
      </c>
      <c r="E940" s="121" t="s">
        <v>625</v>
      </c>
      <c r="F940" s="121" t="s">
        <v>625</v>
      </c>
      <c r="G940" s="121" t="s">
        <v>625</v>
      </c>
      <c r="H940" s="121" t="e">
        <v>#N/A</v>
      </c>
      <c r="I940" s="121" t="s">
        <v>625</v>
      </c>
      <c r="J940" s="121" t="s">
        <v>625</v>
      </c>
    </row>
    <row r="941" spans="1:10">
      <c r="A941" s="114">
        <v>40756</v>
      </c>
      <c r="B941" s="121">
        <v>98.54</v>
      </c>
      <c r="C941" s="121">
        <v>95.602199999999996</v>
      </c>
      <c r="D941" s="121">
        <v>95.500799999999998</v>
      </c>
      <c r="E941" s="121" t="s">
        <v>625</v>
      </c>
      <c r="F941" s="121" t="s">
        <v>625</v>
      </c>
      <c r="G941" s="121" t="s">
        <v>625</v>
      </c>
      <c r="H941" s="121" t="e">
        <v>#N/A</v>
      </c>
      <c r="I941" s="121" t="s">
        <v>625</v>
      </c>
      <c r="J941" s="121" t="s">
        <v>625</v>
      </c>
    </row>
    <row r="942" spans="1:10">
      <c r="A942" s="114">
        <v>40757</v>
      </c>
      <c r="B942" s="121">
        <v>98.54</v>
      </c>
      <c r="C942" s="121">
        <v>95.912499999999994</v>
      </c>
      <c r="D942" s="121">
        <v>96.999799999999993</v>
      </c>
      <c r="E942" s="121" t="s">
        <v>625</v>
      </c>
      <c r="F942" s="121" t="s">
        <v>625</v>
      </c>
      <c r="G942" s="121" t="s">
        <v>625</v>
      </c>
      <c r="H942" s="121" t="e">
        <v>#N/A</v>
      </c>
      <c r="I942" s="121" t="s">
        <v>625</v>
      </c>
      <c r="J942" s="121" t="s">
        <v>625</v>
      </c>
    </row>
    <row r="943" spans="1:10">
      <c r="A943" s="114">
        <v>40758</v>
      </c>
      <c r="B943" s="121">
        <v>98.54</v>
      </c>
      <c r="C943" s="121">
        <v>96.658299999999997</v>
      </c>
      <c r="D943" s="121">
        <v>97.099699999999999</v>
      </c>
      <c r="E943" s="121" t="s">
        <v>625</v>
      </c>
      <c r="F943" s="121" t="s">
        <v>625</v>
      </c>
      <c r="G943" s="121" t="s">
        <v>625</v>
      </c>
      <c r="H943" s="121" t="e">
        <v>#N/A</v>
      </c>
      <c r="I943" s="121" t="s">
        <v>625</v>
      </c>
      <c r="J943" s="121" t="s">
        <v>625</v>
      </c>
    </row>
    <row r="944" spans="1:10">
      <c r="A944" s="114">
        <v>40759</v>
      </c>
      <c r="B944" s="121">
        <v>98.54</v>
      </c>
      <c r="C944" s="121">
        <v>96.6601</v>
      </c>
      <c r="D944" s="121">
        <v>96.649799999999999</v>
      </c>
      <c r="E944" s="121" t="s">
        <v>625</v>
      </c>
      <c r="F944" s="121" t="s">
        <v>625</v>
      </c>
      <c r="G944" s="121" t="s">
        <v>625</v>
      </c>
      <c r="H944" s="121" t="e">
        <v>#N/A</v>
      </c>
      <c r="I944" s="121" t="s">
        <v>625</v>
      </c>
      <c r="J944" s="121" t="s">
        <v>625</v>
      </c>
    </row>
    <row r="945" spans="1:10">
      <c r="A945" s="114">
        <v>40760</v>
      </c>
      <c r="B945" s="121">
        <v>98.54</v>
      </c>
      <c r="C945" s="121">
        <v>96.665499999999994</v>
      </c>
      <c r="D945" s="121">
        <v>96.649199999999993</v>
      </c>
      <c r="E945" s="121" t="s">
        <v>625</v>
      </c>
      <c r="F945" s="121" t="s">
        <v>625</v>
      </c>
      <c r="G945" s="121" t="s">
        <v>625</v>
      </c>
      <c r="H945" s="121" t="e">
        <v>#N/A</v>
      </c>
      <c r="I945" s="121" t="s">
        <v>625</v>
      </c>
      <c r="J945" s="121" t="s">
        <v>625</v>
      </c>
    </row>
    <row r="946" spans="1:10">
      <c r="A946" s="114">
        <v>40763</v>
      </c>
      <c r="B946" s="121">
        <v>98.54</v>
      </c>
      <c r="C946" s="121">
        <v>96.667100000000005</v>
      </c>
      <c r="D946" s="121">
        <v>96.899500000000003</v>
      </c>
      <c r="E946" s="121" t="s">
        <v>625</v>
      </c>
      <c r="F946" s="121" t="s">
        <v>625</v>
      </c>
      <c r="G946" s="121" t="s">
        <v>625</v>
      </c>
      <c r="H946" s="121" t="e">
        <v>#N/A</v>
      </c>
      <c r="I946" s="121" t="s">
        <v>625</v>
      </c>
      <c r="J946" s="121" t="s">
        <v>625</v>
      </c>
    </row>
    <row r="947" spans="1:10">
      <c r="A947" s="114">
        <v>40764</v>
      </c>
      <c r="B947" s="121">
        <v>98.54</v>
      </c>
      <c r="C947" s="121">
        <v>96.668700000000001</v>
      </c>
      <c r="D947" s="121">
        <v>96.899500000000003</v>
      </c>
      <c r="E947" s="121" t="s">
        <v>625</v>
      </c>
      <c r="F947" s="121" t="s">
        <v>625</v>
      </c>
      <c r="G947" s="121" t="s">
        <v>625</v>
      </c>
      <c r="H947" s="121" t="e">
        <v>#N/A</v>
      </c>
      <c r="I947" s="121" t="s">
        <v>625</v>
      </c>
      <c r="J947" s="121" t="s">
        <v>625</v>
      </c>
    </row>
    <row r="948" spans="1:10">
      <c r="A948" s="114">
        <v>40765</v>
      </c>
      <c r="B948" s="121">
        <v>98.54</v>
      </c>
      <c r="C948" s="121">
        <v>96.671099999999996</v>
      </c>
      <c r="D948" s="121">
        <v>96.900400000000005</v>
      </c>
      <c r="E948" s="121" t="s">
        <v>625</v>
      </c>
      <c r="F948" s="121" t="s">
        <v>625</v>
      </c>
      <c r="G948" s="121" t="s">
        <v>625</v>
      </c>
      <c r="H948" s="121" t="e">
        <v>#N/A</v>
      </c>
      <c r="I948" s="121" t="s">
        <v>625</v>
      </c>
      <c r="J948" s="121" t="s">
        <v>625</v>
      </c>
    </row>
    <row r="949" spans="1:10">
      <c r="A949" s="114">
        <v>40766</v>
      </c>
      <c r="B949" s="121">
        <v>98.54</v>
      </c>
      <c r="C949" s="121">
        <v>96.672799999999995</v>
      </c>
      <c r="D949" s="121">
        <v>96.699600000000004</v>
      </c>
      <c r="E949" s="121" t="s">
        <v>625</v>
      </c>
      <c r="F949" s="121" t="s">
        <v>625</v>
      </c>
      <c r="G949" s="121" t="s">
        <v>625</v>
      </c>
      <c r="H949" s="121" t="e">
        <v>#N/A</v>
      </c>
      <c r="I949" s="121" t="s">
        <v>625</v>
      </c>
      <c r="J949" s="121" t="s">
        <v>625</v>
      </c>
    </row>
    <row r="950" spans="1:10">
      <c r="A950" s="114">
        <v>40767</v>
      </c>
      <c r="B950" s="121">
        <v>98.54</v>
      </c>
      <c r="C950" s="121">
        <v>96.678100000000001</v>
      </c>
      <c r="D950" s="121">
        <v>96.899100000000004</v>
      </c>
      <c r="E950" s="121" t="s">
        <v>625</v>
      </c>
      <c r="F950" s="121" t="s">
        <v>625</v>
      </c>
      <c r="G950" s="121" t="s">
        <v>625</v>
      </c>
      <c r="H950" s="121" t="e">
        <v>#N/A</v>
      </c>
      <c r="I950" s="121" t="s">
        <v>625</v>
      </c>
      <c r="J950" s="121" t="s">
        <v>625</v>
      </c>
    </row>
    <row r="951" spans="1:10">
      <c r="A951" s="114">
        <v>40770</v>
      </c>
      <c r="B951" s="121">
        <v>98.54</v>
      </c>
      <c r="C951" s="121">
        <v>96.678100000000001</v>
      </c>
      <c r="D951" s="121">
        <v>97.149900000000002</v>
      </c>
      <c r="E951" s="121" t="s">
        <v>625</v>
      </c>
      <c r="F951" s="121" t="s">
        <v>625</v>
      </c>
      <c r="G951" s="121" t="s">
        <v>625</v>
      </c>
      <c r="H951" s="121" t="e">
        <v>#N/A</v>
      </c>
      <c r="I951" s="121" t="s">
        <v>625</v>
      </c>
      <c r="J951" s="121" t="s">
        <v>625</v>
      </c>
    </row>
    <row r="952" spans="1:10">
      <c r="A952" s="114">
        <v>40771</v>
      </c>
      <c r="B952" s="121">
        <v>98.54</v>
      </c>
      <c r="C952" s="121">
        <v>96.68</v>
      </c>
      <c r="D952" s="121">
        <v>97.150199999999998</v>
      </c>
      <c r="E952" s="121" t="s">
        <v>625</v>
      </c>
      <c r="F952" s="121" t="s">
        <v>625</v>
      </c>
      <c r="G952" s="121" t="s">
        <v>625</v>
      </c>
      <c r="H952" s="121" t="e">
        <v>#N/A</v>
      </c>
      <c r="I952" s="121" t="s">
        <v>625</v>
      </c>
      <c r="J952" s="121" t="s">
        <v>625</v>
      </c>
    </row>
    <row r="953" spans="1:10">
      <c r="A953" s="114">
        <v>40772</v>
      </c>
      <c r="B953" s="121">
        <v>98.54</v>
      </c>
      <c r="C953" s="121">
        <v>96.684600000000003</v>
      </c>
      <c r="D953" s="121">
        <v>97.100800000000007</v>
      </c>
      <c r="E953" s="121" t="s">
        <v>625</v>
      </c>
      <c r="F953" s="121" t="s">
        <v>625</v>
      </c>
      <c r="G953" s="121" t="s">
        <v>625</v>
      </c>
      <c r="H953" s="121" t="e">
        <v>#N/A</v>
      </c>
      <c r="I953" s="121" t="s">
        <v>625</v>
      </c>
      <c r="J953" s="121" t="s">
        <v>625</v>
      </c>
    </row>
    <row r="954" spans="1:10">
      <c r="A954" s="114">
        <v>40773</v>
      </c>
      <c r="B954" s="121">
        <v>98.54</v>
      </c>
      <c r="C954" s="121">
        <v>96.753699999999995</v>
      </c>
      <c r="D954" s="121">
        <v>97.201499999999996</v>
      </c>
      <c r="E954" s="121" t="s">
        <v>625</v>
      </c>
      <c r="F954" s="121" t="s">
        <v>625</v>
      </c>
      <c r="G954" s="121" t="s">
        <v>625</v>
      </c>
      <c r="H954" s="121" t="e">
        <v>#N/A</v>
      </c>
      <c r="I954" s="121" t="s">
        <v>625</v>
      </c>
      <c r="J954" s="121" t="s">
        <v>625</v>
      </c>
    </row>
    <row r="955" spans="1:10">
      <c r="A955" s="114">
        <v>40774</v>
      </c>
      <c r="B955" s="121">
        <v>98.54</v>
      </c>
      <c r="C955" s="121">
        <v>96.763900000000007</v>
      </c>
      <c r="D955" s="121">
        <v>97.206000000000003</v>
      </c>
      <c r="E955" s="121" t="s">
        <v>625</v>
      </c>
      <c r="F955" s="121" t="s">
        <v>625</v>
      </c>
      <c r="G955" s="121" t="s">
        <v>625</v>
      </c>
      <c r="H955" s="121" t="e">
        <v>#N/A</v>
      </c>
      <c r="I955" s="121" t="s">
        <v>625</v>
      </c>
      <c r="J955" s="121" t="s">
        <v>625</v>
      </c>
    </row>
    <row r="956" spans="1:10">
      <c r="A956" s="114">
        <v>40777</v>
      </c>
      <c r="B956" s="121">
        <v>98.54</v>
      </c>
      <c r="C956" s="121">
        <v>96.768199999999993</v>
      </c>
      <c r="D956" s="121">
        <v>97.203500000000005</v>
      </c>
      <c r="E956" s="121" t="s">
        <v>625</v>
      </c>
      <c r="F956" s="121" t="s">
        <v>625</v>
      </c>
      <c r="G956" s="121" t="s">
        <v>625</v>
      </c>
      <c r="H956" s="121" t="e">
        <v>#N/A</v>
      </c>
      <c r="I956" s="121" t="s">
        <v>625</v>
      </c>
      <c r="J956" s="121" t="s">
        <v>625</v>
      </c>
    </row>
    <row r="957" spans="1:10">
      <c r="A957" s="114">
        <v>40778</v>
      </c>
      <c r="B957" s="121">
        <v>98.54</v>
      </c>
      <c r="C957" s="121">
        <v>96.773099999999999</v>
      </c>
      <c r="D957" s="121">
        <v>97.203699999999998</v>
      </c>
      <c r="E957" s="121" t="s">
        <v>625</v>
      </c>
      <c r="F957" s="121" t="s">
        <v>625</v>
      </c>
      <c r="G957" s="121" t="s">
        <v>625</v>
      </c>
      <c r="H957" s="121" t="e">
        <v>#N/A</v>
      </c>
      <c r="I957" s="121" t="s">
        <v>625</v>
      </c>
      <c r="J957" s="121" t="s">
        <v>625</v>
      </c>
    </row>
    <row r="958" spans="1:10">
      <c r="A958" s="114">
        <v>40779</v>
      </c>
      <c r="B958" s="121">
        <v>98.54</v>
      </c>
      <c r="C958" s="121">
        <v>96.776700000000005</v>
      </c>
      <c r="D958" s="121">
        <v>97.202399999999997</v>
      </c>
      <c r="E958" s="121" t="s">
        <v>625</v>
      </c>
      <c r="F958" s="121" t="s">
        <v>625</v>
      </c>
      <c r="G958" s="121" t="s">
        <v>625</v>
      </c>
      <c r="H958" s="121" t="e">
        <v>#N/A</v>
      </c>
      <c r="I958" s="121" t="s">
        <v>625</v>
      </c>
      <c r="J958" s="121" t="s">
        <v>625</v>
      </c>
    </row>
    <row r="959" spans="1:10">
      <c r="A959" s="114">
        <v>40780</v>
      </c>
      <c r="B959" s="121">
        <v>98.54</v>
      </c>
      <c r="C959" s="121">
        <v>96.003100000000003</v>
      </c>
      <c r="D959" s="121">
        <v>97.201800000000006</v>
      </c>
      <c r="E959" s="121" t="s">
        <v>625</v>
      </c>
      <c r="F959" s="121" t="s">
        <v>625</v>
      </c>
      <c r="G959" s="121" t="s">
        <v>625</v>
      </c>
      <c r="H959" s="121" t="e">
        <v>#N/A</v>
      </c>
      <c r="I959" s="121" t="s">
        <v>625</v>
      </c>
      <c r="J959" s="121" t="s">
        <v>625</v>
      </c>
    </row>
    <row r="960" spans="1:10">
      <c r="A960" s="114">
        <v>40781</v>
      </c>
      <c r="B960" s="121">
        <v>98.54</v>
      </c>
      <c r="C960" s="121">
        <v>96.0107</v>
      </c>
      <c r="D960" s="121">
        <v>97.154399999999995</v>
      </c>
      <c r="E960" s="121" t="s">
        <v>625</v>
      </c>
      <c r="F960" s="121" t="s">
        <v>625</v>
      </c>
      <c r="G960" s="121" t="s">
        <v>625</v>
      </c>
      <c r="H960" s="121" t="e">
        <v>#N/A</v>
      </c>
      <c r="I960" s="121" t="s">
        <v>625</v>
      </c>
      <c r="J960" s="121" t="s">
        <v>625</v>
      </c>
    </row>
    <row r="961" spans="1:10">
      <c r="A961" s="114">
        <v>40784</v>
      </c>
      <c r="B961" s="121">
        <v>98.54</v>
      </c>
      <c r="C961" s="121">
        <v>95.902299999999997</v>
      </c>
      <c r="D961" s="121">
        <v>97.101299999999995</v>
      </c>
      <c r="E961" s="121" t="s">
        <v>625</v>
      </c>
      <c r="F961" s="121" t="s">
        <v>625</v>
      </c>
      <c r="G961" s="121" t="s">
        <v>625</v>
      </c>
      <c r="H961" s="121" t="e">
        <v>#N/A</v>
      </c>
      <c r="I961" s="121" t="s">
        <v>625</v>
      </c>
      <c r="J961" s="121" t="s">
        <v>625</v>
      </c>
    </row>
    <row r="962" spans="1:10">
      <c r="A962" s="114">
        <v>40785</v>
      </c>
      <c r="B962" s="121">
        <v>98.54</v>
      </c>
      <c r="C962" s="121">
        <v>95.503</v>
      </c>
      <c r="D962" s="121">
        <v>96.501400000000004</v>
      </c>
      <c r="E962" s="121" t="s">
        <v>625</v>
      </c>
      <c r="F962" s="121" t="s">
        <v>625</v>
      </c>
      <c r="G962" s="121" t="s">
        <v>625</v>
      </c>
      <c r="H962" s="121" t="e">
        <v>#N/A</v>
      </c>
      <c r="I962" s="121" t="s">
        <v>625</v>
      </c>
      <c r="J962" s="121" t="s">
        <v>625</v>
      </c>
    </row>
    <row r="963" spans="1:10">
      <c r="A963" s="114">
        <v>40786</v>
      </c>
      <c r="B963" s="121">
        <v>98.54</v>
      </c>
      <c r="C963" s="121">
        <v>95.2</v>
      </c>
      <c r="D963" s="121">
        <v>96.301199999999994</v>
      </c>
      <c r="E963" s="121" t="s">
        <v>625</v>
      </c>
      <c r="F963" s="121" t="s">
        <v>625</v>
      </c>
      <c r="G963" s="121" t="s">
        <v>625</v>
      </c>
      <c r="H963" s="121" t="e">
        <v>#N/A</v>
      </c>
      <c r="I963" s="121" t="s">
        <v>625</v>
      </c>
      <c r="J963" s="121" t="s">
        <v>625</v>
      </c>
    </row>
    <row r="964" spans="1:10">
      <c r="A964" s="114">
        <v>40787</v>
      </c>
      <c r="B964" s="121">
        <v>98.54</v>
      </c>
      <c r="C964" s="121">
        <v>95.202799999999996</v>
      </c>
      <c r="D964" s="121">
        <v>96.301599999999993</v>
      </c>
      <c r="E964" s="121" t="s">
        <v>625</v>
      </c>
      <c r="F964" s="121" t="s">
        <v>625</v>
      </c>
      <c r="G964" s="121" t="s">
        <v>625</v>
      </c>
      <c r="H964" s="121" t="e">
        <v>#N/A</v>
      </c>
      <c r="I964" s="121" t="s">
        <v>625</v>
      </c>
      <c r="J964" s="121" t="s">
        <v>625</v>
      </c>
    </row>
    <row r="965" spans="1:10">
      <c r="A965" s="114">
        <v>40788</v>
      </c>
      <c r="B965" s="121">
        <v>98.54</v>
      </c>
      <c r="C965" s="121">
        <v>95.202799999999996</v>
      </c>
      <c r="D965" s="121">
        <v>96.404899999999998</v>
      </c>
      <c r="E965" s="121" t="s">
        <v>625</v>
      </c>
      <c r="F965" s="121" t="s">
        <v>625</v>
      </c>
      <c r="G965" s="121" t="s">
        <v>625</v>
      </c>
      <c r="H965" s="121" t="e">
        <v>#N/A</v>
      </c>
      <c r="I965" s="121" t="s">
        <v>625</v>
      </c>
      <c r="J965" s="121" t="s">
        <v>625</v>
      </c>
    </row>
    <row r="966" spans="1:10">
      <c r="A966" s="114">
        <v>40791</v>
      </c>
      <c r="B966" s="121">
        <v>98.54</v>
      </c>
      <c r="C966" s="121">
        <v>95.202799999999996</v>
      </c>
      <c r="D966" s="121">
        <v>96.402799999999999</v>
      </c>
      <c r="E966" s="121" t="s">
        <v>625</v>
      </c>
      <c r="F966" s="121" t="s">
        <v>625</v>
      </c>
      <c r="G966" s="121" t="s">
        <v>625</v>
      </c>
      <c r="H966" s="121" t="e">
        <v>#N/A</v>
      </c>
      <c r="I966" s="121" t="s">
        <v>625</v>
      </c>
      <c r="J966" s="121" t="s">
        <v>625</v>
      </c>
    </row>
    <row r="967" spans="1:10">
      <c r="A967" s="114">
        <v>40792</v>
      </c>
      <c r="B967" s="121">
        <v>98.54</v>
      </c>
      <c r="C967" s="121">
        <v>96.817400000000006</v>
      </c>
      <c r="D967" s="121">
        <v>96.500399999999999</v>
      </c>
      <c r="E967" s="121" t="s">
        <v>625</v>
      </c>
      <c r="F967" s="121" t="s">
        <v>625</v>
      </c>
      <c r="G967" s="121" t="s">
        <v>625</v>
      </c>
      <c r="H967" s="121" t="e">
        <v>#N/A</v>
      </c>
      <c r="I967" s="121" t="s">
        <v>625</v>
      </c>
      <c r="J967" s="121" t="s">
        <v>625</v>
      </c>
    </row>
    <row r="968" spans="1:10">
      <c r="A968" s="114">
        <v>40793</v>
      </c>
      <c r="B968" s="121">
        <v>98.54</v>
      </c>
      <c r="C968" s="121">
        <v>96.313500000000005</v>
      </c>
      <c r="D968" s="121">
        <v>96.5505</v>
      </c>
      <c r="E968" s="121" t="s">
        <v>625</v>
      </c>
      <c r="F968" s="121" t="s">
        <v>625</v>
      </c>
      <c r="G968" s="121" t="s">
        <v>625</v>
      </c>
      <c r="H968" s="121" t="e">
        <v>#N/A</v>
      </c>
      <c r="I968" s="121" t="s">
        <v>625</v>
      </c>
      <c r="J968" s="121" t="s">
        <v>625</v>
      </c>
    </row>
    <row r="969" spans="1:10">
      <c r="A969" s="114">
        <v>40794</v>
      </c>
      <c r="B969" s="121">
        <v>98.54</v>
      </c>
      <c r="C969" s="121">
        <v>96.313500000000005</v>
      </c>
      <c r="D969" s="121">
        <v>96.500900000000001</v>
      </c>
      <c r="E969" s="121" t="s">
        <v>625</v>
      </c>
      <c r="F969" s="121" t="s">
        <v>625</v>
      </c>
      <c r="G969" s="121" t="s">
        <v>625</v>
      </c>
      <c r="H969" s="121" t="e">
        <v>#N/A</v>
      </c>
      <c r="I969" s="121" t="s">
        <v>625</v>
      </c>
      <c r="J969" s="121" t="s">
        <v>625</v>
      </c>
    </row>
    <row r="970" spans="1:10">
      <c r="A970" s="114">
        <v>40795</v>
      </c>
      <c r="B970" s="121">
        <v>98.54</v>
      </c>
      <c r="C970" s="121">
        <v>96.313500000000005</v>
      </c>
      <c r="D970" s="121">
        <v>96.501999999999995</v>
      </c>
      <c r="E970" s="121" t="s">
        <v>625</v>
      </c>
      <c r="F970" s="121" t="s">
        <v>625</v>
      </c>
      <c r="G970" s="121" t="s">
        <v>625</v>
      </c>
      <c r="H970" s="121" t="e">
        <v>#N/A</v>
      </c>
      <c r="I970" s="121" t="s">
        <v>625</v>
      </c>
      <c r="J970" s="121" t="s">
        <v>625</v>
      </c>
    </row>
    <row r="971" spans="1:10">
      <c r="A971" s="114">
        <v>40799</v>
      </c>
      <c r="B971" s="121">
        <v>98.54</v>
      </c>
      <c r="C971" s="121">
        <v>96.313500000000005</v>
      </c>
      <c r="D971" s="121">
        <v>96.500299999999996</v>
      </c>
      <c r="E971" s="121" t="s">
        <v>625</v>
      </c>
      <c r="F971" s="121" t="s">
        <v>625</v>
      </c>
      <c r="G971" s="121" t="s">
        <v>625</v>
      </c>
      <c r="H971" s="121" t="e">
        <v>#N/A</v>
      </c>
      <c r="I971" s="121" t="s">
        <v>625</v>
      </c>
      <c r="J971" s="121" t="s">
        <v>625</v>
      </c>
    </row>
    <row r="972" spans="1:10">
      <c r="A972" s="114">
        <v>40800</v>
      </c>
      <c r="B972" s="121">
        <v>98.54</v>
      </c>
      <c r="C972" s="121">
        <v>96.313500000000005</v>
      </c>
      <c r="D972" s="121">
        <v>96.650300000000001</v>
      </c>
      <c r="E972" s="121" t="s">
        <v>625</v>
      </c>
      <c r="F972" s="121" t="s">
        <v>625</v>
      </c>
      <c r="G972" s="121" t="s">
        <v>625</v>
      </c>
      <c r="H972" s="121" t="e">
        <v>#N/A</v>
      </c>
      <c r="I972" s="121" t="s">
        <v>625</v>
      </c>
      <c r="J972" s="121" t="s">
        <v>625</v>
      </c>
    </row>
    <row r="973" spans="1:10">
      <c r="A973" s="114">
        <v>40801</v>
      </c>
      <c r="B973" s="121">
        <v>98.54</v>
      </c>
      <c r="C973" s="121">
        <v>96.313500000000005</v>
      </c>
      <c r="D973" s="121">
        <v>96.6511</v>
      </c>
      <c r="E973" s="121" t="s">
        <v>625</v>
      </c>
      <c r="F973" s="121" t="s">
        <v>625</v>
      </c>
      <c r="G973" s="121" t="s">
        <v>625</v>
      </c>
      <c r="H973" s="121" t="e">
        <v>#N/A</v>
      </c>
      <c r="I973" s="121" t="s">
        <v>625</v>
      </c>
      <c r="J973" s="121" t="s">
        <v>625</v>
      </c>
    </row>
    <row r="974" spans="1:10">
      <c r="A974" s="114">
        <v>40802</v>
      </c>
      <c r="B974" s="121">
        <v>98.54</v>
      </c>
      <c r="C974" s="121">
        <v>96.313500000000005</v>
      </c>
      <c r="D974" s="121">
        <v>96.653199999999998</v>
      </c>
      <c r="E974" s="121" t="s">
        <v>625</v>
      </c>
      <c r="F974" s="121" t="s">
        <v>625</v>
      </c>
      <c r="G974" s="121" t="s">
        <v>625</v>
      </c>
      <c r="H974" s="121" t="e">
        <v>#N/A</v>
      </c>
      <c r="I974" s="121" t="s">
        <v>625</v>
      </c>
      <c r="J974" s="121" t="s">
        <v>625</v>
      </c>
    </row>
    <row r="975" spans="1:10">
      <c r="A975" s="114">
        <v>40805</v>
      </c>
      <c r="B975" s="121">
        <v>98.54</v>
      </c>
      <c r="C975" s="121">
        <v>96.313500000000005</v>
      </c>
      <c r="D975" s="121">
        <v>96.501800000000003</v>
      </c>
      <c r="E975" s="121" t="s">
        <v>625</v>
      </c>
      <c r="F975" s="121" t="s">
        <v>625</v>
      </c>
      <c r="G975" s="121" t="s">
        <v>625</v>
      </c>
      <c r="H975" s="121" t="e">
        <v>#N/A</v>
      </c>
      <c r="I975" s="121" t="s">
        <v>625</v>
      </c>
      <c r="J975" s="121" t="s">
        <v>625</v>
      </c>
    </row>
    <row r="976" spans="1:10">
      <c r="A976" s="114">
        <v>40806</v>
      </c>
      <c r="B976" s="121">
        <v>98.54</v>
      </c>
      <c r="C976" s="121">
        <v>96.313500000000005</v>
      </c>
      <c r="D976" s="121">
        <v>96.502700000000004</v>
      </c>
      <c r="E976" s="121" t="s">
        <v>625</v>
      </c>
      <c r="F976" s="121" t="s">
        <v>625</v>
      </c>
      <c r="G976" s="121" t="s">
        <v>625</v>
      </c>
      <c r="H976" s="121" t="e">
        <v>#N/A</v>
      </c>
      <c r="I976" s="121" t="s">
        <v>625</v>
      </c>
      <c r="J976" s="121" t="s">
        <v>625</v>
      </c>
    </row>
    <row r="977" spans="1:10">
      <c r="A977" s="114">
        <v>40807</v>
      </c>
      <c r="B977" s="121">
        <v>98.54</v>
      </c>
      <c r="C977" s="121">
        <v>96.384799999999998</v>
      </c>
      <c r="D977" s="121">
        <v>96.502499999999998</v>
      </c>
      <c r="E977" s="121" t="s">
        <v>625</v>
      </c>
      <c r="F977" s="121" t="s">
        <v>625</v>
      </c>
      <c r="G977" s="121" t="s">
        <v>625</v>
      </c>
      <c r="H977" s="121" t="e">
        <v>#N/A</v>
      </c>
      <c r="I977" s="121" t="s">
        <v>625</v>
      </c>
      <c r="J977" s="121" t="s">
        <v>625</v>
      </c>
    </row>
    <row r="978" spans="1:10">
      <c r="A978" s="114">
        <v>40808</v>
      </c>
      <c r="B978" s="121">
        <v>98.54</v>
      </c>
      <c r="C978" s="121">
        <v>96.384799999999998</v>
      </c>
      <c r="D978" s="121">
        <v>96.55</v>
      </c>
      <c r="E978" s="121" t="s">
        <v>625</v>
      </c>
      <c r="F978" s="121" t="s">
        <v>625</v>
      </c>
      <c r="G978" s="121" t="s">
        <v>625</v>
      </c>
      <c r="H978" s="121" t="e">
        <v>#N/A</v>
      </c>
      <c r="I978" s="121" t="s">
        <v>625</v>
      </c>
      <c r="J978" s="121" t="s">
        <v>625</v>
      </c>
    </row>
    <row r="979" spans="1:10">
      <c r="A979" s="114">
        <v>40809</v>
      </c>
      <c r="B979" s="121">
        <v>98.54</v>
      </c>
      <c r="C979" s="121">
        <v>96.384799999999998</v>
      </c>
      <c r="D979" s="121">
        <v>96.7</v>
      </c>
      <c r="E979" s="121" t="s">
        <v>625</v>
      </c>
      <c r="F979" s="121" t="s">
        <v>625</v>
      </c>
      <c r="G979" s="121" t="s">
        <v>625</v>
      </c>
      <c r="H979" s="121" t="e">
        <v>#N/A</v>
      </c>
      <c r="I979" s="121" t="s">
        <v>625</v>
      </c>
      <c r="J979" s="121" t="s">
        <v>625</v>
      </c>
    </row>
    <row r="980" spans="1:10">
      <c r="A980" s="114">
        <v>40812</v>
      </c>
      <c r="B980" s="121">
        <v>98.54</v>
      </c>
      <c r="C980" s="121">
        <v>96.384799999999998</v>
      </c>
      <c r="D980" s="121">
        <v>97.100899999999996</v>
      </c>
      <c r="E980" s="121" t="s">
        <v>625</v>
      </c>
      <c r="F980" s="121" t="s">
        <v>625</v>
      </c>
      <c r="G980" s="121" t="s">
        <v>625</v>
      </c>
      <c r="H980" s="121" t="e">
        <v>#N/A</v>
      </c>
      <c r="I980" s="121" t="s">
        <v>625</v>
      </c>
      <c r="J980" s="121" t="s">
        <v>625</v>
      </c>
    </row>
    <row r="981" spans="1:10">
      <c r="A981" s="114">
        <v>40813</v>
      </c>
      <c r="B981" s="121">
        <v>98.54</v>
      </c>
      <c r="C981" s="121">
        <v>96.384799999999998</v>
      </c>
      <c r="D981" s="121">
        <v>97.003500000000003</v>
      </c>
      <c r="E981" s="121" t="s">
        <v>625</v>
      </c>
      <c r="F981" s="121" t="s">
        <v>625</v>
      </c>
      <c r="G981" s="121" t="s">
        <v>625</v>
      </c>
      <c r="H981" s="121" t="e">
        <v>#N/A</v>
      </c>
      <c r="I981" s="121" t="s">
        <v>625</v>
      </c>
      <c r="J981" s="121" t="s">
        <v>625</v>
      </c>
    </row>
    <row r="982" spans="1:10">
      <c r="A982" s="114">
        <v>40814</v>
      </c>
      <c r="B982" s="121">
        <v>98.54</v>
      </c>
      <c r="C982" s="121">
        <v>96.384799999999998</v>
      </c>
      <c r="D982" s="121">
        <v>97.003299999999996</v>
      </c>
      <c r="E982" s="121" t="s">
        <v>625</v>
      </c>
      <c r="F982" s="121" t="s">
        <v>625</v>
      </c>
      <c r="G982" s="121" t="s">
        <v>625</v>
      </c>
      <c r="H982" s="121" t="e">
        <v>#N/A</v>
      </c>
      <c r="I982" s="121" t="s">
        <v>625</v>
      </c>
      <c r="J982" s="121" t="s">
        <v>625</v>
      </c>
    </row>
    <row r="983" spans="1:10">
      <c r="A983" s="114">
        <v>40815</v>
      </c>
      <c r="B983" s="121">
        <v>98.54</v>
      </c>
      <c r="C983" s="121">
        <v>96.384799999999998</v>
      </c>
      <c r="D983" s="121">
        <v>97.002899999999997</v>
      </c>
      <c r="E983" s="121" t="s">
        <v>625</v>
      </c>
      <c r="F983" s="121" t="s">
        <v>625</v>
      </c>
      <c r="G983" s="121" t="s">
        <v>625</v>
      </c>
      <c r="H983" s="121" t="e">
        <v>#N/A</v>
      </c>
      <c r="I983" s="121" t="s">
        <v>625</v>
      </c>
      <c r="J983" s="121" t="s">
        <v>625</v>
      </c>
    </row>
    <row r="984" spans="1:10">
      <c r="A984" s="114">
        <v>40816</v>
      </c>
      <c r="B984" s="121">
        <v>98.54</v>
      </c>
      <c r="C984" s="121">
        <v>96.384799999999998</v>
      </c>
      <c r="D984" s="121">
        <v>97.145700000000005</v>
      </c>
      <c r="E984" s="121" t="s">
        <v>625</v>
      </c>
      <c r="F984" s="121" t="s">
        <v>625</v>
      </c>
      <c r="G984" s="121" t="s">
        <v>625</v>
      </c>
      <c r="H984" s="121" t="e">
        <v>#N/A</v>
      </c>
      <c r="I984" s="121" t="s">
        <v>625</v>
      </c>
      <c r="J984" s="121" t="s">
        <v>625</v>
      </c>
    </row>
    <row r="985" spans="1:10">
      <c r="A985" s="114">
        <v>40824</v>
      </c>
      <c r="B985" s="121">
        <v>98.54</v>
      </c>
      <c r="C985" s="121">
        <v>96.384799999999998</v>
      </c>
      <c r="D985" s="121">
        <v>97.305700000000002</v>
      </c>
      <c r="E985" s="121" t="s">
        <v>625</v>
      </c>
      <c r="F985" s="121" t="s">
        <v>625</v>
      </c>
      <c r="G985" s="121" t="s">
        <v>625</v>
      </c>
      <c r="H985" s="121" t="e">
        <v>#N/A</v>
      </c>
      <c r="I985" s="121" t="s">
        <v>625</v>
      </c>
      <c r="J985" s="121" t="s">
        <v>625</v>
      </c>
    </row>
    <row r="986" spans="1:10">
      <c r="A986" s="114">
        <v>40825</v>
      </c>
      <c r="B986" s="121">
        <v>98.54</v>
      </c>
      <c r="C986" s="121">
        <v>96.384799999999998</v>
      </c>
      <c r="D986" s="121">
        <v>97.304900000000004</v>
      </c>
      <c r="E986" s="121" t="s">
        <v>625</v>
      </c>
      <c r="F986" s="121" t="s">
        <v>625</v>
      </c>
      <c r="G986" s="121" t="s">
        <v>625</v>
      </c>
      <c r="H986" s="121" t="e">
        <v>#N/A</v>
      </c>
      <c r="I986" s="121" t="s">
        <v>625</v>
      </c>
      <c r="J986" s="121" t="s">
        <v>625</v>
      </c>
    </row>
    <row r="987" spans="1:10">
      <c r="A987" s="114">
        <v>40826</v>
      </c>
      <c r="B987" s="121">
        <v>98.54</v>
      </c>
      <c r="C987" s="121">
        <v>96.384799999999998</v>
      </c>
      <c r="D987" s="121">
        <v>97.652900000000002</v>
      </c>
      <c r="E987" s="121" t="s">
        <v>625</v>
      </c>
      <c r="F987" s="121" t="s">
        <v>625</v>
      </c>
      <c r="G987" s="121" t="s">
        <v>625</v>
      </c>
      <c r="H987" s="121" t="e">
        <v>#N/A</v>
      </c>
      <c r="I987" s="121" t="s">
        <v>625</v>
      </c>
      <c r="J987" s="121" t="s">
        <v>625</v>
      </c>
    </row>
    <row r="988" spans="1:10">
      <c r="A988" s="114">
        <v>40827</v>
      </c>
      <c r="B988" s="121">
        <v>98.54</v>
      </c>
      <c r="C988" s="121">
        <v>96.384799999999998</v>
      </c>
      <c r="D988" s="121">
        <v>98.001900000000006</v>
      </c>
      <c r="E988" s="121" t="s">
        <v>625</v>
      </c>
      <c r="F988" s="121" t="s">
        <v>625</v>
      </c>
      <c r="G988" s="121" t="s">
        <v>625</v>
      </c>
      <c r="H988" s="121" t="e">
        <v>#N/A</v>
      </c>
      <c r="I988" s="121" t="s">
        <v>625</v>
      </c>
      <c r="J988" s="121" t="s">
        <v>625</v>
      </c>
    </row>
    <row r="989" spans="1:10">
      <c r="A989" s="114">
        <v>40828</v>
      </c>
      <c r="B989" s="121">
        <v>98.54</v>
      </c>
      <c r="C989" s="121">
        <v>96.384799999999998</v>
      </c>
      <c r="D989" s="121">
        <v>98.100700000000003</v>
      </c>
      <c r="E989" s="121" t="s">
        <v>625</v>
      </c>
      <c r="F989" s="121" t="s">
        <v>625</v>
      </c>
      <c r="G989" s="121" t="s">
        <v>625</v>
      </c>
      <c r="H989" s="121" t="e">
        <v>#N/A</v>
      </c>
      <c r="I989" s="121" t="s">
        <v>625</v>
      </c>
      <c r="J989" s="121" t="s">
        <v>625</v>
      </c>
    </row>
    <row r="990" spans="1:10">
      <c r="A990" s="114">
        <v>40829</v>
      </c>
      <c r="B990" s="121">
        <v>98.54</v>
      </c>
      <c r="C990" s="121">
        <v>96.384799999999998</v>
      </c>
      <c r="D990" s="121">
        <v>97.900599999999997</v>
      </c>
      <c r="E990" s="121" t="s">
        <v>625</v>
      </c>
      <c r="F990" s="121" t="s">
        <v>625</v>
      </c>
      <c r="G990" s="121" t="s">
        <v>625</v>
      </c>
      <c r="H990" s="121" t="e">
        <v>#N/A</v>
      </c>
      <c r="I990" s="121" t="s">
        <v>625</v>
      </c>
      <c r="J990" s="121" t="s">
        <v>625</v>
      </c>
    </row>
    <row r="991" spans="1:10">
      <c r="A991" s="114">
        <v>40830</v>
      </c>
      <c r="B991" s="121">
        <v>98.54</v>
      </c>
      <c r="C991" s="121">
        <v>96.384799999999998</v>
      </c>
      <c r="D991" s="121">
        <v>97.800200000000004</v>
      </c>
      <c r="E991" s="121" t="s">
        <v>625</v>
      </c>
      <c r="F991" s="121" t="s">
        <v>625</v>
      </c>
      <c r="G991" s="121" t="s">
        <v>625</v>
      </c>
      <c r="H991" s="121" t="e">
        <v>#N/A</v>
      </c>
      <c r="I991" s="121" t="s">
        <v>625</v>
      </c>
      <c r="J991" s="121" t="s">
        <v>625</v>
      </c>
    </row>
    <row r="992" spans="1:10">
      <c r="A992" s="114">
        <v>40833</v>
      </c>
      <c r="B992" s="121">
        <v>98.54</v>
      </c>
      <c r="C992" s="121">
        <v>96.384799999999998</v>
      </c>
      <c r="D992" s="121">
        <v>97.800200000000004</v>
      </c>
      <c r="E992" s="121" t="s">
        <v>625</v>
      </c>
      <c r="F992" s="121" t="s">
        <v>625</v>
      </c>
      <c r="G992" s="121" t="s">
        <v>625</v>
      </c>
      <c r="H992" s="121" t="e">
        <v>#N/A</v>
      </c>
      <c r="I992" s="121" t="s">
        <v>625</v>
      </c>
      <c r="J992" s="121" t="s">
        <v>625</v>
      </c>
    </row>
    <row r="993" spans="1:10">
      <c r="A993" s="114">
        <v>40834</v>
      </c>
      <c r="B993" s="121">
        <v>98.54</v>
      </c>
      <c r="C993" s="121">
        <v>96.384799999999998</v>
      </c>
      <c r="D993" s="121">
        <v>97.800200000000004</v>
      </c>
      <c r="E993" s="121" t="s">
        <v>625</v>
      </c>
      <c r="F993" s="121">
        <v>100</v>
      </c>
      <c r="G993" s="121" t="s">
        <v>625</v>
      </c>
      <c r="H993" s="121" t="e">
        <v>#N/A</v>
      </c>
      <c r="I993" s="121" t="s">
        <v>625</v>
      </c>
      <c r="J993" s="121" t="s">
        <v>625</v>
      </c>
    </row>
    <row r="994" spans="1:10">
      <c r="A994" s="114">
        <v>40835</v>
      </c>
      <c r="B994" s="121">
        <v>98.54</v>
      </c>
      <c r="C994" s="121">
        <v>96.384799999999998</v>
      </c>
      <c r="D994" s="121">
        <v>97.800200000000004</v>
      </c>
      <c r="E994" s="121" t="s">
        <v>625</v>
      </c>
      <c r="F994" s="121">
        <v>99.756500000000003</v>
      </c>
      <c r="G994" s="121" t="s">
        <v>625</v>
      </c>
      <c r="H994" s="121" t="e">
        <v>#N/A</v>
      </c>
      <c r="I994" s="121" t="s">
        <v>625</v>
      </c>
      <c r="J994" s="121" t="s">
        <v>625</v>
      </c>
    </row>
    <row r="995" spans="1:10">
      <c r="A995" s="114">
        <v>40836</v>
      </c>
      <c r="B995" s="121">
        <v>98.54</v>
      </c>
      <c r="C995" s="121">
        <v>96.384799999999998</v>
      </c>
      <c r="D995" s="121">
        <v>97.800200000000004</v>
      </c>
      <c r="E995" s="121" t="s">
        <v>625</v>
      </c>
      <c r="F995" s="121">
        <v>99.816900000000004</v>
      </c>
      <c r="G995" s="121" t="s">
        <v>625</v>
      </c>
      <c r="H995" s="121" t="e">
        <v>#N/A</v>
      </c>
      <c r="I995" s="121" t="s">
        <v>625</v>
      </c>
      <c r="J995" s="121" t="s">
        <v>625</v>
      </c>
    </row>
    <row r="996" spans="1:10">
      <c r="A996" s="114">
        <v>40837</v>
      </c>
      <c r="B996" s="121">
        <v>98.54</v>
      </c>
      <c r="C996" s="121">
        <v>96.384799999999998</v>
      </c>
      <c r="D996" s="121">
        <v>97.800200000000004</v>
      </c>
      <c r="E996" s="121" t="s">
        <v>625</v>
      </c>
      <c r="F996" s="121">
        <v>99.786299999999997</v>
      </c>
      <c r="G996" s="121" t="s">
        <v>625</v>
      </c>
      <c r="H996" s="121" t="e">
        <v>#N/A</v>
      </c>
      <c r="I996" s="121" t="s">
        <v>625</v>
      </c>
      <c r="J996" s="121" t="s">
        <v>625</v>
      </c>
    </row>
    <row r="997" spans="1:10">
      <c r="A997" s="114">
        <v>40840</v>
      </c>
      <c r="B997" s="121">
        <v>98.54</v>
      </c>
      <c r="C997" s="121">
        <v>96.536600000000007</v>
      </c>
      <c r="D997" s="121">
        <v>97.800200000000004</v>
      </c>
      <c r="E997" s="121" t="s">
        <v>625</v>
      </c>
      <c r="F997" s="121">
        <v>99.605199999999996</v>
      </c>
      <c r="G997" s="121" t="s">
        <v>625</v>
      </c>
      <c r="H997" s="121" t="e">
        <v>#N/A</v>
      </c>
      <c r="I997" s="121" t="s">
        <v>625</v>
      </c>
      <c r="J997" s="121" t="s">
        <v>625</v>
      </c>
    </row>
    <row r="998" spans="1:10">
      <c r="A998" s="114">
        <v>40841</v>
      </c>
      <c r="B998" s="121">
        <v>98.54</v>
      </c>
      <c r="C998" s="121">
        <v>96.503600000000006</v>
      </c>
      <c r="D998" s="121">
        <v>97.800200000000004</v>
      </c>
      <c r="E998" s="121" t="s">
        <v>625</v>
      </c>
      <c r="F998" s="121">
        <v>99.514899999999997</v>
      </c>
      <c r="G998" s="121" t="s">
        <v>625</v>
      </c>
      <c r="H998" s="121" t="e">
        <v>#N/A</v>
      </c>
      <c r="I998" s="121" t="s">
        <v>625</v>
      </c>
      <c r="J998" s="121" t="s">
        <v>625</v>
      </c>
    </row>
    <row r="999" spans="1:10">
      <c r="A999" s="114">
        <v>40842</v>
      </c>
      <c r="B999" s="121">
        <v>98.54</v>
      </c>
      <c r="C999" s="121">
        <v>96.504800000000003</v>
      </c>
      <c r="D999" s="121">
        <v>97.800200000000004</v>
      </c>
      <c r="E999" s="121" t="s">
        <v>625</v>
      </c>
      <c r="F999" s="121">
        <v>99.454800000000006</v>
      </c>
      <c r="G999" s="121" t="s">
        <v>625</v>
      </c>
      <c r="H999" s="121" t="e">
        <v>#N/A</v>
      </c>
      <c r="I999" s="121" t="s">
        <v>625</v>
      </c>
      <c r="J999" s="121" t="s">
        <v>625</v>
      </c>
    </row>
    <row r="1000" spans="1:10">
      <c r="A1000" s="114">
        <v>40843</v>
      </c>
      <c r="B1000" s="121">
        <v>98.54</v>
      </c>
      <c r="C1000" s="121">
        <v>96.505099999999999</v>
      </c>
      <c r="D1000" s="121">
        <v>97.800200000000004</v>
      </c>
      <c r="E1000" s="121" t="s">
        <v>625</v>
      </c>
      <c r="F1000" s="121">
        <v>99.8232</v>
      </c>
      <c r="G1000" s="121" t="s">
        <v>625</v>
      </c>
      <c r="H1000" s="121" t="e">
        <v>#N/A</v>
      </c>
      <c r="I1000" s="121" t="s">
        <v>625</v>
      </c>
      <c r="J1000" s="121" t="s">
        <v>625</v>
      </c>
    </row>
    <row r="1001" spans="1:10">
      <c r="A1001" s="114">
        <v>40844</v>
      </c>
      <c r="B1001" s="121">
        <v>98.54</v>
      </c>
      <c r="C1001" s="121">
        <v>96.521299999999997</v>
      </c>
      <c r="D1001" s="121">
        <v>97.800200000000004</v>
      </c>
      <c r="E1001" s="121" t="s">
        <v>625</v>
      </c>
      <c r="F1001" s="121">
        <v>99.575000000000003</v>
      </c>
      <c r="G1001" s="121" t="s">
        <v>625</v>
      </c>
      <c r="H1001" s="121" t="e">
        <v>#N/A</v>
      </c>
      <c r="I1001" s="121" t="s">
        <v>625</v>
      </c>
      <c r="J1001" s="121" t="s">
        <v>625</v>
      </c>
    </row>
    <row r="1002" spans="1:10">
      <c r="A1002" s="114">
        <v>40847</v>
      </c>
      <c r="B1002" s="121">
        <v>98.54</v>
      </c>
      <c r="C1002" s="121">
        <v>96.406499999999994</v>
      </c>
      <c r="D1002" s="121">
        <v>97.800200000000004</v>
      </c>
      <c r="E1002" s="121" t="s">
        <v>625</v>
      </c>
      <c r="F1002" s="121">
        <v>99.755499999999998</v>
      </c>
      <c r="G1002" s="121" t="s">
        <v>625</v>
      </c>
      <c r="H1002" s="121" t="e">
        <v>#N/A</v>
      </c>
      <c r="I1002" s="121" t="s">
        <v>625</v>
      </c>
      <c r="J1002" s="121" t="s">
        <v>625</v>
      </c>
    </row>
    <row r="1003" spans="1:10">
      <c r="A1003" s="114">
        <v>40848</v>
      </c>
      <c r="B1003" s="121">
        <v>98.54</v>
      </c>
      <c r="C1003" s="121">
        <v>96.402799999999999</v>
      </c>
      <c r="D1003" s="121">
        <v>97.800200000000004</v>
      </c>
      <c r="E1003" s="121" t="s">
        <v>625</v>
      </c>
      <c r="F1003" s="121">
        <v>99.996600000000001</v>
      </c>
      <c r="G1003" s="121" t="s">
        <v>625</v>
      </c>
      <c r="H1003" s="121" t="e">
        <v>#N/A</v>
      </c>
      <c r="I1003" s="121" t="s">
        <v>625</v>
      </c>
      <c r="J1003" s="121" t="s">
        <v>625</v>
      </c>
    </row>
    <row r="1004" spans="1:10">
      <c r="A1004" s="114">
        <v>40849</v>
      </c>
      <c r="B1004" s="121">
        <v>98.54</v>
      </c>
      <c r="C1004" s="121">
        <v>96.402299999999997</v>
      </c>
      <c r="D1004" s="121">
        <v>97.800200000000004</v>
      </c>
      <c r="E1004" s="121" t="s">
        <v>625</v>
      </c>
      <c r="F1004" s="121">
        <v>100.0569</v>
      </c>
      <c r="G1004" s="121" t="s">
        <v>625</v>
      </c>
      <c r="H1004" s="121" t="e">
        <v>#N/A</v>
      </c>
      <c r="I1004" s="121" t="s">
        <v>625</v>
      </c>
      <c r="J1004" s="121" t="s">
        <v>625</v>
      </c>
    </row>
    <row r="1005" spans="1:10">
      <c r="A1005" s="114">
        <v>40850</v>
      </c>
      <c r="B1005" s="121">
        <v>98.54</v>
      </c>
      <c r="C1005" s="121">
        <v>96.402299999999997</v>
      </c>
      <c r="D1005" s="121">
        <v>97.800200000000004</v>
      </c>
      <c r="E1005" s="121" t="s">
        <v>625</v>
      </c>
      <c r="F1005" s="121">
        <v>100.0869</v>
      </c>
      <c r="G1005" s="121" t="s">
        <v>625</v>
      </c>
      <c r="H1005" s="121" t="e">
        <v>#N/A</v>
      </c>
      <c r="I1005" s="121" t="s">
        <v>625</v>
      </c>
      <c r="J1005" s="121" t="s">
        <v>625</v>
      </c>
    </row>
    <row r="1006" spans="1:10">
      <c r="A1006" s="114">
        <v>40851</v>
      </c>
      <c r="B1006" s="121">
        <v>98.54</v>
      </c>
      <c r="C1006" s="121">
        <v>96.406800000000004</v>
      </c>
      <c r="D1006" s="121">
        <v>97.800200000000004</v>
      </c>
      <c r="E1006" s="121" t="s">
        <v>625</v>
      </c>
      <c r="F1006" s="121">
        <v>100.1467</v>
      </c>
      <c r="G1006" s="121" t="s">
        <v>625</v>
      </c>
      <c r="H1006" s="121" t="e">
        <v>#N/A</v>
      </c>
      <c r="I1006" s="121" t="s">
        <v>625</v>
      </c>
      <c r="J1006" s="121" t="s">
        <v>625</v>
      </c>
    </row>
    <row r="1007" spans="1:10">
      <c r="A1007" s="114">
        <v>40854</v>
      </c>
      <c r="B1007" s="121">
        <v>98.54</v>
      </c>
      <c r="C1007" s="121">
        <v>96.902299999999997</v>
      </c>
      <c r="D1007" s="121">
        <v>97.800200000000004</v>
      </c>
      <c r="E1007" s="121" t="s">
        <v>625</v>
      </c>
      <c r="F1007" s="121">
        <v>100.056</v>
      </c>
      <c r="G1007" s="121" t="s">
        <v>625</v>
      </c>
      <c r="H1007" s="121" t="e">
        <v>#N/A</v>
      </c>
      <c r="I1007" s="121" t="s">
        <v>625</v>
      </c>
      <c r="J1007" s="121" t="s">
        <v>625</v>
      </c>
    </row>
    <row r="1008" spans="1:10">
      <c r="A1008" s="114">
        <v>40855</v>
      </c>
      <c r="B1008" s="121">
        <v>98.54</v>
      </c>
      <c r="C1008" s="121">
        <v>96.878399999999999</v>
      </c>
      <c r="D1008" s="121">
        <v>97.800200000000004</v>
      </c>
      <c r="E1008" s="121" t="s">
        <v>625</v>
      </c>
      <c r="F1008" s="121">
        <v>100.3276</v>
      </c>
      <c r="G1008" s="121" t="s">
        <v>625</v>
      </c>
      <c r="H1008" s="121" t="e">
        <v>#N/A</v>
      </c>
      <c r="I1008" s="121" t="s">
        <v>625</v>
      </c>
      <c r="J1008" s="121" t="s">
        <v>625</v>
      </c>
    </row>
    <row r="1009" spans="1:10">
      <c r="A1009" s="114">
        <v>40856</v>
      </c>
      <c r="B1009" s="121">
        <v>98.54</v>
      </c>
      <c r="C1009" s="121">
        <v>96.9024</v>
      </c>
      <c r="D1009" s="121">
        <v>97.800200000000004</v>
      </c>
      <c r="E1009" s="121" t="s">
        <v>625</v>
      </c>
      <c r="F1009" s="121">
        <v>100.59990000000001</v>
      </c>
      <c r="G1009" s="121" t="s">
        <v>625</v>
      </c>
      <c r="H1009" s="121" t="e">
        <v>#N/A</v>
      </c>
      <c r="I1009" s="121" t="s">
        <v>625</v>
      </c>
      <c r="J1009" s="121" t="s">
        <v>625</v>
      </c>
    </row>
    <row r="1010" spans="1:10">
      <c r="A1010" s="114">
        <v>40857</v>
      </c>
      <c r="B1010" s="121">
        <v>98.54</v>
      </c>
      <c r="C1010" s="121">
        <v>96.9024</v>
      </c>
      <c r="D1010" s="121">
        <v>97.800200000000004</v>
      </c>
      <c r="E1010" s="121" t="s">
        <v>625</v>
      </c>
      <c r="F1010" s="121">
        <v>101.0663</v>
      </c>
      <c r="G1010" s="121" t="s">
        <v>625</v>
      </c>
      <c r="H1010" s="121" t="e">
        <v>#N/A</v>
      </c>
      <c r="I1010" s="121" t="s">
        <v>625</v>
      </c>
      <c r="J1010" s="121" t="s">
        <v>625</v>
      </c>
    </row>
    <row r="1011" spans="1:10">
      <c r="A1011" s="114">
        <v>40858</v>
      </c>
      <c r="B1011" s="121">
        <v>98.54</v>
      </c>
      <c r="C1011" s="121">
        <v>96.904799999999994</v>
      </c>
      <c r="D1011" s="121">
        <v>97.800200000000004</v>
      </c>
      <c r="E1011" s="121" t="s">
        <v>625</v>
      </c>
      <c r="F1011" s="121">
        <v>100.902</v>
      </c>
      <c r="G1011" s="121" t="s">
        <v>625</v>
      </c>
      <c r="H1011" s="121" t="e">
        <v>#N/A</v>
      </c>
      <c r="I1011" s="121" t="s">
        <v>625</v>
      </c>
      <c r="J1011" s="121" t="s">
        <v>625</v>
      </c>
    </row>
    <row r="1012" spans="1:10">
      <c r="A1012" s="114">
        <v>40861</v>
      </c>
      <c r="B1012" s="121">
        <v>98.54</v>
      </c>
      <c r="C1012" s="121">
        <v>97.701899999999995</v>
      </c>
      <c r="D1012" s="121">
        <v>97.800200000000004</v>
      </c>
      <c r="E1012" s="121" t="s">
        <v>625</v>
      </c>
      <c r="F1012" s="121">
        <v>100.902</v>
      </c>
      <c r="G1012" s="121" t="s">
        <v>625</v>
      </c>
      <c r="H1012" s="121" t="e">
        <v>#N/A</v>
      </c>
      <c r="I1012" s="121" t="s">
        <v>625</v>
      </c>
      <c r="J1012" s="121" t="s">
        <v>625</v>
      </c>
    </row>
    <row r="1013" spans="1:10">
      <c r="A1013" s="114">
        <v>40862</v>
      </c>
      <c r="B1013" s="121">
        <v>98.54</v>
      </c>
      <c r="C1013" s="121">
        <v>97.701999999999998</v>
      </c>
      <c r="D1013" s="121">
        <v>97.800200000000004</v>
      </c>
      <c r="E1013" s="121" t="s">
        <v>625</v>
      </c>
      <c r="F1013" s="121">
        <v>100.5373</v>
      </c>
      <c r="G1013" s="121" t="s">
        <v>625</v>
      </c>
      <c r="H1013" s="121" t="e">
        <v>#N/A</v>
      </c>
      <c r="I1013" s="121" t="s">
        <v>625</v>
      </c>
      <c r="J1013" s="121" t="s">
        <v>625</v>
      </c>
    </row>
    <row r="1014" spans="1:10">
      <c r="A1014" s="114">
        <v>40863</v>
      </c>
      <c r="B1014" s="121">
        <v>98.54</v>
      </c>
      <c r="C1014" s="121">
        <v>97.701999999999998</v>
      </c>
      <c r="D1014" s="121">
        <v>97.800200000000004</v>
      </c>
      <c r="E1014" s="121" t="s">
        <v>625</v>
      </c>
      <c r="F1014" s="121">
        <v>100.5975</v>
      </c>
      <c r="G1014" s="121" t="s">
        <v>625</v>
      </c>
      <c r="H1014" s="121" t="e">
        <v>#N/A</v>
      </c>
      <c r="I1014" s="121" t="s">
        <v>625</v>
      </c>
      <c r="J1014" s="121" t="s">
        <v>625</v>
      </c>
    </row>
    <row r="1015" spans="1:10">
      <c r="A1015" s="114">
        <v>40864</v>
      </c>
      <c r="B1015" s="121">
        <v>98.54</v>
      </c>
      <c r="C1015" s="121">
        <v>97.702799999999996</v>
      </c>
      <c r="D1015" s="121">
        <v>97.800200000000004</v>
      </c>
      <c r="E1015" s="121" t="s">
        <v>625</v>
      </c>
      <c r="F1015" s="121">
        <v>100.6576</v>
      </c>
      <c r="G1015" s="121" t="s">
        <v>625</v>
      </c>
      <c r="H1015" s="121" t="e">
        <v>#N/A</v>
      </c>
      <c r="I1015" s="121" t="s">
        <v>625</v>
      </c>
      <c r="J1015" s="121" t="s">
        <v>625</v>
      </c>
    </row>
    <row r="1016" spans="1:10">
      <c r="A1016" s="114">
        <v>40865</v>
      </c>
      <c r="B1016" s="121">
        <v>98.54</v>
      </c>
      <c r="C1016" s="121">
        <v>97.71</v>
      </c>
      <c r="D1016" s="121">
        <v>97.800200000000004</v>
      </c>
      <c r="E1016" s="121" t="s">
        <v>625</v>
      </c>
      <c r="F1016" s="121">
        <v>100.5356</v>
      </c>
      <c r="G1016" s="121" t="s">
        <v>625</v>
      </c>
      <c r="H1016" s="121" t="e">
        <v>#N/A</v>
      </c>
      <c r="I1016" s="121" t="s">
        <v>625</v>
      </c>
      <c r="J1016" s="121" t="s">
        <v>625</v>
      </c>
    </row>
    <row r="1017" spans="1:10">
      <c r="A1017" s="114">
        <v>40868</v>
      </c>
      <c r="B1017" s="121">
        <v>98.54</v>
      </c>
      <c r="C1017" s="121">
        <v>97.503900000000002</v>
      </c>
      <c r="D1017" s="121">
        <v>97.800200000000004</v>
      </c>
      <c r="E1017" s="121" t="s">
        <v>625</v>
      </c>
      <c r="F1017" s="121">
        <v>100.47499999999999</v>
      </c>
      <c r="G1017" s="121" t="s">
        <v>625</v>
      </c>
      <c r="H1017" s="121" t="e">
        <v>#N/A</v>
      </c>
      <c r="I1017" s="121" t="s">
        <v>625</v>
      </c>
      <c r="J1017" s="121" t="s">
        <v>625</v>
      </c>
    </row>
    <row r="1018" spans="1:10">
      <c r="A1018" s="114">
        <v>40869</v>
      </c>
      <c r="B1018" s="121">
        <v>98.54</v>
      </c>
      <c r="C1018" s="121">
        <v>97.504499999999993</v>
      </c>
      <c r="D1018" s="121">
        <v>97.800200000000004</v>
      </c>
      <c r="E1018" s="121" t="s">
        <v>625</v>
      </c>
      <c r="F1018" s="121">
        <v>100.6558</v>
      </c>
      <c r="G1018" s="121" t="s">
        <v>625</v>
      </c>
      <c r="H1018" s="121" t="e">
        <v>#N/A</v>
      </c>
      <c r="I1018" s="121" t="s">
        <v>625</v>
      </c>
      <c r="J1018" s="121" t="s">
        <v>625</v>
      </c>
    </row>
    <row r="1019" spans="1:10">
      <c r="A1019" s="114">
        <v>40870</v>
      </c>
      <c r="B1019" s="121">
        <v>99.7</v>
      </c>
      <c r="C1019" s="121">
        <v>97.504499999999993</v>
      </c>
      <c r="D1019" s="121">
        <v>97.800200000000004</v>
      </c>
      <c r="E1019" s="121" t="s">
        <v>625</v>
      </c>
      <c r="F1019" s="121">
        <v>100.6558</v>
      </c>
      <c r="G1019" s="121">
        <v>99.781000000000006</v>
      </c>
      <c r="H1019" s="121" t="e">
        <v>#N/A</v>
      </c>
      <c r="I1019" s="121" t="s">
        <v>625</v>
      </c>
      <c r="J1019" s="121" t="s">
        <v>625</v>
      </c>
    </row>
    <row r="1020" spans="1:10">
      <c r="A1020" s="114">
        <v>40871</v>
      </c>
      <c r="B1020" s="121">
        <v>99.6</v>
      </c>
      <c r="C1020" s="121">
        <v>97.490300000000005</v>
      </c>
      <c r="D1020" s="121">
        <v>97.800200000000004</v>
      </c>
      <c r="E1020" s="121" t="s">
        <v>625</v>
      </c>
      <c r="F1020" s="121">
        <v>100.89709999999999</v>
      </c>
      <c r="G1020" s="121">
        <v>99.392899999999997</v>
      </c>
      <c r="H1020" s="121" t="e">
        <v>#N/A</v>
      </c>
      <c r="I1020" s="121" t="s">
        <v>625</v>
      </c>
      <c r="J1020" s="121" t="s">
        <v>625</v>
      </c>
    </row>
    <row r="1021" spans="1:10">
      <c r="A1021" s="114">
        <v>40872</v>
      </c>
      <c r="B1021" s="121">
        <v>99.6</v>
      </c>
      <c r="C1021" s="121">
        <v>97.490300000000005</v>
      </c>
      <c r="D1021" s="121">
        <v>97.800200000000004</v>
      </c>
      <c r="E1021" s="121" t="s">
        <v>625</v>
      </c>
      <c r="F1021" s="121">
        <v>100.8352</v>
      </c>
      <c r="G1021" s="121">
        <v>99.955799999999996</v>
      </c>
      <c r="H1021" s="121" t="e">
        <v>#N/A</v>
      </c>
      <c r="I1021" s="121" t="s">
        <v>625</v>
      </c>
      <c r="J1021" s="121" t="s">
        <v>625</v>
      </c>
    </row>
    <row r="1022" spans="1:10">
      <c r="A1022" s="114">
        <v>40875</v>
      </c>
      <c r="B1022" s="121">
        <v>99.6</v>
      </c>
      <c r="C1022" s="121">
        <v>97.490300000000005</v>
      </c>
      <c r="D1022" s="121">
        <v>97.800200000000004</v>
      </c>
      <c r="E1022" s="121" t="s">
        <v>625</v>
      </c>
      <c r="F1022" s="121">
        <v>100.7744</v>
      </c>
      <c r="G1022" s="121" t="s">
        <v>625</v>
      </c>
      <c r="H1022" s="121" t="e">
        <v>#N/A</v>
      </c>
      <c r="I1022" s="121" t="s">
        <v>625</v>
      </c>
      <c r="J1022" s="121" t="s">
        <v>625</v>
      </c>
    </row>
    <row r="1023" spans="1:10">
      <c r="A1023" s="114">
        <v>40876</v>
      </c>
      <c r="B1023" s="121">
        <v>99.6</v>
      </c>
      <c r="C1023" s="121">
        <v>97.3964</v>
      </c>
      <c r="D1023" s="121">
        <v>98.351399999999998</v>
      </c>
      <c r="E1023" s="121" t="s">
        <v>625</v>
      </c>
      <c r="F1023" s="121">
        <v>100.68340000000001</v>
      </c>
      <c r="G1023" s="121" t="s">
        <v>625</v>
      </c>
      <c r="H1023" s="121" t="e">
        <v>#N/A</v>
      </c>
      <c r="I1023" s="121" t="s">
        <v>625</v>
      </c>
      <c r="J1023" s="121" t="s">
        <v>625</v>
      </c>
    </row>
    <row r="1024" spans="1:10">
      <c r="A1024" s="114">
        <v>40877</v>
      </c>
      <c r="B1024" s="121">
        <v>99.6</v>
      </c>
      <c r="C1024" s="121">
        <v>100</v>
      </c>
      <c r="D1024" s="121">
        <v>98.351399999999998</v>
      </c>
      <c r="E1024" s="121" t="s">
        <v>625</v>
      </c>
      <c r="F1024" s="121">
        <v>100.8339</v>
      </c>
      <c r="G1024" s="121">
        <v>99.604500000000002</v>
      </c>
      <c r="H1024" s="121" t="e">
        <v>#N/A</v>
      </c>
      <c r="I1024" s="121" t="s">
        <v>625</v>
      </c>
      <c r="J1024" s="121" t="s">
        <v>625</v>
      </c>
    </row>
    <row r="1025" spans="1:10">
      <c r="A1025" s="114">
        <v>40878</v>
      </c>
      <c r="B1025" s="121">
        <v>99.6</v>
      </c>
      <c r="C1025" s="121">
        <v>100</v>
      </c>
      <c r="D1025" s="121">
        <v>98.526399999999995</v>
      </c>
      <c r="E1025" s="121" t="s">
        <v>625</v>
      </c>
      <c r="F1025" s="121">
        <v>100.6224</v>
      </c>
      <c r="G1025" s="121">
        <v>98.226900000000001</v>
      </c>
      <c r="H1025" s="121" t="e">
        <v>#N/A</v>
      </c>
      <c r="I1025" s="121" t="s">
        <v>625</v>
      </c>
      <c r="J1025" s="121" t="s">
        <v>625</v>
      </c>
    </row>
    <row r="1026" spans="1:10">
      <c r="A1026" s="114">
        <v>40879</v>
      </c>
      <c r="B1026" s="121">
        <v>99.6</v>
      </c>
      <c r="C1026" s="121">
        <v>98.205699999999993</v>
      </c>
      <c r="D1026" s="121">
        <v>98.801100000000005</v>
      </c>
      <c r="E1026" s="121" t="s">
        <v>625</v>
      </c>
      <c r="F1026" s="121">
        <v>101.5594</v>
      </c>
      <c r="G1026" s="121">
        <v>100.6815</v>
      </c>
      <c r="H1026" s="121" t="e">
        <v>#N/A</v>
      </c>
      <c r="I1026" s="121" t="s">
        <v>625</v>
      </c>
      <c r="J1026" s="121" t="s">
        <v>625</v>
      </c>
    </row>
    <row r="1027" spans="1:10">
      <c r="A1027" s="114">
        <v>40882</v>
      </c>
      <c r="B1027" s="121">
        <v>99.6</v>
      </c>
      <c r="C1027" s="121">
        <v>98.205699999999993</v>
      </c>
      <c r="D1027" s="121">
        <v>99.1</v>
      </c>
      <c r="E1027" s="121" t="s">
        <v>625</v>
      </c>
      <c r="F1027" s="121">
        <v>101.7415</v>
      </c>
      <c r="G1027" s="121">
        <v>100.70650000000001</v>
      </c>
      <c r="H1027" s="121" t="e">
        <v>#N/A</v>
      </c>
      <c r="I1027" s="121" t="s">
        <v>625</v>
      </c>
      <c r="J1027" s="121" t="s">
        <v>625</v>
      </c>
    </row>
    <row r="1028" spans="1:10">
      <c r="A1028" s="114">
        <v>40883</v>
      </c>
      <c r="B1028" s="121">
        <v>99.6</v>
      </c>
      <c r="C1028" s="121">
        <v>98.205699999999993</v>
      </c>
      <c r="D1028" s="121">
        <v>99.15</v>
      </c>
      <c r="E1028" s="121" t="s">
        <v>625</v>
      </c>
      <c r="F1028" s="121">
        <v>101.77119999999999</v>
      </c>
      <c r="G1028" s="121">
        <v>100.6972</v>
      </c>
      <c r="H1028" s="121" t="e">
        <v>#N/A</v>
      </c>
      <c r="I1028" s="121" t="s">
        <v>625</v>
      </c>
      <c r="J1028" s="121" t="s">
        <v>625</v>
      </c>
    </row>
    <row r="1029" spans="1:10">
      <c r="A1029" s="114">
        <v>40884</v>
      </c>
      <c r="B1029" s="121">
        <v>99.6</v>
      </c>
      <c r="C1029" s="121">
        <v>98.205699999999993</v>
      </c>
      <c r="D1029" s="121">
        <v>99.15</v>
      </c>
      <c r="E1029" s="121" t="s">
        <v>625</v>
      </c>
      <c r="F1029" s="121">
        <v>101.67910000000001</v>
      </c>
      <c r="G1029" s="121">
        <v>100.6635</v>
      </c>
      <c r="H1029" s="121" t="e">
        <v>#N/A</v>
      </c>
      <c r="I1029" s="121" t="s">
        <v>625</v>
      </c>
      <c r="J1029" s="121" t="s">
        <v>625</v>
      </c>
    </row>
    <row r="1030" spans="1:10">
      <c r="A1030" s="114">
        <v>40885</v>
      </c>
      <c r="B1030" s="121">
        <v>99.6</v>
      </c>
      <c r="C1030" s="121">
        <v>98.205699999999993</v>
      </c>
      <c r="D1030" s="121">
        <v>99.000100000000003</v>
      </c>
      <c r="E1030" s="121" t="s">
        <v>625</v>
      </c>
      <c r="F1030" s="121">
        <v>101.67910000000001</v>
      </c>
      <c r="G1030" s="121">
        <v>100.4319</v>
      </c>
      <c r="H1030" s="121" t="e">
        <v>#N/A</v>
      </c>
      <c r="I1030" s="121" t="s">
        <v>625</v>
      </c>
      <c r="J1030" s="121" t="s">
        <v>625</v>
      </c>
    </row>
    <row r="1031" spans="1:10">
      <c r="A1031" s="114">
        <v>40886</v>
      </c>
      <c r="B1031" s="121">
        <v>99.6</v>
      </c>
      <c r="C1031" s="121">
        <v>98.205699999999993</v>
      </c>
      <c r="D1031" s="121">
        <v>99.000299999999996</v>
      </c>
      <c r="E1031" s="121" t="s">
        <v>625</v>
      </c>
      <c r="F1031" s="121">
        <v>101.6155</v>
      </c>
      <c r="G1031" s="121">
        <v>100.6349</v>
      </c>
      <c r="H1031" s="121" t="e">
        <v>#N/A</v>
      </c>
      <c r="I1031" s="121" t="s">
        <v>625</v>
      </c>
      <c r="J1031" s="121" t="s">
        <v>625</v>
      </c>
    </row>
    <row r="1032" spans="1:10">
      <c r="A1032" s="114">
        <v>40889</v>
      </c>
      <c r="B1032" s="121">
        <v>99.6</v>
      </c>
      <c r="C1032" s="121">
        <v>98.165000000000006</v>
      </c>
      <c r="D1032" s="121">
        <v>99.100300000000004</v>
      </c>
      <c r="E1032" s="121" t="s">
        <v>625</v>
      </c>
      <c r="F1032" s="121">
        <v>101.55410000000001</v>
      </c>
      <c r="G1032" s="121">
        <v>100.45820000000001</v>
      </c>
      <c r="H1032" s="121" t="e">
        <v>#N/A</v>
      </c>
      <c r="I1032" s="121" t="s">
        <v>625</v>
      </c>
      <c r="J1032" s="121" t="s">
        <v>625</v>
      </c>
    </row>
    <row r="1033" spans="1:10">
      <c r="A1033" s="114">
        <v>40890</v>
      </c>
      <c r="B1033" s="121">
        <v>99.6</v>
      </c>
      <c r="C1033" s="121">
        <v>98.165000000000006</v>
      </c>
      <c r="D1033" s="121">
        <v>99.000299999999996</v>
      </c>
      <c r="E1033" s="121" t="s">
        <v>625</v>
      </c>
      <c r="F1033" s="121">
        <v>101.5534</v>
      </c>
      <c r="G1033" s="121">
        <v>100.4855</v>
      </c>
      <c r="H1033" s="121" t="e">
        <v>#N/A</v>
      </c>
      <c r="I1033" s="121" t="s">
        <v>625</v>
      </c>
      <c r="J1033" s="121" t="s">
        <v>625</v>
      </c>
    </row>
    <row r="1034" spans="1:10">
      <c r="A1034" s="114">
        <v>40891</v>
      </c>
      <c r="B1034" s="121">
        <v>99.6</v>
      </c>
      <c r="C1034" s="121">
        <v>98.165000000000006</v>
      </c>
      <c r="D1034" s="121">
        <v>99.000200000000007</v>
      </c>
      <c r="E1034" s="121" t="s">
        <v>625</v>
      </c>
      <c r="F1034" s="121">
        <v>99.75</v>
      </c>
      <c r="G1034" s="121" t="s">
        <v>625</v>
      </c>
      <c r="H1034" s="121" t="e">
        <v>#N/A</v>
      </c>
      <c r="I1034" s="121" t="s">
        <v>625</v>
      </c>
      <c r="J1034" s="121" t="s">
        <v>625</v>
      </c>
    </row>
    <row r="1035" spans="1:10">
      <c r="A1035" s="114">
        <v>40892</v>
      </c>
      <c r="B1035" s="121">
        <v>99.6</v>
      </c>
      <c r="C1035" s="121">
        <v>98.165000000000006</v>
      </c>
      <c r="D1035" s="121">
        <v>99.000299999999996</v>
      </c>
      <c r="E1035" s="121" t="s">
        <v>625</v>
      </c>
      <c r="F1035" s="121">
        <v>101.6127</v>
      </c>
      <c r="G1035" s="121">
        <v>100.6938</v>
      </c>
      <c r="H1035" s="121" t="e">
        <v>#N/A</v>
      </c>
      <c r="I1035" s="121" t="s">
        <v>625</v>
      </c>
      <c r="J1035" s="121" t="s">
        <v>625</v>
      </c>
    </row>
    <row r="1036" spans="1:10">
      <c r="A1036" s="114">
        <v>40893</v>
      </c>
      <c r="B1036" s="121">
        <v>99.6</v>
      </c>
      <c r="C1036" s="121">
        <v>98.165000000000006</v>
      </c>
      <c r="D1036" s="121">
        <v>99.000200000000007</v>
      </c>
      <c r="E1036" s="121" t="s">
        <v>625</v>
      </c>
      <c r="F1036" s="121">
        <v>101.6713</v>
      </c>
      <c r="G1036" s="121">
        <v>100.7747</v>
      </c>
      <c r="H1036" s="121" t="e">
        <v>#N/A</v>
      </c>
      <c r="I1036" s="121" t="s">
        <v>625</v>
      </c>
      <c r="J1036" s="121" t="s">
        <v>625</v>
      </c>
    </row>
    <row r="1037" spans="1:10">
      <c r="A1037" s="114">
        <v>40896</v>
      </c>
      <c r="B1037" s="121">
        <v>99.6</v>
      </c>
      <c r="C1037" s="121">
        <v>98.165000000000006</v>
      </c>
      <c r="D1037" s="121">
        <v>99.000100000000003</v>
      </c>
      <c r="E1037" s="121" t="s">
        <v>625</v>
      </c>
      <c r="F1037" s="121">
        <v>101.7312</v>
      </c>
      <c r="G1037" s="121">
        <v>100.7201</v>
      </c>
      <c r="H1037" s="121" t="e">
        <v>#N/A</v>
      </c>
      <c r="I1037" s="121" t="s">
        <v>625</v>
      </c>
      <c r="J1037" s="121" t="s">
        <v>625</v>
      </c>
    </row>
    <row r="1038" spans="1:10">
      <c r="A1038" s="114">
        <v>40897</v>
      </c>
      <c r="B1038" s="121">
        <v>99.6</v>
      </c>
      <c r="C1038" s="121">
        <v>98.165000000000006</v>
      </c>
      <c r="D1038" s="121">
        <v>99</v>
      </c>
      <c r="E1038" s="121" t="s">
        <v>625</v>
      </c>
      <c r="F1038" s="121">
        <v>101.6699</v>
      </c>
      <c r="G1038" s="121">
        <v>100.4859</v>
      </c>
      <c r="H1038" s="121" t="e">
        <v>#N/A</v>
      </c>
      <c r="I1038" s="121" t="s">
        <v>625</v>
      </c>
      <c r="J1038" s="121" t="s">
        <v>625</v>
      </c>
    </row>
    <row r="1039" spans="1:10">
      <c r="A1039" s="114">
        <v>40898</v>
      </c>
      <c r="B1039" s="121">
        <v>99.6</v>
      </c>
      <c r="C1039" s="121">
        <v>98.165000000000006</v>
      </c>
      <c r="D1039" s="121">
        <v>99.000100000000003</v>
      </c>
      <c r="E1039" s="121" t="s">
        <v>625</v>
      </c>
      <c r="F1039" s="121">
        <v>101.6995</v>
      </c>
      <c r="G1039" s="121">
        <v>100.7749</v>
      </c>
      <c r="H1039" s="121" t="e">
        <v>#N/A</v>
      </c>
      <c r="I1039" s="121" t="s">
        <v>625</v>
      </c>
      <c r="J1039" s="121" t="s">
        <v>625</v>
      </c>
    </row>
    <row r="1040" spans="1:10">
      <c r="A1040" s="114">
        <v>40899</v>
      </c>
      <c r="B1040" s="121">
        <v>99.6</v>
      </c>
      <c r="C1040" s="121">
        <v>98.165000000000006</v>
      </c>
      <c r="D1040" s="121">
        <v>99.000200000000007</v>
      </c>
      <c r="E1040" s="121" t="s">
        <v>625</v>
      </c>
      <c r="F1040" s="121">
        <v>101.6079</v>
      </c>
      <c r="G1040" s="121">
        <v>100.74590000000001</v>
      </c>
      <c r="H1040" s="121" t="e">
        <v>#N/A</v>
      </c>
      <c r="I1040" s="121" t="s">
        <v>625</v>
      </c>
      <c r="J1040" s="121" t="s">
        <v>625</v>
      </c>
    </row>
    <row r="1041" spans="1:10">
      <c r="A1041" s="114">
        <v>40900</v>
      </c>
      <c r="B1041" s="121">
        <v>99.6</v>
      </c>
      <c r="C1041" s="121">
        <v>98.165000000000006</v>
      </c>
      <c r="D1041" s="121">
        <v>99.000799999999998</v>
      </c>
      <c r="E1041" s="121" t="s">
        <v>625</v>
      </c>
      <c r="F1041" s="121">
        <v>101.60590000000001</v>
      </c>
      <c r="G1041" s="121">
        <v>100.66240000000001</v>
      </c>
      <c r="H1041" s="121" t="e">
        <v>#N/A</v>
      </c>
      <c r="I1041" s="121" t="s">
        <v>625</v>
      </c>
      <c r="J1041" s="121" t="s">
        <v>625</v>
      </c>
    </row>
    <row r="1042" spans="1:10">
      <c r="A1042" s="114">
        <v>40903</v>
      </c>
      <c r="B1042" s="121">
        <v>99.6</v>
      </c>
      <c r="C1042" s="121">
        <v>98.165000000000006</v>
      </c>
      <c r="D1042" s="121">
        <v>98.900300000000001</v>
      </c>
      <c r="E1042" s="121" t="s">
        <v>625</v>
      </c>
      <c r="F1042" s="121">
        <v>101.6052</v>
      </c>
      <c r="G1042" s="121" t="s">
        <v>625</v>
      </c>
      <c r="H1042" s="121" t="e">
        <v>#N/A</v>
      </c>
      <c r="I1042" s="121" t="s">
        <v>625</v>
      </c>
      <c r="J1042" s="121" t="s">
        <v>625</v>
      </c>
    </row>
    <row r="1043" spans="1:10">
      <c r="A1043" s="114">
        <v>40904</v>
      </c>
      <c r="B1043" s="121">
        <v>99.6</v>
      </c>
      <c r="C1043" s="121">
        <v>98.165000000000006</v>
      </c>
      <c r="D1043" s="121">
        <v>98.900300000000001</v>
      </c>
      <c r="E1043" s="121" t="s">
        <v>625</v>
      </c>
      <c r="F1043" s="121">
        <v>101.66500000000001</v>
      </c>
      <c r="G1043" s="121">
        <v>99</v>
      </c>
      <c r="H1043" s="121" t="e">
        <v>#N/A</v>
      </c>
      <c r="I1043" s="121" t="s">
        <v>625</v>
      </c>
      <c r="J1043" s="121" t="s">
        <v>625</v>
      </c>
    </row>
    <row r="1044" spans="1:10">
      <c r="A1044" s="114">
        <v>40905</v>
      </c>
      <c r="B1044" s="121">
        <v>99.6</v>
      </c>
      <c r="C1044" s="121">
        <v>98.165000000000006</v>
      </c>
      <c r="D1044" s="121">
        <v>98.900300000000001</v>
      </c>
      <c r="E1044" s="121" t="s">
        <v>625</v>
      </c>
      <c r="F1044" s="121">
        <v>101.69450000000001</v>
      </c>
      <c r="G1044" s="121">
        <v>99.536600000000007</v>
      </c>
      <c r="H1044" s="121" t="e">
        <v>#N/A</v>
      </c>
      <c r="I1044" s="121" t="s">
        <v>625</v>
      </c>
      <c r="J1044" s="121" t="s">
        <v>625</v>
      </c>
    </row>
    <row r="1045" spans="1:10">
      <c r="A1045" s="114">
        <v>40906</v>
      </c>
      <c r="B1045" s="121">
        <v>99.6</v>
      </c>
      <c r="C1045" s="121">
        <v>98.165000000000006</v>
      </c>
      <c r="D1045" s="121">
        <v>98.900300000000001</v>
      </c>
      <c r="E1045" s="121" t="s">
        <v>625</v>
      </c>
      <c r="F1045" s="121">
        <v>101.845</v>
      </c>
      <c r="G1045" s="121">
        <v>100.82380000000001</v>
      </c>
      <c r="H1045" s="121" t="e">
        <v>#N/A</v>
      </c>
      <c r="I1045" s="121" t="s">
        <v>625</v>
      </c>
      <c r="J1045" s="121" t="s">
        <v>625</v>
      </c>
    </row>
    <row r="1046" spans="1:10">
      <c r="A1046" s="114">
        <v>40907</v>
      </c>
      <c r="B1046" s="121">
        <v>99.6</v>
      </c>
      <c r="C1046" s="121">
        <v>98.165000000000006</v>
      </c>
      <c r="D1046" s="121">
        <v>98.900300000000001</v>
      </c>
      <c r="E1046" s="121" t="s">
        <v>625</v>
      </c>
      <c r="F1046" s="121">
        <v>102.0261</v>
      </c>
      <c r="G1046" s="121">
        <v>100.9871</v>
      </c>
      <c r="H1046" s="121" t="e">
        <v>#N/A</v>
      </c>
      <c r="I1046" s="121" t="s">
        <v>625</v>
      </c>
      <c r="J1046" s="121" t="s">
        <v>625</v>
      </c>
    </row>
    <row r="1047" spans="1:10">
      <c r="A1047" s="114">
        <v>40908</v>
      </c>
      <c r="B1047" s="121">
        <v>99.6</v>
      </c>
      <c r="C1047" s="121">
        <v>98.165000000000006</v>
      </c>
      <c r="D1047" s="121">
        <v>98.900300000000001</v>
      </c>
      <c r="E1047" s="121" t="s">
        <v>625</v>
      </c>
      <c r="F1047" s="121">
        <v>102.0261</v>
      </c>
      <c r="G1047" s="121">
        <v>99.977199999999996</v>
      </c>
      <c r="H1047" s="121" t="e">
        <v>#N/A</v>
      </c>
      <c r="I1047" s="121" t="s">
        <v>625</v>
      </c>
      <c r="J1047" s="121" t="s">
        <v>625</v>
      </c>
    </row>
    <row r="1048" spans="1:10">
      <c r="A1048" s="114">
        <v>40912</v>
      </c>
      <c r="B1048" s="121">
        <v>99.6</v>
      </c>
      <c r="C1048" s="121">
        <v>98.165000000000006</v>
      </c>
      <c r="D1048" s="121">
        <v>98.900300000000001</v>
      </c>
      <c r="E1048" s="121" t="s">
        <v>625</v>
      </c>
      <c r="F1048" s="121">
        <v>101.84050000000001</v>
      </c>
      <c r="G1048" s="121">
        <v>100.90560000000001</v>
      </c>
      <c r="H1048" s="121" t="e">
        <v>#N/A</v>
      </c>
      <c r="I1048" s="121" t="s">
        <v>625</v>
      </c>
      <c r="J1048" s="121" t="s">
        <v>625</v>
      </c>
    </row>
    <row r="1049" spans="1:10">
      <c r="A1049" s="114">
        <v>40913</v>
      </c>
      <c r="B1049" s="121">
        <v>99.6</v>
      </c>
      <c r="C1049" s="121">
        <v>98.165000000000006</v>
      </c>
      <c r="D1049" s="121">
        <v>98.900300000000001</v>
      </c>
      <c r="E1049" s="121" t="s">
        <v>625</v>
      </c>
      <c r="F1049" s="121">
        <v>101.83969999999999</v>
      </c>
      <c r="G1049" s="121">
        <v>101.0806</v>
      </c>
      <c r="H1049" s="121" t="e">
        <v>#N/A</v>
      </c>
      <c r="I1049" s="121" t="s">
        <v>625</v>
      </c>
      <c r="J1049" s="121" t="s">
        <v>625</v>
      </c>
    </row>
    <row r="1050" spans="1:10">
      <c r="A1050" s="114">
        <v>40914</v>
      </c>
      <c r="B1050" s="121">
        <v>99.6</v>
      </c>
      <c r="C1050" s="121">
        <v>98.165000000000006</v>
      </c>
      <c r="D1050" s="121">
        <v>98.900300000000001</v>
      </c>
      <c r="E1050" s="121" t="s">
        <v>625</v>
      </c>
      <c r="F1050" s="121">
        <v>102.0791</v>
      </c>
      <c r="G1050" s="121">
        <v>100.7054</v>
      </c>
      <c r="H1050" s="121" t="e">
        <v>#N/A</v>
      </c>
      <c r="I1050" s="121" t="s">
        <v>625</v>
      </c>
      <c r="J1050" s="121" t="s">
        <v>625</v>
      </c>
    </row>
    <row r="1051" spans="1:10">
      <c r="A1051" s="114">
        <v>40917</v>
      </c>
      <c r="B1051" s="121">
        <v>99.6</v>
      </c>
      <c r="C1051" s="121">
        <v>98.165000000000006</v>
      </c>
      <c r="D1051" s="121">
        <v>98.900300000000001</v>
      </c>
      <c r="E1051" s="121" t="s">
        <v>625</v>
      </c>
      <c r="F1051" s="121">
        <v>102.1388</v>
      </c>
      <c r="G1051" s="121">
        <v>101.5421</v>
      </c>
      <c r="H1051" s="121" t="e">
        <v>#N/A</v>
      </c>
      <c r="I1051" s="121" t="s">
        <v>625</v>
      </c>
      <c r="J1051" s="121" t="s">
        <v>625</v>
      </c>
    </row>
    <row r="1052" spans="1:10">
      <c r="A1052" s="114">
        <v>40918</v>
      </c>
      <c r="B1052" s="121">
        <v>99.6</v>
      </c>
      <c r="C1052" s="121">
        <v>98.165000000000006</v>
      </c>
      <c r="D1052" s="121">
        <v>98.900300000000001</v>
      </c>
      <c r="E1052" s="121" t="s">
        <v>625</v>
      </c>
      <c r="F1052" s="121">
        <v>102.0775</v>
      </c>
      <c r="G1052" s="121">
        <v>101.3398</v>
      </c>
      <c r="H1052" s="121" t="e">
        <v>#N/A</v>
      </c>
      <c r="I1052" s="121" t="s">
        <v>625</v>
      </c>
      <c r="J1052" s="121" t="s">
        <v>625</v>
      </c>
    </row>
    <row r="1053" spans="1:10">
      <c r="A1053" s="114">
        <v>40919</v>
      </c>
      <c r="B1053" s="121">
        <v>99.6</v>
      </c>
      <c r="C1053" s="121">
        <v>98.165000000000006</v>
      </c>
      <c r="D1053" s="121">
        <v>98.900300000000001</v>
      </c>
      <c r="E1053" s="121" t="s">
        <v>625</v>
      </c>
      <c r="F1053" s="121">
        <v>102.131</v>
      </c>
      <c r="G1053" s="121">
        <v>101.2281</v>
      </c>
      <c r="H1053" s="121" t="e">
        <v>#N/A</v>
      </c>
      <c r="I1053" s="121" t="s">
        <v>625</v>
      </c>
      <c r="J1053" s="121" t="s">
        <v>625</v>
      </c>
    </row>
    <row r="1054" spans="1:10">
      <c r="A1054" s="114">
        <v>40920</v>
      </c>
      <c r="B1054" s="121">
        <v>99.6</v>
      </c>
      <c r="C1054" s="121">
        <v>98.165000000000006</v>
      </c>
      <c r="D1054" s="121">
        <v>98.900300000000001</v>
      </c>
      <c r="E1054" s="121" t="s">
        <v>625</v>
      </c>
      <c r="F1054" s="121">
        <v>102.1362</v>
      </c>
      <c r="G1054" s="121" t="s">
        <v>625</v>
      </c>
      <c r="H1054" s="121" t="e">
        <v>#N/A</v>
      </c>
      <c r="I1054" s="121" t="s">
        <v>625</v>
      </c>
      <c r="J1054" s="121" t="s">
        <v>625</v>
      </c>
    </row>
    <row r="1055" spans="1:10">
      <c r="A1055" s="114">
        <v>40921</v>
      </c>
      <c r="B1055" s="121">
        <v>99.6</v>
      </c>
      <c r="C1055" s="121">
        <v>98.820300000000003</v>
      </c>
      <c r="D1055" s="121">
        <v>98.900300000000001</v>
      </c>
      <c r="E1055" s="121" t="s">
        <v>625</v>
      </c>
      <c r="F1055" s="121">
        <v>102.0848</v>
      </c>
      <c r="G1055" s="121">
        <v>101.40260000000001</v>
      </c>
      <c r="H1055" s="121" t="e">
        <v>#N/A</v>
      </c>
      <c r="I1055" s="121" t="s">
        <v>625</v>
      </c>
      <c r="J1055" s="121" t="s">
        <v>625</v>
      </c>
    </row>
    <row r="1056" spans="1:10">
      <c r="A1056" s="114">
        <v>40924</v>
      </c>
      <c r="B1056" s="121">
        <v>99.6</v>
      </c>
      <c r="C1056" s="121">
        <v>98.758899999999997</v>
      </c>
      <c r="D1056" s="121">
        <v>98.900300000000001</v>
      </c>
      <c r="E1056" s="121" t="s">
        <v>625</v>
      </c>
      <c r="F1056" s="121">
        <v>102.07250000000001</v>
      </c>
      <c r="G1056" s="121">
        <v>101.2971</v>
      </c>
      <c r="H1056" s="121" t="e">
        <v>#N/A</v>
      </c>
      <c r="I1056" s="121" t="s">
        <v>625</v>
      </c>
      <c r="J1056" s="121" t="s">
        <v>625</v>
      </c>
    </row>
    <row r="1057" spans="1:10">
      <c r="A1057" s="114">
        <v>40925</v>
      </c>
      <c r="B1057" s="121">
        <v>101.43</v>
      </c>
      <c r="C1057" s="121">
        <v>98.724100000000007</v>
      </c>
      <c r="D1057" s="121">
        <v>99.012500000000003</v>
      </c>
      <c r="E1057" s="121" t="s">
        <v>625</v>
      </c>
      <c r="F1057" s="121">
        <v>102.0851</v>
      </c>
      <c r="G1057" s="121">
        <v>101.2266</v>
      </c>
      <c r="H1057" s="121" t="e">
        <v>#N/A</v>
      </c>
      <c r="I1057" s="121" t="s">
        <v>625</v>
      </c>
      <c r="J1057" s="121" t="s">
        <v>625</v>
      </c>
    </row>
    <row r="1058" spans="1:10">
      <c r="A1058" s="114">
        <v>40926</v>
      </c>
      <c r="B1058" s="121">
        <v>101.43</v>
      </c>
      <c r="C1058" s="121">
        <v>98.715900000000005</v>
      </c>
      <c r="D1058" s="121">
        <v>99.012500000000003</v>
      </c>
      <c r="E1058" s="121" t="s">
        <v>625</v>
      </c>
      <c r="F1058" s="121">
        <v>102.1311</v>
      </c>
      <c r="G1058" s="121">
        <v>101.1598</v>
      </c>
      <c r="H1058" s="121" t="e">
        <v>#N/A</v>
      </c>
      <c r="I1058" s="121" t="s">
        <v>625</v>
      </c>
      <c r="J1058" s="121" t="s">
        <v>625</v>
      </c>
    </row>
    <row r="1059" spans="1:10">
      <c r="A1059" s="114">
        <v>40927</v>
      </c>
      <c r="B1059" s="121">
        <v>101.43</v>
      </c>
      <c r="C1059" s="121">
        <v>98.611800000000002</v>
      </c>
      <c r="D1059" s="121">
        <v>99.012500000000003</v>
      </c>
      <c r="E1059" s="121" t="s">
        <v>625</v>
      </c>
      <c r="F1059" s="121">
        <v>102.2509</v>
      </c>
      <c r="G1059" s="121">
        <v>101.5444</v>
      </c>
      <c r="H1059" s="121" t="e">
        <v>#N/A</v>
      </c>
      <c r="I1059" s="121" t="s">
        <v>625</v>
      </c>
      <c r="J1059" s="121" t="s">
        <v>625</v>
      </c>
    </row>
    <row r="1060" spans="1:10">
      <c r="A1060" s="114">
        <v>40928</v>
      </c>
      <c r="B1060" s="121">
        <v>101.43</v>
      </c>
      <c r="C1060" s="121">
        <v>98.603499999999997</v>
      </c>
      <c r="D1060" s="121">
        <v>99.012500000000003</v>
      </c>
      <c r="E1060" s="121" t="s">
        <v>625</v>
      </c>
      <c r="F1060" s="121">
        <v>102.2509</v>
      </c>
      <c r="G1060" s="121" t="s">
        <v>625</v>
      </c>
      <c r="H1060" s="121" t="e">
        <v>#N/A</v>
      </c>
      <c r="I1060" s="121" t="s">
        <v>625</v>
      </c>
      <c r="J1060" s="121" t="s">
        <v>625</v>
      </c>
    </row>
    <row r="1061" spans="1:10">
      <c r="A1061" s="114">
        <v>40929</v>
      </c>
      <c r="B1061" s="121">
        <v>101.43</v>
      </c>
      <c r="C1061" s="121">
        <v>98.628799999999998</v>
      </c>
      <c r="D1061" s="121">
        <v>99.012500000000003</v>
      </c>
      <c r="E1061" s="121" t="s">
        <v>625</v>
      </c>
      <c r="F1061" s="121">
        <v>102.2509</v>
      </c>
      <c r="G1061" s="121" t="s">
        <v>625</v>
      </c>
      <c r="H1061" s="121" t="e">
        <v>#N/A</v>
      </c>
      <c r="I1061" s="121" t="s">
        <v>625</v>
      </c>
      <c r="J1061" s="121" t="s">
        <v>625</v>
      </c>
    </row>
    <row r="1062" spans="1:10">
      <c r="A1062" s="114">
        <v>40937</v>
      </c>
      <c r="B1062" s="121">
        <v>101.43</v>
      </c>
      <c r="C1062" s="121">
        <v>98.603099999999998</v>
      </c>
      <c r="D1062" s="121">
        <v>99.012500000000003</v>
      </c>
      <c r="E1062" s="121" t="s">
        <v>625</v>
      </c>
      <c r="F1062" s="121">
        <v>102.2509</v>
      </c>
      <c r="G1062" s="121" t="s">
        <v>625</v>
      </c>
      <c r="H1062" s="121" t="e">
        <v>#N/A</v>
      </c>
      <c r="I1062" s="121" t="s">
        <v>625</v>
      </c>
      <c r="J1062" s="121" t="s">
        <v>625</v>
      </c>
    </row>
    <row r="1063" spans="1:10">
      <c r="A1063" s="114">
        <v>40938</v>
      </c>
      <c r="B1063" s="121">
        <v>101.43</v>
      </c>
      <c r="C1063" s="121">
        <v>98.601900000000001</v>
      </c>
      <c r="D1063" s="121">
        <v>99.012500000000003</v>
      </c>
      <c r="E1063" s="121" t="s">
        <v>625</v>
      </c>
      <c r="F1063" s="121">
        <v>102.2111</v>
      </c>
      <c r="G1063" s="121">
        <v>101.4024</v>
      </c>
      <c r="H1063" s="121" t="e">
        <v>#N/A</v>
      </c>
      <c r="I1063" s="121" t="s">
        <v>625</v>
      </c>
      <c r="J1063" s="121" t="s">
        <v>625</v>
      </c>
    </row>
    <row r="1064" spans="1:10">
      <c r="A1064" s="114">
        <v>40939</v>
      </c>
      <c r="B1064" s="121">
        <v>101.43</v>
      </c>
      <c r="C1064" s="121">
        <v>98.602199999999996</v>
      </c>
      <c r="D1064" s="121">
        <v>99.012500000000003</v>
      </c>
      <c r="E1064" s="121" t="s">
        <v>625</v>
      </c>
      <c r="F1064" s="121">
        <v>102.1801</v>
      </c>
      <c r="G1064" s="121">
        <v>101.3292</v>
      </c>
      <c r="H1064" s="121" t="e">
        <v>#N/A</v>
      </c>
      <c r="I1064" s="121" t="s">
        <v>625</v>
      </c>
      <c r="J1064" s="121" t="s">
        <v>625</v>
      </c>
    </row>
    <row r="1065" spans="1:10">
      <c r="A1065" s="114">
        <v>40940</v>
      </c>
      <c r="B1065" s="121">
        <v>101.43</v>
      </c>
      <c r="C1065" s="121">
        <v>98.702299999999994</v>
      </c>
      <c r="D1065" s="121">
        <v>99.012500000000003</v>
      </c>
      <c r="E1065" s="121" t="s">
        <v>625</v>
      </c>
      <c r="F1065" s="121">
        <v>101.8197</v>
      </c>
      <c r="G1065" s="121">
        <v>100.8103</v>
      </c>
      <c r="H1065" s="121" t="e">
        <v>#N/A</v>
      </c>
      <c r="I1065" s="121" t="s">
        <v>625</v>
      </c>
      <c r="J1065" s="121" t="s">
        <v>625</v>
      </c>
    </row>
    <row r="1066" spans="1:10">
      <c r="A1066" s="114">
        <v>40941</v>
      </c>
      <c r="B1066" s="121">
        <v>101.43</v>
      </c>
      <c r="C1066" s="121">
        <v>98.702299999999994</v>
      </c>
      <c r="D1066" s="121">
        <v>99.012500000000003</v>
      </c>
      <c r="E1066" s="121" t="s">
        <v>625</v>
      </c>
      <c r="F1066" s="121">
        <v>101.789</v>
      </c>
      <c r="G1066" s="121">
        <v>101.1373</v>
      </c>
      <c r="H1066" s="121" t="e">
        <v>#N/A</v>
      </c>
      <c r="I1066" s="121" t="s">
        <v>625</v>
      </c>
      <c r="J1066" s="121" t="s">
        <v>625</v>
      </c>
    </row>
    <row r="1067" spans="1:10">
      <c r="A1067" s="114">
        <v>40942</v>
      </c>
      <c r="B1067" s="121">
        <v>101.43</v>
      </c>
      <c r="C1067" s="121">
        <v>98.706400000000002</v>
      </c>
      <c r="D1067" s="121">
        <v>99.012500000000003</v>
      </c>
      <c r="E1067" s="121" t="s">
        <v>625</v>
      </c>
      <c r="F1067" s="121">
        <v>101.75700000000001</v>
      </c>
      <c r="G1067" s="121">
        <v>101.0611</v>
      </c>
      <c r="H1067" s="121" t="e">
        <v>#N/A</v>
      </c>
      <c r="I1067" s="121" t="s">
        <v>625</v>
      </c>
      <c r="J1067" s="121" t="s">
        <v>625</v>
      </c>
    </row>
    <row r="1068" spans="1:10">
      <c r="A1068" s="114">
        <v>40945</v>
      </c>
      <c r="B1068" s="121">
        <v>101.43</v>
      </c>
      <c r="C1068" s="121">
        <v>98.701700000000002</v>
      </c>
      <c r="D1068" s="121">
        <v>99.012500000000003</v>
      </c>
      <c r="E1068" s="121" t="s">
        <v>625</v>
      </c>
      <c r="F1068" s="121">
        <v>101.6073</v>
      </c>
      <c r="G1068" s="121">
        <v>100.8807</v>
      </c>
      <c r="H1068" s="121" t="e">
        <v>#N/A</v>
      </c>
      <c r="I1068" s="121" t="s">
        <v>625</v>
      </c>
      <c r="J1068" s="121" t="s">
        <v>625</v>
      </c>
    </row>
    <row r="1069" spans="1:10">
      <c r="A1069" s="114">
        <v>40946</v>
      </c>
      <c r="B1069" s="121">
        <v>101.43</v>
      </c>
      <c r="C1069" s="121">
        <v>98.701700000000002</v>
      </c>
      <c r="D1069" s="121">
        <v>99.012500000000003</v>
      </c>
      <c r="E1069" s="121" t="s">
        <v>625</v>
      </c>
      <c r="F1069" s="121">
        <v>101.6067</v>
      </c>
      <c r="G1069" s="121">
        <v>100.79559999999999</v>
      </c>
      <c r="H1069" s="121" t="e">
        <v>#N/A</v>
      </c>
      <c r="I1069" s="121" t="s">
        <v>625</v>
      </c>
      <c r="J1069" s="121" t="s">
        <v>625</v>
      </c>
    </row>
    <row r="1070" spans="1:10">
      <c r="A1070" s="114">
        <v>40947</v>
      </c>
      <c r="B1070" s="121">
        <v>101.43</v>
      </c>
      <c r="C1070" s="121">
        <v>98.701700000000002</v>
      </c>
      <c r="D1070" s="121">
        <v>99.012500000000003</v>
      </c>
      <c r="E1070" s="121" t="s">
        <v>625</v>
      </c>
      <c r="F1070" s="121">
        <v>101.4474</v>
      </c>
      <c r="G1070" s="121">
        <v>100.47110000000001</v>
      </c>
      <c r="H1070" s="121" t="e">
        <v>#N/A</v>
      </c>
      <c r="I1070" s="121" t="s">
        <v>625</v>
      </c>
      <c r="J1070" s="121" t="s">
        <v>625</v>
      </c>
    </row>
    <row r="1071" spans="1:10">
      <c r="A1071" s="114">
        <v>40948</v>
      </c>
      <c r="B1071" s="121">
        <v>101.43</v>
      </c>
      <c r="C1071" s="121">
        <v>98.701400000000007</v>
      </c>
      <c r="D1071" s="121">
        <v>99.012500000000003</v>
      </c>
      <c r="E1071" s="121" t="s">
        <v>625</v>
      </c>
      <c r="F1071" s="121">
        <v>101.88809999999999</v>
      </c>
      <c r="G1071" s="121">
        <v>99.914400000000001</v>
      </c>
      <c r="H1071" s="121" t="e">
        <v>#N/A</v>
      </c>
      <c r="I1071" s="121" t="s">
        <v>625</v>
      </c>
      <c r="J1071" s="121" t="s">
        <v>625</v>
      </c>
    </row>
    <row r="1072" spans="1:10">
      <c r="A1072" s="114">
        <v>40949</v>
      </c>
      <c r="B1072" s="121">
        <v>101.43</v>
      </c>
      <c r="C1072" s="121">
        <v>98.704499999999996</v>
      </c>
      <c r="D1072" s="121">
        <v>99.012500000000003</v>
      </c>
      <c r="E1072" s="121" t="s">
        <v>625</v>
      </c>
      <c r="F1072" s="121">
        <v>101.39570000000001</v>
      </c>
      <c r="G1072" s="121">
        <v>100.36660000000001</v>
      </c>
      <c r="H1072" s="121" t="e">
        <v>#N/A</v>
      </c>
      <c r="I1072" s="121" t="s">
        <v>625</v>
      </c>
      <c r="J1072" s="121" t="s">
        <v>625</v>
      </c>
    </row>
    <row r="1073" spans="1:10">
      <c r="A1073" s="114">
        <v>40952</v>
      </c>
      <c r="B1073" s="121">
        <v>101.43</v>
      </c>
      <c r="C1073" s="121">
        <v>98.301500000000004</v>
      </c>
      <c r="D1073" s="121">
        <v>99.012500000000003</v>
      </c>
      <c r="E1073" s="121" t="s">
        <v>625</v>
      </c>
      <c r="F1073" s="121">
        <v>101.5731</v>
      </c>
      <c r="G1073" s="121">
        <v>100.587</v>
      </c>
      <c r="H1073" s="121" t="e">
        <v>#N/A</v>
      </c>
      <c r="I1073" s="121" t="s">
        <v>625</v>
      </c>
      <c r="J1073" s="121" t="s">
        <v>625</v>
      </c>
    </row>
    <row r="1074" spans="1:10">
      <c r="A1074" s="114">
        <v>40953</v>
      </c>
      <c r="B1074" s="121">
        <v>101.43</v>
      </c>
      <c r="C1074" s="121">
        <v>98.302300000000002</v>
      </c>
      <c r="D1074" s="121">
        <v>99.012500000000003</v>
      </c>
      <c r="E1074" s="121" t="s">
        <v>625</v>
      </c>
      <c r="F1074" s="121">
        <v>101.57250000000001</v>
      </c>
      <c r="G1074" s="121">
        <v>100.4675</v>
      </c>
      <c r="H1074" s="121">
        <v>98.11</v>
      </c>
      <c r="I1074" s="121" t="s">
        <v>625</v>
      </c>
      <c r="J1074" s="121" t="s">
        <v>625</v>
      </c>
    </row>
    <row r="1075" spans="1:10">
      <c r="A1075" s="114">
        <v>40954</v>
      </c>
      <c r="B1075" s="121">
        <v>101.43</v>
      </c>
      <c r="C1075" s="121">
        <v>98.278899999999993</v>
      </c>
      <c r="D1075" s="121">
        <v>99.012500000000003</v>
      </c>
      <c r="E1075" s="121" t="s">
        <v>625</v>
      </c>
      <c r="F1075" s="121">
        <v>101.4532</v>
      </c>
      <c r="G1075" s="121">
        <v>100.3853</v>
      </c>
      <c r="H1075" s="121">
        <v>98.1</v>
      </c>
      <c r="I1075" s="121" t="s">
        <v>625</v>
      </c>
      <c r="J1075" s="121" t="s">
        <v>625</v>
      </c>
    </row>
    <row r="1076" spans="1:10">
      <c r="A1076" s="114">
        <v>40955</v>
      </c>
      <c r="B1076" s="121">
        <v>101.43</v>
      </c>
      <c r="C1076" s="121">
        <v>98.303700000000006</v>
      </c>
      <c r="D1076" s="121">
        <v>99.012500000000003</v>
      </c>
      <c r="E1076" s="121" t="s">
        <v>625</v>
      </c>
      <c r="F1076" s="121">
        <v>101.2752</v>
      </c>
      <c r="G1076" s="121">
        <v>100.24160000000001</v>
      </c>
      <c r="H1076" s="121">
        <v>98.03</v>
      </c>
      <c r="I1076" s="121" t="s">
        <v>625</v>
      </c>
      <c r="J1076" s="121" t="s">
        <v>625</v>
      </c>
    </row>
    <row r="1077" spans="1:10">
      <c r="A1077" s="114">
        <v>40956</v>
      </c>
      <c r="B1077" s="121">
        <v>101.43</v>
      </c>
      <c r="C1077" s="121">
        <v>98.319100000000006</v>
      </c>
      <c r="D1077" s="121">
        <v>99.012500000000003</v>
      </c>
      <c r="E1077" s="121" t="s">
        <v>625</v>
      </c>
      <c r="F1077" s="121">
        <v>101.2736</v>
      </c>
      <c r="G1077" s="121">
        <v>100.285</v>
      </c>
      <c r="H1077" s="121">
        <v>98.1</v>
      </c>
      <c r="I1077" s="121" t="s">
        <v>625</v>
      </c>
      <c r="J1077" s="121" t="s">
        <v>625</v>
      </c>
    </row>
    <row r="1078" spans="1:10">
      <c r="A1078" s="114">
        <v>40959</v>
      </c>
      <c r="B1078" s="121">
        <v>101.43</v>
      </c>
      <c r="C1078" s="121">
        <v>98.2072</v>
      </c>
      <c r="D1078" s="121">
        <v>99.005799999999994</v>
      </c>
      <c r="E1078" s="121" t="s">
        <v>625</v>
      </c>
      <c r="F1078" s="121">
        <v>101.2409</v>
      </c>
      <c r="G1078" s="121">
        <v>100.3395</v>
      </c>
      <c r="H1078" s="121">
        <v>98.18</v>
      </c>
      <c r="I1078" s="121" t="s">
        <v>625</v>
      </c>
      <c r="J1078" s="121" t="s">
        <v>625</v>
      </c>
    </row>
    <row r="1079" spans="1:10">
      <c r="A1079" s="114">
        <v>40960</v>
      </c>
      <c r="B1079" s="121">
        <v>101.43</v>
      </c>
      <c r="C1079" s="121">
        <v>98.307400000000001</v>
      </c>
      <c r="D1079" s="121">
        <v>99.006299999999996</v>
      </c>
      <c r="E1079" s="121" t="s">
        <v>625</v>
      </c>
      <c r="F1079" s="121">
        <v>101.25660000000001</v>
      </c>
      <c r="G1079" s="121">
        <v>100.2974</v>
      </c>
      <c r="H1079" s="121">
        <v>98.07</v>
      </c>
      <c r="I1079" s="121">
        <v>100</v>
      </c>
      <c r="J1079" s="121">
        <v>100</v>
      </c>
    </row>
    <row r="1080" spans="1:10">
      <c r="A1080" s="114">
        <v>40961</v>
      </c>
      <c r="B1080" s="121">
        <v>101.43</v>
      </c>
      <c r="C1080" s="121">
        <v>98.3078</v>
      </c>
      <c r="D1080" s="121">
        <v>99.105900000000005</v>
      </c>
      <c r="E1080" s="121" t="s">
        <v>625</v>
      </c>
      <c r="F1080" s="121">
        <v>101.3901</v>
      </c>
      <c r="G1080" s="121">
        <v>100.3241</v>
      </c>
      <c r="H1080" s="121">
        <v>97.94</v>
      </c>
      <c r="I1080" s="121">
        <v>99.817499999999995</v>
      </c>
      <c r="J1080" s="121">
        <v>99.817499999999995</v>
      </c>
    </row>
    <row r="1081" spans="1:10">
      <c r="A1081" s="114">
        <v>40962</v>
      </c>
      <c r="B1081" s="121">
        <v>100.67</v>
      </c>
      <c r="C1081" s="121">
        <v>98.308199999999999</v>
      </c>
      <c r="D1081" s="121">
        <v>99.107299999999995</v>
      </c>
      <c r="E1081" s="121" t="s">
        <v>625</v>
      </c>
      <c r="F1081" s="121">
        <v>101.27679999999999</v>
      </c>
      <c r="G1081" s="121">
        <v>100.3062</v>
      </c>
      <c r="H1081" s="121">
        <v>97.85</v>
      </c>
      <c r="I1081" s="121">
        <v>99.840100000000007</v>
      </c>
      <c r="J1081" s="121">
        <v>99.840100000000007</v>
      </c>
    </row>
    <row r="1082" spans="1:10">
      <c r="A1082" s="114">
        <v>40963</v>
      </c>
      <c r="B1082" s="121">
        <v>100.67</v>
      </c>
      <c r="C1082" s="121">
        <v>98.3202</v>
      </c>
      <c r="D1082" s="121">
        <v>99.115300000000005</v>
      </c>
      <c r="E1082" s="121" t="s">
        <v>625</v>
      </c>
      <c r="F1082" s="121">
        <v>101.2916</v>
      </c>
      <c r="G1082" s="121">
        <v>100.3138</v>
      </c>
      <c r="H1082" s="121">
        <v>97.82</v>
      </c>
      <c r="I1082" s="121">
        <v>99.656199999999998</v>
      </c>
      <c r="J1082" s="121">
        <v>99.656199999999998</v>
      </c>
    </row>
    <row r="1083" spans="1:10">
      <c r="A1083" s="114">
        <v>40966</v>
      </c>
      <c r="B1083" s="121">
        <v>100.67</v>
      </c>
      <c r="C1083" s="121">
        <v>98.302300000000002</v>
      </c>
      <c r="D1083" s="121">
        <v>99.100700000000003</v>
      </c>
      <c r="E1083" s="121" t="s">
        <v>625</v>
      </c>
      <c r="F1083" s="121">
        <v>101.2106</v>
      </c>
      <c r="G1083" s="121">
        <v>100.27549999999999</v>
      </c>
      <c r="H1083" s="121">
        <v>97.84</v>
      </c>
      <c r="I1083" s="121">
        <v>99.677700000000002</v>
      </c>
      <c r="J1083" s="121">
        <v>99.677700000000002</v>
      </c>
    </row>
    <row r="1084" spans="1:10">
      <c r="A1084" s="114">
        <v>40967</v>
      </c>
      <c r="B1084" s="121">
        <v>100.67</v>
      </c>
      <c r="C1084" s="121">
        <v>98.301500000000004</v>
      </c>
      <c r="D1084" s="121">
        <v>99.099800000000002</v>
      </c>
      <c r="E1084" s="121" t="s">
        <v>625</v>
      </c>
      <c r="F1084" s="121">
        <v>101.39619999999999</v>
      </c>
      <c r="G1084" s="121">
        <v>100.3455</v>
      </c>
      <c r="H1084" s="121">
        <v>98.19</v>
      </c>
      <c r="I1084" s="121">
        <v>99.636600000000001</v>
      </c>
      <c r="J1084" s="121">
        <v>99.636600000000001</v>
      </c>
    </row>
    <row r="1085" spans="1:10">
      <c r="A1085" s="114">
        <v>40968</v>
      </c>
      <c r="B1085" s="121">
        <v>100.67</v>
      </c>
      <c r="C1085" s="121">
        <v>98.301199999999994</v>
      </c>
      <c r="D1085" s="121">
        <v>99.099500000000006</v>
      </c>
      <c r="E1085" s="121" t="s">
        <v>625</v>
      </c>
      <c r="F1085" s="121">
        <v>101.2684</v>
      </c>
      <c r="G1085" s="121">
        <v>100.30549999999999</v>
      </c>
      <c r="H1085" s="121">
        <v>97.91</v>
      </c>
      <c r="I1085" s="121">
        <v>99.681799999999996</v>
      </c>
      <c r="J1085" s="121">
        <v>99.681799999999996</v>
      </c>
    </row>
    <row r="1086" spans="1:10">
      <c r="A1086" s="114">
        <v>40969</v>
      </c>
      <c r="B1086" s="121">
        <v>100.67</v>
      </c>
      <c r="C1086" s="121">
        <v>98.300899999999999</v>
      </c>
      <c r="D1086" s="121">
        <v>99.099500000000006</v>
      </c>
      <c r="E1086" s="121" t="s">
        <v>625</v>
      </c>
      <c r="F1086" s="121">
        <v>101.2679</v>
      </c>
      <c r="G1086" s="121">
        <v>100.30970000000001</v>
      </c>
      <c r="H1086" s="121">
        <v>97.91</v>
      </c>
      <c r="I1086" s="121">
        <v>99.625500000000002</v>
      </c>
      <c r="J1086" s="121">
        <v>99.625500000000002</v>
      </c>
    </row>
    <row r="1087" spans="1:10">
      <c r="A1087" s="114">
        <v>40970</v>
      </c>
      <c r="B1087" s="121">
        <v>100.67</v>
      </c>
      <c r="C1087" s="121">
        <v>98.303100000000001</v>
      </c>
      <c r="D1087" s="121">
        <v>99.099500000000006</v>
      </c>
      <c r="E1087" s="121" t="s">
        <v>625</v>
      </c>
      <c r="F1087" s="121">
        <v>101.0611</v>
      </c>
      <c r="G1087" s="121">
        <v>100.3078</v>
      </c>
      <c r="H1087" s="121">
        <v>97.89</v>
      </c>
      <c r="I1087" s="121">
        <v>99.591899999999995</v>
      </c>
      <c r="J1087" s="121">
        <v>99.591899999999995</v>
      </c>
    </row>
    <row r="1088" spans="1:10">
      <c r="A1088" s="114">
        <v>40973</v>
      </c>
      <c r="B1088" s="121">
        <v>100.67</v>
      </c>
      <c r="C1088" s="121">
        <v>98.300700000000006</v>
      </c>
      <c r="D1088" s="121">
        <v>98.929199999999994</v>
      </c>
      <c r="E1088" s="121" t="s">
        <v>625</v>
      </c>
      <c r="F1088" s="121">
        <v>101.09</v>
      </c>
      <c r="G1088" s="121">
        <v>100.3032</v>
      </c>
      <c r="H1088" s="121">
        <v>97.93</v>
      </c>
      <c r="I1088" s="121">
        <v>99.591899999999995</v>
      </c>
      <c r="J1088" s="121">
        <v>99.591899999999995</v>
      </c>
    </row>
    <row r="1089" spans="1:10">
      <c r="A1089" s="114">
        <v>40974</v>
      </c>
      <c r="B1089" s="121">
        <v>100.67</v>
      </c>
      <c r="C1089" s="121">
        <v>98.159800000000004</v>
      </c>
      <c r="D1089" s="121">
        <v>98.929199999999994</v>
      </c>
      <c r="E1089" s="121" t="s">
        <v>625</v>
      </c>
      <c r="F1089" s="121">
        <v>101.236</v>
      </c>
      <c r="G1089" s="121">
        <v>100.18810000000001</v>
      </c>
      <c r="H1089" s="121">
        <v>97.95</v>
      </c>
      <c r="I1089" s="121">
        <v>99.682000000000002</v>
      </c>
      <c r="J1089" s="121">
        <v>99.682000000000002</v>
      </c>
    </row>
    <row r="1090" spans="1:10">
      <c r="A1090" s="114">
        <v>40975</v>
      </c>
      <c r="B1090" s="121">
        <v>100.67</v>
      </c>
      <c r="C1090" s="121">
        <v>98.300399999999996</v>
      </c>
      <c r="D1090" s="121">
        <v>98.929199999999994</v>
      </c>
      <c r="E1090" s="121" t="s">
        <v>625</v>
      </c>
      <c r="F1090" s="121">
        <v>101.3823</v>
      </c>
      <c r="G1090" s="121">
        <v>100.20829999999999</v>
      </c>
      <c r="H1090" s="121">
        <v>98.01</v>
      </c>
      <c r="I1090" s="121">
        <v>99.772000000000006</v>
      </c>
      <c r="J1090" s="121">
        <v>99.772000000000006</v>
      </c>
    </row>
    <row r="1091" spans="1:10">
      <c r="A1091" s="114">
        <v>40976</v>
      </c>
      <c r="B1091" s="121">
        <v>100.67</v>
      </c>
      <c r="C1091" s="121">
        <v>98.300399999999996</v>
      </c>
      <c r="D1091" s="121">
        <v>98.929199999999994</v>
      </c>
      <c r="E1091" s="121" t="s">
        <v>625</v>
      </c>
      <c r="F1091" s="121">
        <v>101.30110000000001</v>
      </c>
      <c r="G1091" s="121">
        <v>100.239</v>
      </c>
      <c r="H1091" s="121">
        <v>98.03</v>
      </c>
      <c r="I1091" s="121">
        <v>99.794499999999999</v>
      </c>
      <c r="J1091" s="121">
        <v>99.794499999999999</v>
      </c>
    </row>
    <row r="1092" spans="1:10">
      <c r="A1092" s="114">
        <v>40977</v>
      </c>
      <c r="B1092" s="121">
        <v>100.67</v>
      </c>
      <c r="C1092" s="121">
        <v>98.301100000000005</v>
      </c>
      <c r="D1092" s="121">
        <v>98.929199999999994</v>
      </c>
      <c r="E1092" s="121" t="s">
        <v>625</v>
      </c>
      <c r="F1092" s="121">
        <v>101.2963</v>
      </c>
      <c r="G1092" s="121">
        <v>100.1897</v>
      </c>
      <c r="H1092" s="121">
        <v>98.11</v>
      </c>
      <c r="I1092" s="121">
        <v>99.861900000000006</v>
      </c>
      <c r="J1092" s="121">
        <v>99.861900000000006</v>
      </c>
    </row>
    <row r="1093" spans="1:10">
      <c r="A1093" s="114">
        <v>40980</v>
      </c>
      <c r="B1093" s="121">
        <v>100.67</v>
      </c>
      <c r="C1093" s="121">
        <v>98.300399999999996</v>
      </c>
      <c r="D1093" s="121">
        <v>98.929199999999994</v>
      </c>
      <c r="E1093" s="121">
        <v>100</v>
      </c>
      <c r="F1093" s="121">
        <v>101.4675</v>
      </c>
      <c r="G1093" s="121">
        <v>100.1494</v>
      </c>
      <c r="H1093" s="121">
        <v>98.08</v>
      </c>
      <c r="I1093" s="121">
        <v>99.974299999999999</v>
      </c>
      <c r="J1093" s="121">
        <v>99.974299999999999</v>
      </c>
    </row>
    <row r="1094" spans="1:10">
      <c r="A1094" s="114">
        <v>40981</v>
      </c>
      <c r="B1094" s="121">
        <v>100.67</v>
      </c>
      <c r="C1094" s="121">
        <v>98.300399999999996</v>
      </c>
      <c r="D1094" s="121">
        <v>98.929199999999994</v>
      </c>
      <c r="E1094" s="121">
        <v>100</v>
      </c>
      <c r="F1094" s="121">
        <v>101.4083</v>
      </c>
      <c r="G1094" s="121">
        <v>100.1807</v>
      </c>
      <c r="H1094" s="121">
        <v>97.94</v>
      </c>
      <c r="I1094" s="121">
        <v>99.906700000000001</v>
      </c>
      <c r="J1094" s="121">
        <v>99.906700000000001</v>
      </c>
    </row>
    <row r="1095" spans="1:10">
      <c r="A1095" s="114">
        <v>40982</v>
      </c>
      <c r="B1095" s="121">
        <v>100.67</v>
      </c>
      <c r="C1095" s="121">
        <v>98.300399999999996</v>
      </c>
      <c r="D1095" s="121">
        <v>98.929199999999994</v>
      </c>
      <c r="E1095" s="121">
        <v>99.754499999999993</v>
      </c>
      <c r="F1095" s="121">
        <v>103.05</v>
      </c>
      <c r="G1095" s="121">
        <v>100.20610000000001</v>
      </c>
      <c r="H1095" s="121">
        <v>97.91</v>
      </c>
      <c r="I1095" s="121">
        <v>99.861800000000002</v>
      </c>
      <c r="J1095" s="121">
        <v>99.861800000000002</v>
      </c>
    </row>
    <row r="1096" spans="1:10">
      <c r="A1096" s="114">
        <v>40983</v>
      </c>
      <c r="B1096" s="121">
        <v>100.67</v>
      </c>
      <c r="C1096" s="121">
        <v>98.3005</v>
      </c>
      <c r="D1096" s="121">
        <v>98.929199999999994</v>
      </c>
      <c r="E1096" s="121">
        <v>99.722099999999998</v>
      </c>
      <c r="F1096" s="121">
        <v>101.298</v>
      </c>
      <c r="G1096" s="121">
        <v>100.1651</v>
      </c>
      <c r="H1096" s="121">
        <v>97.91</v>
      </c>
      <c r="I1096" s="121">
        <v>99.794399999999996</v>
      </c>
      <c r="J1096" s="121">
        <v>99.794399999999996</v>
      </c>
    </row>
    <row r="1097" spans="1:10">
      <c r="A1097" s="114">
        <v>40984</v>
      </c>
      <c r="B1097" s="121">
        <v>100.67</v>
      </c>
      <c r="C1097" s="121">
        <v>98.3018</v>
      </c>
      <c r="D1097" s="121">
        <v>99.034800000000004</v>
      </c>
      <c r="E1097" s="121">
        <v>99.784700000000001</v>
      </c>
      <c r="F1097" s="121">
        <v>101.31780000000001</v>
      </c>
      <c r="G1097" s="121">
        <v>100.16419999999999</v>
      </c>
      <c r="H1097" s="121">
        <v>97.88</v>
      </c>
      <c r="I1097" s="121">
        <v>99.794399999999996</v>
      </c>
      <c r="J1097" s="121">
        <v>99.794399999999996</v>
      </c>
    </row>
    <row r="1098" spans="1:10">
      <c r="A1098" s="114">
        <v>40987</v>
      </c>
      <c r="B1098" s="121">
        <v>100.67</v>
      </c>
      <c r="C1098" s="121">
        <v>98.300600000000003</v>
      </c>
      <c r="D1098" s="121">
        <v>99.034800000000004</v>
      </c>
      <c r="E1098" s="121">
        <v>99.815100000000001</v>
      </c>
      <c r="F1098" s="121">
        <v>101.2589</v>
      </c>
      <c r="G1098" s="121">
        <v>100.1117</v>
      </c>
      <c r="H1098" s="121" t="s">
        <v>625</v>
      </c>
      <c r="I1098" s="121">
        <v>99.816800000000001</v>
      </c>
      <c r="J1098" s="121">
        <v>99.816800000000001</v>
      </c>
    </row>
    <row r="1099" spans="1:10">
      <c r="A1099" s="114">
        <v>40988</v>
      </c>
      <c r="B1099" s="121">
        <v>100.67</v>
      </c>
      <c r="C1099" s="121">
        <v>98.300899999999999</v>
      </c>
      <c r="D1099" s="121">
        <v>99.034800000000004</v>
      </c>
      <c r="E1099" s="121">
        <v>100</v>
      </c>
      <c r="F1099" s="121">
        <v>101.22920000000001</v>
      </c>
      <c r="G1099" s="121">
        <v>100.16070000000001</v>
      </c>
      <c r="H1099" s="121">
        <v>97.89</v>
      </c>
      <c r="I1099" s="121">
        <v>99.682599999999994</v>
      </c>
      <c r="J1099" s="121">
        <v>99.682599999999994</v>
      </c>
    </row>
    <row r="1100" spans="1:10">
      <c r="A1100" s="114">
        <v>40989</v>
      </c>
      <c r="B1100" s="121">
        <v>100.67</v>
      </c>
      <c r="C1100" s="121">
        <v>98.481099999999998</v>
      </c>
      <c r="D1100" s="121">
        <v>99.034800000000004</v>
      </c>
      <c r="E1100" s="121">
        <v>99.777600000000007</v>
      </c>
      <c r="F1100" s="121">
        <v>101.1995</v>
      </c>
      <c r="G1100" s="121">
        <v>100.1079</v>
      </c>
      <c r="H1100" s="121">
        <v>97.88</v>
      </c>
      <c r="I1100" s="121">
        <v>99.735299999999995</v>
      </c>
      <c r="J1100" s="121">
        <v>99.735299999999995</v>
      </c>
    </row>
    <row r="1101" spans="1:10">
      <c r="A1101" s="114">
        <v>40990</v>
      </c>
      <c r="B1101" s="121">
        <v>100.67</v>
      </c>
      <c r="C1101" s="121">
        <v>98.301500000000004</v>
      </c>
      <c r="D1101" s="121">
        <v>99.034800000000004</v>
      </c>
      <c r="E1101" s="121">
        <v>100</v>
      </c>
      <c r="F1101" s="121">
        <v>101.2282</v>
      </c>
      <c r="G1101" s="121">
        <v>100.2208</v>
      </c>
      <c r="H1101" s="121">
        <v>97.91</v>
      </c>
      <c r="I1101" s="121">
        <v>99.693799999999996</v>
      </c>
      <c r="J1101" s="121">
        <v>99.693799999999996</v>
      </c>
    </row>
    <row r="1102" spans="1:10">
      <c r="A1102" s="114">
        <v>40991</v>
      </c>
      <c r="B1102" s="121">
        <v>100.67</v>
      </c>
      <c r="C1102" s="121">
        <v>98.304500000000004</v>
      </c>
      <c r="D1102" s="121">
        <v>99.034800000000004</v>
      </c>
      <c r="E1102" s="121">
        <v>99.905900000000003</v>
      </c>
      <c r="F1102" s="121">
        <v>101.3725</v>
      </c>
      <c r="G1102" s="121">
        <v>100.2807</v>
      </c>
      <c r="H1102" s="121">
        <v>97.91</v>
      </c>
      <c r="I1102" s="121">
        <v>99.805400000000006</v>
      </c>
      <c r="J1102" s="121">
        <v>99.805400000000006</v>
      </c>
    </row>
    <row r="1103" spans="1:10">
      <c r="A1103" s="114">
        <v>40994</v>
      </c>
      <c r="B1103" s="121">
        <v>100.67</v>
      </c>
      <c r="C1103" s="121">
        <v>98.537899999999993</v>
      </c>
      <c r="D1103" s="121">
        <v>99.034800000000004</v>
      </c>
      <c r="E1103" s="121">
        <v>99.905799999999999</v>
      </c>
      <c r="F1103" s="121">
        <v>101.4012</v>
      </c>
      <c r="G1103" s="121">
        <v>100.3823</v>
      </c>
      <c r="H1103" s="121">
        <v>97.91</v>
      </c>
      <c r="I1103" s="121">
        <v>99.905900000000003</v>
      </c>
      <c r="J1103" s="121">
        <v>99.905900000000003</v>
      </c>
    </row>
    <row r="1104" spans="1:10">
      <c r="A1104" s="114">
        <v>40995</v>
      </c>
      <c r="B1104" s="121">
        <v>100.67</v>
      </c>
      <c r="C1104" s="121">
        <v>98.537599999999998</v>
      </c>
      <c r="D1104" s="121">
        <v>99.034800000000004</v>
      </c>
      <c r="E1104" s="121">
        <v>99.905699999999996</v>
      </c>
      <c r="F1104" s="121">
        <v>101.3115</v>
      </c>
      <c r="G1104" s="121">
        <v>100.32129999999999</v>
      </c>
      <c r="H1104" s="121">
        <v>98.01</v>
      </c>
      <c r="I1104" s="121">
        <v>99.905900000000003</v>
      </c>
      <c r="J1104" s="121">
        <v>99.905900000000003</v>
      </c>
    </row>
    <row r="1105" spans="1:10">
      <c r="A1105" s="114">
        <v>40996</v>
      </c>
      <c r="B1105" s="121">
        <v>100.67</v>
      </c>
      <c r="C1105" s="121">
        <v>98.537800000000004</v>
      </c>
      <c r="D1105" s="121">
        <v>99.034800000000004</v>
      </c>
      <c r="E1105" s="121">
        <v>99.936000000000007</v>
      </c>
      <c r="F1105" s="121">
        <v>101.3126</v>
      </c>
      <c r="G1105" s="121">
        <v>100.25</v>
      </c>
      <c r="H1105" s="121">
        <v>98.02</v>
      </c>
      <c r="I1105" s="121">
        <v>99.995099999999994</v>
      </c>
      <c r="J1105" s="121">
        <v>99.995099999999994</v>
      </c>
    </row>
    <row r="1106" spans="1:10">
      <c r="A1106" s="114">
        <v>40997</v>
      </c>
      <c r="B1106" s="121">
        <v>100.67</v>
      </c>
      <c r="C1106" s="121">
        <v>98.301199999999994</v>
      </c>
      <c r="D1106" s="121">
        <v>99.034800000000004</v>
      </c>
      <c r="E1106" s="121">
        <v>99.864400000000003</v>
      </c>
      <c r="F1106" s="121">
        <v>101.3043</v>
      </c>
      <c r="G1106" s="121" t="s">
        <v>625</v>
      </c>
      <c r="H1106" s="121">
        <v>98.04</v>
      </c>
      <c r="I1106" s="121">
        <v>100.01730000000001</v>
      </c>
      <c r="J1106" s="121">
        <v>100.01730000000001</v>
      </c>
    </row>
    <row r="1107" spans="1:10">
      <c r="A1107" s="114">
        <v>40998</v>
      </c>
      <c r="B1107" s="121">
        <v>100.67</v>
      </c>
      <c r="C1107" s="121">
        <v>98.301400000000001</v>
      </c>
      <c r="D1107" s="121">
        <v>99.034800000000004</v>
      </c>
      <c r="E1107" s="121">
        <v>99.998400000000004</v>
      </c>
      <c r="F1107" s="121">
        <v>101.3022</v>
      </c>
      <c r="G1107" s="121" t="s">
        <v>625</v>
      </c>
      <c r="H1107" s="121">
        <v>98.06</v>
      </c>
      <c r="I1107" s="121">
        <v>100.0842</v>
      </c>
      <c r="J1107" s="121">
        <v>100.0842</v>
      </c>
    </row>
    <row r="1108" spans="1:10">
      <c r="A1108" s="114">
        <v>40999</v>
      </c>
      <c r="B1108" s="121">
        <v>100.67</v>
      </c>
      <c r="C1108" s="121">
        <v>98.301400000000001</v>
      </c>
      <c r="D1108" s="121">
        <v>99.034800000000004</v>
      </c>
      <c r="E1108" s="121">
        <v>99.998400000000004</v>
      </c>
      <c r="F1108" s="121">
        <v>101.30029999999999</v>
      </c>
      <c r="G1108" s="121" t="s">
        <v>625</v>
      </c>
      <c r="H1108" s="121" t="e">
        <v>#N/A</v>
      </c>
      <c r="I1108" s="121">
        <v>99.389300000000006</v>
      </c>
      <c r="J1108" s="121">
        <v>99.389300000000006</v>
      </c>
    </row>
    <row r="1109" spans="1:10">
      <c r="A1109" s="114">
        <v>41000</v>
      </c>
      <c r="B1109" s="121">
        <v>100.67</v>
      </c>
      <c r="C1109" s="121">
        <v>98.305400000000006</v>
      </c>
      <c r="D1109" s="121">
        <v>99.034800000000004</v>
      </c>
      <c r="E1109" s="121">
        <v>99.993300000000005</v>
      </c>
      <c r="F1109" s="121">
        <v>101.31180000000001</v>
      </c>
      <c r="G1109" s="121" t="s">
        <v>625</v>
      </c>
      <c r="H1109" s="121" t="e">
        <v>#N/A</v>
      </c>
      <c r="I1109" s="121">
        <v>99.387699999999995</v>
      </c>
      <c r="J1109" s="121">
        <v>99.387699999999995</v>
      </c>
    </row>
    <row r="1110" spans="1:10">
      <c r="A1110" s="114">
        <v>41004</v>
      </c>
      <c r="B1110" s="121">
        <v>100.67</v>
      </c>
      <c r="C1110" s="121">
        <v>98.669899999999998</v>
      </c>
      <c r="D1110" s="121">
        <v>99.034800000000004</v>
      </c>
      <c r="E1110" s="121">
        <v>99.999300000000005</v>
      </c>
      <c r="F1110" s="121">
        <v>101.31180000000001</v>
      </c>
      <c r="G1110" s="121" t="s">
        <v>625</v>
      </c>
      <c r="H1110" s="121">
        <v>98.03</v>
      </c>
      <c r="I1110" s="121">
        <v>100.01649999999999</v>
      </c>
      <c r="J1110" s="121">
        <v>100.01649999999999</v>
      </c>
    </row>
    <row r="1111" spans="1:10">
      <c r="A1111" s="114">
        <v>41005</v>
      </c>
      <c r="B1111" s="121">
        <v>100.67</v>
      </c>
      <c r="C1111" s="121">
        <v>98.308899999999994</v>
      </c>
      <c r="D1111" s="121">
        <v>99.034800000000004</v>
      </c>
      <c r="E1111" s="121">
        <v>99.934799999999996</v>
      </c>
      <c r="F1111" s="121">
        <v>101.31180000000001</v>
      </c>
      <c r="G1111" s="121" t="s">
        <v>625</v>
      </c>
      <c r="H1111" s="121">
        <v>98.04</v>
      </c>
      <c r="I1111" s="121">
        <v>100.0162</v>
      </c>
      <c r="J1111" s="121">
        <v>100.0162</v>
      </c>
    </row>
    <row r="1112" spans="1:10">
      <c r="A1112" s="114">
        <v>41008</v>
      </c>
      <c r="B1112" s="121">
        <v>100.67</v>
      </c>
      <c r="C1112" s="121">
        <v>98.302000000000007</v>
      </c>
      <c r="D1112" s="121">
        <v>99.034800000000004</v>
      </c>
      <c r="E1112" s="121">
        <v>99.998999999999995</v>
      </c>
      <c r="F1112" s="121">
        <v>101.3066</v>
      </c>
      <c r="G1112" s="121">
        <v>100.32080000000001</v>
      </c>
      <c r="H1112" s="121">
        <v>97.99</v>
      </c>
      <c r="I1112" s="121">
        <v>100.0162</v>
      </c>
      <c r="J1112" s="121">
        <v>100.0162</v>
      </c>
    </row>
    <row r="1113" spans="1:10">
      <c r="A1113" s="114">
        <v>41009</v>
      </c>
      <c r="B1113" s="121">
        <v>100.67</v>
      </c>
      <c r="C1113" s="121">
        <v>98.302300000000002</v>
      </c>
      <c r="D1113" s="121">
        <v>99.034800000000004</v>
      </c>
      <c r="E1113" s="121">
        <v>99.934600000000003</v>
      </c>
      <c r="F1113" s="121">
        <v>101.3351</v>
      </c>
      <c r="G1113" s="121">
        <v>100.2803</v>
      </c>
      <c r="H1113" s="121">
        <v>97.96</v>
      </c>
      <c r="I1113" s="121">
        <v>100.1048</v>
      </c>
      <c r="J1113" s="121">
        <v>100.1048</v>
      </c>
    </row>
    <row r="1114" spans="1:10">
      <c r="A1114" s="114">
        <v>41010</v>
      </c>
      <c r="B1114" s="121">
        <v>100.67</v>
      </c>
      <c r="C1114" s="121">
        <v>98.302300000000002</v>
      </c>
      <c r="D1114" s="121">
        <v>99.034800000000004</v>
      </c>
      <c r="E1114" s="121">
        <v>99.934600000000003</v>
      </c>
      <c r="F1114" s="121">
        <v>101.4216</v>
      </c>
      <c r="G1114" s="121">
        <v>100.3613</v>
      </c>
      <c r="H1114" s="121">
        <v>97.8</v>
      </c>
      <c r="I1114" s="121">
        <v>100.0834</v>
      </c>
      <c r="J1114" s="121">
        <v>100.0834</v>
      </c>
    </row>
    <row r="1115" spans="1:10">
      <c r="A1115" s="114">
        <v>41011</v>
      </c>
      <c r="B1115" s="121">
        <v>100.67</v>
      </c>
      <c r="C1115" s="121">
        <v>98.302499999999995</v>
      </c>
      <c r="D1115" s="121">
        <v>99.034800000000004</v>
      </c>
      <c r="E1115" s="121">
        <v>99.934399999999997</v>
      </c>
      <c r="F1115" s="121">
        <v>101.2761</v>
      </c>
      <c r="G1115" s="121">
        <v>100.31059999999999</v>
      </c>
      <c r="H1115" s="121">
        <v>97.93</v>
      </c>
      <c r="I1115" s="121">
        <v>100.038</v>
      </c>
      <c r="J1115" s="121">
        <v>100.038</v>
      </c>
    </row>
    <row r="1116" spans="1:10">
      <c r="A1116" s="114">
        <v>41012</v>
      </c>
      <c r="B1116" s="121">
        <v>100.67</v>
      </c>
      <c r="C1116" s="121">
        <v>98.310900000000004</v>
      </c>
      <c r="D1116" s="121">
        <v>99.034800000000004</v>
      </c>
      <c r="E1116" s="121">
        <v>99.908100000000005</v>
      </c>
      <c r="F1116" s="121">
        <v>101.36150000000001</v>
      </c>
      <c r="G1116" s="121">
        <v>100.3207</v>
      </c>
      <c r="H1116" s="121">
        <v>97.88</v>
      </c>
      <c r="I1116" s="121">
        <v>100.0907</v>
      </c>
      <c r="J1116" s="121">
        <v>100.0907</v>
      </c>
    </row>
    <row r="1117" spans="1:10">
      <c r="A1117" s="114">
        <v>41015</v>
      </c>
      <c r="B1117" s="121">
        <v>100.67</v>
      </c>
      <c r="C1117" s="121">
        <v>98.699600000000004</v>
      </c>
      <c r="D1117" s="121">
        <v>99.034800000000004</v>
      </c>
      <c r="E1117" s="121">
        <v>99.994399999999999</v>
      </c>
      <c r="F1117" s="121">
        <v>101.3899</v>
      </c>
      <c r="G1117" s="121">
        <v>100.3207</v>
      </c>
      <c r="H1117" s="121">
        <v>97.88</v>
      </c>
      <c r="I1117" s="121">
        <v>100.09229999999999</v>
      </c>
      <c r="J1117" s="121">
        <v>100.09229999999999</v>
      </c>
    </row>
    <row r="1118" spans="1:10">
      <c r="A1118" s="114">
        <v>41016</v>
      </c>
      <c r="B1118" s="121">
        <v>100.67</v>
      </c>
      <c r="C1118" s="121">
        <v>98.302300000000002</v>
      </c>
      <c r="D1118" s="121">
        <v>99.034800000000004</v>
      </c>
      <c r="E1118" s="121">
        <v>99.873599999999996</v>
      </c>
      <c r="F1118" s="121">
        <v>101.3899</v>
      </c>
      <c r="G1118" s="121">
        <v>100.4015</v>
      </c>
      <c r="H1118" s="121">
        <v>97.83</v>
      </c>
      <c r="I1118" s="121">
        <v>100.09310000000001</v>
      </c>
      <c r="J1118" s="121">
        <v>100.09310000000001</v>
      </c>
    </row>
    <row r="1119" spans="1:10">
      <c r="A1119" s="114">
        <v>41017</v>
      </c>
      <c r="B1119" s="121">
        <v>100.67</v>
      </c>
      <c r="C1119" s="121">
        <v>98.662400000000005</v>
      </c>
      <c r="D1119" s="121">
        <v>99.034800000000004</v>
      </c>
      <c r="E1119" s="121">
        <v>99.903499999999994</v>
      </c>
      <c r="F1119" s="121">
        <v>101.2732</v>
      </c>
      <c r="G1119" s="121">
        <v>100.2516</v>
      </c>
      <c r="H1119" s="121">
        <v>97.77</v>
      </c>
      <c r="I1119" s="121">
        <v>99.860699999999994</v>
      </c>
      <c r="J1119" s="121">
        <v>99.860699999999994</v>
      </c>
    </row>
    <row r="1120" spans="1:10">
      <c r="A1120" s="114">
        <v>41018</v>
      </c>
      <c r="B1120" s="121">
        <v>100.67</v>
      </c>
      <c r="C1120" s="121">
        <v>98.662999999999997</v>
      </c>
      <c r="D1120" s="121">
        <v>99.034800000000004</v>
      </c>
      <c r="E1120" s="121">
        <v>99.919300000000007</v>
      </c>
      <c r="F1120" s="121">
        <v>101.4046</v>
      </c>
      <c r="G1120" s="121" t="s">
        <v>625</v>
      </c>
      <c r="H1120" s="121">
        <v>97.83</v>
      </c>
      <c r="I1120" s="121">
        <v>99.958299999999994</v>
      </c>
      <c r="J1120" s="121">
        <v>99.958299999999994</v>
      </c>
    </row>
    <row r="1121" spans="1:10">
      <c r="A1121" s="114">
        <v>41019</v>
      </c>
      <c r="B1121" s="121">
        <v>100.67</v>
      </c>
      <c r="C1121" s="121">
        <v>98.670299999999997</v>
      </c>
      <c r="D1121" s="121">
        <v>99.034800000000004</v>
      </c>
      <c r="E1121" s="121">
        <v>99.8767</v>
      </c>
      <c r="F1121" s="121">
        <v>101.38679999999999</v>
      </c>
      <c r="G1121" s="121">
        <v>100.26</v>
      </c>
      <c r="H1121" s="121">
        <v>97.8</v>
      </c>
      <c r="I1121" s="121">
        <v>99.949100000000001</v>
      </c>
      <c r="J1121" s="121">
        <v>99.949100000000001</v>
      </c>
    </row>
    <row r="1122" spans="1:10">
      <c r="A1122" s="114">
        <v>41022</v>
      </c>
      <c r="B1122" s="121">
        <v>100.67</v>
      </c>
      <c r="C1122" s="121">
        <v>98.149299999999997</v>
      </c>
      <c r="D1122" s="121">
        <v>99.034800000000004</v>
      </c>
      <c r="E1122" s="121">
        <v>99.933300000000003</v>
      </c>
      <c r="F1122" s="121">
        <v>101.32850000000001</v>
      </c>
      <c r="G1122" s="121">
        <v>100.28019999999999</v>
      </c>
      <c r="H1122" s="121">
        <v>97.82</v>
      </c>
      <c r="I1122" s="121">
        <v>99.966200000000001</v>
      </c>
      <c r="J1122" s="121">
        <v>99.966200000000001</v>
      </c>
    </row>
    <row r="1123" spans="1:10">
      <c r="A1123" s="114">
        <v>41023</v>
      </c>
      <c r="B1123" s="121">
        <v>100.67</v>
      </c>
      <c r="C1123" s="121">
        <v>98.302999999999997</v>
      </c>
      <c r="D1123" s="121">
        <v>99.034800000000004</v>
      </c>
      <c r="E1123" s="121">
        <v>99.993499999999997</v>
      </c>
      <c r="F1123" s="121">
        <v>101.3857</v>
      </c>
      <c r="G1123" s="121">
        <v>100.3138</v>
      </c>
      <c r="H1123" s="121">
        <v>97.86</v>
      </c>
      <c r="I1123" s="121">
        <v>99.964799999999997</v>
      </c>
      <c r="J1123" s="121">
        <v>99.964799999999997</v>
      </c>
    </row>
    <row r="1124" spans="1:10">
      <c r="A1124" s="114">
        <v>41024</v>
      </c>
      <c r="B1124" s="121">
        <v>100.67</v>
      </c>
      <c r="C1124" s="121">
        <v>98.303600000000003</v>
      </c>
      <c r="D1124" s="121">
        <v>99.034800000000004</v>
      </c>
      <c r="E1124" s="121">
        <v>99.902900000000002</v>
      </c>
      <c r="F1124" s="121">
        <v>101.2987</v>
      </c>
      <c r="G1124" s="121" t="s">
        <v>625</v>
      </c>
      <c r="H1124" s="121">
        <v>97.88</v>
      </c>
      <c r="I1124" s="121">
        <v>99.970500000000001</v>
      </c>
      <c r="J1124" s="121">
        <v>99.970500000000001</v>
      </c>
    </row>
    <row r="1125" spans="1:10">
      <c r="A1125" s="114">
        <v>41025</v>
      </c>
      <c r="B1125" s="121">
        <v>100.67</v>
      </c>
      <c r="C1125" s="121">
        <v>98.3035</v>
      </c>
      <c r="D1125" s="121">
        <v>99.034800000000004</v>
      </c>
      <c r="E1125" s="121">
        <v>99.902900000000002</v>
      </c>
      <c r="F1125" s="121">
        <v>101.3847</v>
      </c>
      <c r="G1125" s="121">
        <v>100.33369999999999</v>
      </c>
      <c r="H1125" s="121">
        <v>97.87</v>
      </c>
      <c r="I1125" s="121">
        <v>99.6815</v>
      </c>
      <c r="J1125" s="121">
        <v>99.6815</v>
      </c>
    </row>
    <row r="1126" spans="1:10">
      <c r="A1126" s="114">
        <v>41026</v>
      </c>
      <c r="B1126" s="121">
        <v>100.67</v>
      </c>
      <c r="C1126" s="121">
        <v>98.695899999999995</v>
      </c>
      <c r="D1126" s="121">
        <v>99.034800000000004</v>
      </c>
      <c r="E1126" s="121">
        <v>99.962999999999994</v>
      </c>
      <c r="F1126" s="121">
        <v>101.3847</v>
      </c>
      <c r="G1126" s="121">
        <v>100.3205</v>
      </c>
      <c r="H1126" s="121">
        <v>97.88</v>
      </c>
      <c r="I1126" s="121">
        <v>99.6815</v>
      </c>
      <c r="J1126" s="121">
        <v>99.6815</v>
      </c>
    </row>
    <row r="1127" spans="1:10">
      <c r="A1127" s="114">
        <v>41027</v>
      </c>
      <c r="B1127" s="121">
        <v>100.67</v>
      </c>
      <c r="C1127" s="121">
        <v>98.6999</v>
      </c>
      <c r="D1127" s="121">
        <v>99.034800000000004</v>
      </c>
      <c r="E1127" s="121">
        <v>99.962999999999994</v>
      </c>
      <c r="F1127" s="121">
        <v>101.3847</v>
      </c>
      <c r="G1127" s="121" t="s">
        <v>625</v>
      </c>
      <c r="H1127" s="121" t="e">
        <v>#N/A</v>
      </c>
      <c r="I1127" s="121">
        <v>99.6815</v>
      </c>
      <c r="J1127" s="121">
        <v>99.6815</v>
      </c>
    </row>
    <row r="1128" spans="1:10">
      <c r="A1128" s="114">
        <v>41031</v>
      </c>
      <c r="B1128" s="121">
        <v>100.67</v>
      </c>
      <c r="C1128" s="121">
        <v>98.207300000000004</v>
      </c>
      <c r="D1128" s="121">
        <v>99.034800000000004</v>
      </c>
      <c r="E1128" s="121">
        <v>100.0528</v>
      </c>
      <c r="F1128" s="121">
        <v>101.2037</v>
      </c>
      <c r="G1128" s="121" t="s">
        <v>625</v>
      </c>
      <c r="H1128" s="121">
        <v>97.88</v>
      </c>
      <c r="I1128" s="121">
        <v>100.03579999999999</v>
      </c>
      <c r="J1128" s="121">
        <v>100.03579999999999</v>
      </c>
    </row>
    <row r="1129" spans="1:10">
      <c r="A1129" s="114">
        <v>41032</v>
      </c>
      <c r="B1129" s="121">
        <v>100.67</v>
      </c>
      <c r="C1129" s="121">
        <v>98.633099999999999</v>
      </c>
      <c r="D1129" s="121">
        <v>99.034800000000004</v>
      </c>
      <c r="E1129" s="121">
        <v>100.0528</v>
      </c>
      <c r="F1129" s="121">
        <v>101.206</v>
      </c>
      <c r="G1129" s="121">
        <v>100.36069999999999</v>
      </c>
      <c r="H1129" s="121">
        <v>97.9</v>
      </c>
      <c r="I1129" s="121">
        <v>99.97</v>
      </c>
      <c r="J1129" s="121">
        <v>99.97</v>
      </c>
    </row>
    <row r="1130" spans="1:10">
      <c r="A1130" s="114">
        <v>41033</v>
      </c>
      <c r="B1130" s="121">
        <v>100.67</v>
      </c>
      <c r="C1130" s="121">
        <v>98.637500000000003</v>
      </c>
      <c r="D1130" s="121">
        <v>99.034800000000004</v>
      </c>
      <c r="E1130" s="121">
        <v>99.932100000000005</v>
      </c>
      <c r="F1130" s="121">
        <v>101.2067</v>
      </c>
      <c r="G1130" s="121">
        <v>100.3492</v>
      </c>
      <c r="H1130" s="121">
        <v>97.91</v>
      </c>
      <c r="I1130" s="121">
        <v>99.969899999999996</v>
      </c>
      <c r="J1130" s="121">
        <v>99.969899999999996</v>
      </c>
    </row>
    <row r="1131" spans="1:10">
      <c r="A1131" s="114">
        <v>41036</v>
      </c>
      <c r="B1131" s="121">
        <v>100.67</v>
      </c>
      <c r="C1131" s="121">
        <v>98.571200000000005</v>
      </c>
      <c r="D1131" s="121">
        <v>99.034800000000004</v>
      </c>
      <c r="E1131" s="121">
        <v>99.902000000000001</v>
      </c>
      <c r="F1131" s="121">
        <v>101.20910000000001</v>
      </c>
      <c r="G1131" s="121">
        <v>100.3365</v>
      </c>
      <c r="H1131" s="121" t="s">
        <v>625</v>
      </c>
      <c r="I1131" s="121">
        <v>99.9465</v>
      </c>
      <c r="J1131" s="121">
        <v>99.9465</v>
      </c>
    </row>
    <row r="1132" spans="1:10">
      <c r="A1132" s="114">
        <v>41037</v>
      </c>
      <c r="B1132" s="121">
        <v>100.67</v>
      </c>
      <c r="C1132" s="121">
        <v>98.569800000000001</v>
      </c>
      <c r="D1132" s="121">
        <v>99.034800000000004</v>
      </c>
      <c r="E1132" s="121">
        <v>99.75</v>
      </c>
      <c r="F1132" s="121">
        <v>101.3498</v>
      </c>
      <c r="G1132" s="121" t="s">
        <v>625</v>
      </c>
      <c r="H1132" s="121">
        <v>97.94</v>
      </c>
      <c r="I1132" s="121">
        <v>99.969700000000003</v>
      </c>
      <c r="J1132" s="121">
        <v>99.969700000000003</v>
      </c>
    </row>
    <row r="1133" spans="1:10">
      <c r="A1133" s="114">
        <v>41038</v>
      </c>
      <c r="B1133" s="121">
        <v>100.67</v>
      </c>
      <c r="C1133" s="121">
        <v>98.569699999999997</v>
      </c>
      <c r="D1133" s="121">
        <v>99.034800000000004</v>
      </c>
      <c r="E1133" s="121">
        <v>99.75</v>
      </c>
      <c r="F1133" s="121">
        <v>101.378</v>
      </c>
      <c r="G1133" s="121">
        <v>100.3768</v>
      </c>
      <c r="H1133" s="121">
        <v>97.98</v>
      </c>
      <c r="I1133" s="121">
        <v>100.00239999999999</v>
      </c>
      <c r="J1133" s="121">
        <v>100.00239999999999</v>
      </c>
    </row>
    <row r="1134" spans="1:10">
      <c r="A1134" s="114">
        <v>41039</v>
      </c>
      <c r="B1134" s="121">
        <v>100.67</v>
      </c>
      <c r="C1134" s="121">
        <v>98.569599999999994</v>
      </c>
      <c r="D1134" s="121">
        <v>99.034800000000004</v>
      </c>
      <c r="E1134" s="121">
        <v>100.0518</v>
      </c>
      <c r="F1134" s="121">
        <v>101.4062</v>
      </c>
      <c r="G1134" s="121">
        <v>100.36060000000001</v>
      </c>
      <c r="H1134" s="121">
        <v>98.04</v>
      </c>
      <c r="I1134" s="121">
        <v>100.0788</v>
      </c>
      <c r="J1134" s="121">
        <v>100.0788</v>
      </c>
    </row>
    <row r="1135" spans="1:10">
      <c r="A1135" s="114">
        <v>41040</v>
      </c>
      <c r="B1135" s="121">
        <v>100.67</v>
      </c>
      <c r="C1135" s="121">
        <v>98.570099999999996</v>
      </c>
      <c r="D1135" s="121">
        <v>99.034800000000004</v>
      </c>
      <c r="E1135" s="121">
        <v>100.29170000000001</v>
      </c>
      <c r="F1135" s="121">
        <v>101.6917</v>
      </c>
      <c r="G1135" s="121">
        <v>100.5692</v>
      </c>
      <c r="H1135" s="121">
        <v>98.19</v>
      </c>
      <c r="I1135" s="121">
        <v>100.4284</v>
      </c>
      <c r="J1135" s="121">
        <v>100.4284</v>
      </c>
    </row>
    <row r="1136" spans="1:10">
      <c r="A1136" s="114">
        <v>41043</v>
      </c>
      <c r="B1136" s="121">
        <v>100.67</v>
      </c>
      <c r="C1136" s="121">
        <v>98.854299999999995</v>
      </c>
      <c r="D1136" s="121">
        <v>99.034800000000004</v>
      </c>
      <c r="E1136" s="121">
        <v>100.3818</v>
      </c>
      <c r="F1136" s="121">
        <v>101.8926</v>
      </c>
      <c r="G1136" s="121">
        <v>100.9697</v>
      </c>
      <c r="H1136" s="121">
        <v>98.33</v>
      </c>
      <c r="I1136" s="121">
        <v>100.7355</v>
      </c>
      <c r="J1136" s="121">
        <v>100.7355</v>
      </c>
    </row>
    <row r="1137" spans="1:10">
      <c r="A1137" s="114">
        <v>41044</v>
      </c>
      <c r="B1137" s="121">
        <v>100.67</v>
      </c>
      <c r="C1137" s="121">
        <v>98.854100000000003</v>
      </c>
      <c r="D1137" s="121">
        <v>99.034800000000004</v>
      </c>
      <c r="E1137" s="121">
        <v>101.0159</v>
      </c>
      <c r="F1137" s="121">
        <v>102.383</v>
      </c>
      <c r="G1137" s="121">
        <v>101.2617</v>
      </c>
      <c r="H1137" s="121">
        <v>98.35</v>
      </c>
      <c r="I1137" s="121">
        <v>101.5748</v>
      </c>
      <c r="J1137" s="121">
        <v>101.5748</v>
      </c>
    </row>
    <row r="1138" spans="1:10">
      <c r="A1138" s="114">
        <v>41045</v>
      </c>
      <c r="B1138" s="121">
        <v>100.67</v>
      </c>
      <c r="C1138" s="121">
        <v>98.853999999999999</v>
      </c>
      <c r="D1138" s="121">
        <v>99.303100000000001</v>
      </c>
      <c r="E1138" s="121">
        <v>99.9559</v>
      </c>
      <c r="F1138" s="121">
        <v>102.3733</v>
      </c>
      <c r="G1138" s="121">
        <v>101.5834</v>
      </c>
      <c r="H1138" s="121">
        <v>98.53</v>
      </c>
      <c r="I1138" s="121">
        <v>101.6183</v>
      </c>
      <c r="J1138" s="121">
        <v>101.6183</v>
      </c>
    </row>
    <row r="1139" spans="1:10">
      <c r="A1139" s="114">
        <v>41046</v>
      </c>
      <c r="B1139" s="121">
        <v>100.67</v>
      </c>
      <c r="C1139" s="121">
        <v>99.896900000000002</v>
      </c>
      <c r="D1139" s="121">
        <v>99.303100000000001</v>
      </c>
      <c r="E1139" s="121">
        <v>100.2312</v>
      </c>
      <c r="F1139" s="121">
        <v>102.6812</v>
      </c>
      <c r="G1139" s="121">
        <v>101.4169</v>
      </c>
      <c r="H1139" s="121">
        <v>98.6</v>
      </c>
      <c r="I1139" s="121">
        <v>101.30710000000001</v>
      </c>
      <c r="J1139" s="121">
        <v>101.30710000000001</v>
      </c>
    </row>
    <row r="1140" spans="1:10">
      <c r="A1140" s="114">
        <v>41047</v>
      </c>
      <c r="B1140" s="121">
        <v>100.67</v>
      </c>
      <c r="C1140" s="121">
        <v>99.587699999999998</v>
      </c>
      <c r="D1140" s="121">
        <v>99.303100000000001</v>
      </c>
      <c r="E1140" s="121">
        <v>101.3169</v>
      </c>
      <c r="F1140" s="121">
        <v>102.52330000000001</v>
      </c>
      <c r="G1140" s="121">
        <v>101.5338</v>
      </c>
      <c r="H1140" s="121">
        <v>98.71</v>
      </c>
      <c r="I1140" s="121">
        <v>101.61450000000001</v>
      </c>
      <c r="J1140" s="121">
        <v>101.61450000000001</v>
      </c>
    </row>
    <row r="1141" spans="1:10">
      <c r="A1141" s="114">
        <v>41050</v>
      </c>
      <c r="B1141" s="121">
        <v>100.67</v>
      </c>
      <c r="C1141" s="121">
        <v>99.742000000000004</v>
      </c>
      <c r="D1141" s="121">
        <v>99.303100000000001</v>
      </c>
      <c r="E1141" s="121">
        <v>101.2556</v>
      </c>
      <c r="F1141" s="121">
        <v>102.4644</v>
      </c>
      <c r="G1141" s="121">
        <v>101.4007</v>
      </c>
      <c r="H1141" s="121">
        <v>98.9</v>
      </c>
      <c r="I1141" s="121">
        <v>101.4808</v>
      </c>
      <c r="J1141" s="121">
        <v>101.4808</v>
      </c>
    </row>
    <row r="1142" spans="1:10">
      <c r="A1142" s="114">
        <v>41051</v>
      </c>
      <c r="B1142" s="121">
        <v>100.67</v>
      </c>
      <c r="C1142" s="121">
        <v>99.679400000000001</v>
      </c>
      <c r="D1142" s="121">
        <v>99.303100000000001</v>
      </c>
      <c r="E1142" s="121">
        <v>100.24339999999999</v>
      </c>
      <c r="F1142" s="121">
        <v>102.49250000000001</v>
      </c>
      <c r="G1142" s="121">
        <v>101.34780000000001</v>
      </c>
      <c r="H1142" s="121">
        <v>98.75</v>
      </c>
      <c r="I1142" s="121">
        <v>101.502</v>
      </c>
      <c r="J1142" s="121">
        <v>101.502</v>
      </c>
    </row>
    <row r="1143" spans="1:10">
      <c r="A1143" s="114">
        <v>41052</v>
      </c>
      <c r="B1143" s="121">
        <v>100.67</v>
      </c>
      <c r="C1143" s="121">
        <v>99.741799999999998</v>
      </c>
      <c r="D1143" s="121">
        <v>99.303100000000001</v>
      </c>
      <c r="E1143" s="121">
        <v>101.13379999999999</v>
      </c>
      <c r="F1143" s="121">
        <v>102.4915</v>
      </c>
      <c r="G1143" s="121">
        <v>101.5326</v>
      </c>
      <c r="H1143" s="121">
        <v>98.84</v>
      </c>
      <c r="I1143" s="121">
        <v>101.5675</v>
      </c>
      <c r="J1143" s="121">
        <v>101.5675</v>
      </c>
    </row>
    <row r="1144" spans="1:10">
      <c r="A1144" s="114">
        <v>41053</v>
      </c>
      <c r="B1144" s="121">
        <v>100.67</v>
      </c>
      <c r="C1144" s="121">
        <v>99.729699999999994</v>
      </c>
      <c r="D1144" s="121">
        <v>99.303100000000001</v>
      </c>
      <c r="E1144" s="121">
        <v>101.5273</v>
      </c>
      <c r="F1144" s="121">
        <v>102.7222</v>
      </c>
      <c r="G1144" s="121">
        <v>101.4486</v>
      </c>
      <c r="H1144" s="121">
        <v>98.91</v>
      </c>
      <c r="I1144" s="121">
        <v>102.1434</v>
      </c>
      <c r="J1144" s="121">
        <v>102.1434</v>
      </c>
    </row>
    <row r="1145" spans="1:10">
      <c r="A1145" s="114">
        <v>41054</v>
      </c>
      <c r="B1145" s="121">
        <v>100.67</v>
      </c>
      <c r="C1145" s="121">
        <v>100.1592</v>
      </c>
      <c r="D1145" s="121">
        <v>99.303100000000001</v>
      </c>
      <c r="E1145" s="121">
        <v>101.8603</v>
      </c>
      <c r="F1145" s="121">
        <v>102.9512</v>
      </c>
      <c r="G1145" s="121">
        <v>102.1597</v>
      </c>
      <c r="H1145" s="121">
        <v>99.05</v>
      </c>
      <c r="I1145" s="121">
        <v>102.34</v>
      </c>
      <c r="J1145" s="121">
        <v>102.34</v>
      </c>
    </row>
    <row r="1146" spans="1:10">
      <c r="A1146" s="114">
        <v>41057</v>
      </c>
      <c r="B1146" s="121">
        <v>100.67</v>
      </c>
      <c r="C1146" s="121">
        <v>100.2985</v>
      </c>
      <c r="D1146" s="121">
        <v>99.303100000000001</v>
      </c>
      <c r="E1146" s="121">
        <v>101.5551</v>
      </c>
      <c r="F1146" s="121">
        <v>103.0081</v>
      </c>
      <c r="G1146" s="121">
        <v>102.1705</v>
      </c>
      <c r="H1146" s="121">
        <v>99</v>
      </c>
      <c r="I1146" s="121">
        <v>102.13849999999999</v>
      </c>
      <c r="J1146" s="121">
        <v>102.13849999999999</v>
      </c>
    </row>
    <row r="1147" spans="1:10">
      <c r="A1147" s="114">
        <v>41058</v>
      </c>
      <c r="B1147" s="121">
        <v>100.67</v>
      </c>
      <c r="C1147" s="121">
        <v>100.27849999999999</v>
      </c>
      <c r="D1147" s="121">
        <v>99.303100000000001</v>
      </c>
      <c r="E1147" s="121">
        <v>101.4331</v>
      </c>
      <c r="F1147" s="121">
        <v>102.77500000000001</v>
      </c>
      <c r="G1147" s="121">
        <v>101.64579999999999</v>
      </c>
      <c r="H1147" s="121">
        <v>98.85</v>
      </c>
      <c r="I1147" s="121">
        <v>101.8934</v>
      </c>
      <c r="J1147" s="121">
        <v>101.8934</v>
      </c>
    </row>
    <row r="1148" spans="1:10">
      <c r="A1148" s="114">
        <v>41059</v>
      </c>
      <c r="B1148" s="121">
        <v>100.67</v>
      </c>
      <c r="C1148" s="121">
        <v>100.2675</v>
      </c>
      <c r="D1148" s="121">
        <v>99.303100000000001</v>
      </c>
      <c r="E1148" s="121">
        <v>101.3719</v>
      </c>
      <c r="F1148" s="121">
        <v>102.80289999999999</v>
      </c>
      <c r="G1148" s="121">
        <v>101.6057</v>
      </c>
      <c r="H1148" s="121">
        <v>98.79</v>
      </c>
      <c r="I1148" s="121">
        <v>101.8934</v>
      </c>
      <c r="J1148" s="121">
        <v>101.8934</v>
      </c>
    </row>
    <row r="1149" spans="1:10">
      <c r="A1149" s="114">
        <v>41060</v>
      </c>
      <c r="B1149" s="121">
        <v>100.67</v>
      </c>
      <c r="C1149" s="121">
        <v>100.0984</v>
      </c>
      <c r="D1149" s="121">
        <v>99.303100000000001</v>
      </c>
      <c r="E1149" s="121">
        <v>101.6443</v>
      </c>
      <c r="F1149" s="121">
        <v>103.0047</v>
      </c>
      <c r="G1149" s="121">
        <v>101.76990000000001</v>
      </c>
      <c r="H1149" s="121">
        <v>98.9</v>
      </c>
      <c r="I1149" s="121">
        <v>101.7366</v>
      </c>
      <c r="J1149" s="121">
        <v>101.7366</v>
      </c>
    </row>
    <row r="1150" spans="1:10">
      <c r="A1150" s="114">
        <v>41061</v>
      </c>
      <c r="B1150" s="121">
        <v>100.67</v>
      </c>
      <c r="C1150" s="121">
        <v>100.2869</v>
      </c>
      <c r="D1150" s="121">
        <v>99.303100000000001</v>
      </c>
      <c r="E1150" s="121">
        <v>101.703</v>
      </c>
      <c r="F1150" s="121">
        <v>103.0013</v>
      </c>
      <c r="G1150" s="121">
        <v>101.7842</v>
      </c>
      <c r="H1150" s="121">
        <v>98.94</v>
      </c>
      <c r="I1150" s="121">
        <v>101.6455</v>
      </c>
      <c r="J1150" s="121">
        <v>101.6455</v>
      </c>
    </row>
    <row r="1151" spans="1:10">
      <c r="A1151" s="114">
        <v>41064</v>
      </c>
      <c r="B1151" s="121">
        <v>100.67</v>
      </c>
      <c r="C1151" s="121">
        <v>100.3873</v>
      </c>
      <c r="D1151" s="121">
        <v>99.303100000000001</v>
      </c>
      <c r="E1151" s="121">
        <v>100.4962</v>
      </c>
      <c r="F1151" s="121">
        <v>102.97320000000001</v>
      </c>
      <c r="G1151" s="121">
        <v>101.7069</v>
      </c>
      <c r="H1151" s="121">
        <v>98.96</v>
      </c>
      <c r="I1151" s="121">
        <v>101.6447</v>
      </c>
      <c r="J1151" s="121">
        <v>101.6447</v>
      </c>
    </row>
    <row r="1152" spans="1:10">
      <c r="A1152" s="114">
        <v>41065</v>
      </c>
      <c r="B1152" s="121">
        <v>100.67</v>
      </c>
      <c r="C1152" s="121">
        <v>100.3797</v>
      </c>
      <c r="D1152" s="121">
        <v>99.303100000000001</v>
      </c>
      <c r="E1152" s="121">
        <v>101.4894</v>
      </c>
      <c r="F1152" s="121">
        <v>101.4791</v>
      </c>
      <c r="G1152" s="121">
        <v>101.5322</v>
      </c>
      <c r="H1152" s="121">
        <v>98.89</v>
      </c>
      <c r="I1152" s="121">
        <v>101.4241</v>
      </c>
      <c r="J1152" s="121">
        <v>101.4241</v>
      </c>
    </row>
    <row r="1153" spans="1:11">
      <c r="A1153" s="114">
        <v>41066</v>
      </c>
      <c r="B1153" s="121">
        <v>100.67</v>
      </c>
      <c r="C1153" s="121">
        <v>100.28740000000001</v>
      </c>
      <c r="D1153" s="121">
        <v>99.303100000000001</v>
      </c>
      <c r="E1153" s="121">
        <v>100.5</v>
      </c>
      <c r="F1153" s="121">
        <v>102.79559999999999</v>
      </c>
      <c r="G1153" s="121">
        <v>101.6086</v>
      </c>
      <c r="H1153" s="121">
        <v>98.89</v>
      </c>
      <c r="I1153" s="121">
        <v>101.3802</v>
      </c>
      <c r="J1153" s="121">
        <v>101.3802</v>
      </c>
    </row>
    <row r="1154" spans="1:11">
      <c r="A1154" s="114">
        <v>41067</v>
      </c>
      <c r="B1154" s="121">
        <v>100.67</v>
      </c>
      <c r="C1154" s="121">
        <v>100.27500000000001</v>
      </c>
      <c r="D1154" s="121">
        <v>99.303100000000001</v>
      </c>
      <c r="E1154" s="121">
        <v>101.4277</v>
      </c>
      <c r="F1154" s="121">
        <v>102.82340000000001</v>
      </c>
      <c r="G1154" s="121">
        <v>101.5001</v>
      </c>
      <c r="H1154" s="121">
        <v>98.84</v>
      </c>
      <c r="I1154" s="121">
        <v>101.3348</v>
      </c>
      <c r="J1154" s="121">
        <v>101.3348</v>
      </c>
    </row>
    <row r="1155" spans="1:11">
      <c r="A1155" s="114">
        <v>41068</v>
      </c>
      <c r="B1155" s="121">
        <v>100.67</v>
      </c>
      <c r="C1155" s="121">
        <v>100.26090000000001</v>
      </c>
      <c r="D1155" s="121">
        <v>99.303100000000001</v>
      </c>
      <c r="E1155" s="121">
        <v>101.72839999999999</v>
      </c>
      <c r="F1155" s="121">
        <v>103.1091</v>
      </c>
      <c r="G1155" s="121">
        <v>101.9508</v>
      </c>
      <c r="H1155" s="121">
        <v>99.1</v>
      </c>
      <c r="I1155" s="121">
        <v>101.5951</v>
      </c>
      <c r="J1155" s="121">
        <v>101.5951</v>
      </c>
    </row>
    <row r="1156" spans="1:11">
      <c r="A1156" s="114">
        <v>41071</v>
      </c>
      <c r="B1156" s="121">
        <v>100.67</v>
      </c>
      <c r="C1156" s="121">
        <v>100.46469999999999</v>
      </c>
      <c r="D1156" s="121">
        <v>99.303100000000001</v>
      </c>
      <c r="E1156" s="121">
        <v>101.4255</v>
      </c>
      <c r="F1156" s="121">
        <v>102.8192</v>
      </c>
      <c r="G1156" s="121">
        <v>101.8432</v>
      </c>
      <c r="H1156" s="121">
        <v>98.95</v>
      </c>
      <c r="I1156" s="121">
        <v>101.2881</v>
      </c>
      <c r="J1156" s="121">
        <v>101.2881</v>
      </c>
    </row>
    <row r="1157" spans="1:11">
      <c r="A1157" s="114">
        <v>41072</v>
      </c>
      <c r="B1157" s="121">
        <v>100.67</v>
      </c>
      <c r="C1157" s="121">
        <v>100.4648</v>
      </c>
      <c r="D1157" s="121">
        <v>99.303100000000001</v>
      </c>
      <c r="E1157" s="121">
        <v>101.4851</v>
      </c>
      <c r="F1157" s="121">
        <v>102.8181</v>
      </c>
      <c r="G1157" s="121">
        <v>101.7619</v>
      </c>
      <c r="H1157" s="121">
        <v>98.95</v>
      </c>
      <c r="I1157" s="121">
        <v>101.2873</v>
      </c>
      <c r="J1157" s="121">
        <v>101.2873</v>
      </c>
    </row>
    <row r="1158" spans="1:11">
      <c r="A1158" s="114">
        <v>41073</v>
      </c>
      <c r="B1158" s="121">
        <v>100.67</v>
      </c>
      <c r="C1158" s="121">
        <v>100.20229999999999</v>
      </c>
      <c r="D1158" s="121">
        <v>99.303100000000001</v>
      </c>
      <c r="E1158" s="121">
        <v>101.2734</v>
      </c>
      <c r="F1158" s="121">
        <v>102.70189999999999</v>
      </c>
      <c r="G1158" s="121">
        <v>101.5643</v>
      </c>
      <c r="H1158" s="121">
        <v>98.88</v>
      </c>
      <c r="I1158" s="121">
        <v>101.00369999999999</v>
      </c>
      <c r="J1158" s="121">
        <v>101.00369999999999</v>
      </c>
    </row>
    <row r="1159" spans="1:11">
      <c r="A1159" s="114">
        <v>41074</v>
      </c>
      <c r="B1159" s="121">
        <v>100.67</v>
      </c>
      <c r="C1159" s="121">
        <v>100.0441</v>
      </c>
      <c r="D1159" s="121">
        <v>99.303100000000001</v>
      </c>
      <c r="E1159" s="121">
        <v>100.49809999999999</v>
      </c>
      <c r="F1159" s="121">
        <v>101.482</v>
      </c>
      <c r="G1159" s="121">
        <v>101.48869999999999</v>
      </c>
      <c r="H1159" s="121">
        <v>98.87</v>
      </c>
      <c r="I1159" s="121">
        <v>100.97280000000001</v>
      </c>
      <c r="J1159" s="121">
        <v>100.97280000000001</v>
      </c>
    </row>
    <row r="1160" spans="1:11">
      <c r="A1160" s="114">
        <v>41075</v>
      </c>
      <c r="B1160" s="121">
        <v>101.94</v>
      </c>
      <c r="C1160" s="121">
        <v>99.938999999999993</v>
      </c>
      <c r="D1160" s="121">
        <v>99.303100000000001</v>
      </c>
      <c r="E1160" s="121">
        <v>101.3856</v>
      </c>
      <c r="F1160" s="121">
        <v>101.4795</v>
      </c>
      <c r="G1160" s="121">
        <v>101.4466</v>
      </c>
      <c r="H1160" s="121">
        <v>98.87</v>
      </c>
      <c r="I1160" s="121">
        <v>101.0014</v>
      </c>
      <c r="J1160" s="121">
        <v>101.0014</v>
      </c>
    </row>
    <row r="1161" spans="1:11">
      <c r="A1161" s="114">
        <v>41078</v>
      </c>
      <c r="B1161" s="121">
        <v>102.18</v>
      </c>
      <c r="C1161" s="121">
        <v>99.973399999999998</v>
      </c>
      <c r="D1161" s="121">
        <v>99.303100000000001</v>
      </c>
      <c r="E1161" s="121">
        <v>101.1506</v>
      </c>
      <c r="F1161" s="121">
        <v>101.4806</v>
      </c>
      <c r="G1161" s="121">
        <v>101.2863</v>
      </c>
      <c r="H1161" s="121">
        <v>98.864000000000004</v>
      </c>
      <c r="I1161" s="121">
        <v>100.8493</v>
      </c>
      <c r="J1161" s="121">
        <v>100.8493</v>
      </c>
    </row>
    <row r="1162" spans="1:11">
      <c r="A1162" s="114">
        <v>41079</v>
      </c>
      <c r="B1162" s="121">
        <v>101.8</v>
      </c>
      <c r="C1162" s="121">
        <v>99.846800000000002</v>
      </c>
      <c r="D1162" s="121">
        <v>99.303100000000001</v>
      </c>
      <c r="E1162" s="121">
        <v>101.30029999999999</v>
      </c>
      <c r="F1162" s="121">
        <v>102.5812</v>
      </c>
      <c r="G1162" s="121">
        <v>101.22239999999999</v>
      </c>
      <c r="H1162" s="121">
        <v>98.85</v>
      </c>
      <c r="I1162" s="121">
        <v>100.8056</v>
      </c>
      <c r="J1162" s="121">
        <v>100.8056</v>
      </c>
    </row>
    <row r="1163" spans="1:11">
      <c r="A1163" s="114">
        <v>41080</v>
      </c>
      <c r="B1163" s="121">
        <v>101.81</v>
      </c>
      <c r="C1163" s="121">
        <v>99.740600000000001</v>
      </c>
      <c r="D1163" s="121">
        <v>99.303100000000001</v>
      </c>
      <c r="E1163" s="121">
        <v>101.2397</v>
      </c>
      <c r="F1163" s="121">
        <v>101.4854</v>
      </c>
      <c r="G1163" s="121">
        <v>101.20269999999999</v>
      </c>
      <c r="H1163" s="121">
        <v>98.78</v>
      </c>
      <c r="I1163" s="121">
        <v>100.7835</v>
      </c>
      <c r="J1163" s="121">
        <v>100.7835</v>
      </c>
      <c r="K1163" s="4">
        <f ca="1">A1204</f>
        <v>41138</v>
      </c>
    </row>
    <row r="1164" spans="1:11">
      <c r="A1164" s="114">
        <v>41081</v>
      </c>
      <c r="B1164" s="121">
        <v>101.82</v>
      </c>
      <c r="C1164" s="121">
        <v>99.678700000000006</v>
      </c>
      <c r="D1164" s="121">
        <v>99.303100000000001</v>
      </c>
      <c r="E1164" s="121">
        <v>100.5033</v>
      </c>
      <c r="F1164" s="121">
        <v>102.6909</v>
      </c>
      <c r="G1164" s="121">
        <v>101.41119999999999</v>
      </c>
      <c r="H1164" s="121">
        <v>98.92</v>
      </c>
      <c r="I1164" s="121">
        <v>100.88930000000001</v>
      </c>
      <c r="J1164" s="121">
        <v>100.88930000000001</v>
      </c>
      <c r="K1164" s="3" t="str">
        <f ca="1">"Swap_Curve_"&amp;YEAR(K1163)&amp;"-"&amp;MONTH(K1163)&amp;"-"&amp;DAY(K1163)</f>
        <v>Swap_Curve_2012-8-17</v>
      </c>
    </row>
    <row r="1165" spans="1:11">
      <c r="A1165" s="114">
        <v>41085</v>
      </c>
      <c r="B1165" s="121">
        <v>101.94</v>
      </c>
      <c r="C1165" s="121">
        <v>99.773700000000005</v>
      </c>
      <c r="D1165" s="121">
        <v>99.303100000000001</v>
      </c>
      <c r="E1165" s="121">
        <v>101.5072</v>
      </c>
      <c r="F1165" s="121">
        <v>102.74720000000001</v>
      </c>
      <c r="G1165" s="121">
        <v>101.5826</v>
      </c>
      <c r="H1165" s="121">
        <v>98.926000000000002</v>
      </c>
      <c r="I1165" s="121">
        <v>101.0609</v>
      </c>
      <c r="J1165" s="121">
        <v>101.0609</v>
      </c>
      <c r="K1165" s="3" t="str">
        <f ca="1">deserializeObject('Bumped Curves'!B1,K1164&amp;".xml",TRUE)</f>
        <v>Swap_Curve_2012-8-17</v>
      </c>
    </row>
    <row r="1166" spans="1:11">
      <c r="A1166" s="114">
        <v>41086</v>
      </c>
      <c r="B1166" s="121">
        <v>102.07</v>
      </c>
      <c r="C1166" s="121">
        <v>99.748500000000007</v>
      </c>
      <c r="D1166" s="121">
        <v>99.303100000000001</v>
      </c>
      <c r="E1166" s="121">
        <v>101.59739999999999</v>
      </c>
      <c r="F1166" s="121">
        <v>102.8321</v>
      </c>
      <c r="G1166" s="121">
        <v>101.6177</v>
      </c>
      <c r="H1166" s="121">
        <v>98.97</v>
      </c>
      <c r="I1166" s="121">
        <v>101.1255</v>
      </c>
      <c r="J1166" s="121">
        <v>101.1255</v>
      </c>
      <c r="K1166" s="3" t="str">
        <f ca="1">_xll.qlEuribor("tmpIndex",C17,K1165,,,TRUE)</f>
        <v>tmpIndex#0008</v>
      </c>
    </row>
    <row r="1167" spans="1:11">
      <c r="A1167" s="114">
        <v>41087</v>
      </c>
      <c r="B1167" s="121">
        <v>102.22</v>
      </c>
      <c r="C1167" s="121">
        <v>99.850999999999999</v>
      </c>
      <c r="D1167" s="121">
        <v>99.303100000000001</v>
      </c>
      <c r="E1167" s="121">
        <v>101.7466</v>
      </c>
      <c r="F1167" s="121">
        <v>103.03189999999999</v>
      </c>
      <c r="G1167" s="121">
        <v>101.785</v>
      </c>
      <c r="H1167" s="121">
        <v>99.013999999999996</v>
      </c>
      <c r="I1167" s="121">
        <v>101.3194</v>
      </c>
      <c r="J1167" s="121">
        <v>101.3194</v>
      </c>
      <c r="K1167" s="3" t="str">
        <f ca="1">_xll.qlSchedule("tmpFixedSchedule",F17,G17,"6M","China","Following","Following","Backward",,,,,,TRUE)</f>
        <v>tmpFixedSchedule#0008</v>
      </c>
    </row>
    <row r="1168" spans="1:11">
      <c r="A1168" s="114">
        <v>41088</v>
      </c>
      <c r="B1168" s="121">
        <v>102.37</v>
      </c>
      <c r="C1168" s="121">
        <v>100.0047</v>
      </c>
      <c r="D1168" s="121">
        <v>99.303100000000001</v>
      </c>
      <c r="E1168" s="121">
        <v>101.7761</v>
      </c>
      <c r="F1168" s="121">
        <v>102.2234</v>
      </c>
      <c r="G1168" s="121">
        <v>100.61750000000001</v>
      </c>
      <c r="H1168" s="121">
        <v>99.07</v>
      </c>
      <c r="I1168" s="121">
        <v>101.3835</v>
      </c>
      <c r="J1168" s="121">
        <v>101.3835</v>
      </c>
      <c r="K1168" s="3" t="str">
        <f ca="1">_xll.qlSchedule("tmpFloatSchedule",F17,G17,C17,"NullCalendar","Following","Following","Backward",,,,,,TRUE)</f>
        <v>tmpFloatSchedule#0008</v>
      </c>
    </row>
    <row r="1169" spans="1:23">
      <c r="A1169" s="114">
        <v>41089</v>
      </c>
      <c r="B1169" s="121">
        <v>102.48</v>
      </c>
      <c r="C1169" s="121">
        <v>100.0909</v>
      </c>
      <c r="D1169" s="121">
        <v>100.6567</v>
      </c>
      <c r="E1169" s="121">
        <v>101.83410000000001</v>
      </c>
      <c r="F1169" s="121">
        <v>103.0273</v>
      </c>
      <c r="G1169" s="121">
        <v>101.94159999999999</v>
      </c>
      <c r="H1169" s="121">
        <v>99.164000000000001</v>
      </c>
      <c r="I1169" s="121">
        <v>101.29470000000001</v>
      </c>
      <c r="J1169" s="121">
        <v>101.29470000000001</v>
      </c>
      <c r="K1169" s="3" t="str">
        <f ca="1">_xll.qlVanillaSwap("tmpVanilla","Receiver",100,K1167,B17,"Bond Basis",K1168,K1166,0,"Actual/360",,,,TRUE)</f>
        <v>tmpVanilla#0008</v>
      </c>
    </row>
    <row r="1170" spans="1:23">
      <c r="A1170" s="114">
        <v>41092</v>
      </c>
      <c r="B1170" s="121">
        <v>102.45</v>
      </c>
      <c r="C1170" s="121">
        <v>100.0972</v>
      </c>
      <c r="D1170" s="121">
        <v>100.6523</v>
      </c>
      <c r="E1170" s="121">
        <v>101.7732</v>
      </c>
      <c r="F1170" s="121">
        <v>102.2475</v>
      </c>
      <c r="G1170" s="121">
        <v>101.7715</v>
      </c>
      <c r="H1170" s="121">
        <v>99.19</v>
      </c>
      <c r="I1170" s="121">
        <v>101.2638</v>
      </c>
      <c r="J1170" s="121">
        <v>101.2638</v>
      </c>
      <c r="K1170" s="3" t="str">
        <f ca="1">_xll.qlDiscountingSwapEngine("tmpEngine",K1164,,K1163,K1163,,,TRUE)</f>
        <v>tmpEngine#0007</v>
      </c>
    </row>
    <row r="1171" spans="1:23">
      <c r="A1171" s="114">
        <v>41093</v>
      </c>
      <c r="B1171" s="121">
        <v>102.35</v>
      </c>
      <c r="C1171" s="121">
        <v>100.08320000000001</v>
      </c>
      <c r="D1171" s="121">
        <v>100.65130000000001</v>
      </c>
      <c r="E1171" s="121">
        <v>101.77249999999999</v>
      </c>
      <c r="F1171" s="121">
        <v>103.1397</v>
      </c>
      <c r="G1171" s="121">
        <v>101.645</v>
      </c>
      <c r="H1171" s="121">
        <v>99.298000000000002</v>
      </c>
      <c r="I1171" s="121">
        <v>101.3364</v>
      </c>
      <c r="J1171" s="121">
        <v>101.3364</v>
      </c>
      <c r="K1171" s="3" t="b">
        <f ca="1">_xll.qlInstrumentSetPricingEngine(K1169,K1170)</f>
        <v>1</v>
      </c>
    </row>
    <row r="1172" spans="1:23">
      <c r="A1172" s="114">
        <v>41094</v>
      </c>
      <c r="B1172" s="121">
        <v>102.44</v>
      </c>
      <c r="C1172" s="121">
        <v>99.938100000000006</v>
      </c>
      <c r="D1172" s="121">
        <v>100.6495</v>
      </c>
      <c r="E1172" s="121">
        <v>101.86199999999999</v>
      </c>
      <c r="F1172" s="121">
        <v>102.25369999999999</v>
      </c>
      <c r="G1172" s="121">
        <v>101.7903</v>
      </c>
      <c r="H1172" s="121">
        <v>99.457999999999998</v>
      </c>
      <c r="I1172" s="121">
        <v>101.3623</v>
      </c>
      <c r="J1172" s="121">
        <v>101.3623</v>
      </c>
      <c r="K1172" s="3">
        <f ca="1">_xll.qlInstrumentNPV(K1169,K1171)</f>
        <v>0.55709925495525603</v>
      </c>
    </row>
    <row r="1173" spans="1:23" s="61" customFormat="1">
      <c r="A1173" s="112">
        <v>41095</v>
      </c>
      <c r="B1173" s="123">
        <v>102.42</v>
      </c>
      <c r="C1173" s="123">
        <v>100.0227</v>
      </c>
      <c r="D1173" s="123">
        <v>100.59950000000001</v>
      </c>
      <c r="E1173" s="123">
        <v>101.8312</v>
      </c>
      <c r="F1173" s="123">
        <v>102.2551</v>
      </c>
      <c r="G1173" s="123">
        <v>101.783</v>
      </c>
      <c r="H1173" s="123">
        <v>99.658000000000001</v>
      </c>
      <c r="I1173" s="123">
        <v>101.4556</v>
      </c>
      <c r="J1173" s="123">
        <v>4.6464165848192351E-11</v>
      </c>
      <c r="K1173" s="187">
        <f ca="1">H24</f>
        <v>5</v>
      </c>
      <c r="L1173" s="187">
        <f ca="1">H25</f>
        <v>5</v>
      </c>
      <c r="M1173" s="187">
        <f ca="1">H26</f>
        <v>10</v>
      </c>
      <c r="N1173" s="187">
        <f ca="1">H27</f>
        <v>15</v>
      </c>
      <c r="O1173" s="187">
        <f ca="1">H28</f>
        <v>2</v>
      </c>
      <c r="P1173" s="187">
        <f ca="1">H29</f>
        <v>15</v>
      </c>
      <c r="Q1173" s="61">
        <f ca="1">-ROUND(E40,0)</f>
        <v>-45</v>
      </c>
      <c r="R1173" s="61">
        <f ca="1">-E41</f>
        <v>0</v>
      </c>
      <c r="S1173" s="61">
        <f ca="1">-E42</f>
        <v>-15.100175821421288</v>
      </c>
      <c r="V1173" s="125" t="s">
        <v>626</v>
      </c>
      <c r="W1173" s="125" t="s">
        <v>627</v>
      </c>
    </row>
    <row r="1174" spans="1:23">
      <c r="A1174" s="114">
        <v>41096</v>
      </c>
      <c r="B1174" s="121">
        <v>102.48</v>
      </c>
      <c r="C1174" s="121">
        <v>100.0812</v>
      </c>
      <c r="D1174" s="121">
        <v>100.5963</v>
      </c>
      <c r="E1174" s="121">
        <v>102.0697</v>
      </c>
      <c r="F1174" s="121">
        <v>103.36320000000001</v>
      </c>
      <c r="G1174" s="121">
        <v>102.2958</v>
      </c>
      <c r="H1174" s="121">
        <v>99.658000000000001</v>
      </c>
      <c r="I1174" s="121">
        <v>101.6559</v>
      </c>
      <c r="J1174" s="121">
        <v>0.26665733316887774</v>
      </c>
      <c r="K1174" s="120">
        <f ca="1">B1174-B1173</f>
        <v>6.0000000000002274E-2</v>
      </c>
      <c r="L1174" s="120">
        <f t="shared" ref="L1174:R1189" ca="1" si="13">C1174-C1173</f>
        <v>5.8499999999995111E-2</v>
      </c>
      <c r="M1174" s="120">
        <f t="shared" ca="1" si="13"/>
        <v>-3.200000000006753E-3</v>
      </c>
      <c r="N1174" s="120">
        <f t="shared" ca="1" si="13"/>
        <v>0.23850000000000193</v>
      </c>
      <c r="O1174" s="120">
        <f t="shared" ca="1" si="13"/>
        <v>1.1081000000000074</v>
      </c>
      <c r="P1174" s="120">
        <f t="shared" ca="1" si="13"/>
        <v>0.51279999999999859</v>
      </c>
      <c r="Q1174" s="120">
        <f t="shared" ca="1" si="13"/>
        <v>0</v>
      </c>
      <c r="R1174" s="120">
        <f t="shared" ca="1" si="13"/>
        <v>0.20029999999999859</v>
      </c>
      <c r="S1174" s="120">
        <f ca="1">J1174-J1173</f>
        <v>0.26665733312241358</v>
      </c>
    </row>
    <row r="1175" spans="1:23">
      <c r="A1175" s="114">
        <v>41099</v>
      </c>
      <c r="B1175" s="121">
        <v>102.71</v>
      </c>
      <c r="C1175" s="121">
        <v>100.206</v>
      </c>
      <c r="D1175" s="121">
        <v>100.89870000000001</v>
      </c>
      <c r="E1175" s="121">
        <v>102.37050000000001</v>
      </c>
      <c r="F1175" s="121">
        <v>103.5919</v>
      </c>
      <c r="G1175" s="121">
        <v>102.5003</v>
      </c>
      <c r="H1175" s="121">
        <v>99.61</v>
      </c>
      <c r="I1175" s="121">
        <v>101.76730000000001</v>
      </c>
      <c r="J1175" s="121">
        <v>0.30502459725367892</v>
      </c>
      <c r="K1175" s="120">
        <f t="shared" ref="K1175:R1203" ca="1" si="14">B1175-B1174</f>
        <v>0.22999999999998977</v>
      </c>
      <c r="L1175" s="120">
        <f t="shared" ca="1" si="13"/>
        <v>0.12480000000000757</v>
      </c>
      <c r="M1175" s="120">
        <f t="shared" ca="1" si="13"/>
        <v>0.30240000000000578</v>
      </c>
      <c r="N1175" s="120">
        <f t="shared" ca="1" si="13"/>
        <v>0.3008000000000095</v>
      </c>
      <c r="O1175" s="120">
        <f t="shared" ca="1" si="13"/>
        <v>0.22869999999998925</v>
      </c>
      <c r="P1175" s="120">
        <f t="shared" ca="1" si="13"/>
        <v>0.20449999999999591</v>
      </c>
      <c r="Q1175" s="120">
        <f t="shared" ca="1" si="13"/>
        <v>-4.8000000000001819E-2</v>
      </c>
      <c r="R1175" s="120">
        <f t="shared" ca="1" si="13"/>
        <v>0.11140000000000327</v>
      </c>
      <c r="S1175" s="120">
        <f t="shared" ref="S1175:S1203" ca="1" si="15">J1175-J1174</f>
        <v>3.8367264084801178E-2</v>
      </c>
    </row>
    <row r="1176" spans="1:23">
      <c r="A1176" s="114">
        <v>41100</v>
      </c>
      <c r="B1176" s="121">
        <v>102.84</v>
      </c>
      <c r="C1176" s="121">
        <v>100.25369999999999</v>
      </c>
      <c r="D1176" s="121">
        <v>100.89870000000001</v>
      </c>
      <c r="E1176" s="121">
        <v>102.4905</v>
      </c>
      <c r="F1176" s="121">
        <v>103.6193</v>
      </c>
      <c r="G1176" s="121">
        <v>102.5081</v>
      </c>
      <c r="H1176" s="121">
        <v>99.7</v>
      </c>
      <c r="I1176" s="121">
        <v>101.91289999999999</v>
      </c>
      <c r="J1176" s="121">
        <v>0.3043340916454369</v>
      </c>
      <c r="K1176" s="120">
        <f t="shared" ca="1" si="14"/>
        <v>0.13000000000000966</v>
      </c>
      <c r="L1176" s="120">
        <f t="shared" ca="1" si="13"/>
        <v>4.769999999999186E-2</v>
      </c>
      <c r="M1176" s="120">
        <f t="shared" ca="1" si="13"/>
        <v>0</v>
      </c>
      <c r="N1176" s="120">
        <f t="shared" ca="1" si="13"/>
        <v>0.11999999999999034</v>
      </c>
      <c r="O1176" s="120">
        <f t="shared" ca="1" si="13"/>
        <v>2.7400000000000091E-2</v>
      </c>
      <c r="P1176" s="120">
        <f t="shared" ca="1" si="13"/>
        <v>7.8000000000031378E-3</v>
      </c>
      <c r="Q1176" s="120">
        <f t="shared" ca="1" si="13"/>
        <v>9.0000000000003411E-2</v>
      </c>
      <c r="R1176" s="120">
        <f t="shared" ca="1" si="13"/>
        <v>0.14559999999998752</v>
      </c>
      <c r="S1176" s="120">
        <f t="shared" ca="1" si="15"/>
        <v>-6.9050560824202023E-4</v>
      </c>
    </row>
    <row r="1177" spans="1:23">
      <c r="A1177" s="114">
        <v>41101</v>
      </c>
      <c r="B1177" s="121">
        <v>102.9</v>
      </c>
      <c r="C1177" s="121">
        <v>100.3229</v>
      </c>
      <c r="D1177" s="121">
        <v>100.89870000000001</v>
      </c>
      <c r="E1177" s="121">
        <v>102.4593</v>
      </c>
      <c r="F1177" s="121">
        <v>103.7619</v>
      </c>
      <c r="G1177" s="121">
        <v>102.5176</v>
      </c>
      <c r="H1177" s="121">
        <v>99.85</v>
      </c>
      <c r="I1177" s="121">
        <v>101.93380000000001</v>
      </c>
      <c r="J1177" s="121">
        <v>0.44375973444867611</v>
      </c>
      <c r="K1177" s="120">
        <f t="shared" ca="1" si="14"/>
        <v>6.0000000000002274E-2</v>
      </c>
      <c r="L1177" s="120">
        <f t="shared" ca="1" si="13"/>
        <v>6.9200000000009254E-2</v>
      </c>
      <c r="M1177" s="120">
        <f t="shared" ca="1" si="13"/>
        <v>0</v>
      </c>
      <c r="N1177" s="120">
        <f t="shared" ca="1" si="13"/>
        <v>-3.119999999999834E-2</v>
      </c>
      <c r="O1177" s="120">
        <f t="shared" ca="1" si="13"/>
        <v>0.14260000000000161</v>
      </c>
      <c r="P1177" s="120">
        <f t="shared" ca="1" si="13"/>
        <v>9.5000000000027285E-3</v>
      </c>
      <c r="Q1177" s="120">
        <f t="shared" ca="1" si="13"/>
        <v>0.14999999999999147</v>
      </c>
      <c r="R1177" s="120">
        <f t="shared" ca="1" si="13"/>
        <v>2.0900000000011687E-2</v>
      </c>
      <c r="S1177" s="120">
        <f t="shared" ca="1" si="15"/>
        <v>0.13942564280323921</v>
      </c>
    </row>
    <row r="1178" spans="1:23">
      <c r="A1178" s="114">
        <v>41102</v>
      </c>
      <c r="B1178" s="121">
        <v>102.96</v>
      </c>
      <c r="C1178" s="121">
        <v>100.39279999999999</v>
      </c>
      <c r="D1178" s="121">
        <v>100.8989</v>
      </c>
      <c r="E1178" s="121">
        <v>102.45829999999999</v>
      </c>
      <c r="F1178" s="121">
        <v>102.2542</v>
      </c>
      <c r="G1178" s="121">
        <v>102.6996</v>
      </c>
      <c r="H1178" s="121">
        <v>99.97</v>
      </c>
      <c r="I1178" s="121">
        <v>101.95440000000001</v>
      </c>
      <c r="J1178" s="121">
        <v>0.88322759866010792</v>
      </c>
      <c r="K1178" s="120">
        <f t="shared" ca="1" si="14"/>
        <v>5.9999999999988063E-2</v>
      </c>
      <c r="L1178" s="120">
        <f t="shared" ca="1" si="13"/>
        <v>6.9899999999989859E-2</v>
      </c>
      <c r="M1178" s="120">
        <f t="shared" ca="1" si="13"/>
        <v>1.9999999999242846E-4</v>
      </c>
      <c r="N1178" s="120">
        <f t="shared" ca="1" si="13"/>
        <v>-1.0000000000047748E-3</v>
      </c>
      <c r="O1178" s="120">
        <f t="shared" ca="1" si="13"/>
        <v>-1.5076999999999998</v>
      </c>
      <c r="P1178" s="120">
        <f t="shared" ca="1" si="13"/>
        <v>0.18200000000000216</v>
      </c>
      <c r="Q1178" s="120">
        <f t="shared" ca="1" si="13"/>
        <v>0.12000000000000455</v>
      </c>
      <c r="R1178" s="120">
        <f t="shared" ca="1" si="13"/>
        <v>2.0600000000001728E-2</v>
      </c>
      <c r="S1178" s="120">
        <f t="shared" ca="1" si="15"/>
        <v>0.4394678642114318</v>
      </c>
    </row>
    <row r="1179" spans="1:23">
      <c r="A1179" s="114">
        <v>41103</v>
      </c>
      <c r="B1179" s="121">
        <v>103.04</v>
      </c>
      <c r="C1179" s="121">
        <v>100.4141</v>
      </c>
      <c r="D1179" s="121">
        <v>101.2975</v>
      </c>
      <c r="E1179" s="121">
        <v>102.3824</v>
      </c>
      <c r="F1179" s="121">
        <v>103.6412</v>
      </c>
      <c r="G1179" s="121">
        <v>102.5274</v>
      </c>
      <c r="H1179" s="121">
        <v>99.89</v>
      </c>
      <c r="I1179" s="121">
        <v>101.9186</v>
      </c>
      <c r="J1179" s="121">
        <v>1.1888187193104596</v>
      </c>
      <c r="K1179" s="120">
        <f t="shared" ca="1" si="14"/>
        <v>8.0000000000012506E-2</v>
      </c>
      <c r="L1179" s="120">
        <f t="shared" ca="1" si="13"/>
        <v>2.1300000000010755E-2</v>
      </c>
      <c r="M1179" s="120">
        <f t="shared" ca="1" si="13"/>
        <v>0.39860000000000184</v>
      </c>
      <c r="N1179" s="120">
        <f t="shared" ca="1" si="13"/>
        <v>-7.5899999999990087E-2</v>
      </c>
      <c r="O1179" s="120">
        <f t="shared" ca="1" si="13"/>
        <v>1.3870000000000005</v>
      </c>
      <c r="P1179" s="120">
        <f t="shared" ca="1" si="13"/>
        <v>-0.17220000000000368</v>
      </c>
      <c r="Q1179" s="120">
        <f t="shared" ca="1" si="13"/>
        <v>-7.9999999999998295E-2</v>
      </c>
      <c r="R1179" s="120">
        <f t="shared" ca="1" si="13"/>
        <v>-3.5800000000008936E-2</v>
      </c>
      <c r="S1179" s="120">
        <f t="shared" ca="1" si="15"/>
        <v>0.30559112065035166</v>
      </c>
    </row>
    <row r="1180" spans="1:23">
      <c r="A1180" s="114">
        <v>41106</v>
      </c>
      <c r="B1180" s="121">
        <v>103.01</v>
      </c>
      <c r="C1180" s="121">
        <v>100.301</v>
      </c>
      <c r="D1180" s="121">
        <v>101.2991</v>
      </c>
      <c r="E1180" s="121">
        <v>102.2736</v>
      </c>
      <c r="F1180" s="121">
        <v>102.2518</v>
      </c>
      <c r="G1180" s="121">
        <v>102.4556</v>
      </c>
      <c r="H1180" s="121">
        <v>99.835999999999999</v>
      </c>
      <c r="I1180" s="121">
        <v>101.8205</v>
      </c>
      <c r="J1180" s="121">
        <v>0.95298410411190737</v>
      </c>
      <c r="K1180" s="120">
        <f t="shared" ca="1" si="14"/>
        <v>-3.0000000000001137E-2</v>
      </c>
      <c r="L1180" s="120">
        <f t="shared" ca="1" si="13"/>
        <v>-0.11310000000000286</v>
      </c>
      <c r="M1180" s="120">
        <f t="shared" ca="1" si="13"/>
        <v>1.5999999999962711E-3</v>
      </c>
      <c r="N1180" s="120">
        <f t="shared" ca="1" si="13"/>
        <v>-0.10880000000000223</v>
      </c>
      <c r="O1180" s="120">
        <f t="shared" ca="1" si="13"/>
        <v>-1.3893999999999949</v>
      </c>
      <c r="P1180" s="120">
        <f t="shared" ca="1" si="13"/>
        <v>-7.1799999999996089E-2</v>
      </c>
      <c r="Q1180" s="120">
        <f t="shared" ca="1" si="13"/>
        <v>-5.4000000000002046E-2</v>
      </c>
      <c r="R1180" s="120">
        <f t="shared" ca="1" si="13"/>
        <v>-9.8100000000002296E-2</v>
      </c>
      <c r="S1180" s="120">
        <f t="shared" ca="1" si="15"/>
        <v>-0.2358346151985522</v>
      </c>
    </row>
    <row r="1181" spans="1:23">
      <c r="A1181" s="114">
        <v>41107</v>
      </c>
      <c r="B1181" s="121">
        <v>102.96</v>
      </c>
      <c r="C1181" s="121">
        <v>100.3403</v>
      </c>
      <c r="D1181" s="121">
        <v>101.1996</v>
      </c>
      <c r="E1181" s="121">
        <v>101.4982</v>
      </c>
      <c r="F1181" s="121">
        <v>103.46639999999999</v>
      </c>
      <c r="G1181" s="121">
        <v>102.31140000000001</v>
      </c>
      <c r="H1181" s="121">
        <v>99.798000000000002</v>
      </c>
      <c r="I1181" s="121">
        <v>101.77209999999999</v>
      </c>
      <c r="J1181" s="121">
        <v>0.92788076064408109</v>
      </c>
      <c r="K1181" s="120">
        <f t="shared" ca="1" si="14"/>
        <v>-5.0000000000011369E-2</v>
      </c>
      <c r="L1181" s="120">
        <f t="shared" ca="1" si="13"/>
        <v>3.9299999999997226E-2</v>
      </c>
      <c r="M1181" s="120">
        <f t="shared" ca="1" si="13"/>
        <v>-9.9499999999991928E-2</v>
      </c>
      <c r="N1181" s="120">
        <f t="shared" ca="1" si="13"/>
        <v>-0.77540000000000475</v>
      </c>
      <c r="O1181" s="120">
        <f t="shared" ca="1" si="13"/>
        <v>1.2145999999999901</v>
      </c>
      <c r="P1181" s="120">
        <f t="shared" ca="1" si="13"/>
        <v>-0.14419999999999789</v>
      </c>
      <c r="Q1181" s="120">
        <f t="shared" ca="1" si="13"/>
        <v>-3.7999999999996703E-2</v>
      </c>
      <c r="R1181" s="120">
        <f t="shared" ca="1" si="13"/>
        <v>-4.8400000000000887E-2</v>
      </c>
      <c r="S1181" s="120">
        <f t="shared" ca="1" si="15"/>
        <v>-2.5103343467826278E-2</v>
      </c>
      <c r="V1181" s="3">
        <f t="shared" ref="V1181:V1203" ca="1" si="16">SUMPRODUCT(K1181:P1181,$K$1173:$P$1173)/100+V1180</f>
        <v>-0.12413300000000049</v>
      </c>
      <c r="W1181" s="3">
        <f t="shared" ref="W1181:W1203" ca="1" si="17">SUMPRODUCT(K1181:S1181,$K$1173:$S$1173)/100+W1180</f>
        <v>-0.10324235099930494</v>
      </c>
    </row>
    <row r="1182" spans="1:23">
      <c r="A1182" s="114">
        <v>41108</v>
      </c>
      <c r="B1182" s="121">
        <v>102.86</v>
      </c>
      <c r="C1182" s="121">
        <v>100.4958</v>
      </c>
      <c r="D1182" s="121">
        <v>101.10039999999999</v>
      </c>
      <c r="E1182" s="121">
        <v>102.3019</v>
      </c>
      <c r="F1182" s="121">
        <v>102.2534</v>
      </c>
      <c r="G1182" s="121">
        <v>102.292</v>
      </c>
      <c r="H1182" s="121">
        <v>99.77</v>
      </c>
      <c r="I1182" s="121">
        <v>101.7754</v>
      </c>
      <c r="J1182" s="121">
        <v>0.91561884617025946</v>
      </c>
      <c r="K1182" s="120">
        <f t="shared" ca="1" si="14"/>
        <v>-9.9999999999994316E-2</v>
      </c>
      <c r="L1182" s="120">
        <f t="shared" ca="1" si="13"/>
        <v>0.15550000000000352</v>
      </c>
      <c r="M1182" s="120">
        <f t="shared" ca="1" si="13"/>
        <v>-9.9200000000010391E-2</v>
      </c>
      <c r="N1182" s="120">
        <f t="shared" ca="1" si="13"/>
        <v>0.8037000000000063</v>
      </c>
      <c r="O1182" s="120">
        <f t="shared" ca="1" si="13"/>
        <v>-1.2129999999999939</v>
      </c>
      <c r="P1182" s="120">
        <f t="shared" ca="1" si="13"/>
        <v>-1.9400000000004525E-2</v>
      </c>
      <c r="Q1182" s="120">
        <f t="shared" ca="1" si="13"/>
        <v>-2.8000000000005798E-2</v>
      </c>
      <c r="R1182" s="120">
        <f t="shared" ca="1" si="13"/>
        <v>3.3000000000100727E-3</v>
      </c>
      <c r="S1182" s="120">
        <f t="shared" ca="1" si="15"/>
        <v>-1.2261914473821633E-2</v>
      </c>
      <c r="V1182" s="3">
        <f t="shared" ca="1" si="16"/>
        <v>-3.7893000000000676E-2</v>
      </c>
      <c r="W1182" s="3">
        <f t="shared" ca="1" si="17"/>
        <v>-2.5507803546831603E-3</v>
      </c>
    </row>
    <row r="1183" spans="1:23">
      <c r="A1183" s="114">
        <v>41109</v>
      </c>
      <c r="B1183" s="121">
        <v>102.82</v>
      </c>
      <c r="C1183" s="121">
        <v>100.49169999999999</v>
      </c>
      <c r="D1183" s="121">
        <v>101.1009</v>
      </c>
      <c r="E1183" s="121">
        <v>101.4992</v>
      </c>
      <c r="F1183" s="121">
        <v>102.25579999999999</v>
      </c>
      <c r="G1183" s="121">
        <v>102.30289999999999</v>
      </c>
      <c r="H1183" s="121">
        <v>99.757999999999996</v>
      </c>
      <c r="I1183" s="121">
        <v>101.7313</v>
      </c>
      <c r="J1183" s="121">
        <v>0.86918757602393981</v>
      </c>
      <c r="K1183" s="120">
        <f t="shared" ca="1" si="14"/>
        <v>-4.0000000000006253E-2</v>
      </c>
      <c r="L1183" s="120">
        <f t="shared" ca="1" si="13"/>
        <v>-4.1000000000082082E-3</v>
      </c>
      <c r="M1183" s="120">
        <f t="shared" ca="1" si="13"/>
        <v>5.0000000000238742E-4</v>
      </c>
      <c r="N1183" s="120">
        <f t="shared" ca="1" si="13"/>
        <v>-0.80270000000000152</v>
      </c>
      <c r="O1183" s="120">
        <f t="shared" ca="1" si="13"/>
        <v>2.3999999999944066E-3</v>
      </c>
      <c r="P1183" s="120">
        <f t="shared" ca="1" si="13"/>
        <v>1.089999999999236E-2</v>
      </c>
      <c r="Q1183" s="120">
        <f t="shared" ca="1" si="13"/>
        <v>-1.2000000000000455E-2</v>
      </c>
      <c r="R1183" s="120">
        <f t="shared" ca="1" si="13"/>
        <v>-4.410000000000025E-2</v>
      </c>
      <c r="S1183" s="120">
        <f t="shared" ca="1" si="15"/>
        <v>-4.6431270146319648E-2</v>
      </c>
      <c r="V1183" s="3">
        <f t="shared" ca="1" si="16"/>
        <v>-0.15877000000000263</v>
      </c>
      <c r="W1183" s="3">
        <f t="shared" ca="1" si="17"/>
        <v>-0.11101657692647157</v>
      </c>
    </row>
    <row r="1184" spans="1:23">
      <c r="A1184" s="114">
        <v>41110</v>
      </c>
      <c r="B1184" s="121">
        <v>102.81</v>
      </c>
      <c r="C1184" s="121">
        <v>100.45569999999999</v>
      </c>
      <c r="D1184" s="121">
        <v>101.1044</v>
      </c>
      <c r="E1184" s="121">
        <v>101.4986</v>
      </c>
      <c r="F1184" s="121">
        <v>103.60290000000001</v>
      </c>
      <c r="G1184" s="121">
        <v>102.2991</v>
      </c>
      <c r="H1184" s="121">
        <v>99.738</v>
      </c>
      <c r="I1184" s="121">
        <v>101.74769999999999</v>
      </c>
      <c r="J1184" s="121">
        <v>0.89076428571304689</v>
      </c>
      <c r="K1184" s="120">
        <f t="shared" ca="1" si="14"/>
        <v>-9.9999999999909051E-3</v>
      </c>
      <c r="L1184" s="120">
        <f t="shared" ca="1" si="13"/>
        <v>-3.6000000000001364E-2</v>
      </c>
      <c r="M1184" s="120">
        <f t="shared" ca="1" si="13"/>
        <v>3.5000000000025011E-3</v>
      </c>
      <c r="N1184" s="120">
        <f t="shared" ca="1" si="13"/>
        <v>-6.0000000000570708E-4</v>
      </c>
      <c r="O1184" s="120">
        <f t="shared" ca="1" si="13"/>
        <v>1.3471000000000117</v>
      </c>
      <c r="P1184" s="120">
        <f t="shared" ca="1" si="13"/>
        <v>-3.7999999999982492E-3</v>
      </c>
      <c r="Q1184" s="120">
        <f t="shared" ca="1" si="13"/>
        <v>-1.9999999999996021E-2</v>
      </c>
      <c r="R1184" s="120">
        <f t="shared" ca="1" si="13"/>
        <v>1.63999999999902E-2</v>
      </c>
      <c r="S1184" s="120">
        <f t="shared" ca="1" si="15"/>
        <v>2.1576709689107076E-2</v>
      </c>
      <c r="V1184" s="3">
        <f t="shared" ca="1" si="16"/>
        <v>-0.13443800000000236</v>
      </c>
      <c r="W1184" s="3">
        <f t="shared" ca="1" si="17"/>
        <v>-8.0942698026005899E-2</v>
      </c>
    </row>
    <row r="1185" spans="1:23">
      <c r="A1185" s="114">
        <v>41113</v>
      </c>
      <c r="B1185" s="121">
        <v>102.8</v>
      </c>
      <c r="C1185" s="121">
        <v>100.5035</v>
      </c>
      <c r="D1185" s="121">
        <v>101.20189999999999</v>
      </c>
      <c r="E1185" s="121">
        <v>101.50020000000001</v>
      </c>
      <c r="F1185" s="121">
        <v>102.2689</v>
      </c>
      <c r="G1185" s="121">
        <v>102.3032</v>
      </c>
      <c r="H1185" s="121">
        <v>99.768000000000001</v>
      </c>
      <c r="I1185" s="121">
        <v>101.7274</v>
      </c>
      <c r="J1185" s="121">
        <v>0.87310337350591283</v>
      </c>
      <c r="K1185" s="120">
        <f t="shared" ca="1" si="14"/>
        <v>-1.0000000000005116E-2</v>
      </c>
      <c r="L1185" s="120">
        <f t="shared" ca="1" si="13"/>
        <v>4.7800000000009391E-2</v>
      </c>
      <c r="M1185" s="120">
        <f t="shared" ca="1" si="13"/>
        <v>9.7499999999996589E-2</v>
      </c>
      <c r="N1185" s="120">
        <f t="shared" ca="1" si="13"/>
        <v>1.6000000000104819E-3</v>
      </c>
      <c r="O1185" s="120">
        <f t="shared" ca="1" si="13"/>
        <v>-1.3340000000000032</v>
      </c>
      <c r="P1185" s="120">
        <f t="shared" ca="1" si="13"/>
        <v>4.1000000000082082E-3</v>
      </c>
      <c r="Q1185" s="120">
        <f t="shared" ca="1" si="13"/>
        <v>3.0000000000001137E-2</v>
      </c>
      <c r="R1185" s="120">
        <f t="shared" ca="1" si="13"/>
        <v>-2.0299999999991769E-2</v>
      </c>
      <c r="S1185" s="120">
        <f t="shared" ca="1" si="15"/>
        <v>-1.7660912207134061E-2</v>
      </c>
      <c r="V1185" s="3">
        <f t="shared" ca="1" si="16"/>
        <v>-0.14862299999999976</v>
      </c>
      <c r="W1185" s="3">
        <f ca="1">SUMPRODUCT(K1185:S1185,$K$1173:$S$1173)/100+W1184</f>
        <v>-0.1059608692310597</v>
      </c>
    </row>
    <row r="1186" spans="1:23">
      <c r="A1186" s="114">
        <v>41114</v>
      </c>
      <c r="B1186" s="121">
        <v>102.83</v>
      </c>
      <c r="C1186" s="121">
        <v>100.4735</v>
      </c>
      <c r="D1186" s="121">
        <v>101.1005</v>
      </c>
      <c r="E1186" s="121">
        <v>101.4991</v>
      </c>
      <c r="F1186" s="121">
        <v>102.2713</v>
      </c>
      <c r="G1186" s="121">
        <v>102.30070000000001</v>
      </c>
      <c r="H1186" s="121">
        <v>99.84</v>
      </c>
      <c r="I1186" s="121">
        <v>101.765</v>
      </c>
      <c r="J1186" s="121">
        <v>0.93259047115168237</v>
      </c>
      <c r="K1186" s="120">
        <f t="shared" ca="1" si="14"/>
        <v>3.0000000000001137E-2</v>
      </c>
      <c r="L1186" s="120">
        <f t="shared" ca="1" si="13"/>
        <v>-3.0000000000001137E-2</v>
      </c>
      <c r="M1186" s="120">
        <f t="shared" ca="1" si="13"/>
        <v>-0.10139999999999816</v>
      </c>
      <c r="N1186" s="120">
        <f t="shared" ca="1" si="13"/>
        <v>-1.1000000000080945E-3</v>
      </c>
      <c r="O1186" s="120">
        <f t="shared" ca="1" si="13"/>
        <v>2.3999999999944066E-3</v>
      </c>
      <c r="P1186" s="120">
        <f t="shared" ca="1" si="13"/>
        <v>-2.4999999999977263E-3</v>
      </c>
      <c r="Q1186" s="120">
        <f t="shared" ca="1" si="13"/>
        <v>7.2000000000002728E-2</v>
      </c>
      <c r="R1186" s="120">
        <f t="shared" ca="1" si="13"/>
        <v>3.7599999999997635E-2</v>
      </c>
      <c r="S1186" s="120">
        <f t="shared" ca="1" si="15"/>
        <v>5.9487097645769538E-2</v>
      </c>
      <c r="V1186" s="3">
        <f t="shared" ca="1" si="16"/>
        <v>-0.15925500000000056</v>
      </c>
      <c r="W1186" s="3">
        <f t="shared" ca="1" si="17"/>
        <v>-0.1579755255666335</v>
      </c>
    </row>
    <row r="1187" spans="1:23">
      <c r="A1187" s="114">
        <v>41115</v>
      </c>
      <c r="B1187" s="121">
        <v>102.84</v>
      </c>
      <c r="C1187" s="121">
        <v>100.4957</v>
      </c>
      <c r="D1187" s="121">
        <v>101.0997</v>
      </c>
      <c r="E1187" s="121">
        <v>102.17570000000001</v>
      </c>
      <c r="F1187" s="121">
        <v>102.27290000000001</v>
      </c>
      <c r="G1187" s="121">
        <v>102.3001</v>
      </c>
      <c r="H1187" s="121">
        <v>99.83</v>
      </c>
      <c r="I1187" s="121">
        <v>101.73399999999999</v>
      </c>
      <c r="J1187" s="121">
        <v>0.95644431300916644</v>
      </c>
      <c r="K1187" s="120">
        <f t="shared" ca="1" si="14"/>
        <v>1.0000000000005116E-2</v>
      </c>
      <c r="L1187" s="120">
        <f t="shared" ca="1" si="13"/>
        <v>2.2199999999997999E-2</v>
      </c>
      <c r="M1187" s="120">
        <f t="shared" ca="1" si="13"/>
        <v>-7.9999999999813554E-4</v>
      </c>
      <c r="N1187" s="120">
        <f t="shared" ca="1" si="13"/>
        <v>0.67660000000000764</v>
      </c>
      <c r="O1187" s="120">
        <f t="shared" ca="1" si="13"/>
        <v>1.6000000000104819E-3</v>
      </c>
      <c r="P1187" s="120">
        <f t="shared" ca="1" si="13"/>
        <v>-6.0000000000570708E-4</v>
      </c>
      <c r="Q1187" s="120">
        <f t="shared" ca="1" si="13"/>
        <v>-1.0000000000005116E-2</v>
      </c>
      <c r="R1187" s="120">
        <f t="shared" ca="1" si="13"/>
        <v>-3.1000000000005912E-2</v>
      </c>
      <c r="S1187" s="120">
        <f t="shared" ca="1" si="15"/>
        <v>2.385384185748407E-2</v>
      </c>
      <c r="V1187" s="3">
        <f t="shared" ca="1" si="16"/>
        <v>-5.6292999999999718E-2</v>
      </c>
      <c r="W1187" s="3">
        <f t="shared" ca="1" si="17"/>
        <v>-5.4115497627274231E-2</v>
      </c>
    </row>
    <row r="1188" spans="1:23">
      <c r="A1188" s="114">
        <v>41116</v>
      </c>
      <c r="B1188" s="121">
        <v>102.81</v>
      </c>
      <c r="C1188" s="121">
        <v>100.4041</v>
      </c>
      <c r="D1188" s="121">
        <v>101.0997</v>
      </c>
      <c r="E1188" s="121">
        <v>101.4983</v>
      </c>
      <c r="F1188" s="121">
        <v>102.2745</v>
      </c>
      <c r="G1188" s="121">
        <v>102.2991</v>
      </c>
      <c r="H1188" s="121">
        <v>99.82</v>
      </c>
      <c r="I1188" s="121">
        <v>101.7244</v>
      </c>
      <c r="J1188" s="121">
        <v>0.94505696714503173</v>
      </c>
      <c r="K1188" s="120">
        <f t="shared" ca="1" si="14"/>
        <v>-3.0000000000001137E-2</v>
      </c>
      <c r="L1188" s="120">
        <f t="shared" ca="1" si="13"/>
        <v>-9.1599999999999682E-2</v>
      </c>
      <c r="M1188" s="120">
        <f t="shared" ca="1" si="13"/>
        <v>0</v>
      </c>
      <c r="N1188" s="120">
        <f t="shared" ca="1" si="13"/>
        <v>-0.67740000000000578</v>
      </c>
      <c r="O1188" s="120">
        <f t="shared" ca="1" si="13"/>
        <v>1.5999999999962711E-3</v>
      </c>
      <c r="P1188" s="120">
        <f t="shared" ca="1" si="13"/>
        <v>-1.0000000000047748E-3</v>
      </c>
      <c r="Q1188" s="120">
        <f t="shared" ca="1" si="13"/>
        <v>-1.0000000000005116E-2</v>
      </c>
      <c r="R1188" s="120">
        <f t="shared" ca="1" si="13"/>
        <v>-9.5999999999918373E-3</v>
      </c>
      <c r="S1188" s="120">
        <f t="shared" ca="1" si="15"/>
        <v>-1.1387345864134701E-2</v>
      </c>
      <c r="V1188" s="3">
        <f t="shared" ca="1" si="16"/>
        <v>-0.16410100000000141</v>
      </c>
      <c r="W1188" s="3">
        <f t="shared" ca="1" si="17"/>
        <v>-0.15570398838039595</v>
      </c>
    </row>
    <row r="1189" spans="1:23">
      <c r="A1189" s="114">
        <v>41117</v>
      </c>
      <c r="B1189" s="121">
        <v>102.87</v>
      </c>
      <c r="C1189" s="121">
        <v>100.4045</v>
      </c>
      <c r="D1189" s="121">
        <v>101.0985</v>
      </c>
      <c r="E1189" s="121">
        <v>101.5</v>
      </c>
      <c r="F1189" s="121">
        <v>102.2726</v>
      </c>
      <c r="G1189" s="121">
        <v>102.0312</v>
      </c>
      <c r="H1189" s="121">
        <v>99.835999999999999</v>
      </c>
      <c r="I1189" s="121">
        <v>101.70010000000001</v>
      </c>
      <c r="J1189" s="121">
        <v>0.90621902699486512</v>
      </c>
      <c r="K1189" s="120">
        <f t="shared" ca="1" si="14"/>
        <v>6.0000000000002274E-2</v>
      </c>
      <c r="L1189" s="120">
        <f t="shared" ca="1" si="13"/>
        <v>3.9999999999906777E-4</v>
      </c>
      <c r="M1189" s="120">
        <f t="shared" ca="1" si="13"/>
        <v>-1.1999999999972033E-3</v>
      </c>
      <c r="N1189" s="120">
        <f t="shared" ca="1" si="13"/>
        <v>1.6999999999995907E-3</v>
      </c>
      <c r="O1189" s="120">
        <f t="shared" ca="1" si="13"/>
        <v>-1.90000000000623E-3</v>
      </c>
      <c r="P1189" s="120">
        <f t="shared" ca="1" si="13"/>
        <v>-0.26789999999999736</v>
      </c>
      <c r="Q1189" s="120">
        <f t="shared" ca="1" si="13"/>
        <v>1.6000000000005343E-2</v>
      </c>
      <c r="R1189" s="120">
        <f t="shared" ca="1" si="13"/>
        <v>-2.4299999999996658E-2</v>
      </c>
      <c r="S1189" s="120">
        <f t="shared" ca="1" si="15"/>
        <v>-3.8837940150166617E-2</v>
      </c>
      <c r="V1189" s="3">
        <f t="shared" ca="1" si="16"/>
        <v>-0.20116900000000085</v>
      </c>
      <c r="W1189" s="3">
        <f t="shared" ca="1" si="17"/>
        <v>-0.19410739113230427</v>
      </c>
    </row>
    <row r="1190" spans="1:23">
      <c r="A1190" s="114">
        <v>41120</v>
      </c>
      <c r="B1190" s="121">
        <v>102.77</v>
      </c>
      <c r="C1190" s="121">
        <v>99.901300000000006</v>
      </c>
      <c r="D1190" s="121">
        <v>100.99930000000001</v>
      </c>
      <c r="E1190" s="121">
        <v>102.1116</v>
      </c>
      <c r="F1190" s="121">
        <v>103.5064</v>
      </c>
      <c r="G1190" s="121">
        <v>102.2989</v>
      </c>
      <c r="H1190" s="121">
        <v>99.88</v>
      </c>
      <c r="I1190" s="121">
        <v>101.6564</v>
      </c>
      <c r="J1190" s="121">
        <v>0.87844065116760461</v>
      </c>
      <c r="K1190" s="120">
        <f t="shared" ca="1" si="14"/>
        <v>-0.10000000000000853</v>
      </c>
      <c r="L1190" s="120">
        <f t="shared" ca="1" si="14"/>
        <v>-0.50319999999999254</v>
      </c>
      <c r="M1190" s="120">
        <f t="shared" ca="1" si="14"/>
        <v>-9.919999999999618E-2</v>
      </c>
      <c r="N1190" s="120">
        <f t="shared" ca="1" si="14"/>
        <v>0.6115999999999957</v>
      </c>
      <c r="O1190" s="120">
        <f t="shared" ca="1" si="14"/>
        <v>1.2338000000000022</v>
      </c>
      <c r="P1190" s="120">
        <f t="shared" ca="1" si="14"/>
        <v>0.26770000000000493</v>
      </c>
      <c r="Q1190" s="120">
        <f t="shared" ca="1" si="14"/>
        <v>4.399999999999693E-2</v>
      </c>
      <c r="R1190" s="120">
        <f t="shared" ca="1" si="14"/>
        <v>-4.3700000000001182E-2</v>
      </c>
      <c r="S1190" s="120">
        <f t="shared" ca="1" si="15"/>
        <v>-2.7778375827260504E-2</v>
      </c>
      <c r="V1190" s="3">
        <f t="shared" ca="1" si="16"/>
        <v>-8.4678000000000378E-2</v>
      </c>
      <c r="W1190" s="3">
        <f t="shared" ca="1" si="17"/>
        <v>-9.322180754205088E-2</v>
      </c>
    </row>
    <row r="1191" spans="1:23">
      <c r="A1191" s="114">
        <v>41121</v>
      </c>
      <c r="B1191" s="121">
        <v>102.75</v>
      </c>
      <c r="C1191" s="121">
        <v>99.914900000000003</v>
      </c>
      <c r="D1191" s="121">
        <v>100.9995</v>
      </c>
      <c r="E1191" s="121">
        <v>101.9913</v>
      </c>
      <c r="F1191" s="121">
        <v>103.30589999999999</v>
      </c>
      <c r="G1191" s="121">
        <v>102.29949999999999</v>
      </c>
      <c r="H1191" s="121">
        <v>99.83</v>
      </c>
      <c r="I1191" s="121">
        <v>101.5489</v>
      </c>
      <c r="J1191" s="121">
        <v>0.84705663108900531</v>
      </c>
      <c r="K1191" s="120">
        <f t="shared" ca="1" si="14"/>
        <v>-1.9999999999996021E-2</v>
      </c>
      <c r="L1191" s="120">
        <f t="shared" ca="1" si="14"/>
        <v>1.3599999999996726E-2</v>
      </c>
      <c r="M1191" s="120">
        <f t="shared" ca="1" si="14"/>
        <v>1.9999999999242846E-4</v>
      </c>
      <c r="N1191" s="120">
        <f t="shared" ca="1" si="14"/>
        <v>-0.1203000000000003</v>
      </c>
      <c r="O1191" s="120">
        <f t="shared" ca="1" si="14"/>
        <v>-0.20050000000000523</v>
      </c>
      <c r="P1191" s="120">
        <f t="shared" ca="1" si="14"/>
        <v>5.9999999999149622E-4</v>
      </c>
      <c r="Q1191" s="120">
        <f t="shared" ca="1" si="14"/>
        <v>-4.9999999999997158E-2</v>
      </c>
      <c r="R1191" s="120">
        <f t="shared" ca="1" si="14"/>
        <v>-0.10750000000000171</v>
      </c>
      <c r="S1191" s="120">
        <f t="shared" ca="1" si="15"/>
        <v>-3.1384020078599306E-2</v>
      </c>
      <c r="V1191" s="3">
        <f t="shared" ca="1" si="16"/>
        <v>-0.10694300000000252</v>
      </c>
      <c r="W1191" s="3">
        <f t="shared" ca="1" si="17"/>
        <v>-8.8247765330355651E-2</v>
      </c>
    </row>
    <row r="1192" spans="1:23">
      <c r="A1192" s="114">
        <v>41122</v>
      </c>
      <c r="B1192" s="121">
        <v>102.68</v>
      </c>
      <c r="C1192" s="121">
        <v>99.854799999999997</v>
      </c>
      <c r="D1192" s="121">
        <v>100.8995</v>
      </c>
      <c r="E1192" s="121">
        <v>101.93089999999999</v>
      </c>
      <c r="F1192" s="121">
        <v>102.2826</v>
      </c>
      <c r="G1192" s="121">
        <v>102.20050000000001</v>
      </c>
      <c r="H1192" s="121">
        <v>99.74</v>
      </c>
      <c r="I1192" s="121">
        <v>101.6332</v>
      </c>
      <c r="J1192" s="121">
        <v>0.88627250066555696</v>
      </c>
      <c r="K1192" s="120">
        <f t="shared" ca="1" si="14"/>
        <v>-6.9999999999993179E-2</v>
      </c>
      <c r="L1192" s="120">
        <f t="shared" ca="1" si="14"/>
        <v>-6.0100000000005593E-2</v>
      </c>
      <c r="M1192" s="120">
        <f t="shared" ca="1" si="14"/>
        <v>-9.9999999999994316E-2</v>
      </c>
      <c r="N1192" s="120">
        <f t="shared" ca="1" si="14"/>
        <v>-6.0400000000001342E-2</v>
      </c>
      <c r="O1192" s="120">
        <f t="shared" ca="1" si="14"/>
        <v>-1.0232999999999919</v>
      </c>
      <c r="P1192" s="120">
        <f t="shared" ca="1" si="14"/>
        <v>-9.8999999999989541E-2</v>
      </c>
      <c r="Q1192" s="120">
        <f t="shared" ca="1" si="14"/>
        <v>-9.0000000000003411E-2</v>
      </c>
      <c r="R1192" s="120">
        <f t="shared" ca="1" si="14"/>
        <v>8.4299999999998931E-2</v>
      </c>
      <c r="S1192" s="120">
        <f t="shared" ca="1" si="15"/>
        <v>3.9215869576551654E-2</v>
      </c>
      <c r="V1192" s="3">
        <f t="shared" ca="1" si="16"/>
        <v>-0.16782400000000036</v>
      </c>
      <c r="W1192" s="3">
        <f t="shared" ca="1" si="17"/>
        <v>-0.11455043058631051</v>
      </c>
    </row>
    <row r="1193" spans="1:23">
      <c r="A1193" s="114">
        <v>41123</v>
      </c>
      <c r="B1193" s="121">
        <v>102.67</v>
      </c>
      <c r="C1193" s="121">
        <v>99.877700000000004</v>
      </c>
      <c r="D1193" s="121">
        <v>100.8993</v>
      </c>
      <c r="E1193" s="121">
        <v>101.9003</v>
      </c>
      <c r="F1193" s="121">
        <v>103.27500000000001</v>
      </c>
      <c r="G1193" s="121">
        <v>101.9978</v>
      </c>
      <c r="H1193" s="121">
        <v>99.688000000000002</v>
      </c>
      <c r="I1193" s="121">
        <v>101.6246</v>
      </c>
      <c r="J1193" s="121">
        <v>0.86768118052548004</v>
      </c>
      <c r="K1193" s="120">
        <f t="shared" ca="1" si="14"/>
        <v>-1.0000000000005116E-2</v>
      </c>
      <c r="L1193" s="120">
        <f t="shared" ca="1" si="14"/>
        <v>2.2900000000007026E-2</v>
      </c>
      <c r="M1193" s="120">
        <f t="shared" ca="1" si="14"/>
        <v>-2.0000000000663931E-4</v>
      </c>
      <c r="N1193" s="120">
        <f t="shared" ca="1" si="14"/>
        <v>-3.0599999999992633E-2</v>
      </c>
      <c r="O1193" s="120">
        <f t="shared" ca="1" si="14"/>
        <v>0.9924000000000035</v>
      </c>
      <c r="P1193" s="120">
        <f t="shared" ca="1" si="14"/>
        <v>-0.20270000000000721</v>
      </c>
      <c r="Q1193" s="120">
        <f t="shared" ca="1" si="14"/>
        <v>-5.1999999999992497E-2</v>
      </c>
      <c r="R1193" s="120">
        <f t="shared" ca="1" si="14"/>
        <v>-8.6000000000012733E-3</v>
      </c>
      <c r="S1193" s="120">
        <f t="shared" ca="1" si="15"/>
        <v>-1.8591320140076917E-2</v>
      </c>
      <c r="V1193" s="3">
        <f t="shared" ca="1" si="16"/>
        <v>-0.18234600000000084</v>
      </c>
      <c r="W1193" s="3">
        <f t="shared" ca="1" si="17"/>
        <v>-0.10286510855763945</v>
      </c>
    </row>
    <row r="1194" spans="1:23">
      <c r="A1194" s="112">
        <v>41124</v>
      </c>
      <c r="B1194" s="123">
        <v>102.7</v>
      </c>
      <c r="C1194" s="121">
        <v>99.866799999999998</v>
      </c>
      <c r="D1194" s="121">
        <v>100.8976</v>
      </c>
      <c r="E1194" s="121">
        <v>101.8683</v>
      </c>
      <c r="F1194" s="121">
        <v>103.30419999999999</v>
      </c>
      <c r="G1194" s="121">
        <v>101.8302</v>
      </c>
      <c r="H1194" s="121">
        <v>99.73</v>
      </c>
      <c r="I1194" s="121">
        <v>101.5444</v>
      </c>
      <c r="J1194" s="121">
        <v>0.86980460702731399</v>
      </c>
      <c r="K1194" s="120">
        <f t="shared" ca="1" si="14"/>
        <v>3.0000000000001137E-2</v>
      </c>
      <c r="L1194" s="120">
        <f t="shared" ca="1" si="14"/>
        <v>-1.0900000000006571E-2</v>
      </c>
      <c r="M1194" s="120">
        <f t="shared" ca="1" si="14"/>
        <v>-1.6999999999995907E-3</v>
      </c>
      <c r="N1194" s="120">
        <f t="shared" ca="1" si="14"/>
        <v>-3.1999999999996476E-2</v>
      </c>
      <c r="O1194" s="120">
        <f t="shared" ca="1" si="14"/>
        <v>2.919999999998879E-2</v>
      </c>
      <c r="P1194" s="120">
        <f t="shared" ca="1" si="14"/>
        <v>-0.16759999999999309</v>
      </c>
      <c r="Q1194" s="120">
        <f t="shared" ca="1" si="14"/>
        <v>4.2000000000001592E-2</v>
      </c>
      <c r="R1194" s="120">
        <f t="shared" ca="1" si="14"/>
        <v>-8.0200000000004934E-2</v>
      </c>
      <c r="S1194" s="120">
        <f t="shared" ca="1" si="15"/>
        <v>2.1234265018339471E-3</v>
      </c>
      <c r="V1194" s="3">
        <f t="shared" ca="1" si="16"/>
        <v>-0.21091699999999974</v>
      </c>
      <c r="W1194" s="3">
        <f t="shared" ca="1" si="17"/>
        <v>-0.15065674969285464</v>
      </c>
    </row>
    <row r="1195" spans="1:23">
      <c r="A1195" s="114">
        <v>41127</v>
      </c>
      <c r="B1195" s="121">
        <v>102.68</v>
      </c>
      <c r="C1195" s="121">
        <v>99.802300000000002</v>
      </c>
      <c r="D1195" s="121">
        <v>100.8991</v>
      </c>
      <c r="E1195" s="121">
        <v>101.77849999999999</v>
      </c>
      <c r="F1195" s="121">
        <v>103.267</v>
      </c>
      <c r="G1195" s="121">
        <v>101.9511</v>
      </c>
      <c r="H1195" s="121">
        <v>99.697999999999993</v>
      </c>
      <c r="I1195" s="121">
        <v>101.379</v>
      </c>
      <c r="J1195" s="121">
        <v>0.50635013143006447</v>
      </c>
      <c r="K1195" s="120">
        <f t="shared" ca="1" si="14"/>
        <v>-1.9999999999996021E-2</v>
      </c>
      <c r="L1195" s="120">
        <f t="shared" ca="1" si="14"/>
        <v>-6.4499999999995339E-2</v>
      </c>
      <c r="M1195" s="120">
        <f t="shared" ca="1" si="14"/>
        <v>1.5000000000071623E-3</v>
      </c>
      <c r="N1195" s="120">
        <f t="shared" ca="1" si="14"/>
        <v>-8.9800000000010982E-2</v>
      </c>
      <c r="O1195" s="120">
        <f t="shared" ca="1" si="14"/>
        <v>-3.7199999999998568E-2</v>
      </c>
      <c r="P1195" s="120">
        <f t="shared" ca="1" si="14"/>
        <v>0.12089999999999179</v>
      </c>
      <c r="Q1195" s="120">
        <f t="shared" ca="1" si="14"/>
        <v>-3.2000000000010687E-2</v>
      </c>
      <c r="R1195" s="120">
        <f t="shared" ca="1" si="14"/>
        <v>-0.16539999999999111</v>
      </c>
      <c r="S1195" s="120">
        <f t="shared" ca="1" si="15"/>
        <v>-0.36345447559724953</v>
      </c>
      <c r="V1195" s="3">
        <f t="shared" ca="1" si="16"/>
        <v>-0.21107100000000145</v>
      </c>
      <c r="W1195" s="3">
        <f t="shared" ca="1" si="17"/>
        <v>-8.1528484846842122E-2</v>
      </c>
    </row>
    <row r="1196" spans="1:23">
      <c r="A1196" s="114">
        <v>41128</v>
      </c>
      <c r="B1196" s="121">
        <v>102.48</v>
      </c>
      <c r="C1196" s="121">
        <v>99.761799999999994</v>
      </c>
      <c r="D1196" s="121">
        <v>100.7993</v>
      </c>
      <c r="E1196" s="121">
        <v>101.5406</v>
      </c>
      <c r="F1196" s="121">
        <v>103.12730000000001</v>
      </c>
      <c r="G1196" s="121">
        <v>101.85550000000001</v>
      </c>
      <c r="H1196" s="121">
        <v>99.658000000000001</v>
      </c>
      <c r="I1196" s="121">
        <v>101.2462</v>
      </c>
      <c r="J1196" s="121">
        <v>0.60745035768522371</v>
      </c>
      <c r="K1196" s="120">
        <f t="shared" ca="1" si="14"/>
        <v>-0.20000000000000284</v>
      </c>
      <c r="L1196" s="120">
        <f t="shared" ca="1" si="14"/>
        <v>-4.050000000000864E-2</v>
      </c>
      <c r="M1196" s="120">
        <f t="shared" ca="1" si="14"/>
        <v>-9.9800000000001887E-2</v>
      </c>
      <c r="N1196" s="120">
        <f t="shared" ca="1" si="14"/>
        <v>-0.23789999999999623</v>
      </c>
      <c r="O1196" s="120">
        <f t="shared" ca="1" si="14"/>
        <v>-0.13969999999999061</v>
      </c>
      <c r="P1196" s="120">
        <f t="shared" ca="1" si="14"/>
        <v>-9.5599999999990359E-2</v>
      </c>
      <c r="Q1196" s="120">
        <f t="shared" ca="1" si="14"/>
        <v>-3.9999999999992042E-2</v>
      </c>
      <c r="R1196" s="120">
        <f t="shared" ca="1" si="14"/>
        <v>-0.13280000000000314</v>
      </c>
      <c r="S1196" s="120">
        <f t="shared" ca="1" si="15"/>
        <v>0.10110022625515924</v>
      </c>
      <c r="V1196" s="3">
        <f t="shared" ca="1" si="16"/>
        <v>-0.28589500000000001</v>
      </c>
      <c r="W1196" s="3">
        <f t="shared" ca="1" si="17"/>
        <v>-0.15361879676722803</v>
      </c>
    </row>
    <row r="1197" spans="1:23">
      <c r="A1197" s="114">
        <v>41129</v>
      </c>
      <c r="B1197" s="121">
        <v>102.45</v>
      </c>
      <c r="C1197" s="121">
        <v>99.677000000000007</v>
      </c>
      <c r="D1197" s="121">
        <v>100.699</v>
      </c>
      <c r="E1197" s="121">
        <v>101.363</v>
      </c>
      <c r="F1197" s="121">
        <v>102.658</v>
      </c>
      <c r="G1197" s="121">
        <v>101.855</v>
      </c>
      <c r="H1197" s="121">
        <v>99.382000000000005</v>
      </c>
      <c r="I1197" s="121">
        <v>101.379</v>
      </c>
      <c r="J1197" s="121">
        <v>0.60942043153811731</v>
      </c>
      <c r="K1197" s="120">
        <f t="shared" ca="1" si="14"/>
        <v>-3.0000000000001137E-2</v>
      </c>
      <c r="L1197" s="120">
        <f t="shared" ca="1" si="14"/>
        <v>-8.4799999999987108E-2</v>
      </c>
      <c r="M1197" s="120">
        <f t="shared" ca="1" si="14"/>
        <v>-0.10030000000000427</v>
      </c>
      <c r="N1197" s="120">
        <f t="shared" ca="1" si="14"/>
        <v>-0.1775999999999982</v>
      </c>
      <c r="O1197" s="120">
        <f t="shared" ca="1" si="14"/>
        <v>-0.46930000000000405</v>
      </c>
      <c r="P1197" s="120">
        <f t="shared" ca="1" si="14"/>
        <v>-5.0000000000238742E-4</v>
      </c>
      <c r="Q1197" s="120">
        <f t="shared" ca="1" si="14"/>
        <v>-0.27599999999999625</v>
      </c>
      <c r="R1197" s="120">
        <f t="shared" ca="1" si="14"/>
        <v>0.13280000000000314</v>
      </c>
      <c r="S1197" s="120">
        <f t="shared" ca="1" si="15"/>
        <v>1.9700738528936057E-3</v>
      </c>
      <c r="V1197" s="3">
        <f t="shared" ca="1" si="16"/>
        <v>-0.33776600000000001</v>
      </c>
      <c r="W1197" s="3">
        <f t="shared" ca="1" si="17"/>
        <v>-8.1587281382828516E-2</v>
      </c>
    </row>
    <row r="1198" spans="1:23">
      <c r="A1198" s="114">
        <v>41130</v>
      </c>
      <c r="B1198" s="121">
        <v>102.33</v>
      </c>
      <c r="C1198" s="121">
        <v>99.600999999999999</v>
      </c>
      <c r="D1198" s="121">
        <v>100.399</v>
      </c>
      <c r="E1198" s="121">
        <v>101.51</v>
      </c>
      <c r="F1198" s="121">
        <v>102.81699999999999</v>
      </c>
      <c r="G1198" s="121">
        <v>101.86199999999999</v>
      </c>
      <c r="H1198" s="121">
        <v>99.4</v>
      </c>
      <c r="I1198" s="121">
        <v>101.262</v>
      </c>
      <c r="J1198" s="121">
        <v>0.58102396094620978</v>
      </c>
      <c r="K1198" s="120">
        <f t="shared" ca="1" si="14"/>
        <v>-0.12000000000000455</v>
      </c>
      <c r="L1198" s="120">
        <f t="shared" ca="1" si="14"/>
        <v>-7.6000000000007617E-2</v>
      </c>
      <c r="M1198" s="120">
        <f t="shared" ca="1" si="14"/>
        <v>-0.29999999999999716</v>
      </c>
      <c r="N1198" s="120">
        <f t="shared" ca="1" si="14"/>
        <v>0.14700000000000557</v>
      </c>
      <c r="O1198" s="120">
        <f t="shared" ca="1" si="14"/>
        <v>0.15899999999999181</v>
      </c>
      <c r="P1198" s="120">
        <f t="shared" ca="1" si="14"/>
        <v>6.9999999999907914E-3</v>
      </c>
      <c r="Q1198" s="120">
        <f t="shared" ca="1" si="14"/>
        <v>1.8000000000000682E-2</v>
      </c>
      <c r="R1198" s="120">
        <f t="shared" ca="1" si="14"/>
        <v>-0.11700000000000443</v>
      </c>
      <c r="S1198" s="120">
        <f t="shared" ca="1" si="15"/>
        <v>-2.839647059190753E-2</v>
      </c>
      <c r="V1198" s="3">
        <f t="shared" ca="1" si="16"/>
        <v>-0.35128600000000104</v>
      </c>
      <c r="W1198" s="3">
        <f t="shared" ca="1" si="17"/>
        <v>-9.8919364396373638E-2</v>
      </c>
    </row>
    <row r="1199" spans="1:23">
      <c r="A1199" s="114">
        <v>41131</v>
      </c>
      <c r="B1199" s="121">
        <v>102.34</v>
      </c>
      <c r="C1199" s="121">
        <v>99.708399999999997</v>
      </c>
      <c r="D1199" s="121">
        <v>100.52679999999999</v>
      </c>
      <c r="E1199" s="121">
        <v>101.6854</v>
      </c>
      <c r="F1199" s="121">
        <v>103.0932</v>
      </c>
      <c r="G1199" s="121">
        <v>101.99299999999999</v>
      </c>
      <c r="H1199" s="121">
        <v>99.29</v>
      </c>
      <c r="I1199" s="121">
        <v>101.3058</v>
      </c>
      <c r="J1199" s="121">
        <v>0.71705135902227468</v>
      </c>
      <c r="K1199" s="120">
        <f t="shared" ca="1" si="14"/>
        <v>1.0000000000005116E-2</v>
      </c>
      <c r="L1199" s="120">
        <f t="shared" ca="1" si="14"/>
        <v>0.10739999999999839</v>
      </c>
      <c r="M1199" s="120">
        <f t="shared" ca="1" si="14"/>
        <v>0.12779999999999347</v>
      </c>
      <c r="N1199" s="120">
        <f t="shared" ca="1" si="14"/>
        <v>0.17539999999999623</v>
      </c>
      <c r="O1199" s="120">
        <f t="shared" ca="1" si="14"/>
        <v>0.27620000000000289</v>
      </c>
      <c r="P1199" s="120">
        <f t="shared" ca="1" si="14"/>
        <v>0.13100000000000023</v>
      </c>
      <c r="Q1199" s="120">
        <f t="shared" ca="1" si="14"/>
        <v>-0.10999999999999943</v>
      </c>
      <c r="R1199" s="120">
        <f t="shared" ca="1" si="14"/>
        <v>4.3800000000004502E-2</v>
      </c>
      <c r="S1199" s="120">
        <f t="shared" ca="1" si="15"/>
        <v>0.1360273980760649</v>
      </c>
      <c r="V1199" s="3">
        <f t="shared" ca="1" si="16"/>
        <v>-0.28115200000000201</v>
      </c>
      <c r="W1199" s="3">
        <f t="shared" ca="1" si="17"/>
        <v>1.742593288347194E-4</v>
      </c>
    </row>
    <row r="1200" spans="1:23">
      <c r="A1200" s="114">
        <v>41134</v>
      </c>
      <c r="B1200" s="121">
        <v>102.37</v>
      </c>
      <c r="C1200" s="121">
        <v>99.767899999999997</v>
      </c>
      <c r="D1200" s="121">
        <v>100.55</v>
      </c>
      <c r="E1200" s="121">
        <v>101.4478</v>
      </c>
      <c r="F1200" s="121">
        <v>102.28570000000001</v>
      </c>
      <c r="G1200" s="121">
        <v>101.9603</v>
      </c>
      <c r="H1200" s="121">
        <v>99.236000000000004</v>
      </c>
      <c r="I1200" s="121">
        <v>101.1913</v>
      </c>
      <c r="J1200" s="121">
        <v>0.67067778619811769</v>
      </c>
      <c r="K1200" s="120">
        <f t="shared" ca="1" si="14"/>
        <v>3.0000000000001137E-2</v>
      </c>
      <c r="L1200" s="120">
        <f t="shared" ca="1" si="14"/>
        <v>5.9499999999999886E-2</v>
      </c>
      <c r="M1200" s="120">
        <f t="shared" ca="1" si="14"/>
        <v>2.3200000000002774E-2</v>
      </c>
      <c r="N1200" s="120">
        <f t="shared" ca="1" si="14"/>
        <v>-0.23760000000000048</v>
      </c>
      <c r="O1200" s="120">
        <f t="shared" ca="1" si="14"/>
        <v>-0.80749999999999034</v>
      </c>
      <c r="P1200" s="120">
        <f t="shared" ca="1" si="14"/>
        <v>-3.2699999999991292E-2</v>
      </c>
      <c r="Q1200" s="120">
        <f t="shared" ca="1" si="14"/>
        <v>-5.4000000000002046E-2</v>
      </c>
      <c r="R1200" s="120">
        <f t="shared" ca="1" si="14"/>
        <v>-0.11450000000000671</v>
      </c>
      <c r="S1200" s="120">
        <f t="shared" ca="1" si="15"/>
        <v>-4.6373572824156994E-2</v>
      </c>
      <c r="V1200" s="3">
        <f t="shared" ca="1" si="16"/>
        <v>-0.33105200000000023</v>
      </c>
      <c r="W1200" s="3">
        <f t="shared" ca="1" si="17"/>
        <v>-1.8423249640040058E-2</v>
      </c>
    </row>
    <row r="1201" spans="1:24">
      <c r="A1201" s="114">
        <v>41135</v>
      </c>
      <c r="B1201" s="121">
        <v>102.33</v>
      </c>
      <c r="C1201" s="121">
        <v>99.601600000000005</v>
      </c>
      <c r="D1201" s="121">
        <v>100.4019</v>
      </c>
      <c r="E1201" s="121">
        <v>101.35939999999999</v>
      </c>
      <c r="F1201" s="121">
        <v>102.75320000000001</v>
      </c>
      <c r="G1201" s="121">
        <v>101.9511</v>
      </c>
      <c r="H1201" s="121">
        <v>99.18</v>
      </c>
      <c r="I1201" s="121">
        <v>101.0519</v>
      </c>
      <c r="J1201" s="121">
        <v>0.65998595270169069</v>
      </c>
      <c r="K1201" s="120">
        <f t="shared" ca="1" si="14"/>
        <v>-4.0000000000006253E-2</v>
      </c>
      <c r="L1201" s="120">
        <f t="shared" ca="1" si="14"/>
        <v>-0.16629999999999256</v>
      </c>
      <c r="M1201" s="120">
        <f t="shared" ca="1" si="14"/>
        <v>-0.14809999999999945</v>
      </c>
      <c r="N1201" s="120">
        <f t="shared" ca="1" si="14"/>
        <v>-8.840000000000714E-2</v>
      </c>
      <c r="O1201" s="120">
        <f t="shared" ca="1" si="14"/>
        <v>0.46750000000000114</v>
      </c>
      <c r="P1201" s="120">
        <f t="shared" ca="1" si="14"/>
        <v>-9.2000000000069804E-3</v>
      </c>
      <c r="Q1201" s="120">
        <f t="shared" ca="1" si="14"/>
        <v>-5.5999999999997385E-2</v>
      </c>
      <c r="R1201" s="120">
        <f t="shared" ca="1" si="14"/>
        <v>-0.13939999999999486</v>
      </c>
      <c r="S1201" s="120">
        <f t="shared" ca="1" si="15"/>
        <v>-1.0691833496426995E-2</v>
      </c>
      <c r="V1201" s="3">
        <f t="shared" ca="1" si="16"/>
        <v>-0.3614670000000022</v>
      </c>
      <c r="W1201" s="3">
        <f t="shared" ca="1" si="17"/>
        <v>-2.2023763983549126E-2</v>
      </c>
    </row>
    <row r="1202" spans="1:24">
      <c r="A1202" s="114">
        <v>41136</v>
      </c>
      <c r="B1202" s="121">
        <v>102.21</v>
      </c>
      <c r="C1202" s="121">
        <v>99.582999999999998</v>
      </c>
      <c r="D1202" s="121">
        <v>100.402</v>
      </c>
      <c r="E1202" s="121">
        <v>101.315</v>
      </c>
      <c r="F1202" s="121">
        <v>102.48699999999999</v>
      </c>
      <c r="G1202" s="121">
        <v>101.855</v>
      </c>
      <c r="H1202" s="121">
        <v>99.126000000000005</v>
      </c>
      <c r="I1202" s="121">
        <v>100.8</v>
      </c>
      <c r="J1202" s="121">
        <v>0.57412218729635178</v>
      </c>
      <c r="K1202" s="120">
        <f t="shared" ca="1" si="14"/>
        <v>-0.12000000000000455</v>
      </c>
      <c r="L1202" s="120">
        <f t="shared" ca="1" si="14"/>
        <v>-1.8600000000006389E-2</v>
      </c>
      <c r="M1202" s="120">
        <f t="shared" ca="1" si="14"/>
        <v>1.0000000000331966E-4</v>
      </c>
      <c r="N1202" s="120">
        <f t="shared" ca="1" si="14"/>
        <v>-4.4399999999995998E-2</v>
      </c>
      <c r="O1202" s="120">
        <f t="shared" ca="1" si="14"/>
        <v>-0.26620000000001198</v>
      </c>
      <c r="P1202" s="120">
        <f t="shared" ca="1" si="14"/>
        <v>-9.6099999999992747E-2</v>
      </c>
      <c r="Q1202" s="120">
        <f t="shared" ca="1" si="14"/>
        <v>-5.4000000000002046E-2</v>
      </c>
      <c r="R1202" s="120">
        <f t="shared" ca="1" si="14"/>
        <v>-0.25190000000000623</v>
      </c>
      <c r="S1202" s="120">
        <f t="shared" ca="1" si="15"/>
        <v>-8.586376540533891E-2</v>
      </c>
      <c r="V1202" s="3">
        <f t="shared" ca="1" si="16"/>
        <v>-0.39478600000000097</v>
      </c>
      <c r="W1202" s="3">
        <f ca="1">SUMPRODUCT(K1202:S1202,$K$1173:$S$1173)/100+W1201</f>
        <v>-1.8077184440448091E-2</v>
      </c>
    </row>
    <row r="1203" spans="1:24">
      <c r="A1203" s="114">
        <v>41137</v>
      </c>
      <c r="B1203" s="121">
        <v>101.83</v>
      </c>
      <c r="C1203" s="121">
        <v>99.462000000000003</v>
      </c>
      <c r="D1203" s="121">
        <v>100.333</v>
      </c>
      <c r="E1203" s="121">
        <v>101.499</v>
      </c>
      <c r="F1203" s="121">
        <v>102.583</v>
      </c>
      <c r="G1203" s="121">
        <v>101.854</v>
      </c>
      <c r="H1203" s="121">
        <v>99.05</v>
      </c>
      <c r="I1203" s="121">
        <v>100.8</v>
      </c>
      <c r="J1203" s="121">
        <v>0.53127291511075647</v>
      </c>
      <c r="K1203" s="120">
        <f t="shared" ca="1" si="14"/>
        <v>-0.37999999999999545</v>
      </c>
      <c r="L1203" s="120">
        <f t="shared" ca="1" si="14"/>
        <v>-0.12099999999999511</v>
      </c>
      <c r="M1203" s="120">
        <f t="shared" ca="1" si="14"/>
        <v>-6.9000000000002615E-2</v>
      </c>
      <c r="N1203" s="120">
        <f t="shared" ca="1" si="14"/>
        <v>0.1839999999999975</v>
      </c>
      <c r="O1203" s="120">
        <f t="shared" ca="1" si="14"/>
        <v>9.6000000000003638E-2</v>
      </c>
      <c r="P1203" s="120">
        <f t="shared" ca="1" si="14"/>
        <v>-1.0000000000047748E-3</v>
      </c>
      <c r="Q1203" s="120">
        <f t="shared" ca="1" si="14"/>
        <v>-7.6000000000007617E-2</v>
      </c>
      <c r="R1203" s="120">
        <f t="shared" ca="1" si="14"/>
        <v>0</v>
      </c>
      <c r="S1203" s="120">
        <f t="shared" ca="1" si="15"/>
        <v>-4.2849272185595311E-2</v>
      </c>
      <c r="V1203" s="3">
        <f t="shared" ca="1" si="16"/>
        <v>-0.39736600000000177</v>
      </c>
      <c r="W1203" s="3">
        <f t="shared" ca="1" si="17"/>
        <v>2.0013130997778787E-2</v>
      </c>
    </row>
    <row r="1204" spans="1:24">
      <c r="A1204" s="114">
        <v>41138</v>
      </c>
      <c r="B1204" s="121">
        <v>101.95</v>
      </c>
      <c r="C1204" s="121">
        <v>99.418999999999997</v>
      </c>
      <c r="D1204" s="121">
        <v>100.06</v>
      </c>
      <c r="E1204" s="121">
        <v>101.21</v>
      </c>
      <c r="F1204" s="121">
        <v>102.55500000000001</v>
      </c>
      <c r="G1204" s="121">
        <v>101.8064</v>
      </c>
      <c r="H1204" s="121">
        <v>98.95</v>
      </c>
      <c r="I1204" s="121">
        <v>100.756</v>
      </c>
      <c r="J1204" s="121">
        <v>0.54151305653401316</v>
      </c>
      <c r="S1204" s="188"/>
    </row>
    <row r="1205" spans="1:24">
      <c r="A1205" s="111"/>
      <c r="B1205" s="121"/>
      <c r="C1205" s="121"/>
      <c r="D1205" s="121"/>
      <c r="E1205" s="121"/>
      <c r="F1205" s="121"/>
      <c r="G1205" s="121"/>
      <c r="H1205" s="121"/>
      <c r="V1205" s="3">
        <f ca="1">_xlfn.STDEV.P(V1181:V1203)</f>
        <v>0.10635389839811422</v>
      </c>
      <c r="W1205" s="3">
        <f ca="1">_xlfn.STDEV.P(W1181:W1203)</f>
        <v>5.6377712575264034E-2</v>
      </c>
      <c r="X1205" s="3">
        <v>5.74275533360952E-2</v>
      </c>
    </row>
    <row r="1206" spans="1:24">
      <c r="A1206" s="111"/>
      <c r="B1206" s="121"/>
      <c r="C1206" s="121"/>
      <c r="D1206" s="121"/>
      <c r="E1206" s="121"/>
      <c r="F1206" s="121"/>
      <c r="G1206" s="121"/>
      <c r="H1206" s="121"/>
      <c r="V1206" s="3">
        <f ca="1">V1203</f>
        <v>-0.39736600000000177</v>
      </c>
      <c r="W1206" s="3">
        <f ca="1">W1203</f>
        <v>2.0013130997778787E-2</v>
      </c>
      <c r="X1206" s="3">
        <v>-4.3660000000011329E-3</v>
      </c>
    </row>
    <row r="1207" spans="1:24">
      <c r="A1207" s="111"/>
      <c r="B1207" s="121"/>
      <c r="C1207" s="121"/>
      <c r="D1207" s="121"/>
      <c r="E1207" s="121"/>
      <c r="F1207" s="121"/>
      <c r="G1207" s="121"/>
      <c r="H1207" s="121"/>
    </row>
    <row r="1208" spans="1:24">
      <c r="A1208" s="111"/>
      <c r="B1208" s="121"/>
      <c r="C1208" s="121"/>
      <c r="D1208" s="121"/>
      <c r="E1208" s="121"/>
      <c r="F1208" s="121"/>
      <c r="G1208" s="121"/>
      <c r="H1208" s="121"/>
    </row>
    <row r="1209" spans="1:24">
      <c r="A1209" s="111"/>
      <c r="B1209" s="121"/>
      <c r="C1209" s="121"/>
      <c r="D1209" s="121"/>
      <c r="E1209" s="121"/>
      <c r="F1209" s="121"/>
      <c r="G1209" s="121"/>
      <c r="H1209" s="121"/>
    </row>
    <row r="1210" spans="1:24" ht="41.25" customHeight="1">
      <c r="A1210" s="111"/>
      <c r="B1210" s="121"/>
      <c r="C1210" s="121"/>
      <c r="D1210" s="121"/>
      <c r="E1210" s="121"/>
      <c r="F1210" s="121"/>
      <c r="G1210" s="121"/>
      <c r="H1210" s="121"/>
      <c r="M1210" s="138"/>
      <c r="N1210" s="139" t="s">
        <v>643</v>
      </c>
      <c r="O1210" s="139" t="s">
        <v>645</v>
      </c>
      <c r="P1210" s="189" t="s">
        <v>1329</v>
      </c>
    </row>
    <row r="1211" spans="1:24" ht="33" customHeight="1">
      <c r="A1211" s="114">
        <v>41061</v>
      </c>
      <c r="B1211" s="121"/>
      <c r="C1211" s="121"/>
      <c r="D1211" s="121"/>
      <c r="E1211" s="121"/>
      <c r="F1211" s="121"/>
      <c r="G1211" s="121"/>
      <c r="H1211" s="121"/>
      <c r="M1211" s="140" t="s">
        <v>1327</v>
      </c>
      <c r="N1211" s="141">
        <f ca="1">V1206</f>
        <v>-0.39736600000000177</v>
      </c>
      <c r="O1211" s="141">
        <f ca="1">X1206</f>
        <v>-4.3660000000011329E-3</v>
      </c>
      <c r="P1211" s="141">
        <f ca="1">W1206</f>
        <v>2.0013130997778787E-2</v>
      </c>
    </row>
    <row r="1212" spans="1:24" ht="36" customHeight="1" thickBot="1">
      <c r="A1212" s="114">
        <v>41064</v>
      </c>
      <c r="B1212" s="121"/>
      <c r="C1212" s="121"/>
      <c r="D1212" s="121"/>
      <c r="E1212" s="121"/>
      <c r="F1212" s="161">
        <f ca="1">F1150</f>
        <v>103.0013</v>
      </c>
      <c r="G1212" s="162" t="str">
        <f ca="1">B2374</f>
        <v>-</v>
      </c>
      <c r="H1212" s="161">
        <f ca="1">H1150</f>
        <v>98.94</v>
      </c>
      <c r="M1212" s="142" t="s">
        <v>644</v>
      </c>
      <c r="N1212" s="143">
        <f ca="1">V1205</f>
        <v>0.10635389839811422</v>
      </c>
      <c r="O1212" s="144">
        <f ca="1">X1205</f>
        <v>5.74275533360952E-2</v>
      </c>
      <c r="P1212" s="143">
        <f ca="1">W1205</f>
        <v>5.6377712575264034E-2</v>
      </c>
    </row>
    <row r="1213" spans="1:24">
      <c r="A1213" s="114">
        <v>41065</v>
      </c>
      <c r="B1213" s="121"/>
      <c r="C1213" s="121"/>
      <c r="D1213" s="121"/>
      <c r="E1213" s="121"/>
      <c r="F1213" s="161">
        <f t="shared" ref="F1213:F1265" ca="1" si="18">F1151</f>
        <v>102.97320000000001</v>
      </c>
      <c r="G1213" s="162" t="str">
        <f t="shared" ref="G1213:G1265" ca="1" si="19">B2375</f>
        <v>-</v>
      </c>
      <c r="H1213" s="161">
        <f t="shared" ref="H1213:H1265" ca="1" si="20">H1151</f>
        <v>98.96</v>
      </c>
    </row>
    <row r="1214" spans="1:24">
      <c r="A1214" s="114">
        <v>41066</v>
      </c>
      <c r="B1214" s="121"/>
      <c r="C1214" s="121"/>
      <c r="D1214" s="121"/>
      <c r="E1214" s="121"/>
      <c r="F1214" s="161">
        <f t="shared" ca="1" si="18"/>
        <v>101.4791</v>
      </c>
      <c r="G1214" s="162" t="str">
        <f t="shared" ca="1" si="19"/>
        <v>-</v>
      </c>
      <c r="H1214" s="161">
        <f t="shared" ca="1" si="20"/>
        <v>98.89</v>
      </c>
    </row>
    <row r="1215" spans="1:24">
      <c r="A1215" s="114">
        <v>41067</v>
      </c>
      <c r="B1215" s="121"/>
      <c r="C1215" s="121"/>
      <c r="D1215" s="121"/>
      <c r="E1215" s="121"/>
      <c r="F1215" s="161">
        <f t="shared" ca="1" si="18"/>
        <v>102.79559999999999</v>
      </c>
      <c r="G1215" s="162" t="str">
        <f t="shared" ca="1" si="19"/>
        <v>-</v>
      </c>
      <c r="H1215" s="161">
        <f t="shared" ca="1" si="20"/>
        <v>98.89</v>
      </c>
      <c r="N1215" s="3" t="s">
        <v>644</v>
      </c>
      <c r="O1215" s="190">
        <v>5.1931360823953852E-2</v>
      </c>
      <c r="P1215" s="190">
        <v>5.4061830745712129E-2</v>
      </c>
      <c r="Q1215" s="190">
        <v>5.6377712575264034E-2</v>
      </c>
      <c r="R1215" s="190">
        <v>6.1964016806364729E-2</v>
      </c>
      <c r="S1215" s="190">
        <v>6.67452568825736E-2</v>
      </c>
      <c r="T1215" s="190">
        <v>7.4507045417806964E-2</v>
      </c>
      <c r="V1215" s="3" t="s">
        <v>644</v>
      </c>
      <c r="W1215" s="3" t="s">
        <v>1325</v>
      </c>
    </row>
    <row r="1216" spans="1:24">
      <c r="A1216" s="114">
        <v>41068</v>
      </c>
      <c r="B1216" s="121"/>
      <c r="C1216" s="121"/>
      <c r="D1216" s="121"/>
      <c r="E1216" s="121"/>
      <c r="F1216" s="161">
        <f t="shared" ca="1" si="18"/>
        <v>102.82340000000001</v>
      </c>
      <c r="G1216" s="162" t="str">
        <f t="shared" ca="1" si="19"/>
        <v>-</v>
      </c>
      <c r="H1216" s="161">
        <f t="shared" ca="1" si="20"/>
        <v>98.84</v>
      </c>
      <c r="N1216" s="3" t="s">
        <v>1325</v>
      </c>
      <c r="O1216" s="190">
        <v>-3.3828588427609503E-2</v>
      </c>
      <c r="P1216" s="190">
        <v>-2.9777287149152787E-3</v>
      </c>
      <c r="Q1216" s="190">
        <v>2.0013130997778787E-2</v>
      </c>
      <c r="R1216" s="190">
        <v>5.0863990710472852E-2</v>
      </c>
      <c r="S1216" s="190">
        <v>7.3854850423166987E-2</v>
      </c>
      <c r="T1216" s="190">
        <v>0.10470571013586116</v>
      </c>
      <c r="V1216" s="3">
        <v>5.1931360823953852E-2</v>
      </c>
      <c r="W1216" s="3">
        <v>-3.3828588427609503E-2</v>
      </c>
    </row>
    <row r="1217" spans="1:23">
      <c r="A1217" s="114">
        <v>41071</v>
      </c>
      <c r="B1217" s="121"/>
      <c r="C1217" s="121"/>
      <c r="D1217" s="121"/>
      <c r="E1217" s="121"/>
      <c r="F1217" s="161">
        <f t="shared" ca="1" si="18"/>
        <v>103.1091</v>
      </c>
      <c r="G1217" s="162" t="str">
        <f t="shared" ca="1" si="19"/>
        <v>-</v>
      </c>
      <c r="H1217" s="161">
        <f t="shared" ca="1" si="20"/>
        <v>99.1</v>
      </c>
      <c r="O1217" s="3">
        <v>5.0721414616467606E-2</v>
      </c>
      <c r="P1217" s="3">
        <v>5.4471186535159546E-2</v>
      </c>
      <c r="Q1217" s="3">
        <v>5.74275533360952E-2</v>
      </c>
      <c r="R1217" s="3">
        <v>6.2417279492006643E-2</v>
      </c>
      <c r="S1217" s="3">
        <v>6.6048670859038733E-2</v>
      </c>
      <c r="T1217" s="3">
        <v>7.1860729570604256E-2</v>
      </c>
      <c r="V1217" s="3">
        <v>5.4061830745712129E-2</v>
      </c>
      <c r="W1217" s="3">
        <v>-2.9777287149152787E-3</v>
      </c>
    </row>
    <row r="1218" spans="1:23">
      <c r="A1218" s="114">
        <v>41072</v>
      </c>
      <c r="B1218" s="121"/>
      <c r="C1218" s="121"/>
      <c r="D1218" s="121"/>
      <c r="E1218" s="121"/>
      <c r="F1218" s="161">
        <f t="shared" ca="1" si="18"/>
        <v>102.8192</v>
      </c>
      <c r="G1218" s="162" t="str">
        <f t="shared" ca="1" si="19"/>
        <v>-</v>
      </c>
      <c r="H1218" s="161">
        <f t="shared" ca="1" si="20"/>
        <v>98.95</v>
      </c>
      <c r="O1218" s="3">
        <v>-4.3666000000001218E-2</v>
      </c>
      <c r="P1218" s="3">
        <v>-2.0086000000001089E-2</v>
      </c>
      <c r="Q1218" s="3">
        <v>-4.3660000000011329E-3</v>
      </c>
      <c r="R1218" s="3">
        <v>1.921399999999893E-2</v>
      </c>
      <c r="S1218" s="3">
        <v>3.4933999999998917E-2</v>
      </c>
      <c r="T1218" s="3">
        <v>5.851399999999897E-2</v>
      </c>
      <c r="V1218" s="3">
        <v>5.6377712575264034E-2</v>
      </c>
      <c r="W1218" s="3">
        <v>2.0013130997778787E-2</v>
      </c>
    </row>
    <row r="1219" spans="1:23">
      <c r="A1219" s="114">
        <v>41073</v>
      </c>
      <c r="B1219" s="121"/>
      <c r="C1219" s="121"/>
      <c r="D1219" s="121"/>
      <c r="E1219" s="121"/>
      <c r="F1219" s="161">
        <f t="shared" ca="1" si="18"/>
        <v>102.8181</v>
      </c>
      <c r="G1219" s="162" t="str">
        <f t="shared" ca="1" si="19"/>
        <v>-</v>
      </c>
      <c r="H1219" s="161">
        <f t="shared" ca="1" si="20"/>
        <v>98.95</v>
      </c>
      <c r="V1219" s="3">
        <v>6.1964016806364729E-2</v>
      </c>
      <c r="W1219" s="3">
        <v>5.0863990710472852E-2</v>
      </c>
    </row>
    <row r="1220" spans="1:23">
      <c r="A1220" s="114">
        <v>41074</v>
      </c>
      <c r="B1220" s="121"/>
      <c r="C1220" s="121"/>
      <c r="D1220" s="121"/>
      <c r="E1220" s="121"/>
      <c r="F1220" s="161">
        <f t="shared" ca="1" si="18"/>
        <v>102.70189999999999</v>
      </c>
      <c r="G1220" s="162">
        <f t="shared" ca="1" si="19"/>
        <v>99.8035</v>
      </c>
      <c r="H1220" s="161">
        <f t="shared" ca="1" si="20"/>
        <v>98.88</v>
      </c>
      <c r="V1220" s="3">
        <v>6.67452568825736E-2</v>
      </c>
      <c r="W1220" s="3">
        <v>7.3854850423166987E-2</v>
      </c>
    </row>
    <row r="1221" spans="1:23">
      <c r="A1221" s="114">
        <v>41075</v>
      </c>
      <c r="B1221" s="121"/>
      <c r="C1221" s="121"/>
      <c r="D1221" s="121"/>
      <c r="E1221" s="121"/>
      <c r="F1221" s="161">
        <f t="shared" ca="1" si="18"/>
        <v>101.482</v>
      </c>
      <c r="G1221" s="162">
        <f t="shared" ca="1" si="19"/>
        <v>97.866900000000001</v>
      </c>
      <c r="H1221" s="161">
        <f t="shared" ca="1" si="20"/>
        <v>98.87</v>
      </c>
      <c r="V1221" s="3">
        <v>7.4507045417806964E-2</v>
      </c>
      <c r="W1221" s="3">
        <v>0.10470571013586116</v>
      </c>
    </row>
    <row r="1222" spans="1:23">
      <c r="A1222" s="114">
        <v>41078</v>
      </c>
      <c r="B1222" s="121"/>
      <c r="C1222" s="121"/>
      <c r="D1222" s="121"/>
      <c r="E1222" s="121"/>
      <c r="F1222" s="161">
        <f t="shared" ca="1" si="18"/>
        <v>101.4795</v>
      </c>
      <c r="G1222" s="162" t="str">
        <f t="shared" ca="1" si="19"/>
        <v>-</v>
      </c>
      <c r="H1222" s="161">
        <f t="shared" ca="1" si="20"/>
        <v>98.87</v>
      </c>
    </row>
    <row r="1223" spans="1:23">
      <c r="A1223" s="114">
        <v>41079</v>
      </c>
      <c r="B1223" s="121"/>
      <c r="C1223" s="121"/>
      <c r="D1223" s="121"/>
      <c r="E1223" s="121"/>
      <c r="F1223" s="161">
        <f t="shared" ca="1" si="18"/>
        <v>101.4806</v>
      </c>
      <c r="G1223" s="162" t="str">
        <f t="shared" ca="1" si="19"/>
        <v>-</v>
      </c>
      <c r="H1223" s="161">
        <f t="shared" ca="1" si="20"/>
        <v>98.864000000000004</v>
      </c>
    </row>
    <row r="1224" spans="1:23">
      <c r="A1224" s="114">
        <v>41080</v>
      </c>
      <c r="B1224" s="121"/>
      <c r="C1224" s="121"/>
      <c r="D1224" s="121"/>
      <c r="E1224" s="121"/>
      <c r="F1224" s="161">
        <f t="shared" ca="1" si="18"/>
        <v>102.5812</v>
      </c>
      <c r="G1224" s="162">
        <f t="shared" ca="1" si="19"/>
        <v>99.349800000000002</v>
      </c>
      <c r="H1224" s="161">
        <f t="shared" ca="1" si="20"/>
        <v>98.85</v>
      </c>
    </row>
    <row r="1225" spans="1:23">
      <c r="A1225" s="114">
        <v>41081</v>
      </c>
      <c r="B1225" s="121"/>
      <c r="C1225" s="121"/>
      <c r="D1225" s="121"/>
      <c r="E1225" s="121"/>
      <c r="F1225" s="161">
        <f t="shared" ca="1" si="18"/>
        <v>101.4854</v>
      </c>
      <c r="G1225" s="162">
        <f t="shared" ca="1" si="19"/>
        <v>99.500799999999998</v>
      </c>
      <c r="H1225" s="161">
        <f t="shared" ca="1" si="20"/>
        <v>98.78</v>
      </c>
    </row>
    <row r="1226" spans="1:23">
      <c r="A1226" s="114">
        <v>41085</v>
      </c>
      <c r="B1226" s="121"/>
      <c r="C1226" s="121"/>
      <c r="D1226" s="121"/>
      <c r="E1226" s="121"/>
      <c r="F1226" s="161">
        <f t="shared" ca="1" si="18"/>
        <v>102.6909</v>
      </c>
      <c r="G1226" s="162">
        <f t="shared" ca="1" si="19"/>
        <v>99.509600000000006</v>
      </c>
      <c r="H1226" s="161">
        <f t="shared" ca="1" si="20"/>
        <v>98.92</v>
      </c>
    </row>
    <row r="1227" spans="1:23">
      <c r="A1227" s="114">
        <v>41086</v>
      </c>
      <c r="B1227" s="121"/>
      <c r="C1227" s="121"/>
      <c r="D1227" s="121"/>
      <c r="E1227" s="121"/>
      <c r="F1227" s="161">
        <f t="shared" ca="1" si="18"/>
        <v>102.74720000000001</v>
      </c>
      <c r="G1227" s="162">
        <f t="shared" ca="1" si="19"/>
        <v>99.632300000000001</v>
      </c>
      <c r="H1227" s="161">
        <f t="shared" ca="1" si="20"/>
        <v>98.926000000000002</v>
      </c>
    </row>
    <row r="1228" spans="1:23">
      <c r="A1228" s="114">
        <v>41087</v>
      </c>
      <c r="B1228" s="121"/>
      <c r="C1228" s="121"/>
      <c r="D1228" s="121"/>
      <c r="E1228" s="121"/>
      <c r="F1228" s="161">
        <f t="shared" ca="1" si="18"/>
        <v>102.8321</v>
      </c>
      <c r="G1228" s="162">
        <f t="shared" ca="1" si="19"/>
        <v>99.711299999999994</v>
      </c>
      <c r="H1228" s="161">
        <f t="shared" ca="1" si="20"/>
        <v>98.97</v>
      </c>
    </row>
    <row r="1229" spans="1:23">
      <c r="A1229" s="114">
        <v>41088</v>
      </c>
      <c r="B1229" s="121"/>
      <c r="C1229" s="121"/>
      <c r="D1229" s="121"/>
      <c r="E1229" s="121"/>
      <c r="F1229" s="161">
        <f t="shared" ca="1" si="18"/>
        <v>103.03189999999999</v>
      </c>
      <c r="G1229" s="162">
        <f t="shared" ca="1" si="19"/>
        <v>99.885400000000004</v>
      </c>
      <c r="H1229" s="161">
        <f t="shared" ca="1" si="20"/>
        <v>99.013999999999996</v>
      </c>
    </row>
    <row r="1230" spans="1:23">
      <c r="A1230" s="114">
        <v>41089</v>
      </c>
      <c r="B1230" s="121"/>
      <c r="C1230" s="121"/>
      <c r="D1230" s="121"/>
      <c r="E1230" s="121"/>
      <c r="F1230" s="161">
        <f t="shared" ca="1" si="18"/>
        <v>102.2234</v>
      </c>
      <c r="G1230" s="162">
        <f t="shared" ca="1" si="19"/>
        <v>100.1152</v>
      </c>
      <c r="H1230" s="161">
        <f t="shared" ca="1" si="20"/>
        <v>99.07</v>
      </c>
    </row>
    <row r="1231" spans="1:23">
      <c r="A1231" s="114">
        <v>41092</v>
      </c>
      <c r="B1231" s="121"/>
      <c r="C1231" s="121"/>
      <c r="D1231" s="121"/>
      <c r="E1231" s="121"/>
      <c r="F1231" s="161">
        <f t="shared" ca="1" si="18"/>
        <v>103.0273</v>
      </c>
      <c r="G1231" s="162">
        <f t="shared" ca="1" si="19"/>
        <v>100.1103</v>
      </c>
      <c r="H1231" s="161">
        <f t="shared" ca="1" si="20"/>
        <v>99.164000000000001</v>
      </c>
    </row>
    <row r="1232" spans="1:23">
      <c r="A1232" s="114">
        <v>41093</v>
      </c>
      <c r="B1232" s="121"/>
      <c r="C1232" s="121"/>
      <c r="D1232" s="121"/>
      <c r="E1232" s="121"/>
      <c r="F1232" s="161">
        <f t="shared" ca="1" si="18"/>
        <v>102.2475</v>
      </c>
      <c r="G1232" s="162">
        <f t="shared" ca="1" si="19"/>
        <v>100.2231</v>
      </c>
      <c r="H1232" s="161">
        <f t="shared" ca="1" si="20"/>
        <v>99.19</v>
      </c>
    </row>
    <row r="1233" spans="1:8">
      <c r="A1233" s="114">
        <v>41094</v>
      </c>
      <c r="B1233" s="121"/>
      <c r="C1233" s="121"/>
      <c r="D1233" s="121"/>
      <c r="E1233" s="121"/>
      <c r="F1233" s="161">
        <f t="shared" ca="1" si="18"/>
        <v>103.1397</v>
      </c>
      <c r="G1233" s="162">
        <f t="shared" ca="1" si="19"/>
        <v>100.154</v>
      </c>
      <c r="H1233" s="161">
        <f t="shared" ca="1" si="20"/>
        <v>99.298000000000002</v>
      </c>
    </row>
    <row r="1234" spans="1:8">
      <c r="A1234" s="112">
        <v>41095</v>
      </c>
      <c r="B1234" s="121"/>
      <c r="C1234" s="121"/>
      <c r="D1234" s="121"/>
      <c r="E1234" s="121"/>
      <c r="F1234" s="161">
        <f t="shared" ca="1" si="18"/>
        <v>102.25369999999999</v>
      </c>
      <c r="G1234" s="162">
        <f t="shared" ca="1" si="19"/>
        <v>100.1781</v>
      </c>
      <c r="H1234" s="161">
        <f t="shared" ca="1" si="20"/>
        <v>99.457999999999998</v>
      </c>
    </row>
    <row r="1235" spans="1:8">
      <c r="A1235" s="114">
        <v>41096</v>
      </c>
      <c r="B1235" s="121"/>
      <c r="C1235" s="121"/>
      <c r="D1235" s="121"/>
      <c r="E1235" s="121"/>
      <c r="F1235" s="161">
        <f t="shared" ca="1" si="18"/>
        <v>102.2551</v>
      </c>
      <c r="G1235" s="162">
        <f t="shared" ca="1" si="19"/>
        <v>100.22880000000001</v>
      </c>
      <c r="H1235" s="161">
        <f t="shared" ca="1" si="20"/>
        <v>99.658000000000001</v>
      </c>
    </row>
    <row r="1236" spans="1:8">
      <c r="A1236" s="114">
        <v>41099</v>
      </c>
      <c r="B1236" s="121"/>
      <c r="C1236" s="121"/>
      <c r="D1236" s="121"/>
      <c r="E1236" s="121"/>
      <c r="F1236" s="161">
        <f t="shared" ca="1" si="18"/>
        <v>103.36320000000001</v>
      </c>
      <c r="G1236" s="162">
        <f t="shared" ca="1" si="19"/>
        <v>100.26220000000001</v>
      </c>
      <c r="H1236" s="161">
        <f t="shared" ca="1" si="20"/>
        <v>99.658000000000001</v>
      </c>
    </row>
    <row r="1237" spans="1:8">
      <c r="A1237" s="114">
        <v>41100</v>
      </c>
      <c r="B1237" s="121"/>
      <c r="C1237" s="121"/>
      <c r="D1237" s="121"/>
      <c r="E1237" s="121"/>
      <c r="F1237" s="161">
        <f t="shared" ca="1" si="18"/>
        <v>103.5919</v>
      </c>
      <c r="G1237" s="162">
        <f t="shared" ca="1" si="19"/>
        <v>100.4559</v>
      </c>
      <c r="H1237" s="161">
        <f t="shared" ca="1" si="20"/>
        <v>99.61</v>
      </c>
    </row>
    <row r="1238" spans="1:8">
      <c r="A1238" s="114">
        <v>41101</v>
      </c>
      <c r="B1238" s="121"/>
      <c r="C1238" s="121"/>
      <c r="D1238" s="121"/>
      <c r="E1238" s="121"/>
      <c r="F1238" s="161">
        <f t="shared" ca="1" si="18"/>
        <v>103.6193</v>
      </c>
      <c r="G1238" s="162">
        <f t="shared" ca="1" si="19"/>
        <v>100.6481</v>
      </c>
      <c r="H1238" s="161">
        <f t="shared" ca="1" si="20"/>
        <v>99.7</v>
      </c>
    </row>
    <row r="1239" spans="1:8">
      <c r="A1239" s="114">
        <v>41102</v>
      </c>
      <c r="B1239" s="121"/>
      <c r="C1239" s="121"/>
      <c r="D1239" s="121"/>
      <c r="E1239" s="121"/>
      <c r="F1239" s="161">
        <f t="shared" ca="1" si="18"/>
        <v>103.7619</v>
      </c>
      <c r="G1239" s="162">
        <f t="shared" ca="1" si="19"/>
        <v>100.73635</v>
      </c>
      <c r="H1239" s="161">
        <f t="shared" ca="1" si="20"/>
        <v>99.85</v>
      </c>
    </row>
    <row r="1240" spans="1:8">
      <c r="A1240" s="114">
        <v>41103</v>
      </c>
      <c r="B1240" s="121"/>
      <c r="C1240" s="121"/>
      <c r="D1240" s="121"/>
      <c r="E1240" s="121"/>
      <c r="F1240" s="161">
        <f t="shared" ca="1" si="18"/>
        <v>102.2542</v>
      </c>
      <c r="G1240" s="162">
        <f t="shared" ca="1" si="19"/>
        <v>100.8246</v>
      </c>
      <c r="H1240" s="161">
        <f t="shared" ca="1" si="20"/>
        <v>99.97</v>
      </c>
    </row>
    <row r="1241" spans="1:8">
      <c r="A1241" s="114">
        <v>41106</v>
      </c>
      <c r="B1241" s="121"/>
      <c r="C1241" s="121"/>
      <c r="D1241" s="121"/>
      <c r="E1241" s="121"/>
      <c r="F1241" s="161">
        <f t="shared" ca="1" si="18"/>
        <v>103.6412</v>
      </c>
      <c r="G1241" s="162">
        <f t="shared" ca="1" si="19"/>
        <v>100.8408</v>
      </c>
      <c r="H1241" s="161">
        <f t="shared" ca="1" si="20"/>
        <v>99.89</v>
      </c>
    </row>
    <row r="1242" spans="1:8">
      <c r="A1242" s="114">
        <v>41107</v>
      </c>
      <c r="B1242" s="121"/>
      <c r="C1242" s="121"/>
      <c r="D1242" s="121"/>
      <c r="E1242" s="121"/>
      <c r="F1242" s="161">
        <f t="shared" ca="1" si="18"/>
        <v>102.2518</v>
      </c>
      <c r="G1242" s="162">
        <f t="shared" ca="1" si="19"/>
        <v>100.6981</v>
      </c>
      <c r="H1242" s="161">
        <f t="shared" ca="1" si="20"/>
        <v>99.835999999999999</v>
      </c>
    </row>
    <row r="1243" spans="1:8">
      <c r="A1243" s="114">
        <v>41108</v>
      </c>
      <c r="B1243" s="121"/>
      <c r="C1243" s="121"/>
      <c r="D1243" s="121"/>
      <c r="E1243" s="121"/>
      <c r="F1243" s="161">
        <f t="shared" ca="1" si="18"/>
        <v>103.46639999999999</v>
      </c>
      <c r="G1243" s="162">
        <f t="shared" ca="1" si="19"/>
        <v>100.1919</v>
      </c>
      <c r="H1243" s="161">
        <f t="shared" ca="1" si="20"/>
        <v>99.798000000000002</v>
      </c>
    </row>
    <row r="1244" spans="1:8">
      <c r="A1244" s="114">
        <v>41109</v>
      </c>
      <c r="B1244" s="121"/>
      <c r="C1244" s="121"/>
      <c r="D1244" s="121"/>
      <c r="E1244" s="121"/>
      <c r="F1244" s="161">
        <f t="shared" ca="1" si="18"/>
        <v>102.2534</v>
      </c>
      <c r="G1244" s="162">
        <f t="shared" ca="1" si="19"/>
        <v>100.48779999999999</v>
      </c>
      <c r="H1244" s="161">
        <f t="shared" ca="1" si="20"/>
        <v>99.77</v>
      </c>
    </row>
    <row r="1245" spans="1:8">
      <c r="A1245" s="114">
        <v>41110</v>
      </c>
      <c r="B1245" s="121"/>
      <c r="C1245" s="121"/>
      <c r="D1245" s="121"/>
      <c r="E1245" s="121"/>
      <c r="F1245" s="161">
        <f t="shared" ca="1" si="18"/>
        <v>102.25579999999999</v>
      </c>
      <c r="G1245" s="162">
        <f t="shared" ca="1" si="19"/>
        <v>99.466300000000004</v>
      </c>
      <c r="H1245" s="161">
        <f t="shared" ca="1" si="20"/>
        <v>99.757999999999996</v>
      </c>
    </row>
    <row r="1246" spans="1:8">
      <c r="A1246" s="114">
        <v>41113</v>
      </c>
      <c r="B1246" s="121"/>
      <c r="C1246" s="121"/>
      <c r="D1246" s="121"/>
      <c r="E1246" s="121"/>
      <c r="F1246" s="161">
        <f t="shared" ca="1" si="18"/>
        <v>103.60290000000001</v>
      </c>
      <c r="G1246" s="162">
        <f t="shared" ca="1" si="19"/>
        <v>100.2225</v>
      </c>
      <c r="H1246" s="161">
        <f t="shared" ca="1" si="20"/>
        <v>99.738</v>
      </c>
    </row>
    <row r="1247" spans="1:8">
      <c r="A1247" s="114">
        <v>41114</v>
      </c>
      <c r="B1247" s="121"/>
      <c r="C1247" s="121"/>
      <c r="D1247" s="121"/>
      <c r="E1247" s="121"/>
      <c r="F1247" s="161">
        <f t="shared" ca="1" si="18"/>
        <v>102.2689</v>
      </c>
      <c r="G1247" s="162">
        <f t="shared" ca="1" si="19"/>
        <v>100.24939999999999</v>
      </c>
      <c r="H1247" s="161">
        <f t="shared" ca="1" si="20"/>
        <v>99.768000000000001</v>
      </c>
    </row>
    <row r="1248" spans="1:8">
      <c r="A1248" s="114">
        <v>41115</v>
      </c>
      <c r="B1248" s="121"/>
      <c r="C1248" s="121"/>
      <c r="D1248" s="121"/>
      <c r="E1248" s="121"/>
      <c r="F1248" s="161">
        <f t="shared" ca="1" si="18"/>
        <v>102.2713</v>
      </c>
      <c r="G1248" s="162">
        <f t="shared" ca="1" si="19"/>
        <v>100.57380000000001</v>
      </c>
      <c r="H1248" s="161">
        <f t="shared" ca="1" si="20"/>
        <v>99.84</v>
      </c>
    </row>
    <row r="1249" spans="1:8">
      <c r="A1249" s="114">
        <v>41116</v>
      </c>
      <c r="B1249" s="121"/>
      <c r="C1249" s="121"/>
      <c r="D1249" s="121"/>
      <c r="E1249" s="121"/>
      <c r="F1249" s="161">
        <f t="shared" ca="1" si="18"/>
        <v>102.27290000000001</v>
      </c>
      <c r="G1249" s="162">
        <f t="shared" ca="1" si="19"/>
        <v>100.2163</v>
      </c>
      <c r="H1249" s="161">
        <f t="shared" ca="1" si="20"/>
        <v>99.83</v>
      </c>
    </row>
    <row r="1250" spans="1:8">
      <c r="A1250" s="114">
        <v>41117</v>
      </c>
      <c r="B1250" s="121"/>
      <c r="C1250" s="121"/>
      <c r="D1250" s="121"/>
      <c r="E1250" s="121"/>
      <c r="F1250" s="161">
        <f t="shared" ca="1" si="18"/>
        <v>102.2745</v>
      </c>
      <c r="G1250" s="162">
        <f t="shared" ca="1" si="19"/>
        <v>100.2166</v>
      </c>
      <c r="H1250" s="161">
        <f t="shared" ca="1" si="20"/>
        <v>99.82</v>
      </c>
    </row>
    <row r="1251" spans="1:8">
      <c r="A1251" s="114">
        <v>41120</v>
      </c>
      <c r="B1251" s="121"/>
      <c r="C1251" s="121"/>
      <c r="D1251" s="121"/>
      <c r="E1251" s="121"/>
      <c r="F1251" s="161">
        <f t="shared" ca="1" si="18"/>
        <v>102.2726</v>
      </c>
      <c r="G1251" s="162">
        <f t="shared" ca="1" si="19"/>
        <v>100.20659999999999</v>
      </c>
      <c r="H1251" s="161">
        <f t="shared" ca="1" si="20"/>
        <v>99.835999999999999</v>
      </c>
    </row>
    <row r="1252" spans="1:8">
      <c r="A1252" s="114">
        <v>41121</v>
      </c>
      <c r="B1252" s="121"/>
      <c r="C1252" s="121"/>
      <c r="D1252" s="121"/>
      <c r="E1252" s="121"/>
      <c r="F1252" s="161">
        <f t="shared" ca="1" si="18"/>
        <v>103.5064</v>
      </c>
      <c r="G1252" s="162">
        <f t="shared" ca="1" si="19"/>
        <v>100.2161</v>
      </c>
      <c r="H1252" s="161">
        <f t="shared" ca="1" si="20"/>
        <v>99.88</v>
      </c>
    </row>
    <row r="1253" spans="1:8">
      <c r="A1253" s="114">
        <v>41122</v>
      </c>
      <c r="B1253" s="121"/>
      <c r="C1253" s="121"/>
      <c r="D1253" s="121"/>
      <c r="E1253" s="121"/>
      <c r="F1253" s="161">
        <f t="shared" ca="1" si="18"/>
        <v>103.30589999999999</v>
      </c>
      <c r="G1253" s="162">
        <f t="shared" ca="1" si="19"/>
        <v>100.20529999999999</v>
      </c>
      <c r="H1253" s="161">
        <f t="shared" ca="1" si="20"/>
        <v>99.83</v>
      </c>
    </row>
    <row r="1254" spans="1:8">
      <c r="A1254" s="114">
        <v>41123</v>
      </c>
      <c r="B1254" s="121"/>
      <c r="C1254" s="121"/>
      <c r="D1254" s="121"/>
      <c r="E1254" s="121"/>
      <c r="F1254" s="161">
        <f t="shared" ca="1" si="18"/>
        <v>102.2826</v>
      </c>
      <c r="G1254" s="162">
        <f t="shared" ca="1" si="19"/>
        <v>100.161</v>
      </c>
      <c r="H1254" s="161">
        <f t="shared" ca="1" si="20"/>
        <v>99.74</v>
      </c>
    </row>
    <row r="1255" spans="1:8">
      <c r="A1255" s="112">
        <v>41124</v>
      </c>
      <c r="B1255" s="121"/>
      <c r="C1255" s="121"/>
      <c r="D1255" s="121"/>
      <c r="E1255" s="121"/>
      <c r="F1255" s="161">
        <f t="shared" ca="1" si="18"/>
        <v>103.27500000000001</v>
      </c>
      <c r="G1255" s="162">
        <f t="shared" ca="1" si="19"/>
        <v>100.15560000000001</v>
      </c>
      <c r="H1255" s="161">
        <f t="shared" ca="1" si="20"/>
        <v>99.688000000000002</v>
      </c>
    </row>
    <row r="1256" spans="1:8">
      <c r="A1256" s="114">
        <v>41127</v>
      </c>
      <c r="B1256" s="121"/>
      <c r="C1256" s="121"/>
      <c r="D1256" s="121"/>
      <c r="E1256" s="121"/>
      <c r="F1256" s="161">
        <f t="shared" ca="1" si="18"/>
        <v>103.30419999999999</v>
      </c>
      <c r="G1256" s="162">
        <f t="shared" ca="1" si="19"/>
        <v>100.1604</v>
      </c>
      <c r="H1256" s="161">
        <f t="shared" ca="1" si="20"/>
        <v>99.73</v>
      </c>
    </row>
    <row r="1257" spans="1:8">
      <c r="A1257" s="114">
        <v>41128</v>
      </c>
      <c r="B1257" s="121"/>
      <c r="C1257" s="121"/>
      <c r="D1257" s="121"/>
      <c r="E1257" s="121"/>
      <c r="F1257" s="161">
        <f t="shared" ca="1" si="18"/>
        <v>103.267</v>
      </c>
      <c r="G1257" s="162">
        <f t="shared" ca="1" si="19"/>
        <v>100.1621</v>
      </c>
      <c r="H1257" s="161">
        <f t="shared" ca="1" si="20"/>
        <v>99.697999999999993</v>
      </c>
    </row>
    <row r="1258" spans="1:8">
      <c r="A1258" s="114">
        <v>41129</v>
      </c>
      <c r="B1258" s="121"/>
      <c r="C1258" s="121"/>
      <c r="D1258" s="121"/>
      <c r="E1258" s="121"/>
      <c r="F1258" s="161">
        <f t="shared" ca="1" si="18"/>
        <v>103.12730000000001</v>
      </c>
      <c r="G1258" s="162">
        <f t="shared" ca="1" si="19"/>
        <v>100.13209999999999</v>
      </c>
      <c r="H1258" s="161">
        <f t="shared" ca="1" si="20"/>
        <v>99.658000000000001</v>
      </c>
    </row>
    <row r="1259" spans="1:8">
      <c r="A1259" s="114">
        <v>41130</v>
      </c>
      <c r="B1259" s="121"/>
      <c r="C1259" s="121"/>
      <c r="D1259" s="121"/>
      <c r="E1259" s="121"/>
      <c r="F1259" s="161">
        <f t="shared" ca="1" si="18"/>
        <v>102.658</v>
      </c>
      <c r="G1259" s="162">
        <f t="shared" ca="1" si="19"/>
        <v>100.09455</v>
      </c>
      <c r="H1259" s="161">
        <f t="shared" ca="1" si="20"/>
        <v>99.382000000000005</v>
      </c>
    </row>
    <row r="1260" spans="1:8">
      <c r="A1260" s="114">
        <v>41131</v>
      </c>
      <c r="B1260" s="121"/>
      <c r="C1260" s="121"/>
      <c r="D1260" s="121"/>
      <c r="E1260" s="121"/>
      <c r="F1260" s="161">
        <f t="shared" ca="1" si="18"/>
        <v>102.81699999999999</v>
      </c>
      <c r="G1260" s="162">
        <f t="shared" ca="1" si="19"/>
        <v>100.057</v>
      </c>
      <c r="H1260" s="161">
        <f t="shared" ca="1" si="20"/>
        <v>99.4</v>
      </c>
    </row>
    <row r="1261" spans="1:8">
      <c r="A1261" s="114">
        <v>41134</v>
      </c>
      <c r="B1261" s="121"/>
      <c r="C1261" s="121"/>
      <c r="D1261" s="121"/>
      <c r="E1261" s="121"/>
      <c r="F1261" s="161">
        <f t="shared" ca="1" si="18"/>
        <v>103.0932</v>
      </c>
      <c r="G1261" s="162">
        <f t="shared" ca="1" si="19"/>
        <v>100.0677</v>
      </c>
      <c r="H1261" s="161">
        <f t="shared" ca="1" si="20"/>
        <v>99.29</v>
      </c>
    </row>
    <row r="1262" spans="1:8">
      <c r="A1262" s="114">
        <v>41135</v>
      </c>
      <c r="B1262" s="121"/>
      <c r="C1262" s="121"/>
      <c r="D1262" s="121"/>
      <c r="E1262" s="121"/>
      <c r="F1262" s="161">
        <f t="shared" ca="1" si="18"/>
        <v>102.28570000000001</v>
      </c>
      <c r="G1262" s="162">
        <f t="shared" ca="1" si="19"/>
        <v>100.0775</v>
      </c>
      <c r="H1262" s="161">
        <f t="shared" ca="1" si="20"/>
        <v>99.236000000000004</v>
      </c>
    </row>
    <row r="1263" spans="1:8">
      <c r="A1263" s="114">
        <v>41136</v>
      </c>
      <c r="B1263" s="121"/>
      <c r="C1263" s="121"/>
      <c r="D1263" s="121"/>
      <c r="E1263" s="121"/>
      <c r="F1263" s="161">
        <f t="shared" ca="1" si="18"/>
        <v>102.75320000000001</v>
      </c>
      <c r="G1263" s="162">
        <f t="shared" ca="1" si="19"/>
        <v>100.0355</v>
      </c>
      <c r="H1263" s="161">
        <f t="shared" ca="1" si="20"/>
        <v>99.18</v>
      </c>
    </row>
    <row r="1264" spans="1:8">
      <c r="A1264" s="114">
        <v>41137</v>
      </c>
      <c r="B1264" s="121"/>
      <c r="C1264" s="121"/>
      <c r="D1264" s="121"/>
      <c r="E1264" s="121"/>
      <c r="F1264" s="161">
        <f t="shared" ca="1" si="18"/>
        <v>102.48699999999999</v>
      </c>
      <c r="G1264" s="162">
        <f t="shared" ca="1" si="19"/>
        <v>99.822000000000003</v>
      </c>
      <c r="H1264" s="161">
        <f t="shared" ca="1" si="20"/>
        <v>99.126000000000005</v>
      </c>
    </row>
    <row r="1265" spans="1:8">
      <c r="A1265" s="114">
        <v>41138</v>
      </c>
      <c r="B1265" s="121"/>
      <c r="C1265" s="121"/>
      <c r="D1265" s="121"/>
      <c r="E1265" s="121"/>
      <c r="F1265" s="161">
        <f t="shared" ca="1" si="18"/>
        <v>102.583</v>
      </c>
      <c r="G1265" s="162">
        <f t="shared" ca="1" si="19"/>
        <v>99.966999999999999</v>
      </c>
      <c r="H1265" s="161">
        <f t="shared" ca="1" si="20"/>
        <v>99.05</v>
      </c>
    </row>
    <row r="1266" spans="1:8">
      <c r="B1266" s="121"/>
      <c r="C1266" s="121"/>
      <c r="D1266" s="121"/>
      <c r="E1266" s="121"/>
      <c r="F1266" s="121"/>
      <c r="G1266" s="121"/>
      <c r="H1266" s="121"/>
    </row>
    <row r="1267" spans="1:8">
      <c r="B1267" s="121"/>
      <c r="C1267" s="121"/>
      <c r="D1267" s="121"/>
      <c r="E1267" s="121"/>
      <c r="F1267" s="121"/>
      <c r="G1267" s="121"/>
      <c r="H1267" s="121"/>
    </row>
    <row r="1268" spans="1:8">
      <c r="B1268" s="121"/>
      <c r="C1268" s="121"/>
      <c r="D1268" s="121"/>
      <c r="E1268" s="121"/>
      <c r="F1268" s="121"/>
      <c r="G1268" s="121"/>
      <c r="H1268" s="121"/>
    </row>
    <row r="1269" spans="1:8">
      <c r="B1269" s="121"/>
      <c r="C1269" s="121"/>
      <c r="D1269" s="121"/>
      <c r="E1269" s="121"/>
      <c r="F1269" s="121"/>
      <c r="G1269" s="121"/>
      <c r="H1269" s="121"/>
    </row>
    <row r="1270" spans="1:8">
      <c r="B1270" s="157" t="s">
        <v>649</v>
      </c>
      <c r="C1270" s="121"/>
      <c r="D1270" s="121"/>
      <c r="E1270" s="121"/>
      <c r="F1270" s="121"/>
      <c r="G1270" s="121"/>
      <c r="H1270" s="121"/>
    </row>
    <row r="1271" spans="1:8">
      <c r="A1271" s="159">
        <v>39449</v>
      </c>
      <c r="B1271" s="94" t="s">
        <v>650</v>
      </c>
      <c r="C1271" s="121"/>
      <c r="D1271" s="121"/>
      <c r="E1271" s="121"/>
      <c r="F1271" s="121"/>
      <c r="G1271" s="121"/>
      <c r="H1271" s="121"/>
    </row>
    <row r="1272" spans="1:8">
      <c r="A1272" s="159">
        <v>39450</v>
      </c>
      <c r="B1272" s="94" t="s">
        <v>650</v>
      </c>
      <c r="C1272" s="121"/>
      <c r="D1272" s="121"/>
      <c r="E1272" s="121"/>
      <c r="F1272" s="121"/>
      <c r="G1272" s="121"/>
      <c r="H1272" s="121"/>
    </row>
    <row r="1273" spans="1:8">
      <c r="A1273" s="159">
        <v>39451</v>
      </c>
      <c r="B1273" s="94" t="s">
        <v>650</v>
      </c>
      <c r="C1273" s="121"/>
      <c r="D1273" s="121"/>
      <c r="E1273" s="121"/>
      <c r="F1273" s="121"/>
      <c r="G1273" s="121"/>
      <c r="H1273" s="121"/>
    </row>
    <row r="1274" spans="1:8">
      <c r="A1274" s="159">
        <v>39454</v>
      </c>
      <c r="B1274" s="94" t="s">
        <v>650</v>
      </c>
      <c r="C1274" s="121"/>
      <c r="D1274" s="121"/>
      <c r="E1274" s="121"/>
      <c r="F1274" s="121"/>
      <c r="G1274" s="121"/>
      <c r="H1274" s="121"/>
    </row>
    <row r="1275" spans="1:8">
      <c r="A1275" s="159">
        <v>39455</v>
      </c>
      <c r="B1275" s="94" t="s">
        <v>650</v>
      </c>
      <c r="C1275" s="121"/>
      <c r="D1275" s="121"/>
      <c r="E1275" s="121"/>
      <c r="F1275" s="121"/>
      <c r="G1275" s="121"/>
      <c r="H1275" s="121"/>
    </row>
    <row r="1276" spans="1:8">
      <c r="A1276" s="159">
        <v>39456</v>
      </c>
      <c r="B1276" s="94" t="s">
        <v>650</v>
      </c>
      <c r="C1276" s="121"/>
      <c r="D1276" s="121"/>
      <c r="E1276" s="121"/>
      <c r="F1276" s="121"/>
      <c r="G1276" s="121"/>
      <c r="H1276" s="121"/>
    </row>
    <row r="1277" spans="1:8">
      <c r="A1277" s="159">
        <v>39457</v>
      </c>
      <c r="B1277" s="94" t="s">
        <v>650</v>
      </c>
      <c r="C1277" s="121"/>
      <c r="D1277" s="121"/>
      <c r="E1277" s="121"/>
      <c r="F1277" s="121"/>
      <c r="G1277" s="121"/>
      <c r="H1277" s="121"/>
    </row>
    <row r="1278" spans="1:8">
      <c r="A1278" s="159">
        <v>39458</v>
      </c>
      <c r="B1278" s="94" t="s">
        <v>650</v>
      </c>
      <c r="C1278" s="121"/>
      <c r="D1278" s="121"/>
      <c r="E1278" s="121"/>
      <c r="F1278" s="121"/>
      <c r="G1278" s="121"/>
      <c r="H1278" s="121"/>
    </row>
    <row r="1279" spans="1:8">
      <c r="A1279" s="159">
        <v>39461</v>
      </c>
      <c r="B1279" s="94" t="s">
        <v>650</v>
      </c>
      <c r="C1279" s="121"/>
      <c r="D1279" s="121"/>
      <c r="E1279" s="121"/>
      <c r="F1279" s="121"/>
      <c r="G1279" s="121"/>
      <c r="H1279" s="121"/>
    </row>
    <row r="1280" spans="1:8">
      <c r="A1280" s="159">
        <v>39462</v>
      </c>
      <c r="B1280" s="94" t="s">
        <v>650</v>
      </c>
      <c r="C1280" s="121"/>
      <c r="D1280" s="121"/>
      <c r="E1280" s="121"/>
      <c r="F1280" s="121"/>
      <c r="G1280" s="121"/>
      <c r="H1280" s="121"/>
    </row>
    <row r="1281" spans="1:2">
      <c r="A1281" s="159">
        <v>39463</v>
      </c>
      <c r="B1281" s="94" t="s">
        <v>650</v>
      </c>
    </row>
    <row r="1282" spans="1:2">
      <c r="A1282" s="159">
        <v>39464</v>
      </c>
      <c r="B1282" s="94" t="s">
        <v>650</v>
      </c>
    </row>
    <row r="1283" spans="1:2">
      <c r="A1283" s="159">
        <v>39465</v>
      </c>
      <c r="B1283" s="94" t="s">
        <v>650</v>
      </c>
    </row>
    <row r="1284" spans="1:2">
      <c r="A1284" s="159">
        <v>39468</v>
      </c>
      <c r="B1284" s="94" t="s">
        <v>650</v>
      </c>
    </row>
    <row r="1285" spans="1:2">
      <c r="A1285" s="159">
        <v>39469</v>
      </c>
      <c r="B1285" s="94" t="s">
        <v>650</v>
      </c>
    </row>
    <row r="1286" spans="1:2">
      <c r="A1286" s="159">
        <v>39470</v>
      </c>
      <c r="B1286" s="94" t="s">
        <v>650</v>
      </c>
    </row>
    <row r="1287" spans="1:2">
      <c r="A1287" s="159">
        <v>39471</v>
      </c>
      <c r="B1287" s="94" t="s">
        <v>650</v>
      </c>
    </row>
    <row r="1288" spans="1:2">
      <c r="A1288" s="159">
        <v>39472</v>
      </c>
      <c r="B1288" s="94" t="s">
        <v>650</v>
      </c>
    </row>
    <row r="1289" spans="1:2">
      <c r="A1289" s="159">
        <v>39475</v>
      </c>
      <c r="B1289" s="94" t="s">
        <v>650</v>
      </c>
    </row>
    <row r="1290" spans="1:2">
      <c r="A1290" s="159">
        <v>39476</v>
      </c>
      <c r="B1290" s="94" t="s">
        <v>650</v>
      </c>
    </row>
    <row r="1291" spans="1:2">
      <c r="A1291" s="159">
        <v>39477</v>
      </c>
      <c r="B1291" s="94" t="s">
        <v>650</v>
      </c>
    </row>
    <row r="1292" spans="1:2">
      <c r="A1292" s="159">
        <v>39478</v>
      </c>
      <c r="B1292" s="94" t="s">
        <v>650</v>
      </c>
    </row>
    <row r="1293" spans="1:2">
      <c r="A1293" s="159">
        <v>39479</v>
      </c>
      <c r="B1293" s="94" t="s">
        <v>650</v>
      </c>
    </row>
    <row r="1294" spans="1:2">
      <c r="A1294" s="159">
        <v>39480</v>
      </c>
      <c r="B1294" s="94" t="s">
        <v>650</v>
      </c>
    </row>
    <row r="1295" spans="1:2">
      <c r="A1295" s="159">
        <v>39481</v>
      </c>
      <c r="B1295" s="94" t="s">
        <v>650</v>
      </c>
    </row>
    <row r="1296" spans="1:2">
      <c r="A1296" s="159">
        <v>39482</v>
      </c>
      <c r="B1296" s="94" t="s">
        <v>650</v>
      </c>
    </row>
    <row r="1297" spans="1:2">
      <c r="A1297" s="159">
        <v>39483</v>
      </c>
      <c r="B1297" s="94" t="s">
        <v>650</v>
      </c>
    </row>
    <row r="1298" spans="1:2">
      <c r="A1298" s="159">
        <v>39491</v>
      </c>
      <c r="B1298" s="94" t="s">
        <v>650</v>
      </c>
    </row>
    <row r="1299" spans="1:2">
      <c r="A1299" s="159">
        <v>39492</v>
      </c>
      <c r="B1299" s="94" t="s">
        <v>650</v>
      </c>
    </row>
    <row r="1300" spans="1:2">
      <c r="A1300" s="159">
        <v>39493</v>
      </c>
      <c r="B1300" s="94" t="s">
        <v>650</v>
      </c>
    </row>
    <row r="1301" spans="1:2">
      <c r="A1301" s="159">
        <v>39496</v>
      </c>
      <c r="B1301" s="94" t="s">
        <v>650</v>
      </c>
    </row>
    <row r="1302" spans="1:2">
      <c r="A1302" s="159">
        <v>39497</v>
      </c>
      <c r="B1302" s="94" t="s">
        <v>650</v>
      </c>
    </row>
    <row r="1303" spans="1:2">
      <c r="A1303" s="159">
        <v>39498</v>
      </c>
      <c r="B1303" s="94" t="s">
        <v>650</v>
      </c>
    </row>
    <row r="1304" spans="1:2">
      <c r="A1304" s="159">
        <v>39499</v>
      </c>
      <c r="B1304" s="94" t="s">
        <v>650</v>
      </c>
    </row>
    <row r="1305" spans="1:2">
      <c r="A1305" s="159">
        <v>39500</v>
      </c>
      <c r="B1305" s="94" t="s">
        <v>650</v>
      </c>
    </row>
    <row r="1306" spans="1:2">
      <c r="A1306" s="159">
        <v>39503</v>
      </c>
      <c r="B1306" s="94" t="s">
        <v>650</v>
      </c>
    </row>
    <row r="1307" spans="1:2">
      <c r="A1307" s="159">
        <v>39504</v>
      </c>
      <c r="B1307" s="94" t="s">
        <v>650</v>
      </c>
    </row>
    <row r="1308" spans="1:2">
      <c r="A1308" s="159">
        <v>39505</v>
      </c>
      <c r="B1308" s="94" t="s">
        <v>650</v>
      </c>
    </row>
    <row r="1309" spans="1:2">
      <c r="A1309" s="159">
        <v>39506</v>
      </c>
      <c r="B1309" s="94" t="s">
        <v>650</v>
      </c>
    </row>
    <row r="1310" spans="1:2">
      <c r="A1310" s="159">
        <v>39507</v>
      </c>
      <c r="B1310" s="94" t="s">
        <v>650</v>
      </c>
    </row>
    <row r="1311" spans="1:2">
      <c r="A1311" s="159">
        <v>39510</v>
      </c>
      <c r="B1311" s="94" t="s">
        <v>650</v>
      </c>
    </row>
    <row r="1312" spans="1:2">
      <c r="A1312" s="159">
        <v>39511</v>
      </c>
      <c r="B1312" s="94" t="s">
        <v>650</v>
      </c>
    </row>
    <row r="1313" spans="1:2">
      <c r="A1313" s="159">
        <v>39512</v>
      </c>
      <c r="B1313" s="94" t="s">
        <v>650</v>
      </c>
    </row>
    <row r="1314" spans="1:2">
      <c r="A1314" s="159">
        <v>39513</v>
      </c>
      <c r="B1314" s="94" t="s">
        <v>650</v>
      </c>
    </row>
    <row r="1315" spans="1:2">
      <c r="A1315" s="159">
        <v>39514</v>
      </c>
      <c r="B1315" s="94" t="s">
        <v>650</v>
      </c>
    </row>
    <row r="1316" spans="1:2">
      <c r="A1316" s="159">
        <v>39517</v>
      </c>
      <c r="B1316" s="94" t="s">
        <v>650</v>
      </c>
    </row>
    <row r="1317" spans="1:2">
      <c r="A1317" s="159">
        <v>39518</v>
      </c>
      <c r="B1317" s="94" t="s">
        <v>650</v>
      </c>
    </row>
    <row r="1318" spans="1:2">
      <c r="A1318" s="159">
        <v>39519</v>
      </c>
      <c r="B1318" s="94" t="s">
        <v>650</v>
      </c>
    </row>
    <row r="1319" spans="1:2">
      <c r="A1319" s="159">
        <v>39520</v>
      </c>
      <c r="B1319" s="94" t="s">
        <v>650</v>
      </c>
    </row>
    <row r="1320" spans="1:2">
      <c r="A1320" s="159">
        <v>39521</v>
      </c>
      <c r="B1320" s="94" t="s">
        <v>650</v>
      </c>
    </row>
    <row r="1321" spans="1:2">
      <c r="A1321" s="159">
        <v>39524</v>
      </c>
      <c r="B1321" s="94" t="s">
        <v>650</v>
      </c>
    </row>
    <row r="1322" spans="1:2">
      <c r="A1322" s="159">
        <v>39525</v>
      </c>
      <c r="B1322" s="94" t="s">
        <v>650</v>
      </c>
    </row>
    <row r="1323" spans="1:2">
      <c r="A1323" s="159">
        <v>39526</v>
      </c>
      <c r="B1323" s="94" t="s">
        <v>650</v>
      </c>
    </row>
    <row r="1324" spans="1:2">
      <c r="A1324" s="159">
        <v>39527</v>
      </c>
      <c r="B1324" s="94" t="s">
        <v>650</v>
      </c>
    </row>
    <row r="1325" spans="1:2">
      <c r="A1325" s="159">
        <v>39528</v>
      </c>
      <c r="B1325" s="94" t="s">
        <v>650</v>
      </c>
    </row>
    <row r="1326" spans="1:2">
      <c r="A1326" s="159">
        <v>39531</v>
      </c>
      <c r="B1326" s="94" t="s">
        <v>650</v>
      </c>
    </row>
    <row r="1327" spans="1:2">
      <c r="A1327" s="159">
        <v>39532</v>
      </c>
      <c r="B1327" s="94" t="s">
        <v>650</v>
      </c>
    </row>
    <row r="1328" spans="1:2">
      <c r="A1328" s="159">
        <v>39533</v>
      </c>
      <c r="B1328" s="94" t="s">
        <v>650</v>
      </c>
    </row>
    <row r="1329" spans="1:2">
      <c r="A1329" s="159">
        <v>39534</v>
      </c>
      <c r="B1329" s="94" t="s">
        <v>650</v>
      </c>
    </row>
    <row r="1330" spans="1:2">
      <c r="A1330" s="159">
        <v>39535</v>
      </c>
      <c r="B1330" s="94" t="s">
        <v>650</v>
      </c>
    </row>
    <row r="1331" spans="1:2">
      <c r="A1331" s="159">
        <v>39538</v>
      </c>
      <c r="B1331" s="94" t="s">
        <v>650</v>
      </c>
    </row>
    <row r="1332" spans="1:2">
      <c r="A1332" s="159">
        <v>39539</v>
      </c>
      <c r="B1332" s="94" t="s">
        <v>650</v>
      </c>
    </row>
    <row r="1333" spans="1:2">
      <c r="A1333" s="159">
        <v>39540</v>
      </c>
      <c r="B1333" s="94" t="s">
        <v>650</v>
      </c>
    </row>
    <row r="1334" spans="1:2">
      <c r="A1334" s="159">
        <v>39541</v>
      </c>
      <c r="B1334" s="94" t="s">
        <v>650</v>
      </c>
    </row>
    <row r="1335" spans="1:2">
      <c r="A1335" s="159">
        <v>39545</v>
      </c>
      <c r="B1335" s="94" t="s">
        <v>650</v>
      </c>
    </row>
    <row r="1336" spans="1:2">
      <c r="A1336" s="159">
        <v>39546</v>
      </c>
      <c r="B1336" s="94" t="s">
        <v>650</v>
      </c>
    </row>
    <row r="1337" spans="1:2">
      <c r="A1337" s="159">
        <v>39547</v>
      </c>
      <c r="B1337" s="94" t="s">
        <v>650</v>
      </c>
    </row>
    <row r="1338" spans="1:2">
      <c r="A1338" s="159">
        <v>39548</v>
      </c>
      <c r="B1338" s="94" t="s">
        <v>650</v>
      </c>
    </row>
    <row r="1339" spans="1:2">
      <c r="A1339" s="159">
        <v>39549</v>
      </c>
      <c r="B1339" s="94" t="s">
        <v>650</v>
      </c>
    </row>
    <row r="1340" spans="1:2">
      <c r="A1340" s="159">
        <v>39552</v>
      </c>
      <c r="B1340" s="94" t="s">
        <v>650</v>
      </c>
    </row>
    <row r="1341" spans="1:2">
      <c r="A1341" s="159">
        <v>39553</v>
      </c>
      <c r="B1341" s="94" t="s">
        <v>650</v>
      </c>
    </row>
    <row r="1342" spans="1:2">
      <c r="A1342" s="159">
        <v>39554</v>
      </c>
      <c r="B1342" s="94" t="s">
        <v>650</v>
      </c>
    </row>
    <row r="1343" spans="1:2">
      <c r="A1343" s="159">
        <v>39555</v>
      </c>
      <c r="B1343" s="94" t="s">
        <v>650</v>
      </c>
    </row>
    <row r="1344" spans="1:2">
      <c r="A1344" s="159">
        <v>39556</v>
      </c>
      <c r="B1344" s="94" t="s">
        <v>650</v>
      </c>
    </row>
    <row r="1345" spans="1:2">
      <c r="A1345" s="159">
        <v>39559</v>
      </c>
      <c r="B1345" s="94" t="s">
        <v>650</v>
      </c>
    </row>
    <row r="1346" spans="1:2">
      <c r="A1346" s="159">
        <v>39560</v>
      </c>
      <c r="B1346" s="94" t="s">
        <v>650</v>
      </c>
    </row>
    <row r="1347" spans="1:2">
      <c r="A1347" s="159">
        <v>39561</v>
      </c>
      <c r="B1347" s="94" t="s">
        <v>650</v>
      </c>
    </row>
    <row r="1348" spans="1:2">
      <c r="A1348" s="159">
        <v>39562</v>
      </c>
      <c r="B1348" s="94" t="s">
        <v>650</v>
      </c>
    </row>
    <row r="1349" spans="1:2">
      <c r="A1349" s="159">
        <v>39563</v>
      </c>
      <c r="B1349" s="94" t="s">
        <v>650</v>
      </c>
    </row>
    <row r="1350" spans="1:2">
      <c r="A1350" s="159">
        <v>39566</v>
      </c>
      <c r="B1350" s="94" t="s">
        <v>650</v>
      </c>
    </row>
    <row r="1351" spans="1:2">
      <c r="A1351" s="159">
        <v>39567</v>
      </c>
      <c r="B1351" s="94" t="s">
        <v>650</v>
      </c>
    </row>
    <row r="1352" spans="1:2">
      <c r="A1352" s="159">
        <v>39568</v>
      </c>
      <c r="B1352" s="94" t="s">
        <v>650</v>
      </c>
    </row>
    <row r="1353" spans="1:2">
      <c r="A1353" s="159">
        <v>39572</v>
      </c>
      <c r="B1353" s="94" t="s">
        <v>650</v>
      </c>
    </row>
    <row r="1354" spans="1:2">
      <c r="A1354" s="159">
        <v>39573</v>
      </c>
      <c r="B1354" s="94" t="s">
        <v>650</v>
      </c>
    </row>
    <row r="1355" spans="1:2">
      <c r="A1355" s="159">
        <v>39574</v>
      </c>
      <c r="B1355" s="94" t="s">
        <v>650</v>
      </c>
    </row>
    <row r="1356" spans="1:2">
      <c r="A1356" s="159">
        <v>39575</v>
      </c>
      <c r="B1356" s="94" t="s">
        <v>650</v>
      </c>
    </row>
    <row r="1357" spans="1:2">
      <c r="A1357" s="159">
        <v>39576</v>
      </c>
      <c r="B1357" s="94" t="s">
        <v>650</v>
      </c>
    </row>
    <row r="1358" spans="1:2">
      <c r="A1358" s="159">
        <v>39577</v>
      </c>
      <c r="B1358" s="94" t="s">
        <v>650</v>
      </c>
    </row>
    <row r="1359" spans="1:2">
      <c r="A1359" s="159">
        <v>39580</v>
      </c>
      <c r="B1359" s="94" t="s">
        <v>650</v>
      </c>
    </row>
    <row r="1360" spans="1:2">
      <c r="A1360" s="159">
        <v>39581</v>
      </c>
      <c r="B1360" s="94" t="s">
        <v>650</v>
      </c>
    </row>
    <row r="1361" spans="1:2">
      <c r="A1361" s="159">
        <v>39582</v>
      </c>
      <c r="B1361" s="94" t="s">
        <v>650</v>
      </c>
    </row>
    <row r="1362" spans="1:2">
      <c r="A1362" s="159">
        <v>39583</v>
      </c>
      <c r="B1362" s="94" t="s">
        <v>650</v>
      </c>
    </row>
    <row r="1363" spans="1:2">
      <c r="A1363" s="159">
        <v>39584</v>
      </c>
      <c r="B1363" s="94" t="s">
        <v>650</v>
      </c>
    </row>
    <row r="1364" spans="1:2">
      <c r="A1364" s="159">
        <v>39587</v>
      </c>
      <c r="B1364" s="94" t="s">
        <v>650</v>
      </c>
    </row>
    <row r="1365" spans="1:2">
      <c r="A1365" s="159">
        <v>39588</v>
      </c>
      <c r="B1365" s="94" t="s">
        <v>650</v>
      </c>
    </row>
    <row r="1366" spans="1:2">
      <c r="A1366" s="159">
        <v>39589</v>
      </c>
      <c r="B1366" s="94" t="s">
        <v>650</v>
      </c>
    </row>
    <row r="1367" spans="1:2">
      <c r="A1367" s="159">
        <v>39590</v>
      </c>
      <c r="B1367" s="94" t="s">
        <v>650</v>
      </c>
    </row>
    <row r="1368" spans="1:2">
      <c r="A1368" s="159">
        <v>39591</v>
      </c>
      <c r="B1368" s="94" t="s">
        <v>650</v>
      </c>
    </row>
    <row r="1369" spans="1:2">
      <c r="A1369" s="159">
        <v>39594</v>
      </c>
      <c r="B1369" s="94" t="s">
        <v>650</v>
      </c>
    </row>
    <row r="1370" spans="1:2">
      <c r="A1370" s="159">
        <v>39595</v>
      </c>
      <c r="B1370" s="94" t="s">
        <v>650</v>
      </c>
    </row>
    <row r="1371" spans="1:2">
      <c r="A1371" s="159">
        <v>39596</v>
      </c>
      <c r="B1371" s="94" t="s">
        <v>650</v>
      </c>
    </row>
    <row r="1372" spans="1:2">
      <c r="A1372" s="159">
        <v>39597</v>
      </c>
      <c r="B1372" s="94" t="s">
        <v>650</v>
      </c>
    </row>
    <row r="1373" spans="1:2">
      <c r="A1373" s="159">
        <v>39598</v>
      </c>
      <c r="B1373" s="94" t="s">
        <v>650</v>
      </c>
    </row>
    <row r="1374" spans="1:2">
      <c r="A1374" s="159">
        <v>39601</v>
      </c>
      <c r="B1374" s="94" t="s">
        <v>650</v>
      </c>
    </row>
    <row r="1375" spans="1:2">
      <c r="A1375" s="159">
        <v>39602</v>
      </c>
      <c r="B1375" s="94" t="s">
        <v>650</v>
      </c>
    </row>
    <row r="1376" spans="1:2">
      <c r="A1376" s="159">
        <v>39603</v>
      </c>
      <c r="B1376" s="94" t="s">
        <v>650</v>
      </c>
    </row>
    <row r="1377" spans="1:2">
      <c r="A1377" s="159">
        <v>39604</v>
      </c>
      <c r="B1377" s="94" t="s">
        <v>650</v>
      </c>
    </row>
    <row r="1378" spans="1:2">
      <c r="A1378" s="159">
        <v>39605</v>
      </c>
      <c r="B1378" s="94" t="s">
        <v>650</v>
      </c>
    </row>
    <row r="1379" spans="1:2">
      <c r="A1379" s="159">
        <v>39609</v>
      </c>
      <c r="B1379" s="94" t="s">
        <v>650</v>
      </c>
    </row>
    <row r="1380" spans="1:2">
      <c r="A1380" s="159">
        <v>39610</v>
      </c>
      <c r="B1380" s="94" t="s">
        <v>650</v>
      </c>
    </row>
    <row r="1381" spans="1:2">
      <c r="A1381" s="159">
        <v>39611</v>
      </c>
      <c r="B1381" s="94" t="s">
        <v>650</v>
      </c>
    </row>
    <row r="1382" spans="1:2">
      <c r="A1382" s="159">
        <v>39612</v>
      </c>
      <c r="B1382" s="94" t="s">
        <v>650</v>
      </c>
    </row>
    <row r="1383" spans="1:2">
      <c r="A1383" s="159">
        <v>39615</v>
      </c>
      <c r="B1383" s="94" t="s">
        <v>650</v>
      </c>
    </row>
    <row r="1384" spans="1:2">
      <c r="A1384" s="159">
        <v>39616</v>
      </c>
      <c r="B1384" s="94" t="s">
        <v>650</v>
      </c>
    </row>
    <row r="1385" spans="1:2">
      <c r="A1385" s="159">
        <v>39617</v>
      </c>
      <c r="B1385" s="94" t="s">
        <v>650</v>
      </c>
    </row>
    <row r="1386" spans="1:2">
      <c r="A1386" s="159">
        <v>39618</v>
      </c>
      <c r="B1386" s="94" t="s">
        <v>650</v>
      </c>
    </row>
    <row r="1387" spans="1:2">
      <c r="A1387" s="159">
        <v>39619</v>
      </c>
      <c r="B1387" s="94" t="s">
        <v>650</v>
      </c>
    </row>
    <row r="1388" spans="1:2">
      <c r="A1388" s="159">
        <v>39622</v>
      </c>
      <c r="B1388" s="94" t="s">
        <v>650</v>
      </c>
    </row>
    <row r="1389" spans="1:2">
      <c r="A1389" s="159">
        <v>39623</v>
      </c>
      <c r="B1389" s="94" t="s">
        <v>650</v>
      </c>
    </row>
    <row r="1390" spans="1:2">
      <c r="A1390" s="159">
        <v>39624</v>
      </c>
      <c r="B1390" s="94" t="s">
        <v>650</v>
      </c>
    </row>
    <row r="1391" spans="1:2">
      <c r="A1391" s="159">
        <v>39625</v>
      </c>
      <c r="B1391" s="94" t="s">
        <v>650</v>
      </c>
    </row>
    <row r="1392" spans="1:2">
      <c r="A1392" s="159">
        <v>39626</v>
      </c>
      <c r="B1392" s="94" t="s">
        <v>650</v>
      </c>
    </row>
    <row r="1393" spans="1:2">
      <c r="A1393" s="159">
        <v>39629</v>
      </c>
      <c r="B1393" s="94" t="s">
        <v>650</v>
      </c>
    </row>
    <row r="1394" spans="1:2">
      <c r="A1394" s="159">
        <v>39630</v>
      </c>
      <c r="B1394" s="94" t="s">
        <v>650</v>
      </c>
    </row>
    <row r="1395" spans="1:2">
      <c r="A1395" s="159">
        <v>39631</v>
      </c>
      <c r="B1395" s="94" t="s">
        <v>650</v>
      </c>
    </row>
    <row r="1396" spans="1:2">
      <c r="A1396" s="159">
        <v>39632</v>
      </c>
      <c r="B1396" s="94" t="s">
        <v>650</v>
      </c>
    </row>
    <row r="1397" spans="1:2">
      <c r="A1397" s="159">
        <v>39633</v>
      </c>
      <c r="B1397" s="94" t="s">
        <v>650</v>
      </c>
    </row>
    <row r="1398" spans="1:2">
      <c r="A1398" s="159">
        <v>39636</v>
      </c>
      <c r="B1398" s="94" t="s">
        <v>650</v>
      </c>
    </row>
    <row r="1399" spans="1:2">
      <c r="A1399" s="159">
        <v>39637</v>
      </c>
      <c r="B1399" s="94" t="s">
        <v>650</v>
      </c>
    </row>
    <row r="1400" spans="1:2">
      <c r="A1400" s="159">
        <v>39638</v>
      </c>
      <c r="B1400" s="94" t="s">
        <v>650</v>
      </c>
    </row>
    <row r="1401" spans="1:2">
      <c r="A1401" s="159">
        <v>39639</v>
      </c>
      <c r="B1401" s="94" t="s">
        <v>650</v>
      </c>
    </row>
    <row r="1402" spans="1:2">
      <c r="A1402" s="159">
        <v>39640</v>
      </c>
      <c r="B1402" s="94" t="s">
        <v>650</v>
      </c>
    </row>
    <row r="1403" spans="1:2">
      <c r="A1403" s="159">
        <v>39643</v>
      </c>
      <c r="B1403" s="94" t="s">
        <v>650</v>
      </c>
    </row>
    <row r="1404" spans="1:2">
      <c r="A1404" s="159">
        <v>39644</v>
      </c>
      <c r="B1404" s="94" t="s">
        <v>650</v>
      </c>
    </row>
    <row r="1405" spans="1:2">
      <c r="A1405" s="159">
        <v>39645</v>
      </c>
      <c r="B1405" s="94" t="s">
        <v>650</v>
      </c>
    </row>
    <row r="1406" spans="1:2">
      <c r="A1406" s="159">
        <v>39646</v>
      </c>
      <c r="B1406" s="94" t="s">
        <v>650</v>
      </c>
    </row>
    <row r="1407" spans="1:2">
      <c r="A1407" s="159">
        <v>39647</v>
      </c>
      <c r="B1407" s="94" t="s">
        <v>650</v>
      </c>
    </row>
    <row r="1408" spans="1:2">
      <c r="A1408" s="159">
        <v>39650</v>
      </c>
      <c r="B1408" s="94" t="s">
        <v>650</v>
      </c>
    </row>
    <row r="1409" spans="1:2">
      <c r="A1409" s="159">
        <v>39651</v>
      </c>
      <c r="B1409" s="94" t="s">
        <v>650</v>
      </c>
    </row>
    <row r="1410" spans="1:2">
      <c r="A1410" s="159">
        <v>39652</v>
      </c>
      <c r="B1410" s="94" t="s">
        <v>650</v>
      </c>
    </row>
    <row r="1411" spans="1:2">
      <c r="A1411" s="159">
        <v>39653</v>
      </c>
      <c r="B1411" s="94" t="s">
        <v>650</v>
      </c>
    </row>
    <row r="1412" spans="1:2">
      <c r="A1412" s="159">
        <v>39654</v>
      </c>
      <c r="B1412" s="94" t="s">
        <v>650</v>
      </c>
    </row>
    <row r="1413" spans="1:2">
      <c r="A1413" s="159">
        <v>39657</v>
      </c>
      <c r="B1413" s="94" t="s">
        <v>650</v>
      </c>
    </row>
    <row r="1414" spans="1:2">
      <c r="A1414" s="159">
        <v>39658</v>
      </c>
      <c r="B1414" s="94" t="s">
        <v>650</v>
      </c>
    </row>
    <row r="1415" spans="1:2">
      <c r="A1415" s="159">
        <v>39659</v>
      </c>
      <c r="B1415" s="94" t="s">
        <v>650</v>
      </c>
    </row>
    <row r="1416" spans="1:2">
      <c r="A1416" s="159">
        <v>39660</v>
      </c>
      <c r="B1416" s="94" t="s">
        <v>650</v>
      </c>
    </row>
    <row r="1417" spans="1:2">
      <c r="A1417" s="159">
        <v>39661</v>
      </c>
      <c r="B1417" s="94" t="s">
        <v>650</v>
      </c>
    </row>
    <row r="1418" spans="1:2">
      <c r="A1418" s="159">
        <v>39664</v>
      </c>
      <c r="B1418" s="94" t="s">
        <v>650</v>
      </c>
    </row>
    <row r="1419" spans="1:2">
      <c r="A1419" s="159">
        <v>39665</v>
      </c>
      <c r="B1419" s="94" t="s">
        <v>650</v>
      </c>
    </row>
    <row r="1420" spans="1:2">
      <c r="A1420" s="159">
        <v>39666</v>
      </c>
      <c r="B1420" s="94" t="s">
        <v>650</v>
      </c>
    </row>
    <row r="1421" spans="1:2">
      <c r="A1421" s="159">
        <v>39667</v>
      </c>
      <c r="B1421" s="94" t="s">
        <v>650</v>
      </c>
    </row>
    <row r="1422" spans="1:2">
      <c r="A1422" s="159">
        <v>39668</v>
      </c>
      <c r="B1422" s="94" t="s">
        <v>650</v>
      </c>
    </row>
    <row r="1423" spans="1:2">
      <c r="A1423" s="159">
        <v>39671</v>
      </c>
      <c r="B1423" s="94" t="s">
        <v>650</v>
      </c>
    </row>
    <row r="1424" spans="1:2">
      <c r="A1424" s="159">
        <v>39672</v>
      </c>
      <c r="B1424" s="94" t="s">
        <v>650</v>
      </c>
    </row>
    <row r="1425" spans="1:2">
      <c r="A1425" s="159">
        <v>39673</v>
      </c>
      <c r="B1425" s="94" t="s">
        <v>650</v>
      </c>
    </row>
    <row r="1426" spans="1:2">
      <c r="A1426" s="159">
        <v>39674</v>
      </c>
      <c r="B1426" s="94" t="s">
        <v>650</v>
      </c>
    </row>
    <row r="1427" spans="1:2">
      <c r="A1427" s="159">
        <v>39675</v>
      </c>
      <c r="B1427" s="94" t="s">
        <v>650</v>
      </c>
    </row>
    <row r="1428" spans="1:2">
      <c r="A1428" s="159">
        <v>39678</v>
      </c>
      <c r="B1428" s="94" t="s">
        <v>650</v>
      </c>
    </row>
    <row r="1429" spans="1:2">
      <c r="A1429" s="159">
        <v>39679</v>
      </c>
      <c r="B1429" s="94" t="s">
        <v>650</v>
      </c>
    </row>
    <row r="1430" spans="1:2">
      <c r="A1430" s="159">
        <v>39680</v>
      </c>
      <c r="B1430" s="94" t="s">
        <v>650</v>
      </c>
    </row>
    <row r="1431" spans="1:2">
      <c r="A1431" s="159">
        <v>39681</v>
      </c>
      <c r="B1431" s="94" t="s">
        <v>650</v>
      </c>
    </row>
    <row r="1432" spans="1:2">
      <c r="A1432" s="159">
        <v>39682</v>
      </c>
      <c r="B1432" s="94" t="s">
        <v>650</v>
      </c>
    </row>
    <row r="1433" spans="1:2">
      <c r="A1433" s="159">
        <v>39685</v>
      </c>
      <c r="B1433" s="94" t="s">
        <v>650</v>
      </c>
    </row>
    <row r="1434" spans="1:2">
      <c r="A1434" s="159">
        <v>39686</v>
      </c>
      <c r="B1434" s="94" t="s">
        <v>650</v>
      </c>
    </row>
    <row r="1435" spans="1:2">
      <c r="A1435" s="159">
        <v>39687</v>
      </c>
      <c r="B1435" s="94" t="s">
        <v>650</v>
      </c>
    </row>
    <row r="1436" spans="1:2">
      <c r="A1436" s="159">
        <v>39688</v>
      </c>
      <c r="B1436" s="94" t="s">
        <v>650</v>
      </c>
    </row>
    <row r="1437" spans="1:2">
      <c r="A1437" s="159">
        <v>39689</v>
      </c>
      <c r="B1437" s="94" t="s">
        <v>650</v>
      </c>
    </row>
    <row r="1438" spans="1:2">
      <c r="A1438" s="159">
        <v>39692</v>
      </c>
      <c r="B1438" s="94" t="s">
        <v>650</v>
      </c>
    </row>
    <row r="1439" spans="1:2">
      <c r="A1439" s="159">
        <v>39693</v>
      </c>
      <c r="B1439" s="94" t="s">
        <v>650</v>
      </c>
    </row>
    <row r="1440" spans="1:2">
      <c r="A1440" s="159">
        <v>39694</v>
      </c>
      <c r="B1440" s="94" t="s">
        <v>650</v>
      </c>
    </row>
    <row r="1441" spans="1:2">
      <c r="A1441" s="159">
        <v>39695</v>
      </c>
      <c r="B1441" s="94" t="s">
        <v>650</v>
      </c>
    </row>
    <row r="1442" spans="1:2">
      <c r="A1442" s="159">
        <v>39696</v>
      </c>
      <c r="B1442" s="94" t="s">
        <v>650</v>
      </c>
    </row>
    <row r="1443" spans="1:2">
      <c r="A1443" s="159">
        <v>39699</v>
      </c>
      <c r="B1443" s="94" t="s">
        <v>650</v>
      </c>
    </row>
    <row r="1444" spans="1:2">
      <c r="A1444" s="159">
        <v>39700</v>
      </c>
      <c r="B1444" s="94" t="s">
        <v>650</v>
      </c>
    </row>
    <row r="1445" spans="1:2">
      <c r="A1445" s="159">
        <v>39701</v>
      </c>
      <c r="B1445" s="94" t="s">
        <v>650</v>
      </c>
    </row>
    <row r="1446" spans="1:2">
      <c r="A1446" s="159">
        <v>39702</v>
      </c>
      <c r="B1446" s="94" t="s">
        <v>650</v>
      </c>
    </row>
    <row r="1447" spans="1:2">
      <c r="A1447" s="159">
        <v>39703</v>
      </c>
      <c r="B1447" s="94" t="s">
        <v>650</v>
      </c>
    </row>
    <row r="1448" spans="1:2">
      <c r="A1448" s="159">
        <v>39707</v>
      </c>
      <c r="B1448" s="94" t="s">
        <v>650</v>
      </c>
    </row>
    <row r="1449" spans="1:2">
      <c r="A1449" s="159">
        <v>39708</v>
      </c>
      <c r="B1449" s="94" t="s">
        <v>650</v>
      </c>
    </row>
    <row r="1450" spans="1:2">
      <c r="A1450" s="159">
        <v>39709</v>
      </c>
      <c r="B1450" s="94" t="s">
        <v>650</v>
      </c>
    </row>
    <row r="1451" spans="1:2">
      <c r="A1451" s="159">
        <v>39710</v>
      </c>
      <c r="B1451" s="94" t="s">
        <v>650</v>
      </c>
    </row>
    <row r="1452" spans="1:2">
      <c r="A1452" s="159">
        <v>39713</v>
      </c>
      <c r="B1452" s="94" t="s">
        <v>650</v>
      </c>
    </row>
    <row r="1453" spans="1:2">
      <c r="A1453" s="159">
        <v>39714</v>
      </c>
      <c r="B1453" s="94" t="s">
        <v>650</v>
      </c>
    </row>
    <row r="1454" spans="1:2">
      <c r="A1454" s="159">
        <v>39715</v>
      </c>
      <c r="B1454" s="94" t="s">
        <v>650</v>
      </c>
    </row>
    <row r="1455" spans="1:2">
      <c r="A1455" s="159">
        <v>39716</v>
      </c>
      <c r="B1455" s="94" t="s">
        <v>650</v>
      </c>
    </row>
    <row r="1456" spans="1:2">
      <c r="A1456" s="159">
        <v>39717</v>
      </c>
      <c r="B1456" s="94" t="s">
        <v>650</v>
      </c>
    </row>
    <row r="1457" spans="1:2">
      <c r="A1457" s="159">
        <v>39718</v>
      </c>
      <c r="B1457" s="94" t="s">
        <v>650</v>
      </c>
    </row>
    <row r="1458" spans="1:2">
      <c r="A1458" s="159">
        <v>39719</v>
      </c>
      <c r="B1458" s="94" t="s">
        <v>650</v>
      </c>
    </row>
    <row r="1459" spans="1:2">
      <c r="A1459" s="159">
        <v>39727</v>
      </c>
      <c r="B1459" s="94" t="s">
        <v>650</v>
      </c>
    </row>
    <row r="1460" spans="1:2">
      <c r="A1460" s="159">
        <v>39728</v>
      </c>
      <c r="B1460" s="94" t="s">
        <v>650</v>
      </c>
    </row>
    <row r="1461" spans="1:2">
      <c r="A1461" s="159">
        <v>39729</v>
      </c>
      <c r="B1461" s="94" t="s">
        <v>650</v>
      </c>
    </row>
    <row r="1462" spans="1:2">
      <c r="A1462" s="159">
        <v>39730</v>
      </c>
      <c r="B1462" s="94" t="s">
        <v>650</v>
      </c>
    </row>
    <row r="1463" spans="1:2">
      <c r="A1463" s="159">
        <v>39731</v>
      </c>
      <c r="B1463" s="94" t="s">
        <v>650</v>
      </c>
    </row>
    <row r="1464" spans="1:2">
      <c r="A1464" s="159">
        <v>39734</v>
      </c>
      <c r="B1464" s="94" t="s">
        <v>650</v>
      </c>
    </row>
    <row r="1465" spans="1:2">
      <c r="A1465" s="159">
        <v>39735</v>
      </c>
      <c r="B1465" s="94" t="s">
        <v>650</v>
      </c>
    </row>
    <row r="1466" spans="1:2">
      <c r="A1466" s="159">
        <v>39736</v>
      </c>
      <c r="B1466" s="94" t="s">
        <v>650</v>
      </c>
    </row>
    <row r="1467" spans="1:2">
      <c r="A1467" s="159">
        <v>39737</v>
      </c>
      <c r="B1467" s="94" t="s">
        <v>650</v>
      </c>
    </row>
    <row r="1468" spans="1:2">
      <c r="A1468" s="159">
        <v>39738</v>
      </c>
      <c r="B1468" s="94" t="s">
        <v>650</v>
      </c>
    </row>
    <row r="1469" spans="1:2">
      <c r="A1469" s="159">
        <v>39741</v>
      </c>
      <c r="B1469" s="94" t="s">
        <v>650</v>
      </c>
    </row>
    <row r="1470" spans="1:2">
      <c r="A1470" s="159">
        <v>39742</v>
      </c>
      <c r="B1470" s="94" t="s">
        <v>650</v>
      </c>
    </row>
    <row r="1471" spans="1:2">
      <c r="A1471" s="159">
        <v>39743</v>
      </c>
      <c r="B1471" s="94" t="s">
        <v>650</v>
      </c>
    </row>
    <row r="1472" spans="1:2">
      <c r="A1472" s="159">
        <v>39744</v>
      </c>
      <c r="B1472" s="94" t="s">
        <v>650</v>
      </c>
    </row>
    <row r="1473" spans="1:2">
      <c r="A1473" s="159">
        <v>39745</v>
      </c>
      <c r="B1473" s="94" t="s">
        <v>650</v>
      </c>
    </row>
    <row r="1474" spans="1:2">
      <c r="A1474" s="159">
        <v>39748</v>
      </c>
      <c r="B1474" s="94" t="s">
        <v>650</v>
      </c>
    </row>
    <row r="1475" spans="1:2">
      <c r="A1475" s="159">
        <v>39749</v>
      </c>
      <c r="B1475" s="94" t="s">
        <v>650</v>
      </c>
    </row>
    <row r="1476" spans="1:2">
      <c r="A1476" s="159">
        <v>39750</v>
      </c>
      <c r="B1476" s="94" t="s">
        <v>650</v>
      </c>
    </row>
    <row r="1477" spans="1:2">
      <c r="A1477" s="159">
        <v>39751</v>
      </c>
      <c r="B1477" s="94" t="s">
        <v>650</v>
      </c>
    </row>
    <row r="1478" spans="1:2">
      <c r="A1478" s="159">
        <v>39752</v>
      </c>
      <c r="B1478" s="94" t="s">
        <v>650</v>
      </c>
    </row>
    <row r="1479" spans="1:2">
      <c r="A1479" s="159">
        <v>39755</v>
      </c>
      <c r="B1479" s="94" t="s">
        <v>650</v>
      </c>
    </row>
    <row r="1480" spans="1:2">
      <c r="A1480" s="159">
        <v>39756</v>
      </c>
      <c r="B1480" s="94" t="s">
        <v>650</v>
      </c>
    </row>
    <row r="1481" spans="1:2">
      <c r="A1481" s="159">
        <v>39757</v>
      </c>
      <c r="B1481" s="94" t="s">
        <v>650</v>
      </c>
    </row>
    <row r="1482" spans="1:2">
      <c r="A1482" s="159">
        <v>39758</v>
      </c>
      <c r="B1482" s="94" t="s">
        <v>650</v>
      </c>
    </row>
    <row r="1483" spans="1:2">
      <c r="A1483" s="159">
        <v>39759</v>
      </c>
      <c r="B1483" s="94" t="s">
        <v>650</v>
      </c>
    </row>
    <row r="1484" spans="1:2">
      <c r="A1484" s="159">
        <v>39762</v>
      </c>
      <c r="B1484" s="94" t="s">
        <v>650</v>
      </c>
    </row>
    <row r="1485" spans="1:2">
      <c r="A1485" s="159">
        <v>39763</v>
      </c>
      <c r="B1485" s="94" t="s">
        <v>650</v>
      </c>
    </row>
    <row r="1486" spans="1:2">
      <c r="A1486" s="159">
        <v>39764</v>
      </c>
      <c r="B1486" s="94" t="s">
        <v>650</v>
      </c>
    </row>
    <row r="1487" spans="1:2">
      <c r="A1487" s="159">
        <v>39765</v>
      </c>
      <c r="B1487" s="94" t="s">
        <v>650</v>
      </c>
    </row>
    <row r="1488" spans="1:2">
      <c r="A1488" s="159">
        <v>39766</v>
      </c>
      <c r="B1488" s="94" t="s">
        <v>650</v>
      </c>
    </row>
    <row r="1489" spans="1:2">
      <c r="A1489" s="159">
        <v>39769</v>
      </c>
      <c r="B1489" s="94" t="s">
        <v>650</v>
      </c>
    </row>
    <row r="1490" spans="1:2">
      <c r="A1490" s="159">
        <v>39770</v>
      </c>
      <c r="B1490" s="94" t="s">
        <v>650</v>
      </c>
    </row>
    <row r="1491" spans="1:2">
      <c r="A1491" s="159">
        <v>39771</v>
      </c>
      <c r="B1491" s="94" t="s">
        <v>650</v>
      </c>
    </row>
    <row r="1492" spans="1:2">
      <c r="A1492" s="159">
        <v>39772</v>
      </c>
      <c r="B1492" s="94" t="s">
        <v>650</v>
      </c>
    </row>
    <row r="1493" spans="1:2">
      <c r="A1493" s="159">
        <v>39773</v>
      </c>
      <c r="B1493" s="94" t="s">
        <v>650</v>
      </c>
    </row>
    <row r="1494" spans="1:2">
      <c r="A1494" s="159">
        <v>39776</v>
      </c>
      <c r="B1494" s="94" t="s">
        <v>650</v>
      </c>
    </row>
    <row r="1495" spans="1:2">
      <c r="A1495" s="159">
        <v>39777</v>
      </c>
      <c r="B1495" s="94" t="s">
        <v>650</v>
      </c>
    </row>
    <row r="1496" spans="1:2">
      <c r="A1496" s="159">
        <v>39778</v>
      </c>
      <c r="B1496" s="94" t="s">
        <v>650</v>
      </c>
    </row>
    <row r="1497" spans="1:2">
      <c r="A1497" s="159">
        <v>39779</v>
      </c>
      <c r="B1497" s="94" t="s">
        <v>650</v>
      </c>
    </row>
    <row r="1498" spans="1:2">
      <c r="A1498" s="159">
        <v>39780</v>
      </c>
      <c r="B1498" s="94" t="s">
        <v>650</v>
      </c>
    </row>
    <row r="1499" spans="1:2">
      <c r="A1499" s="159">
        <v>39783</v>
      </c>
      <c r="B1499" s="94" t="s">
        <v>650</v>
      </c>
    </row>
    <row r="1500" spans="1:2">
      <c r="A1500" s="159">
        <v>39784</v>
      </c>
      <c r="B1500" s="94" t="s">
        <v>650</v>
      </c>
    </row>
    <row r="1501" spans="1:2">
      <c r="A1501" s="159">
        <v>39785</v>
      </c>
      <c r="B1501" s="94" t="s">
        <v>650</v>
      </c>
    </row>
    <row r="1502" spans="1:2">
      <c r="A1502" s="159">
        <v>39786</v>
      </c>
      <c r="B1502" s="94" t="s">
        <v>650</v>
      </c>
    </row>
    <row r="1503" spans="1:2">
      <c r="A1503" s="159">
        <v>39787</v>
      </c>
      <c r="B1503" s="94" t="s">
        <v>650</v>
      </c>
    </row>
    <row r="1504" spans="1:2">
      <c r="A1504" s="159">
        <v>39790</v>
      </c>
      <c r="B1504" s="94" t="s">
        <v>650</v>
      </c>
    </row>
    <row r="1505" spans="1:2">
      <c r="A1505" s="159">
        <v>39791</v>
      </c>
      <c r="B1505" s="94" t="s">
        <v>650</v>
      </c>
    </row>
    <row r="1506" spans="1:2">
      <c r="A1506" s="159">
        <v>39792</v>
      </c>
      <c r="B1506" s="94" t="s">
        <v>650</v>
      </c>
    </row>
    <row r="1507" spans="1:2">
      <c r="A1507" s="159">
        <v>39793</v>
      </c>
      <c r="B1507" s="94" t="s">
        <v>650</v>
      </c>
    </row>
    <row r="1508" spans="1:2">
      <c r="A1508" s="159">
        <v>39794</v>
      </c>
      <c r="B1508" s="94" t="s">
        <v>650</v>
      </c>
    </row>
    <row r="1509" spans="1:2">
      <c r="A1509" s="159">
        <v>39797</v>
      </c>
      <c r="B1509" s="94" t="s">
        <v>650</v>
      </c>
    </row>
    <row r="1510" spans="1:2">
      <c r="A1510" s="159">
        <v>39798</v>
      </c>
      <c r="B1510" s="94" t="s">
        <v>650</v>
      </c>
    </row>
    <row r="1511" spans="1:2">
      <c r="A1511" s="159">
        <v>39799</v>
      </c>
      <c r="B1511" s="94" t="s">
        <v>650</v>
      </c>
    </row>
    <row r="1512" spans="1:2">
      <c r="A1512" s="159">
        <v>39800</v>
      </c>
      <c r="B1512" s="94" t="s">
        <v>650</v>
      </c>
    </row>
    <row r="1513" spans="1:2">
      <c r="A1513" s="159">
        <v>39801</v>
      </c>
      <c r="B1513" s="94" t="s">
        <v>650</v>
      </c>
    </row>
    <row r="1514" spans="1:2">
      <c r="A1514" s="159">
        <v>39804</v>
      </c>
      <c r="B1514" s="94" t="s">
        <v>650</v>
      </c>
    </row>
    <row r="1515" spans="1:2">
      <c r="A1515" s="159">
        <v>39805</v>
      </c>
      <c r="B1515" s="94" t="s">
        <v>650</v>
      </c>
    </row>
    <row r="1516" spans="1:2">
      <c r="A1516" s="159">
        <v>39806</v>
      </c>
      <c r="B1516" s="94" t="s">
        <v>650</v>
      </c>
    </row>
    <row r="1517" spans="1:2">
      <c r="A1517" s="159">
        <v>39807</v>
      </c>
      <c r="B1517" s="94" t="s">
        <v>650</v>
      </c>
    </row>
    <row r="1518" spans="1:2">
      <c r="A1518" s="159">
        <v>39808</v>
      </c>
      <c r="B1518" s="94" t="s">
        <v>650</v>
      </c>
    </row>
    <row r="1519" spans="1:2">
      <c r="A1519" s="159">
        <v>39811</v>
      </c>
      <c r="B1519" s="94" t="s">
        <v>650</v>
      </c>
    </row>
    <row r="1520" spans="1:2">
      <c r="A1520" s="159">
        <v>39812</v>
      </c>
      <c r="B1520" s="94" t="s">
        <v>650</v>
      </c>
    </row>
    <row r="1521" spans="1:2">
      <c r="A1521" s="159">
        <v>39813</v>
      </c>
      <c r="B1521" s="94" t="s">
        <v>650</v>
      </c>
    </row>
    <row r="1522" spans="1:2">
      <c r="A1522" s="159">
        <v>39817</v>
      </c>
      <c r="B1522" s="94" t="s">
        <v>650</v>
      </c>
    </row>
    <row r="1523" spans="1:2">
      <c r="A1523" s="159">
        <v>39818</v>
      </c>
      <c r="B1523" s="94" t="s">
        <v>650</v>
      </c>
    </row>
    <row r="1524" spans="1:2">
      <c r="A1524" s="159">
        <v>39819</v>
      </c>
      <c r="B1524" s="94" t="s">
        <v>650</v>
      </c>
    </row>
    <row r="1525" spans="1:2">
      <c r="A1525" s="159">
        <v>39820</v>
      </c>
      <c r="B1525" s="94" t="s">
        <v>650</v>
      </c>
    </row>
    <row r="1526" spans="1:2">
      <c r="A1526" s="159">
        <v>39821</v>
      </c>
      <c r="B1526" s="94" t="s">
        <v>650</v>
      </c>
    </row>
    <row r="1527" spans="1:2">
      <c r="A1527" s="159">
        <v>39822</v>
      </c>
      <c r="B1527" s="94" t="s">
        <v>650</v>
      </c>
    </row>
    <row r="1528" spans="1:2">
      <c r="A1528" s="159">
        <v>39825</v>
      </c>
      <c r="B1528" s="94" t="s">
        <v>650</v>
      </c>
    </row>
    <row r="1529" spans="1:2">
      <c r="A1529" s="159">
        <v>39826</v>
      </c>
      <c r="B1529" s="94" t="s">
        <v>650</v>
      </c>
    </row>
    <row r="1530" spans="1:2">
      <c r="A1530" s="159">
        <v>39827</v>
      </c>
      <c r="B1530" s="94" t="s">
        <v>650</v>
      </c>
    </row>
    <row r="1531" spans="1:2">
      <c r="A1531" s="159">
        <v>39828</v>
      </c>
      <c r="B1531" s="94" t="s">
        <v>650</v>
      </c>
    </row>
    <row r="1532" spans="1:2">
      <c r="A1532" s="159">
        <v>39829</v>
      </c>
      <c r="B1532" s="94" t="s">
        <v>650</v>
      </c>
    </row>
    <row r="1533" spans="1:2">
      <c r="A1533" s="159">
        <v>39832</v>
      </c>
      <c r="B1533" s="94" t="s">
        <v>650</v>
      </c>
    </row>
    <row r="1534" spans="1:2">
      <c r="A1534" s="159">
        <v>39833</v>
      </c>
      <c r="B1534" s="94" t="s">
        <v>650</v>
      </c>
    </row>
    <row r="1535" spans="1:2">
      <c r="A1535" s="159">
        <v>39834</v>
      </c>
      <c r="B1535" s="94" t="s">
        <v>650</v>
      </c>
    </row>
    <row r="1536" spans="1:2">
      <c r="A1536" s="159">
        <v>39835</v>
      </c>
      <c r="B1536" s="94" t="s">
        <v>650</v>
      </c>
    </row>
    <row r="1537" spans="1:2">
      <c r="A1537" s="159">
        <v>39836</v>
      </c>
      <c r="B1537" s="94" t="s">
        <v>650</v>
      </c>
    </row>
    <row r="1538" spans="1:2">
      <c r="A1538" s="159">
        <v>39837</v>
      </c>
      <c r="B1538" s="94" t="s">
        <v>650</v>
      </c>
    </row>
    <row r="1539" spans="1:2">
      <c r="A1539" s="159">
        <v>39845</v>
      </c>
      <c r="B1539" s="94" t="s">
        <v>650</v>
      </c>
    </row>
    <row r="1540" spans="1:2">
      <c r="A1540" s="159">
        <v>39846</v>
      </c>
      <c r="B1540" s="94" t="s">
        <v>650</v>
      </c>
    </row>
    <row r="1541" spans="1:2">
      <c r="A1541" s="159">
        <v>39847</v>
      </c>
      <c r="B1541" s="94" t="s">
        <v>650</v>
      </c>
    </row>
    <row r="1542" spans="1:2">
      <c r="A1542" s="159">
        <v>39848</v>
      </c>
      <c r="B1542" s="94" t="s">
        <v>650</v>
      </c>
    </row>
    <row r="1543" spans="1:2">
      <c r="A1543" s="159">
        <v>39849</v>
      </c>
      <c r="B1543" s="94" t="s">
        <v>650</v>
      </c>
    </row>
    <row r="1544" spans="1:2">
      <c r="A1544" s="159">
        <v>39850</v>
      </c>
      <c r="B1544" s="94" t="s">
        <v>650</v>
      </c>
    </row>
    <row r="1545" spans="1:2">
      <c r="A1545" s="159">
        <v>39853</v>
      </c>
      <c r="B1545" s="94" t="s">
        <v>650</v>
      </c>
    </row>
    <row r="1546" spans="1:2">
      <c r="A1546" s="159">
        <v>39854</v>
      </c>
      <c r="B1546" s="94" t="s">
        <v>650</v>
      </c>
    </row>
    <row r="1547" spans="1:2">
      <c r="A1547" s="159">
        <v>39855</v>
      </c>
      <c r="B1547" s="94" t="s">
        <v>650</v>
      </c>
    </row>
    <row r="1548" spans="1:2">
      <c r="A1548" s="159">
        <v>39856</v>
      </c>
      <c r="B1548" s="94" t="s">
        <v>650</v>
      </c>
    </row>
    <row r="1549" spans="1:2">
      <c r="A1549" s="159">
        <v>39857</v>
      </c>
      <c r="B1549" s="94" t="s">
        <v>650</v>
      </c>
    </row>
    <row r="1550" spans="1:2">
      <c r="A1550" s="159">
        <v>39860</v>
      </c>
      <c r="B1550" s="94" t="s">
        <v>650</v>
      </c>
    </row>
    <row r="1551" spans="1:2">
      <c r="A1551" s="159">
        <v>39861</v>
      </c>
      <c r="B1551" s="94" t="s">
        <v>650</v>
      </c>
    </row>
    <row r="1552" spans="1:2">
      <c r="A1552" s="159">
        <v>39862</v>
      </c>
      <c r="B1552" s="94" t="s">
        <v>650</v>
      </c>
    </row>
    <row r="1553" spans="1:2">
      <c r="A1553" s="159">
        <v>39863</v>
      </c>
      <c r="B1553" s="94" t="s">
        <v>650</v>
      </c>
    </row>
    <row r="1554" spans="1:2">
      <c r="A1554" s="159">
        <v>39864</v>
      </c>
      <c r="B1554" s="94" t="s">
        <v>650</v>
      </c>
    </row>
    <row r="1555" spans="1:2">
      <c r="A1555" s="159">
        <v>39867</v>
      </c>
      <c r="B1555" s="94" t="s">
        <v>650</v>
      </c>
    </row>
    <row r="1556" spans="1:2">
      <c r="A1556" s="159">
        <v>39868</v>
      </c>
      <c r="B1556" s="94" t="s">
        <v>650</v>
      </c>
    </row>
    <row r="1557" spans="1:2">
      <c r="A1557" s="159">
        <v>39869</v>
      </c>
      <c r="B1557" s="94" t="s">
        <v>650</v>
      </c>
    </row>
    <row r="1558" spans="1:2">
      <c r="A1558" s="159">
        <v>39870</v>
      </c>
      <c r="B1558" s="94" t="s">
        <v>650</v>
      </c>
    </row>
    <row r="1559" spans="1:2">
      <c r="A1559" s="159">
        <v>39871</v>
      </c>
      <c r="B1559" s="94" t="s">
        <v>650</v>
      </c>
    </row>
    <row r="1560" spans="1:2">
      <c r="A1560" s="159">
        <v>39874</v>
      </c>
      <c r="B1560" s="94" t="s">
        <v>650</v>
      </c>
    </row>
    <row r="1561" spans="1:2">
      <c r="A1561" s="159">
        <v>39875</v>
      </c>
      <c r="B1561" s="94" t="s">
        <v>650</v>
      </c>
    </row>
    <row r="1562" spans="1:2">
      <c r="A1562" s="159">
        <v>39876</v>
      </c>
      <c r="B1562" s="94" t="s">
        <v>650</v>
      </c>
    </row>
    <row r="1563" spans="1:2">
      <c r="A1563" s="159">
        <v>39877</v>
      </c>
      <c r="B1563" s="94" t="s">
        <v>650</v>
      </c>
    </row>
    <row r="1564" spans="1:2">
      <c r="A1564" s="159">
        <v>39878</v>
      </c>
      <c r="B1564" s="94" t="s">
        <v>650</v>
      </c>
    </row>
    <row r="1565" spans="1:2">
      <c r="A1565" s="159">
        <v>39881</v>
      </c>
      <c r="B1565" s="94" t="s">
        <v>650</v>
      </c>
    </row>
    <row r="1566" spans="1:2">
      <c r="A1566" s="159">
        <v>39882</v>
      </c>
      <c r="B1566" s="94" t="s">
        <v>650</v>
      </c>
    </row>
    <row r="1567" spans="1:2">
      <c r="A1567" s="159">
        <v>39883</v>
      </c>
      <c r="B1567" s="94" t="s">
        <v>650</v>
      </c>
    </row>
    <row r="1568" spans="1:2">
      <c r="A1568" s="159">
        <v>39884</v>
      </c>
      <c r="B1568" s="94" t="s">
        <v>650</v>
      </c>
    </row>
    <row r="1569" spans="1:2">
      <c r="A1569" s="159">
        <v>39885</v>
      </c>
      <c r="B1569" s="94" t="s">
        <v>650</v>
      </c>
    </row>
    <row r="1570" spans="1:2">
      <c r="A1570" s="159">
        <v>39888</v>
      </c>
      <c r="B1570" s="94" t="s">
        <v>650</v>
      </c>
    </row>
    <row r="1571" spans="1:2">
      <c r="A1571" s="159">
        <v>39889</v>
      </c>
      <c r="B1571" s="94" t="s">
        <v>650</v>
      </c>
    </row>
    <row r="1572" spans="1:2">
      <c r="A1572" s="159">
        <v>39890</v>
      </c>
      <c r="B1572" s="94" t="s">
        <v>650</v>
      </c>
    </row>
    <row r="1573" spans="1:2">
      <c r="A1573" s="159">
        <v>39891</v>
      </c>
      <c r="B1573" s="94" t="s">
        <v>650</v>
      </c>
    </row>
    <row r="1574" spans="1:2">
      <c r="A1574" s="159">
        <v>39892</v>
      </c>
      <c r="B1574" s="94" t="s">
        <v>650</v>
      </c>
    </row>
    <row r="1575" spans="1:2">
      <c r="A1575" s="159">
        <v>39895</v>
      </c>
      <c r="B1575" s="94" t="s">
        <v>650</v>
      </c>
    </row>
    <row r="1576" spans="1:2">
      <c r="A1576" s="159">
        <v>39896</v>
      </c>
      <c r="B1576" s="94" t="s">
        <v>650</v>
      </c>
    </row>
    <row r="1577" spans="1:2">
      <c r="A1577" s="159">
        <v>39897</v>
      </c>
      <c r="B1577" s="94" t="s">
        <v>650</v>
      </c>
    </row>
    <row r="1578" spans="1:2">
      <c r="A1578" s="159">
        <v>39898</v>
      </c>
      <c r="B1578" s="94" t="s">
        <v>650</v>
      </c>
    </row>
    <row r="1579" spans="1:2">
      <c r="A1579" s="159">
        <v>39899</v>
      </c>
      <c r="B1579" s="94" t="s">
        <v>650</v>
      </c>
    </row>
    <row r="1580" spans="1:2">
      <c r="A1580" s="159">
        <v>39902</v>
      </c>
      <c r="B1580" s="94" t="s">
        <v>650</v>
      </c>
    </row>
    <row r="1581" spans="1:2">
      <c r="A1581" s="159">
        <v>39903</v>
      </c>
      <c r="B1581" s="94" t="s">
        <v>650</v>
      </c>
    </row>
    <row r="1582" spans="1:2">
      <c r="A1582" s="159">
        <v>39904</v>
      </c>
      <c r="B1582" s="94" t="s">
        <v>650</v>
      </c>
    </row>
    <row r="1583" spans="1:2">
      <c r="A1583" s="159">
        <v>39905</v>
      </c>
      <c r="B1583" s="94" t="s">
        <v>650</v>
      </c>
    </row>
    <row r="1584" spans="1:2">
      <c r="A1584" s="159">
        <v>39906</v>
      </c>
      <c r="B1584" s="94" t="s">
        <v>650</v>
      </c>
    </row>
    <row r="1585" spans="1:2">
      <c r="A1585" s="159">
        <v>39910</v>
      </c>
      <c r="B1585" s="94" t="s">
        <v>650</v>
      </c>
    </row>
    <row r="1586" spans="1:2">
      <c r="A1586" s="159">
        <v>39911</v>
      </c>
      <c r="B1586" s="94" t="s">
        <v>650</v>
      </c>
    </row>
    <row r="1587" spans="1:2">
      <c r="A1587" s="159">
        <v>39912</v>
      </c>
      <c r="B1587" s="94" t="s">
        <v>650</v>
      </c>
    </row>
    <row r="1588" spans="1:2">
      <c r="A1588" s="159">
        <v>39913</v>
      </c>
      <c r="B1588" s="94" t="s">
        <v>650</v>
      </c>
    </row>
    <row r="1589" spans="1:2">
      <c r="A1589" s="159">
        <v>39916</v>
      </c>
      <c r="B1589" s="94" t="s">
        <v>650</v>
      </c>
    </row>
    <row r="1590" spans="1:2">
      <c r="A1590" s="159">
        <v>39917</v>
      </c>
      <c r="B1590" s="94" t="s">
        <v>650</v>
      </c>
    </row>
    <row r="1591" spans="1:2">
      <c r="A1591" s="159">
        <v>39918</v>
      </c>
      <c r="B1591" s="94" t="s">
        <v>650</v>
      </c>
    </row>
    <row r="1592" spans="1:2">
      <c r="A1592" s="159">
        <v>39919</v>
      </c>
      <c r="B1592" s="94" t="s">
        <v>650</v>
      </c>
    </row>
    <row r="1593" spans="1:2">
      <c r="A1593" s="159">
        <v>39920</v>
      </c>
      <c r="B1593" s="94" t="s">
        <v>650</v>
      </c>
    </row>
    <row r="1594" spans="1:2">
      <c r="A1594" s="159">
        <v>39923</v>
      </c>
      <c r="B1594" s="94" t="s">
        <v>650</v>
      </c>
    </row>
    <row r="1595" spans="1:2">
      <c r="A1595" s="159">
        <v>39924</v>
      </c>
      <c r="B1595" s="94" t="s">
        <v>650</v>
      </c>
    </row>
    <row r="1596" spans="1:2">
      <c r="A1596" s="159">
        <v>39925</v>
      </c>
      <c r="B1596" s="94" t="s">
        <v>650</v>
      </c>
    </row>
    <row r="1597" spans="1:2">
      <c r="A1597" s="159">
        <v>39926</v>
      </c>
      <c r="B1597" s="94" t="s">
        <v>650</v>
      </c>
    </row>
    <row r="1598" spans="1:2">
      <c r="A1598" s="159">
        <v>39927</v>
      </c>
      <c r="B1598" s="94" t="s">
        <v>650</v>
      </c>
    </row>
    <row r="1599" spans="1:2">
      <c r="A1599" s="159">
        <v>39930</v>
      </c>
      <c r="B1599" s="94" t="s">
        <v>650</v>
      </c>
    </row>
    <row r="1600" spans="1:2">
      <c r="A1600" s="159">
        <v>39931</v>
      </c>
      <c r="B1600" s="94" t="s">
        <v>650</v>
      </c>
    </row>
    <row r="1601" spans="1:2">
      <c r="A1601" s="159">
        <v>39932</v>
      </c>
      <c r="B1601" s="94" t="s">
        <v>650</v>
      </c>
    </row>
    <row r="1602" spans="1:2">
      <c r="A1602" s="159">
        <v>39933</v>
      </c>
      <c r="B1602" s="94" t="s">
        <v>650</v>
      </c>
    </row>
    <row r="1603" spans="1:2">
      <c r="A1603" s="159">
        <v>39937</v>
      </c>
      <c r="B1603" s="94" t="s">
        <v>650</v>
      </c>
    </row>
    <row r="1604" spans="1:2">
      <c r="A1604" s="159">
        <v>39938</v>
      </c>
      <c r="B1604" s="94" t="s">
        <v>650</v>
      </c>
    </row>
    <row r="1605" spans="1:2">
      <c r="A1605" s="159">
        <v>39939</v>
      </c>
      <c r="B1605" s="94" t="s">
        <v>650</v>
      </c>
    </row>
    <row r="1606" spans="1:2">
      <c r="A1606" s="159">
        <v>39940</v>
      </c>
      <c r="B1606" s="94" t="s">
        <v>650</v>
      </c>
    </row>
    <row r="1607" spans="1:2">
      <c r="A1607" s="159">
        <v>39941</v>
      </c>
      <c r="B1607" s="94" t="s">
        <v>650</v>
      </c>
    </row>
    <row r="1608" spans="1:2">
      <c r="A1608" s="159">
        <v>39944</v>
      </c>
      <c r="B1608" s="94" t="s">
        <v>650</v>
      </c>
    </row>
    <row r="1609" spans="1:2">
      <c r="A1609" s="159">
        <v>39945</v>
      </c>
      <c r="B1609" s="94" t="s">
        <v>650</v>
      </c>
    </row>
    <row r="1610" spans="1:2">
      <c r="A1610" s="159">
        <v>39946</v>
      </c>
      <c r="B1610" s="94" t="s">
        <v>650</v>
      </c>
    </row>
    <row r="1611" spans="1:2">
      <c r="A1611" s="159">
        <v>39947</v>
      </c>
      <c r="B1611" s="94" t="s">
        <v>650</v>
      </c>
    </row>
    <row r="1612" spans="1:2">
      <c r="A1612" s="159">
        <v>39948</v>
      </c>
      <c r="B1612" s="94" t="s">
        <v>650</v>
      </c>
    </row>
    <row r="1613" spans="1:2">
      <c r="A1613" s="159">
        <v>39951</v>
      </c>
      <c r="B1613" s="94" t="s">
        <v>650</v>
      </c>
    </row>
    <row r="1614" spans="1:2">
      <c r="A1614" s="159">
        <v>39952</v>
      </c>
      <c r="B1614" s="94" t="s">
        <v>650</v>
      </c>
    </row>
    <row r="1615" spans="1:2">
      <c r="A1615" s="159">
        <v>39953</v>
      </c>
      <c r="B1615" s="94" t="s">
        <v>650</v>
      </c>
    </row>
    <row r="1616" spans="1:2">
      <c r="A1616" s="159">
        <v>39954</v>
      </c>
      <c r="B1616" s="94" t="s">
        <v>650</v>
      </c>
    </row>
    <row r="1617" spans="1:2">
      <c r="A1617" s="159">
        <v>39955</v>
      </c>
      <c r="B1617" s="94" t="s">
        <v>650</v>
      </c>
    </row>
    <row r="1618" spans="1:2">
      <c r="A1618" s="159">
        <v>39958</v>
      </c>
      <c r="B1618" s="94" t="s">
        <v>650</v>
      </c>
    </row>
    <row r="1619" spans="1:2">
      <c r="A1619" s="159">
        <v>39959</v>
      </c>
      <c r="B1619" s="94" t="s">
        <v>650</v>
      </c>
    </row>
    <row r="1620" spans="1:2">
      <c r="A1620" s="159">
        <v>39960</v>
      </c>
      <c r="B1620" s="94" t="s">
        <v>650</v>
      </c>
    </row>
    <row r="1621" spans="1:2">
      <c r="A1621" s="159">
        <v>39964</v>
      </c>
      <c r="B1621" s="94" t="s">
        <v>650</v>
      </c>
    </row>
    <row r="1622" spans="1:2">
      <c r="A1622" s="159">
        <v>39965</v>
      </c>
      <c r="B1622" s="94" t="s">
        <v>650</v>
      </c>
    </row>
    <row r="1623" spans="1:2">
      <c r="A1623" s="159">
        <v>39966</v>
      </c>
      <c r="B1623" s="94" t="s">
        <v>650</v>
      </c>
    </row>
    <row r="1624" spans="1:2">
      <c r="A1624" s="159">
        <v>39967</v>
      </c>
      <c r="B1624" s="94" t="s">
        <v>650</v>
      </c>
    </row>
    <row r="1625" spans="1:2">
      <c r="A1625" s="159">
        <v>39968</v>
      </c>
      <c r="B1625" s="94" t="s">
        <v>650</v>
      </c>
    </row>
    <row r="1626" spans="1:2">
      <c r="A1626" s="159">
        <v>39969</v>
      </c>
      <c r="B1626" s="94" t="s">
        <v>650</v>
      </c>
    </row>
    <row r="1627" spans="1:2">
      <c r="A1627" s="159">
        <v>39972</v>
      </c>
      <c r="B1627" s="94" t="s">
        <v>650</v>
      </c>
    </row>
    <row r="1628" spans="1:2">
      <c r="A1628" s="159">
        <v>39973</v>
      </c>
      <c r="B1628" s="94" t="s">
        <v>650</v>
      </c>
    </row>
    <row r="1629" spans="1:2">
      <c r="A1629" s="159">
        <v>39974</v>
      </c>
      <c r="B1629" s="94" t="s">
        <v>650</v>
      </c>
    </row>
    <row r="1630" spans="1:2">
      <c r="A1630" s="159">
        <v>39975</v>
      </c>
      <c r="B1630" s="94" t="s">
        <v>650</v>
      </c>
    </row>
    <row r="1631" spans="1:2">
      <c r="A1631" s="159">
        <v>39976</v>
      </c>
      <c r="B1631" s="94" t="s">
        <v>650</v>
      </c>
    </row>
    <row r="1632" spans="1:2">
      <c r="A1632" s="159">
        <v>39979</v>
      </c>
      <c r="B1632" s="94" t="s">
        <v>650</v>
      </c>
    </row>
    <row r="1633" spans="1:2">
      <c r="A1633" s="159">
        <v>39980</v>
      </c>
      <c r="B1633" s="94" t="s">
        <v>650</v>
      </c>
    </row>
    <row r="1634" spans="1:2">
      <c r="A1634" s="159">
        <v>39981</v>
      </c>
      <c r="B1634" s="94" t="s">
        <v>650</v>
      </c>
    </row>
    <row r="1635" spans="1:2">
      <c r="A1635" s="159">
        <v>39982</v>
      </c>
      <c r="B1635" s="94" t="s">
        <v>650</v>
      </c>
    </row>
    <row r="1636" spans="1:2">
      <c r="A1636" s="159">
        <v>39983</v>
      </c>
      <c r="B1636" s="94" t="s">
        <v>650</v>
      </c>
    </row>
    <row r="1637" spans="1:2">
      <c r="A1637" s="159">
        <v>39986</v>
      </c>
      <c r="B1637" s="94" t="s">
        <v>650</v>
      </c>
    </row>
    <row r="1638" spans="1:2">
      <c r="A1638" s="159">
        <v>39987</v>
      </c>
      <c r="B1638" s="94" t="s">
        <v>650</v>
      </c>
    </row>
    <row r="1639" spans="1:2">
      <c r="A1639" s="159">
        <v>39988</v>
      </c>
      <c r="B1639" s="94" t="s">
        <v>650</v>
      </c>
    </row>
    <row r="1640" spans="1:2">
      <c r="A1640" s="159">
        <v>39989</v>
      </c>
      <c r="B1640" s="94" t="s">
        <v>650</v>
      </c>
    </row>
    <row r="1641" spans="1:2">
      <c r="A1641" s="159">
        <v>39990</v>
      </c>
      <c r="B1641" s="94" t="s">
        <v>650</v>
      </c>
    </row>
    <row r="1642" spans="1:2">
      <c r="A1642" s="159">
        <v>39993</v>
      </c>
      <c r="B1642" s="94" t="s">
        <v>650</v>
      </c>
    </row>
    <row r="1643" spans="1:2">
      <c r="A1643" s="159">
        <v>39994</v>
      </c>
      <c r="B1643" s="94" t="s">
        <v>650</v>
      </c>
    </row>
    <row r="1644" spans="1:2">
      <c r="A1644" s="159">
        <v>39995</v>
      </c>
      <c r="B1644" s="94" t="s">
        <v>650</v>
      </c>
    </row>
    <row r="1645" spans="1:2">
      <c r="A1645" s="159">
        <v>39996</v>
      </c>
      <c r="B1645" s="94" t="s">
        <v>650</v>
      </c>
    </row>
    <row r="1646" spans="1:2">
      <c r="A1646" s="159">
        <v>39997</v>
      </c>
      <c r="B1646" s="94" t="s">
        <v>650</v>
      </c>
    </row>
    <row r="1647" spans="1:2">
      <c r="A1647" s="159">
        <v>40000</v>
      </c>
      <c r="B1647" s="94" t="s">
        <v>650</v>
      </c>
    </row>
    <row r="1648" spans="1:2">
      <c r="A1648" s="159">
        <v>40001</v>
      </c>
      <c r="B1648" s="94" t="s">
        <v>650</v>
      </c>
    </row>
    <row r="1649" spans="1:2">
      <c r="A1649" s="159">
        <v>40002</v>
      </c>
      <c r="B1649" s="94" t="s">
        <v>650</v>
      </c>
    </row>
    <row r="1650" spans="1:2">
      <c r="A1650" s="159">
        <v>40003</v>
      </c>
      <c r="B1650" s="94" t="s">
        <v>650</v>
      </c>
    </row>
    <row r="1651" spans="1:2">
      <c r="A1651" s="159">
        <v>40004</v>
      </c>
      <c r="B1651" s="94" t="s">
        <v>650</v>
      </c>
    </row>
    <row r="1652" spans="1:2">
      <c r="A1652" s="159">
        <v>40007</v>
      </c>
      <c r="B1652" s="94" t="s">
        <v>650</v>
      </c>
    </row>
    <row r="1653" spans="1:2">
      <c r="A1653" s="159">
        <v>40008</v>
      </c>
      <c r="B1653" s="94" t="s">
        <v>650</v>
      </c>
    </row>
    <row r="1654" spans="1:2">
      <c r="A1654" s="159">
        <v>40009</v>
      </c>
      <c r="B1654" s="94" t="s">
        <v>650</v>
      </c>
    </row>
    <row r="1655" spans="1:2">
      <c r="A1655" s="159">
        <v>40010</v>
      </c>
      <c r="B1655" s="94" t="s">
        <v>650</v>
      </c>
    </row>
    <row r="1656" spans="1:2">
      <c r="A1656" s="159">
        <v>40011</v>
      </c>
      <c r="B1656" s="94" t="s">
        <v>650</v>
      </c>
    </row>
    <row r="1657" spans="1:2">
      <c r="A1657" s="159">
        <v>40014</v>
      </c>
      <c r="B1657" s="94" t="s">
        <v>650</v>
      </c>
    </row>
    <row r="1658" spans="1:2">
      <c r="A1658" s="159">
        <v>40015</v>
      </c>
      <c r="B1658" s="94" t="s">
        <v>650</v>
      </c>
    </row>
    <row r="1659" spans="1:2">
      <c r="A1659" s="159">
        <v>40016</v>
      </c>
      <c r="B1659" s="94" t="s">
        <v>650</v>
      </c>
    </row>
    <row r="1660" spans="1:2">
      <c r="A1660" s="159">
        <v>40017</v>
      </c>
      <c r="B1660" s="94" t="s">
        <v>650</v>
      </c>
    </row>
    <row r="1661" spans="1:2">
      <c r="A1661" s="159">
        <v>40018</v>
      </c>
      <c r="B1661" s="94" t="s">
        <v>650</v>
      </c>
    </row>
    <row r="1662" spans="1:2">
      <c r="A1662" s="159">
        <v>40021</v>
      </c>
      <c r="B1662" s="94" t="s">
        <v>650</v>
      </c>
    </row>
    <row r="1663" spans="1:2">
      <c r="A1663" s="159">
        <v>40022</v>
      </c>
      <c r="B1663" s="94" t="s">
        <v>650</v>
      </c>
    </row>
    <row r="1664" spans="1:2">
      <c r="A1664" s="159">
        <v>40023</v>
      </c>
      <c r="B1664" s="94" t="s">
        <v>650</v>
      </c>
    </row>
    <row r="1665" spans="1:2">
      <c r="A1665" s="159">
        <v>40024</v>
      </c>
      <c r="B1665" s="94" t="s">
        <v>650</v>
      </c>
    </row>
    <row r="1666" spans="1:2">
      <c r="A1666" s="159">
        <v>40025</v>
      </c>
      <c r="B1666" s="94" t="s">
        <v>650</v>
      </c>
    </row>
    <row r="1667" spans="1:2">
      <c r="A1667" s="159">
        <v>40028</v>
      </c>
      <c r="B1667" s="94" t="s">
        <v>650</v>
      </c>
    </row>
    <row r="1668" spans="1:2">
      <c r="A1668" s="159">
        <v>40029</v>
      </c>
      <c r="B1668" s="94" t="s">
        <v>650</v>
      </c>
    </row>
    <row r="1669" spans="1:2">
      <c r="A1669" s="159">
        <v>40030</v>
      </c>
      <c r="B1669" s="94" t="s">
        <v>650</v>
      </c>
    </row>
    <row r="1670" spans="1:2">
      <c r="A1670" s="159">
        <v>40031</v>
      </c>
      <c r="B1670" s="94" t="s">
        <v>650</v>
      </c>
    </row>
    <row r="1671" spans="1:2">
      <c r="A1671" s="159">
        <v>40032</v>
      </c>
      <c r="B1671" s="94" t="s">
        <v>650</v>
      </c>
    </row>
    <row r="1672" spans="1:2">
      <c r="A1672" s="159">
        <v>40035</v>
      </c>
      <c r="B1672" s="94" t="s">
        <v>650</v>
      </c>
    </row>
    <row r="1673" spans="1:2">
      <c r="A1673" s="159">
        <v>40036</v>
      </c>
      <c r="B1673" s="94" t="s">
        <v>650</v>
      </c>
    </row>
    <row r="1674" spans="1:2">
      <c r="A1674" s="159">
        <v>40037</v>
      </c>
      <c r="B1674" s="94" t="s">
        <v>650</v>
      </c>
    </row>
    <row r="1675" spans="1:2">
      <c r="A1675" s="159">
        <v>40038</v>
      </c>
      <c r="B1675" s="94" t="s">
        <v>650</v>
      </c>
    </row>
    <row r="1676" spans="1:2">
      <c r="A1676" s="159">
        <v>40039</v>
      </c>
      <c r="B1676" s="94" t="s">
        <v>650</v>
      </c>
    </row>
    <row r="1677" spans="1:2">
      <c r="A1677" s="159">
        <v>40042</v>
      </c>
      <c r="B1677" s="94" t="s">
        <v>650</v>
      </c>
    </row>
    <row r="1678" spans="1:2">
      <c r="A1678" s="159">
        <v>40043</v>
      </c>
      <c r="B1678" s="94" t="s">
        <v>650</v>
      </c>
    </row>
    <row r="1679" spans="1:2">
      <c r="A1679" s="159">
        <v>40044</v>
      </c>
      <c r="B1679" s="94" t="s">
        <v>650</v>
      </c>
    </row>
    <row r="1680" spans="1:2">
      <c r="A1680" s="159">
        <v>40045</v>
      </c>
      <c r="B1680" s="94" t="s">
        <v>650</v>
      </c>
    </row>
    <row r="1681" spans="1:2">
      <c r="A1681" s="159">
        <v>40046</v>
      </c>
      <c r="B1681" s="94" t="s">
        <v>650</v>
      </c>
    </row>
    <row r="1682" spans="1:2">
      <c r="A1682" s="159">
        <v>40049</v>
      </c>
      <c r="B1682" s="94" t="s">
        <v>650</v>
      </c>
    </row>
    <row r="1683" spans="1:2">
      <c r="A1683" s="159">
        <v>40050</v>
      </c>
      <c r="B1683" s="94" t="s">
        <v>650</v>
      </c>
    </row>
    <row r="1684" spans="1:2">
      <c r="A1684" s="159">
        <v>40051</v>
      </c>
      <c r="B1684" s="94" t="s">
        <v>650</v>
      </c>
    </row>
    <row r="1685" spans="1:2">
      <c r="A1685" s="159">
        <v>40052</v>
      </c>
      <c r="B1685" s="94" t="s">
        <v>650</v>
      </c>
    </row>
    <row r="1686" spans="1:2">
      <c r="A1686" s="159">
        <v>40053</v>
      </c>
      <c r="B1686" s="94" t="s">
        <v>650</v>
      </c>
    </row>
    <row r="1687" spans="1:2">
      <c r="A1687" s="159">
        <v>40056</v>
      </c>
      <c r="B1687" s="94" t="s">
        <v>650</v>
      </c>
    </row>
    <row r="1688" spans="1:2">
      <c r="A1688" s="159">
        <v>40057</v>
      </c>
      <c r="B1688" s="94" t="s">
        <v>650</v>
      </c>
    </row>
    <row r="1689" spans="1:2">
      <c r="A1689" s="159">
        <v>40058</v>
      </c>
      <c r="B1689" s="94" t="s">
        <v>650</v>
      </c>
    </row>
    <row r="1690" spans="1:2">
      <c r="A1690" s="159">
        <v>40059</v>
      </c>
      <c r="B1690" s="94" t="s">
        <v>650</v>
      </c>
    </row>
    <row r="1691" spans="1:2">
      <c r="A1691" s="159">
        <v>40060</v>
      </c>
      <c r="B1691" s="94" t="s">
        <v>650</v>
      </c>
    </row>
    <row r="1692" spans="1:2">
      <c r="A1692" s="159">
        <v>40063</v>
      </c>
      <c r="B1692" s="94" t="s">
        <v>650</v>
      </c>
    </row>
    <row r="1693" spans="1:2">
      <c r="A1693" s="159">
        <v>40064</v>
      </c>
      <c r="B1693" s="94" t="s">
        <v>650</v>
      </c>
    </row>
    <row r="1694" spans="1:2">
      <c r="A1694" s="159">
        <v>40065</v>
      </c>
      <c r="B1694" s="94" t="s">
        <v>650</v>
      </c>
    </row>
    <row r="1695" spans="1:2">
      <c r="A1695" s="159">
        <v>40066</v>
      </c>
      <c r="B1695" s="94" t="s">
        <v>650</v>
      </c>
    </row>
    <row r="1696" spans="1:2">
      <c r="A1696" s="159">
        <v>40067</v>
      </c>
      <c r="B1696" s="94" t="s">
        <v>650</v>
      </c>
    </row>
    <row r="1697" spans="1:2">
      <c r="A1697" s="159">
        <v>40070</v>
      </c>
      <c r="B1697" s="94" t="s">
        <v>650</v>
      </c>
    </row>
    <row r="1698" spans="1:2">
      <c r="A1698" s="159">
        <v>40071</v>
      </c>
      <c r="B1698" s="94" t="s">
        <v>650</v>
      </c>
    </row>
    <row r="1699" spans="1:2">
      <c r="A1699" s="159">
        <v>40072</v>
      </c>
      <c r="B1699" s="94" t="s">
        <v>650</v>
      </c>
    </row>
    <row r="1700" spans="1:2">
      <c r="A1700" s="159">
        <v>40073</v>
      </c>
      <c r="B1700" s="94" t="s">
        <v>650</v>
      </c>
    </row>
    <row r="1701" spans="1:2">
      <c r="A1701" s="159">
        <v>40074</v>
      </c>
      <c r="B1701" s="94" t="s">
        <v>650</v>
      </c>
    </row>
    <row r="1702" spans="1:2">
      <c r="A1702" s="159">
        <v>40077</v>
      </c>
      <c r="B1702" s="94" t="s">
        <v>650</v>
      </c>
    </row>
    <row r="1703" spans="1:2">
      <c r="A1703" s="159">
        <v>40078</v>
      </c>
      <c r="B1703" s="94" t="s">
        <v>650</v>
      </c>
    </row>
    <row r="1704" spans="1:2">
      <c r="A1704" s="159">
        <v>40079</v>
      </c>
      <c r="B1704" s="94" t="s">
        <v>650</v>
      </c>
    </row>
    <row r="1705" spans="1:2">
      <c r="A1705" s="159">
        <v>40080</v>
      </c>
      <c r="B1705" s="94" t="s">
        <v>650</v>
      </c>
    </row>
    <row r="1706" spans="1:2">
      <c r="A1706" s="159">
        <v>40081</v>
      </c>
      <c r="B1706" s="94" t="s">
        <v>650</v>
      </c>
    </row>
    <row r="1707" spans="1:2">
      <c r="A1707" s="159">
        <v>40083</v>
      </c>
      <c r="B1707" s="94" t="s">
        <v>650</v>
      </c>
    </row>
    <row r="1708" spans="1:2">
      <c r="A1708" s="159">
        <v>40084</v>
      </c>
      <c r="B1708" s="94" t="s">
        <v>650</v>
      </c>
    </row>
    <row r="1709" spans="1:2">
      <c r="A1709" s="159">
        <v>40085</v>
      </c>
      <c r="B1709" s="94" t="s">
        <v>650</v>
      </c>
    </row>
    <row r="1710" spans="1:2">
      <c r="A1710" s="159">
        <v>40086</v>
      </c>
      <c r="B1710" s="94" t="s">
        <v>650</v>
      </c>
    </row>
    <row r="1711" spans="1:2">
      <c r="A1711" s="159">
        <v>40095</v>
      </c>
      <c r="B1711" s="94" t="s">
        <v>650</v>
      </c>
    </row>
    <row r="1712" spans="1:2">
      <c r="A1712" s="159">
        <v>40096</v>
      </c>
      <c r="B1712" s="94" t="s">
        <v>650</v>
      </c>
    </row>
    <row r="1713" spans="1:2">
      <c r="A1713" s="159">
        <v>40098</v>
      </c>
      <c r="B1713" s="94" t="s">
        <v>650</v>
      </c>
    </row>
    <row r="1714" spans="1:2">
      <c r="A1714" s="159">
        <v>40099</v>
      </c>
      <c r="B1714" s="94" t="s">
        <v>650</v>
      </c>
    </row>
    <row r="1715" spans="1:2">
      <c r="A1715" s="159">
        <v>40100</v>
      </c>
      <c r="B1715" s="94" t="s">
        <v>650</v>
      </c>
    </row>
    <row r="1716" spans="1:2">
      <c r="A1716" s="159">
        <v>40101</v>
      </c>
      <c r="B1716" s="94" t="s">
        <v>650</v>
      </c>
    </row>
    <row r="1717" spans="1:2">
      <c r="A1717" s="159">
        <v>40102</v>
      </c>
      <c r="B1717" s="94" t="s">
        <v>650</v>
      </c>
    </row>
    <row r="1718" spans="1:2">
      <c r="A1718" s="159">
        <v>40105</v>
      </c>
      <c r="B1718" s="94" t="s">
        <v>650</v>
      </c>
    </row>
    <row r="1719" spans="1:2">
      <c r="A1719" s="159">
        <v>40106</v>
      </c>
      <c r="B1719" s="94" t="s">
        <v>650</v>
      </c>
    </row>
    <row r="1720" spans="1:2">
      <c r="A1720" s="159">
        <v>40107</v>
      </c>
      <c r="B1720" s="94" t="s">
        <v>650</v>
      </c>
    </row>
    <row r="1721" spans="1:2">
      <c r="A1721" s="159">
        <v>40108</v>
      </c>
      <c r="B1721" s="94" t="s">
        <v>650</v>
      </c>
    </row>
    <row r="1722" spans="1:2">
      <c r="A1722" s="159">
        <v>40109</v>
      </c>
      <c r="B1722" s="94" t="s">
        <v>650</v>
      </c>
    </row>
    <row r="1723" spans="1:2">
      <c r="A1723" s="159">
        <v>40112</v>
      </c>
      <c r="B1723" s="94" t="s">
        <v>650</v>
      </c>
    </row>
    <row r="1724" spans="1:2">
      <c r="A1724" s="159">
        <v>40113</v>
      </c>
      <c r="B1724" s="94" t="s">
        <v>650</v>
      </c>
    </row>
    <row r="1725" spans="1:2">
      <c r="A1725" s="159">
        <v>40114</v>
      </c>
      <c r="B1725" s="94" t="s">
        <v>650</v>
      </c>
    </row>
    <row r="1726" spans="1:2">
      <c r="A1726" s="159">
        <v>40115</v>
      </c>
      <c r="B1726" s="94" t="s">
        <v>650</v>
      </c>
    </row>
    <row r="1727" spans="1:2">
      <c r="A1727" s="159">
        <v>40116</v>
      </c>
      <c r="B1727" s="94" t="s">
        <v>650</v>
      </c>
    </row>
    <row r="1728" spans="1:2">
      <c r="A1728" s="159">
        <v>40119</v>
      </c>
      <c r="B1728" s="94" t="s">
        <v>650</v>
      </c>
    </row>
    <row r="1729" spans="1:2">
      <c r="A1729" s="159">
        <v>40120</v>
      </c>
      <c r="B1729" s="94" t="s">
        <v>650</v>
      </c>
    </row>
    <row r="1730" spans="1:2">
      <c r="A1730" s="159">
        <v>40121</v>
      </c>
      <c r="B1730" s="94" t="s">
        <v>650</v>
      </c>
    </row>
    <row r="1731" spans="1:2">
      <c r="A1731" s="159">
        <v>40122</v>
      </c>
      <c r="B1731" s="94" t="s">
        <v>650</v>
      </c>
    </row>
    <row r="1732" spans="1:2">
      <c r="A1732" s="159">
        <v>40123</v>
      </c>
      <c r="B1732" s="94" t="s">
        <v>650</v>
      </c>
    </row>
    <row r="1733" spans="1:2">
      <c r="A1733" s="159">
        <v>40126</v>
      </c>
      <c r="B1733" s="94" t="s">
        <v>650</v>
      </c>
    </row>
    <row r="1734" spans="1:2">
      <c r="A1734" s="159">
        <v>40127</v>
      </c>
      <c r="B1734" s="94" t="s">
        <v>650</v>
      </c>
    </row>
    <row r="1735" spans="1:2">
      <c r="A1735" s="159">
        <v>40128</v>
      </c>
      <c r="B1735" s="94" t="s">
        <v>650</v>
      </c>
    </row>
    <row r="1736" spans="1:2">
      <c r="A1736" s="159">
        <v>40129</v>
      </c>
      <c r="B1736" s="94" t="s">
        <v>650</v>
      </c>
    </row>
    <row r="1737" spans="1:2">
      <c r="A1737" s="159">
        <v>40130</v>
      </c>
      <c r="B1737" s="94" t="s">
        <v>650</v>
      </c>
    </row>
    <row r="1738" spans="1:2">
      <c r="A1738" s="159">
        <v>40133</v>
      </c>
      <c r="B1738" s="94" t="s">
        <v>650</v>
      </c>
    </row>
    <row r="1739" spans="1:2">
      <c r="A1739" s="159">
        <v>40134</v>
      </c>
      <c r="B1739" s="94" t="s">
        <v>650</v>
      </c>
    </row>
    <row r="1740" spans="1:2">
      <c r="A1740" s="159">
        <v>40135</v>
      </c>
      <c r="B1740" s="94" t="s">
        <v>650</v>
      </c>
    </row>
    <row r="1741" spans="1:2">
      <c r="A1741" s="159">
        <v>40136</v>
      </c>
      <c r="B1741" s="94" t="s">
        <v>650</v>
      </c>
    </row>
    <row r="1742" spans="1:2">
      <c r="A1742" s="159">
        <v>40137</v>
      </c>
      <c r="B1742" s="94" t="s">
        <v>650</v>
      </c>
    </row>
    <row r="1743" spans="1:2">
      <c r="A1743" s="159">
        <v>40140</v>
      </c>
      <c r="B1743" s="94" t="s">
        <v>650</v>
      </c>
    </row>
    <row r="1744" spans="1:2">
      <c r="A1744" s="159">
        <v>40141</v>
      </c>
      <c r="B1744" s="94" t="s">
        <v>650</v>
      </c>
    </row>
    <row r="1745" spans="1:2">
      <c r="A1745" s="159">
        <v>40142</v>
      </c>
      <c r="B1745" s="94" t="s">
        <v>650</v>
      </c>
    </row>
    <row r="1746" spans="1:2">
      <c r="A1746" s="159">
        <v>40143</v>
      </c>
      <c r="B1746" s="94" t="s">
        <v>650</v>
      </c>
    </row>
    <row r="1747" spans="1:2">
      <c r="A1747" s="159">
        <v>40144</v>
      </c>
      <c r="B1747" s="94" t="s">
        <v>650</v>
      </c>
    </row>
    <row r="1748" spans="1:2">
      <c r="A1748" s="159">
        <v>40147</v>
      </c>
      <c r="B1748" s="94" t="s">
        <v>650</v>
      </c>
    </row>
    <row r="1749" spans="1:2">
      <c r="A1749" s="159">
        <v>40148</v>
      </c>
      <c r="B1749" s="94" t="s">
        <v>650</v>
      </c>
    </row>
    <row r="1750" spans="1:2">
      <c r="A1750" s="159">
        <v>40149</v>
      </c>
      <c r="B1750" s="94" t="s">
        <v>650</v>
      </c>
    </row>
    <row r="1751" spans="1:2">
      <c r="A1751" s="159">
        <v>40150</v>
      </c>
      <c r="B1751" s="94" t="s">
        <v>650</v>
      </c>
    </row>
    <row r="1752" spans="1:2">
      <c r="A1752" s="159">
        <v>40151</v>
      </c>
      <c r="B1752" s="94" t="s">
        <v>650</v>
      </c>
    </row>
    <row r="1753" spans="1:2">
      <c r="A1753" s="159">
        <v>40154</v>
      </c>
      <c r="B1753" s="94" t="s">
        <v>650</v>
      </c>
    </row>
    <row r="1754" spans="1:2">
      <c r="A1754" s="159">
        <v>40155</v>
      </c>
      <c r="B1754" s="94" t="s">
        <v>650</v>
      </c>
    </row>
    <row r="1755" spans="1:2">
      <c r="A1755" s="159">
        <v>40156</v>
      </c>
      <c r="B1755" s="94" t="s">
        <v>650</v>
      </c>
    </row>
    <row r="1756" spans="1:2">
      <c r="A1756" s="159">
        <v>40157</v>
      </c>
      <c r="B1756" s="94" t="s">
        <v>650</v>
      </c>
    </row>
    <row r="1757" spans="1:2">
      <c r="A1757" s="159">
        <v>40158</v>
      </c>
      <c r="B1757" s="94" t="s">
        <v>650</v>
      </c>
    </row>
    <row r="1758" spans="1:2">
      <c r="A1758" s="159">
        <v>40161</v>
      </c>
      <c r="B1758" s="94" t="s">
        <v>650</v>
      </c>
    </row>
    <row r="1759" spans="1:2">
      <c r="A1759" s="159">
        <v>40162</v>
      </c>
      <c r="B1759" s="94" t="s">
        <v>650</v>
      </c>
    </row>
    <row r="1760" spans="1:2">
      <c r="A1760" s="159">
        <v>40163</v>
      </c>
      <c r="B1760" s="94" t="s">
        <v>650</v>
      </c>
    </row>
    <row r="1761" spans="1:2">
      <c r="A1761" s="159">
        <v>40164</v>
      </c>
      <c r="B1761" s="94" t="s">
        <v>650</v>
      </c>
    </row>
    <row r="1762" spans="1:2">
      <c r="A1762" s="159">
        <v>40165</v>
      </c>
      <c r="B1762" s="94" t="s">
        <v>650</v>
      </c>
    </row>
    <row r="1763" spans="1:2">
      <c r="A1763" s="159">
        <v>40168</v>
      </c>
      <c r="B1763" s="94" t="s">
        <v>650</v>
      </c>
    </row>
    <row r="1764" spans="1:2">
      <c r="A1764" s="159">
        <v>40169</v>
      </c>
      <c r="B1764" s="94" t="s">
        <v>650</v>
      </c>
    </row>
    <row r="1765" spans="1:2">
      <c r="A1765" s="159">
        <v>40170</v>
      </c>
      <c r="B1765" s="94" t="s">
        <v>650</v>
      </c>
    </row>
    <row r="1766" spans="1:2">
      <c r="A1766" s="159">
        <v>40171</v>
      </c>
      <c r="B1766" s="94" t="s">
        <v>650</v>
      </c>
    </row>
    <row r="1767" spans="1:2">
      <c r="A1767" s="159">
        <v>40172</v>
      </c>
      <c r="B1767" s="94" t="s">
        <v>650</v>
      </c>
    </row>
    <row r="1768" spans="1:2">
      <c r="A1768" s="159">
        <v>40175</v>
      </c>
      <c r="B1768" s="94" t="s">
        <v>650</v>
      </c>
    </row>
    <row r="1769" spans="1:2">
      <c r="A1769" s="159">
        <v>40176</v>
      </c>
      <c r="B1769" s="94" t="s">
        <v>650</v>
      </c>
    </row>
    <row r="1770" spans="1:2">
      <c r="A1770" s="159">
        <v>40177</v>
      </c>
      <c r="B1770" s="94" t="s">
        <v>650</v>
      </c>
    </row>
    <row r="1771" spans="1:2">
      <c r="A1771" s="159">
        <v>40178</v>
      </c>
      <c r="B1771" s="94" t="s">
        <v>650</v>
      </c>
    </row>
    <row r="1772" spans="1:2">
      <c r="A1772" s="159">
        <v>40182</v>
      </c>
      <c r="B1772" s="94" t="s">
        <v>650</v>
      </c>
    </row>
    <row r="1773" spans="1:2">
      <c r="A1773" s="159">
        <v>40183</v>
      </c>
      <c r="B1773" s="94" t="s">
        <v>650</v>
      </c>
    </row>
    <row r="1774" spans="1:2">
      <c r="A1774" s="159">
        <v>40184</v>
      </c>
      <c r="B1774" s="94" t="s">
        <v>650</v>
      </c>
    </row>
    <row r="1775" spans="1:2">
      <c r="A1775" s="159">
        <v>40185</v>
      </c>
      <c r="B1775" s="94" t="s">
        <v>650</v>
      </c>
    </row>
    <row r="1776" spans="1:2">
      <c r="A1776" s="159">
        <v>40186</v>
      </c>
      <c r="B1776" s="94" t="s">
        <v>650</v>
      </c>
    </row>
    <row r="1777" spans="1:2">
      <c r="A1777" s="159">
        <v>40189</v>
      </c>
      <c r="B1777" s="94" t="s">
        <v>650</v>
      </c>
    </row>
    <row r="1778" spans="1:2">
      <c r="A1778" s="159">
        <v>40190</v>
      </c>
      <c r="B1778" s="94" t="s">
        <v>650</v>
      </c>
    </row>
    <row r="1779" spans="1:2">
      <c r="A1779" s="159">
        <v>40191</v>
      </c>
      <c r="B1779" s="94" t="s">
        <v>650</v>
      </c>
    </row>
    <row r="1780" spans="1:2">
      <c r="A1780" s="159">
        <v>40192</v>
      </c>
      <c r="B1780" s="94" t="s">
        <v>650</v>
      </c>
    </row>
    <row r="1781" spans="1:2">
      <c r="A1781" s="159">
        <v>40193</v>
      </c>
      <c r="B1781" s="94" t="s">
        <v>650</v>
      </c>
    </row>
    <row r="1782" spans="1:2">
      <c r="A1782" s="159">
        <v>40196</v>
      </c>
      <c r="B1782" s="94" t="s">
        <v>650</v>
      </c>
    </row>
    <row r="1783" spans="1:2">
      <c r="A1783" s="159">
        <v>40197</v>
      </c>
      <c r="B1783" s="94" t="s">
        <v>650</v>
      </c>
    </row>
    <row r="1784" spans="1:2">
      <c r="A1784" s="159">
        <v>40198</v>
      </c>
      <c r="B1784" s="94" t="s">
        <v>650</v>
      </c>
    </row>
    <row r="1785" spans="1:2">
      <c r="A1785" s="159">
        <v>40199</v>
      </c>
      <c r="B1785" s="94" t="s">
        <v>650</v>
      </c>
    </row>
    <row r="1786" spans="1:2">
      <c r="A1786" s="159">
        <v>40200</v>
      </c>
      <c r="B1786" s="94" t="s">
        <v>650</v>
      </c>
    </row>
    <row r="1787" spans="1:2">
      <c r="A1787" s="159">
        <v>40203</v>
      </c>
      <c r="B1787" s="94" t="s">
        <v>650</v>
      </c>
    </row>
    <row r="1788" spans="1:2">
      <c r="A1788" s="159">
        <v>40204</v>
      </c>
      <c r="B1788" s="94" t="s">
        <v>650</v>
      </c>
    </row>
    <row r="1789" spans="1:2">
      <c r="A1789" s="159">
        <v>40205</v>
      </c>
      <c r="B1789" s="94" t="s">
        <v>650</v>
      </c>
    </row>
    <row r="1790" spans="1:2">
      <c r="A1790" s="159">
        <v>40206</v>
      </c>
      <c r="B1790" s="94" t="s">
        <v>650</v>
      </c>
    </row>
    <row r="1791" spans="1:2">
      <c r="A1791" s="159">
        <v>40207</v>
      </c>
      <c r="B1791" s="94" t="s">
        <v>650</v>
      </c>
    </row>
    <row r="1792" spans="1:2">
      <c r="A1792" s="159">
        <v>40210</v>
      </c>
      <c r="B1792" s="94" t="s">
        <v>650</v>
      </c>
    </row>
    <row r="1793" spans="1:2">
      <c r="A1793" s="159">
        <v>40211</v>
      </c>
      <c r="B1793" s="94" t="s">
        <v>650</v>
      </c>
    </row>
    <row r="1794" spans="1:2">
      <c r="A1794" s="159">
        <v>40212</v>
      </c>
      <c r="B1794" s="94" t="s">
        <v>650</v>
      </c>
    </row>
    <row r="1795" spans="1:2">
      <c r="A1795" s="159">
        <v>40213</v>
      </c>
      <c r="B1795" s="94" t="s">
        <v>650</v>
      </c>
    </row>
    <row r="1796" spans="1:2">
      <c r="A1796" s="159">
        <v>40214</v>
      </c>
      <c r="B1796" s="94" t="s">
        <v>650</v>
      </c>
    </row>
    <row r="1797" spans="1:2">
      <c r="A1797" s="159">
        <v>40217</v>
      </c>
      <c r="B1797" s="94" t="s">
        <v>650</v>
      </c>
    </row>
    <row r="1798" spans="1:2">
      <c r="A1798" s="159">
        <v>40218</v>
      </c>
      <c r="B1798" s="94" t="s">
        <v>650</v>
      </c>
    </row>
    <row r="1799" spans="1:2">
      <c r="A1799" s="159">
        <v>40219</v>
      </c>
      <c r="B1799" s="94" t="s">
        <v>650</v>
      </c>
    </row>
    <row r="1800" spans="1:2">
      <c r="A1800" s="159">
        <v>40220</v>
      </c>
      <c r="B1800" s="94" t="s">
        <v>650</v>
      </c>
    </row>
    <row r="1801" spans="1:2">
      <c r="A1801" s="159">
        <v>40221</v>
      </c>
      <c r="B1801" s="94" t="s">
        <v>650</v>
      </c>
    </row>
    <row r="1802" spans="1:2">
      <c r="A1802" s="159">
        <v>40229</v>
      </c>
      <c r="B1802" s="94" t="s">
        <v>650</v>
      </c>
    </row>
    <row r="1803" spans="1:2">
      <c r="A1803" s="159">
        <v>40230</v>
      </c>
      <c r="B1803" s="94" t="s">
        <v>650</v>
      </c>
    </row>
    <row r="1804" spans="1:2">
      <c r="A1804" s="159">
        <v>40231</v>
      </c>
      <c r="B1804" s="94" t="s">
        <v>650</v>
      </c>
    </row>
    <row r="1805" spans="1:2">
      <c r="A1805" s="159">
        <v>40232</v>
      </c>
      <c r="B1805" s="94" t="s">
        <v>650</v>
      </c>
    </row>
    <row r="1806" spans="1:2">
      <c r="A1806" s="159">
        <v>40233</v>
      </c>
      <c r="B1806" s="94" t="s">
        <v>650</v>
      </c>
    </row>
    <row r="1807" spans="1:2">
      <c r="A1807" s="159">
        <v>40234</v>
      </c>
      <c r="B1807" s="94" t="s">
        <v>650</v>
      </c>
    </row>
    <row r="1808" spans="1:2">
      <c r="A1808" s="159">
        <v>40235</v>
      </c>
      <c r="B1808" s="94" t="s">
        <v>650</v>
      </c>
    </row>
    <row r="1809" spans="1:2">
      <c r="A1809" s="159">
        <v>40238</v>
      </c>
      <c r="B1809" s="94" t="s">
        <v>650</v>
      </c>
    </row>
    <row r="1810" spans="1:2">
      <c r="A1810" s="159">
        <v>40239</v>
      </c>
      <c r="B1810" s="94" t="s">
        <v>650</v>
      </c>
    </row>
    <row r="1811" spans="1:2">
      <c r="A1811" s="159">
        <v>40240</v>
      </c>
      <c r="B1811" s="94" t="s">
        <v>650</v>
      </c>
    </row>
    <row r="1812" spans="1:2">
      <c r="A1812" s="159">
        <v>40241</v>
      </c>
      <c r="B1812" s="94" t="s">
        <v>650</v>
      </c>
    </row>
    <row r="1813" spans="1:2">
      <c r="A1813" s="159">
        <v>40242</v>
      </c>
      <c r="B1813" s="94" t="s">
        <v>650</v>
      </c>
    </row>
    <row r="1814" spans="1:2">
      <c r="A1814" s="159">
        <v>40245</v>
      </c>
      <c r="B1814" s="94" t="s">
        <v>650</v>
      </c>
    </row>
    <row r="1815" spans="1:2">
      <c r="A1815" s="159">
        <v>40246</v>
      </c>
      <c r="B1815" s="94" t="s">
        <v>650</v>
      </c>
    </row>
    <row r="1816" spans="1:2">
      <c r="A1816" s="159">
        <v>40247</v>
      </c>
      <c r="B1816" s="94" t="s">
        <v>650</v>
      </c>
    </row>
    <row r="1817" spans="1:2">
      <c r="A1817" s="159">
        <v>40248</v>
      </c>
      <c r="B1817" s="94" t="s">
        <v>650</v>
      </c>
    </row>
    <row r="1818" spans="1:2">
      <c r="A1818" s="159">
        <v>40249</v>
      </c>
      <c r="B1818" s="94" t="s">
        <v>650</v>
      </c>
    </row>
    <row r="1819" spans="1:2">
      <c r="A1819" s="159">
        <v>40252</v>
      </c>
      <c r="B1819" s="94" t="s">
        <v>650</v>
      </c>
    </row>
    <row r="1820" spans="1:2">
      <c r="A1820" s="159">
        <v>40253</v>
      </c>
      <c r="B1820" s="94" t="s">
        <v>650</v>
      </c>
    </row>
    <row r="1821" spans="1:2">
      <c r="A1821" s="159">
        <v>40254</v>
      </c>
      <c r="B1821" s="94" t="s">
        <v>650</v>
      </c>
    </row>
    <row r="1822" spans="1:2">
      <c r="A1822" s="159">
        <v>40255</v>
      </c>
      <c r="B1822" s="94" t="s">
        <v>650</v>
      </c>
    </row>
    <row r="1823" spans="1:2">
      <c r="A1823" s="159">
        <v>40256</v>
      </c>
      <c r="B1823" s="94" t="s">
        <v>650</v>
      </c>
    </row>
    <row r="1824" spans="1:2">
      <c r="A1824" s="159">
        <v>40259</v>
      </c>
      <c r="B1824" s="94" t="s">
        <v>650</v>
      </c>
    </row>
    <row r="1825" spans="1:2">
      <c r="A1825" s="159">
        <v>40260</v>
      </c>
      <c r="B1825" s="94" t="s">
        <v>650</v>
      </c>
    </row>
    <row r="1826" spans="1:2">
      <c r="A1826" s="159">
        <v>40261</v>
      </c>
      <c r="B1826" s="94" t="s">
        <v>650</v>
      </c>
    </row>
    <row r="1827" spans="1:2">
      <c r="A1827" s="159">
        <v>40262</v>
      </c>
      <c r="B1827" s="94" t="s">
        <v>650</v>
      </c>
    </row>
    <row r="1828" spans="1:2">
      <c r="A1828" s="159">
        <v>40263</v>
      </c>
      <c r="B1828" s="94" t="s">
        <v>650</v>
      </c>
    </row>
    <row r="1829" spans="1:2">
      <c r="A1829" s="159">
        <v>40266</v>
      </c>
      <c r="B1829" s="94" t="s">
        <v>650</v>
      </c>
    </row>
    <row r="1830" spans="1:2">
      <c r="A1830" s="159">
        <v>40267</v>
      </c>
      <c r="B1830" s="94" t="s">
        <v>650</v>
      </c>
    </row>
    <row r="1831" spans="1:2">
      <c r="A1831" s="159">
        <v>40268</v>
      </c>
      <c r="B1831" s="94" t="s">
        <v>650</v>
      </c>
    </row>
    <row r="1832" spans="1:2">
      <c r="A1832" s="159">
        <v>40269</v>
      </c>
      <c r="B1832" s="94" t="s">
        <v>650</v>
      </c>
    </row>
    <row r="1833" spans="1:2">
      <c r="A1833" s="159">
        <v>40270</v>
      </c>
      <c r="B1833" s="94" t="s">
        <v>650</v>
      </c>
    </row>
    <row r="1834" spans="1:2">
      <c r="A1834" s="159">
        <v>40274</v>
      </c>
      <c r="B1834" s="94" t="s">
        <v>650</v>
      </c>
    </row>
    <row r="1835" spans="1:2">
      <c r="A1835" s="159">
        <v>40275</v>
      </c>
      <c r="B1835" s="94" t="s">
        <v>650</v>
      </c>
    </row>
    <row r="1836" spans="1:2">
      <c r="A1836" s="159">
        <v>40276</v>
      </c>
      <c r="B1836" s="94" t="s">
        <v>650</v>
      </c>
    </row>
    <row r="1837" spans="1:2">
      <c r="A1837" s="159">
        <v>40277</v>
      </c>
      <c r="B1837" s="94" t="s">
        <v>650</v>
      </c>
    </row>
    <row r="1838" spans="1:2">
      <c r="A1838" s="159">
        <v>40280</v>
      </c>
      <c r="B1838" s="94" t="s">
        <v>650</v>
      </c>
    </row>
    <row r="1839" spans="1:2">
      <c r="A1839" s="159">
        <v>40281</v>
      </c>
      <c r="B1839" s="94" t="s">
        <v>650</v>
      </c>
    </row>
    <row r="1840" spans="1:2">
      <c r="A1840" s="159">
        <v>40282</v>
      </c>
      <c r="B1840" s="94" t="s">
        <v>650</v>
      </c>
    </row>
    <row r="1841" spans="1:2">
      <c r="A1841" s="159">
        <v>40283</v>
      </c>
      <c r="B1841" s="94" t="s">
        <v>650</v>
      </c>
    </row>
    <row r="1842" spans="1:2">
      <c r="A1842" s="159">
        <v>40284</v>
      </c>
      <c r="B1842" s="94" t="s">
        <v>650</v>
      </c>
    </row>
    <row r="1843" spans="1:2">
      <c r="A1843" s="159">
        <v>40287</v>
      </c>
      <c r="B1843" s="94" t="s">
        <v>650</v>
      </c>
    </row>
    <row r="1844" spans="1:2">
      <c r="A1844" s="159">
        <v>40288</v>
      </c>
      <c r="B1844" s="94" t="s">
        <v>650</v>
      </c>
    </row>
    <row r="1845" spans="1:2">
      <c r="A1845" s="159">
        <v>40289</v>
      </c>
      <c r="B1845" s="94" t="s">
        <v>650</v>
      </c>
    </row>
    <row r="1846" spans="1:2">
      <c r="A1846" s="159">
        <v>40290</v>
      </c>
      <c r="B1846" s="94" t="s">
        <v>650</v>
      </c>
    </row>
    <row r="1847" spans="1:2">
      <c r="A1847" s="159">
        <v>40291</v>
      </c>
      <c r="B1847" s="94" t="s">
        <v>650</v>
      </c>
    </row>
    <row r="1848" spans="1:2">
      <c r="A1848" s="159">
        <v>40294</v>
      </c>
      <c r="B1848" s="94" t="s">
        <v>650</v>
      </c>
    </row>
    <row r="1849" spans="1:2">
      <c r="A1849" s="159">
        <v>40295</v>
      </c>
      <c r="B1849" s="94" t="s">
        <v>650</v>
      </c>
    </row>
    <row r="1850" spans="1:2">
      <c r="A1850" s="159">
        <v>40296</v>
      </c>
      <c r="B1850" s="94" t="s">
        <v>650</v>
      </c>
    </row>
    <row r="1851" spans="1:2">
      <c r="A1851" s="159">
        <v>40297</v>
      </c>
      <c r="B1851" s="94" t="s">
        <v>650</v>
      </c>
    </row>
    <row r="1852" spans="1:2">
      <c r="A1852" s="159">
        <v>40298</v>
      </c>
      <c r="B1852" s="94" t="s">
        <v>650</v>
      </c>
    </row>
    <row r="1853" spans="1:2">
      <c r="A1853" s="159">
        <v>40302</v>
      </c>
      <c r="B1853" s="94" t="s">
        <v>650</v>
      </c>
    </row>
    <row r="1854" spans="1:2">
      <c r="A1854" s="159">
        <v>40303</v>
      </c>
      <c r="B1854" s="94" t="s">
        <v>650</v>
      </c>
    </row>
    <row r="1855" spans="1:2">
      <c r="A1855" s="159">
        <v>40304</v>
      </c>
      <c r="B1855" s="94" t="s">
        <v>650</v>
      </c>
    </row>
    <row r="1856" spans="1:2">
      <c r="A1856" s="159">
        <v>40305</v>
      </c>
      <c r="B1856" s="94" t="s">
        <v>650</v>
      </c>
    </row>
    <row r="1857" spans="1:2">
      <c r="A1857" s="159">
        <v>40308</v>
      </c>
      <c r="B1857" s="94" t="s">
        <v>650</v>
      </c>
    </row>
    <row r="1858" spans="1:2">
      <c r="A1858" s="159">
        <v>40309</v>
      </c>
      <c r="B1858" s="94" t="s">
        <v>650</v>
      </c>
    </row>
    <row r="1859" spans="1:2">
      <c r="A1859" s="159">
        <v>40310</v>
      </c>
      <c r="B1859" s="94" t="s">
        <v>650</v>
      </c>
    </row>
    <row r="1860" spans="1:2">
      <c r="A1860" s="159">
        <v>40311</v>
      </c>
      <c r="B1860" s="94" t="s">
        <v>650</v>
      </c>
    </row>
    <row r="1861" spans="1:2">
      <c r="A1861" s="159">
        <v>40312</v>
      </c>
      <c r="B1861" s="94" t="s">
        <v>650</v>
      </c>
    </row>
    <row r="1862" spans="1:2">
      <c r="A1862" s="159">
        <v>40315</v>
      </c>
      <c r="B1862" s="94" t="s">
        <v>650</v>
      </c>
    </row>
    <row r="1863" spans="1:2">
      <c r="A1863" s="159">
        <v>40316</v>
      </c>
      <c r="B1863" s="94" t="s">
        <v>650</v>
      </c>
    </row>
    <row r="1864" spans="1:2">
      <c r="A1864" s="159">
        <v>40317</v>
      </c>
      <c r="B1864" s="94" t="s">
        <v>650</v>
      </c>
    </row>
    <row r="1865" spans="1:2">
      <c r="A1865" s="159">
        <v>40318</v>
      </c>
      <c r="B1865" s="94" t="s">
        <v>650</v>
      </c>
    </row>
    <row r="1866" spans="1:2">
      <c r="A1866" s="159">
        <v>40319</v>
      </c>
      <c r="B1866" s="94" t="s">
        <v>650</v>
      </c>
    </row>
    <row r="1867" spans="1:2">
      <c r="A1867" s="159">
        <v>40322</v>
      </c>
      <c r="B1867" s="94" t="s">
        <v>650</v>
      </c>
    </row>
    <row r="1868" spans="1:2">
      <c r="A1868" s="159">
        <v>40323</v>
      </c>
      <c r="B1868" s="94" t="s">
        <v>650</v>
      </c>
    </row>
    <row r="1869" spans="1:2">
      <c r="A1869" s="159">
        <v>40324</v>
      </c>
      <c r="B1869" s="94" t="s">
        <v>650</v>
      </c>
    </row>
    <row r="1870" spans="1:2">
      <c r="A1870" s="159">
        <v>40325</v>
      </c>
      <c r="B1870" s="94" t="s">
        <v>650</v>
      </c>
    </row>
    <row r="1871" spans="1:2">
      <c r="A1871" s="159">
        <v>40326</v>
      </c>
      <c r="B1871" s="94" t="s">
        <v>650</v>
      </c>
    </row>
    <row r="1872" spans="1:2">
      <c r="A1872" s="159">
        <v>40329</v>
      </c>
      <c r="B1872" s="94" t="s">
        <v>650</v>
      </c>
    </row>
    <row r="1873" spans="1:2">
      <c r="A1873" s="159">
        <v>40330</v>
      </c>
      <c r="B1873" s="94" t="s">
        <v>650</v>
      </c>
    </row>
    <row r="1874" spans="1:2">
      <c r="A1874" s="159">
        <v>40331</v>
      </c>
      <c r="B1874" s="94" t="s">
        <v>650</v>
      </c>
    </row>
    <row r="1875" spans="1:2">
      <c r="A1875" s="159">
        <v>40332</v>
      </c>
      <c r="B1875" s="94" t="s">
        <v>650</v>
      </c>
    </row>
    <row r="1876" spans="1:2">
      <c r="A1876" s="159">
        <v>40333</v>
      </c>
      <c r="B1876" s="94" t="s">
        <v>650</v>
      </c>
    </row>
    <row r="1877" spans="1:2">
      <c r="A1877" s="159">
        <v>40336</v>
      </c>
      <c r="B1877" s="94" t="s">
        <v>650</v>
      </c>
    </row>
    <row r="1878" spans="1:2">
      <c r="A1878" s="159">
        <v>40337</v>
      </c>
      <c r="B1878" s="94" t="s">
        <v>650</v>
      </c>
    </row>
    <row r="1879" spans="1:2">
      <c r="A1879" s="159">
        <v>40338</v>
      </c>
      <c r="B1879" s="94" t="s">
        <v>650</v>
      </c>
    </row>
    <row r="1880" spans="1:2">
      <c r="A1880" s="159">
        <v>40339</v>
      </c>
      <c r="B1880" s="94" t="s">
        <v>650</v>
      </c>
    </row>
    <row r="1881" spans="1:2">
      <c r="A1881" s="159">
        <v>40340</v>
      </c>
      <c r="B1881" s="94" t="s">
        <v>650</v>
      </c>
    </row>
    <row r="1882" spans="1:2">
      <c r="A1882" s="159">
        <v>40341</v>
      </c>
      <c r="B1882" s="94" t="s">
        <v>650</v>
      </c>
    </row>
    <row r="1883" spans="1:2">
      <c r="A1883" s="159">
        <v>40342</v>
      </c>
      <c r="B1883" s="94" t="s">
        <v>650</v>
      </c>
    </row>
    <row r="1884" spans="1:2">
      <c r="A1884" s="159">
        <v>40346</v>
      </c>
      <c r="B1884" s="94" t="s">
        <v>650</v>
      </c>
    </row>
    <row r="1885" spans="1:2">
      <c r="A1885" s="159">
        <v>40347</v>
      </c>
      <c r="B1885" s="94" t="s">
        <v>650</v>
      </c>
    </row>
    <row r="1886" spans="1:2">
      <c r="A1886" s="159">
        <v>40350</v>
      </c>
      <c r="B1886" s="94" t="s">
        <v>650</v>
      </c>
    </row>
    <row r="1887" spans="1:2">
      <c r="A1887" s="159">
        <v>40351</v>
      </c>
      <c r="B1887" s="94" t="s">
        <v>650</v>
      </c>
    </row>
    <row r="1888" spans="1:2">
      <c r="A1888" s="159">
        <v>40352</v>
      </c>
      <c r="B1888" s="94" t="s">
        <v>650</v>
      </c>
    </row>
    <row r="1889" spans="1:2">
      <c r="A1889" s="159">
        <v>40353</v>
      </c>
      <c r="B1889" s="94" t="s">
        <v>650</v>
      </c>
    </row>
    <row r="1890" spans="1:2">
      <c r="A1890" s="159">
        <v>40354</v>
      </c>
      <c r="B1890" s="94" t="s">
        <v>650</v>
      </c>
    </row>
    <row r="1891" spans="1:2">
      <c r="A1891" s="159">
        <v>40357</v>
      </c>
      <c r="B1891" s="94" t="s">
        <v>650</v>
      </c>
    </row>
    <row r="1892" spans="1:2">
      <c r="A1892" s="159">
        <v>40358</v>
      </c>
      <c r="B1892" s="94" t="s">
        <v>650</v>
      </c>
    </row>
    <row r="1893" spans="1:2">
      <c r="A1893" s="159">
        <v>40359</v>
      </c>
      <c r="B1893" s="94" t="s">
        <v>650</v>
      </c>
    </row>
    <row r="1894" spans="1:2">
      <c r="A1894" s="159">
        <v>40360</v>
      </c>
      <c r="B1894" s="94" t="s">
        <v>650</v>
      </c>
    </row>
    <row r="1895" spans="1:2">
      <c r="A1895" s="159">
        <v>40361</v>
      </c>
      <c r="B1895" s="94" t="s">
        <v>650</v>
      </c>
    </row>
    <row r="1896" spans="1:2">
      <c r="A1896" s="159">
        <v>40364</v>
      </c>
      <c r="B1896" s="94" t="s">
        <v>650</v>
      </c>
    </row>
    <row r="1897" spans="1:2">
      <c r="A1897" s="159">
        <v>40365</v>
      </c>
      <c r="B1897" s="94" t="s">
        <v>650</v>
      </c>
    </row>
    <row r="1898" spans="1:2">
      <c r="A1898" s="159">
        <v>40366</v>
      </c>
      <c r="B1898" s="94" t="s">
        <v>650</v>
      </c>
    </row>
    <row r="1899" spans="1:2">
      <c r="A1899" s="159">
        <v>40367</v>
      </c>
      <c r="B1899" s="94" t="s">
        <v>650</v>
      </c>
    </row>
    <row r="1900" spans="1:2">
      <c r="A1900" s="159">
        <v>40368</v>
      </c>
      <c r="B1900" s="94" t="s">
        <v>650</v>
      </c>
    </row>
    <row r="1901" spans="1:2">
      <c r="A1901" s="159">
        <v>40371</v>
      </c>
      <c r="B1901" s="94" t="s">
        <v>650</v>
      </c>
    </row>
    <row r="1902" spans="1:2">
      <c r="A1902" s="159">
        <v>40372</v>
      </c>
      <c r="B1902" s="94" t="s">
        <v>650</v>
      </c>
    </row>
    <row r="1903" spans="1:2">
      <c r="A1903" s="159">
        <v>40373</v>
      </c>
      <c r="B1903" s="94" t="s">
        <v>650</v>
      </c>
    </row>
    <row r="1904" spans="1:2">
      <c r="A1904" s="159">
        <v>40374</v>
      </c>
      <c r="B1904" s="94" t="s">
        <v>650</v>
      </c>
    </row>
    <row r="1905" spans="1:2">
      <c r="A1905" s="159">
        <v>40375</v>
      </c>
      <c r="B1905" s="94" t="s">
        <v>650</v>
      </c>
    </row>
    <row r="1906" spans="1:2">
      <c r="A1906" s="159">
        <v>40378</v>
      </c>
      <c r="B1906" s="94" t="s">
        <v>650</v>
      </c>
    </row>
    <row r="1907" spans="1:2">
      <c r="A1907" s="159">
        <v>40379</v>
      </c>
      <c r="B1907" s="94" t="s">
        <v>650</v>
      </c>
    </row>
    <row r="1908" spans="1:2">
      <c r="A1908" s="159">
        <v>40380</v>
      </c>
      <c r="B1908" s="94" t="s">
        <v>650</v>
      </c>
    </row>
    <row r="1909" spans="1:2">
      <c r="A1909" s="159">
        <v>40381</v>
      </c>
      <c r="B1909" s="94" t="s">
        <v>650</v>
      </c>
    </row>
    <row r="1910" spans="1:2">
      <c r="A1910" s="159">
        <v>40382</v>
      </c>
      <c r="B1910" s="94" t="s">
        <v>650</v>
      </c>
    </row>
    <row r="1911" spans="1:2">
      <c r="A1911" s="159">
        <v>40385</v>
      </c>
      <c r="B1911" s="94" t="s">
        <v>650</v>
      </c>
    </row>
    <row r="1912" spans="1:2">
      <c r="A1912" s="159">
        <v>40386</v>
      </c>
      <c r="B1912" s="94" t="s">
        <v>650</v>
      </c>
    </row>
    <row r="1913" spans="1:2">
      <c r="A1913" s="159">
        <v>40387</v>
      </c>
      <c r="B1913" s="94" t="s">
        <v>650</v>
      </c>
    </row>
    <row r="1914" spans="1:2">
      <c r="A1914" s="159">
        <v>40388</v>
      </c>
      <c r="B1914" s="94" t="s">
        <v>650</v>
      </c>
    </row>
    <row r="1915" spans="1:2">
      <c r="A1915" s="159">
        <v>40389</v>
      </c>
      <c r="B1915" s="94" t="s">
        <v>650</v>
      </c>
    </row>
    <row r="1916" spans="1:2">
      <c r="A1916" s="159">
        <v>40392</v>
      </c>
      <c r="B1916" s="94" t="s">
        <v>650</v>
      </c>
    </row>
    <row r="1917" spans="1:2">
      <c r="A1917" s="159">
        <v>40393</v>
      </c>
      <c r="B1917" s="94" t="s">
        <v>650</v>
      </c>
    </row>
    <row r="1918" spans="1:2">
      <c r="A1918" s="159">
        <v>40394</v>
      </c>
      <c r="B1918" s="94" t="s">
        <v>650</v>
      </c>
    </row>
    <row r="1919" spans="1:2">
      <c r="A1919" s="159">
        <v>40395</v>
      </c>
      <c r="B1919" s="94" t="s">
        <v>650</v>
      </c>
    </row>
    <row r="1920" spans="1:2">
      <c r="A1920" s="159">
        <v>40396</v>
      </c>
      <c r="B1920" s="94" t="s">
        <v>650</v>
      </c>
    </row>
    <row r="1921" spans="1:2">
      <c r="A1921" s="159">
        <v>40399</v>
      </c>
      <c r="B1921" s="94" t="s">
        <v>650</v>
      </c>
    </row>
    <row r="1922" spans="1:2">
      <c r="A1922" s="159">
        <v>40400</v>
      </c>
      <c r="B1922" s="94" t="s">
        <v>650</v>
      </c>
    </row>
    <row r="1923" spans="1:2">
      <c r="A1923" s="159">
        <v>40401</v>
      </c>
      <c r="B1923" s="94" t="s">
        <v>650</v>
      </c>
    </row>
    <row r="1924" spans="1:2">
      <c r="A1924" s="159">
        <v>40402</v>
      </c>
      <c r="B1924" s="94" t="s">
        <v>650</v>
      </c>
    </row>
    <row r="1925" spans="1:2">
      <c r="A1925" s="159">
        <v>40403</v>
      </c>
      <c r="B1925" s="94" t="s">
        <v>650</v>
      </c>
    </row>
    <row r="1926" spans="1:2">
      <c r="A1926" s="159">
        <v>40406</v>
      </c>
      <c r="B1926" s="94" t="s">
        <v>650</v>
      </c>
    </row>
    <row r="1927" spans="1:2">
      <c r="A1927" s="159">
        <v>40407</v>
      </c>
      <c r="B1927" s="94" t="s">
        <v>650</v>
      </c>
    </row>
    <row r="1928" spans="1:2">
      <c r="A1928" s="159">
        <v>40408</v>
      </c>
      <c r="B1928" s="94" t="s">
        <v>650</v>
      </c>
    </row>
    <row r="1929" spans="1:2">
      <c r="A1929" s="159">
        <v>40409</v>
      </c>
      <c r="B1929" s="94" t="s">
        <v>650</v>
      </c>
    </row>
    <row r="1930" spans="1:2">
      <c r="A1930" s="159">
        <v>40410</v>
      </c>
      <c r="B1930" s="94" t="s">
        <v>650</v>
      </c>
    </row>
    <row r="1931" spans="1:2">
      <c r="A1931" s="159">
        <v>40413</v>
      </c>
      <c r="B1931" s="94" t="s">
        <v>650</v>
      </c>
    </row>
    <row r="1932" spans="1:2">
      <c r="A1932" s="159">
        <v>40414</v>
      </c>
      <c r="B1932" s="94" t="s">
        <v>650</v>
      </c>
    </row>
    <row r="1933" spans="1:2">
      <c r="A1933" s="159">
        <v>40415</v>
      </c>
      <c r="B1933" s="94" t="s">
        <v>650</v>
      </c>
    </row>
    <row r="1934" spans="1:2">
      <c r="A1934" s="159">
        <v>40416</v>
      </c>
      <c r="B1934" s="94" t="s">
        <v>650</v>
      </c>
    </row>
    <row r="1935" spans="1:2">
      <c r="A1935" s="159">
        <v>40417</v>
      </c>
      <c r="B1935" s="94" t="s">
        <v>650</v>
      </c>
    </row>
    <row r="1936" spans="1:2">
      <c r="A1936" s="159">
        <v>40420</v>
      </c>
      <c r="B1936" s="94" t="s">
        <v>650</v>
      </c>
    </row>
    <row r="1937" spans="1:2">
      <c r="A1937" s="159">
        <v>40421</v>
      </c>
      <c r="B1937" s="94" t="s">
        <v>650</v>
      </c>
    </row>
    <row r="1938" spans="1:2">
      <c r="A1938" s="159">
        <v>40422</v>
      </c>
      <c r="B1938" s="94" t="s">
        <v>650</v>
      </c>
    </row>
    <row r="1939" spans="1:2">
      <c r="A1939" s="159">
        <v>40423</v>
      </c>
      <c r="B1939" s="94" t="s">
        <v>650</v>
      </c>
    </row>
    <row r="1940" spans="1:2">
      <c r="A1940" s="159">
        <v>40424</v>
      </c>
      <c r="B1940" s="94" t="s">
        <v>650</v>
      </c>
    </row>
    <row r="1941" spans="1:2">
      <c r="A1941" s="159">
        <v>40427</v>
      </c>
      <c r="B1941" s="94" t="s">
        <v>650</v>
      </c>
    </row>
    <row r="1942" spans="1:2">
      <c r="A1942" s="159">
        <v>40428</v>
      </c>
      <c r="B1942" s="94" t="s">
        <v>650</v>
      </c>
    </row>
    <row r="1943" spans="1:2">
      <c r="A1943" s="159">
        <v>40429</v>
      </c>
      <c r="B1943" s="94" t="s">
        <v>650</v>
      </c>
    </row>
    <row r="1944" spans="1:2">
      <c r="A1944" s="159">
        <v>40430</v>
      </c>
      <c r="B1944" s="94" t="s">
        <v>650</v>
      </c>
    </row>
    <row r="1945" spans="1:2">
      <c r="A1945" s="159">
        <v>40431</v>
      </c>
      <c r="B1945" s="94" t="s">
        <v>650</v>
      </c>
    </row>
    <row r="1946" spans="1:2">
      <c r="A1946" s="159">
        <v>40434</v>
      </c>
      <c r="B1946" s="94" t="s">
        <v>650</v>
      </c>
    </row>
    <row r="1947" spans="1:2">
      <c r="A1947" s="159">
        <v>40435</v>
      </c>
      <c r="B1947" s="94" t="s">
        <v>650</v>
      </c>
    </row>
    <row r="1948" spans="1:2">
      <c r="A1948" s="159">
        <v>40436</v>
      </c>
      <c r="B1948" s="94" t="s">
        <v>650</v>
      </c>
    </row>
    <row r="1949" spans="1:2">
      <c r="A1949" s="159">
        <v>40437</v>
      </c>
      <c r="B1949" s="94" t="s">
        <v>650</v>
      </c>
    </row>
    <row r="1950" spans="1:2">
      <c r="A1950" s="159">
        <v>40438</v>
      </c>
      <c r="B1950" s="94" t="s">
        <v>650</v>
      </c>
    </row>
    <row r="1951" spans="1:2">
      <c r="A1951" s="159">
        <v>40440</v>
      </c>
      <c r="B1951" s="94" t="s">
        <v>650</v>
      </c>
    </row>
    <row r="1952" spans="1:2">
      <c r="A1952" s="159">
        <v>40441</v>
      </c>
      <c r="B1952" s="94" t="s">
        <v>650</v>
      </c>
    </row>
    <row r="1953" spans="1:2">
      <c r="A1953" s="159">
        <v>40442</v>
      </c>
      <c r="B1953" s="94" t="s">
        <v>650</v>
      </c>
    </row>
    <row r="1954" spans="1:2">
      <c r="A1954" s="159">
        <v>40446</v>
      </c>
      <c r="B1954" s="94" t="s">
        <v>650</v>
      </c>
    </row>
    <row r="1955" spans="1:2">
      <c r="A1955" s="159">
        <v>40447</v>
      </c>
      <c r="B1955" s="94" t="s">
        <v>650</v>
      </c>
    </row>
    <row r="1956" spans="1:2">
      <c r="A1956" s="159">
        <v>40448</v>
      </c>
      <c r="B1956" s="94" t="s">
        <v>650</v>
      </c>
    </row>
    <row r="1957" spans="1:2">
      <c r="A1957" s="159">
        <v>40449</v>
      </c>
      <c r="B1957" s="94" t="s">
        <v>650</v>
      </c>
    </row>
    <row r="1958" spans="1:2">
      <c r="A1958" s="159">
        <v>40450</v>
      </c>
      <c r="B1958" s="94" t="s">
        <v>650</v>
      </c>
    </row>
    <row r="1959" spans="1:2">
      <c r="A1959" s="159">
        <v>40451</v>
      </c>
      <c r="B1959" s="94" t="s">
        <v>650</v>
      </c>
    </row>
    <row r="1960" spans="1:2">
      <c r="A1960" s="159">
        <v>40459</v>
      </c>
      <c r="B1960" s="94" t="s">
        <v>650</v>
      </c>
    </row>
    <row r="1961" spans="1:2">
      <c r="A1961" s="159">
        <v>40460</v>
      </c>
      <c r="B1961" s="94" t="s">
        <v>650</v>
      </c>
    </row>
    <row r="1962" spans="1:2">
      <c r="A1962" s="159">
        <v>40462</v>
      </c>
      <c r="B1962" s="94" t="s">
        <v>650</v>
      </c>
    </row>
    <row r="1963" spans="1:2">
      <c r="A1963" s="159">
        <v>40463</v>
      </c>
      <c r="B1963" s="94" t="s">
        <v>650</v>
      </c>
    </row>
    <row r="1964" spans="1:2">
      <c r="A1964" s="159">
        <v>40464</v>
      </c>
      <c r="B1964" s="94" t="s">
        <v>650</v>
      </c>
    </row>
    <row r="1965" spans="1:2">
      <c r="A1965" s="159">
        <v>40465</v>
      </c>
      <c r="B1965" s="94" t="s">
        <v>650</v>
      </c>
    </row>
    <row r="1966" spans="1:2">
      <c r="A1966" s="159">
        <v>40466</v>
      </c>
      <c r="B1966" s="94" t="s">
        <v>650</v>
      </c>
    </row>
    <row r="1967" spans="1:2">
      <c r="A1967" s="159">
        <v>40469</v>
      </c>
      <c r="B1967" s="94" t="s">
        <v>650</v>
      </c>
    </row>
    <row r="1968" spans="1:2">
      <c r="A1968" s="159">
        <v>40470</v>
      </c>
      <c r="B1968" s="94" t="s">
        <v>650</v>
      </c>
    </row>
    <row r="1969" spans="1:2">
      <c r="A1969" s="159">
        <v>40471</v>
      </c>
      <c r="B1969" s="94" t="s">
        <v>650</v>
      </c>
    </row>
    <row r="1970" spans="1:2">
      <c r="A1970" s="159">
        <v>40472</v>
      </c>
      <c r="B1970" s="94" t="s">
        <v>650</v>
      </c>
    </row>
    <row r="1971" spans="1:2">
      <c r="A1971" s="159">
        <v>40473</v>
      </c>
      <c r="B1971" s="94" t="s">
        <v>650</v>
      </c>
    </row>
    <row r="1972" spans="1:2">
      <c r="A1972" s="159">
        <v>40476</v>
      </c>
      <c r="B1972" s="94" t="s">
        <v>650</v>
      </c>
    </row>
    <row r="1973" spans="1:2">
      <c r="A1973" s="159">
        <v>40477</v>
      </c>
      <c r="B1973" s="94" t="s">
        <v>650</v>
      </c>
    </row>
    <row r="1974" spans="1:2">
      <c r="A1974" s="159">
        <v>40478</v>
      </c>
      <c r="B1974" s="94" t="s">
        <v>650</v>
      </c>
    </row>
    <row r="1975" spans="1:2">
      <c r="A1975" s="159">
        <v>40479</v>
      </c>
      <c r="B1975" s="94" t="s">
        <v>650</v>
      </c>
    </row>
    <row r="1976" spans="1:2">
      <c r="A1976" s="159">
        <v>40480</v>
      </c>
      <c r="B1976" s="94" t="s">
        <v>650</v>
      </c>
    </row>
    <row r="1977" spans="1:2">
      <c r="A1977" s="159">
        <v>40483</v>
      </c>
      <c r="B1977" s="94" t="s">
        <v>650</v>
      </c>
    </row>
    <row r="1978" spans="1:2">
      <c r="A1978" s="159">
        <v>40484</v>
      </c>
      <c r="B1978" s="94" t="s">
        <v>650</v>
      </c>
    </row>
    <row r="1979" spans="1:2">
      <c r="A1979" s="159">
        <v>40485</v>
      </c>
      <c r="B1979" s="94" t="s">
        <v>650</v>
      </c>
    </row>
    <row r="1980" spans="1:2">
      <c r="A1980" s="159">
        <v>40486</v>
      </c>
      <c r="B1980" s="94" t="s">
        <v>650</v>
      </c>
    </row>
    <row r="1981" spans="1:2">
      <c r="A1981" s="159">
        <v>40487</v>
      </c>
      <c r="B1981" s="94" t="s">
        <v>650</v>
      </c>
    </row>
    <row r="1982" spans="1:2">
      <c r="A1982" s="159">
        <v>40490</v>
      </c>
      <c r="B1982" s="94" t="s">
        <v>650</v>
      </c>
    </row>
    <row r="1983" spans="1:2">
      <c r="A1983" s="159">
        <v>40491</v>
      </c>
      <c r="B1983" s="94" t="s">
        <v>650</v>
      </c>
    </row>
    <row r="1984" spans="1:2">
      <c r="A1984" s="159">
        <v>40492</v>
      </c>
      <c r="B1984" s="94" t="s">
        <v>650</v>
      </c>
    </row>
    <row r="1985" spans="1:2">
      <c r="A1985" s="159">
        <v>40493</v>
      </c>
      <c r="B1985" s="94" t="s">
        <v>650</v>
      </c>
    </row>
    <row r="1986" spans="1:2">
      <c r="A1986" s="159">
        <v>40494</v>
      </c>
      <c r="B1986" s="94" t="s">
        <v>650</v>
      </c>
    </row>
    <row r="1987" spans="1:2">
      <c r="A1987" s="159">
        <v>40497</v>
      </c>
      <c r="B1987" s="94" t="s">
        <v>650</v>
      </c>
    </row>
    <row r="1988" spans="1:2">
      <c r="A1988" s="159">
        <v>40498</v>
      </c>
      <c r="B1988" s="94" t="s">
        <v>650</v>
      </c>
    </row>
    <row r="1989" spans="1:2">
      <c r="A1989" s="159">
        <v>40499</v>
      </c>
      <c r="B1989" s="94" t="s">
        <v>650</v>
      </c>
    </row>
    <row r="1990" spans="1:2">
      <c r="A1990" s="159">
        <v>40500</v>
      </c>
      <c r="B1990" s="94" t="s">
        <v>650</v>
      </c>
    </row>
    <row r="1991" spans="1:2">
      <c r="A1991" s="159">
        <v>40501</v>
      </c>
      <c r="B1991" s="94" t="s">
        <v>650</v>
      </c>
    </row>
    <row r="1992" spans="1:2">
      <c r="A1992" s="159">
        <v>40504</v>
      </c>
      <c r="B1992" s="94" t="s">
        <v>650</v>
      </c>
    </row>
    <row r="1993" spans="1:2">
      <c r="A1993" s="159">
        <v>40505</v>
      </c>
      <c r="B1993" s="94" t="s">
        <v>650</v>
      </c>
    </row>
    <row r="1994" spans="1:2">
      <c r="A1994" s="159">
        <v>40506</v>
      </c>
      <c r="B1994" s="94" t="s">
        <v>650</v>
      </c>
    </row>
    <row r="1995" spans="1:2">
      <c r="A1995" s="159">
        <v>40507</v>
      </c>
      <c r="B1995" s="94" t="s">
        <v>650</v>
      </c>
    </row>
    <row r="1996" spans="1:2">
      <c r="A1996" s="159">
        <v>40508</v>
      </c>
      <c r="B1996" s="94" t="s">
        <v>650</v>
      </c>
    </row>
    <row r="1997" spans="1:2">
      <c r="A1997" s="159">
        <v>40511</v>
      </c>
      <c r="B1997" s="94" t="s">
        <v>650</v>
      </c>
    </row>
    <row r="1998" spans="1:2">
      <c r="A1998" s="159">
        <v>40512</v>
      </c>
      <c r="B1998" s="94" t="s">
        <v>650</v>
      </c>
    </row>
    <row r="1999" spans="1:2">
      <c r="A1999" s="159">
        <v>40513</v>
      </c>
      <c r="B1999" s="94" t="s">
        <v>650</v>
      </c>
    </row>
    <row r="2000" spans="1:2">
      <c r="A2000" s="159">
        <v>40514</v>
      </c>
      <c r="B2000" s="94" t="s">
        <v>650</v>
      </c>
    </row>
    <row r="2001" spans="1:2">
      <c r="A2001" s="159">
        <v>40515</v>
      </c>
      <c r="B2001" s="94" t="s">
        <v>650</v>
      </c>
    </row>
    <row r="2002" spans="1:2">
      <c r="A2002" s="159">
        <v>40518</v>
      </c>
      <c r="B2002" s="94" t="s">
        <v>650</v>
      </c>
    </row>
    <row r="2003" spans="1:2">
      <c r="A2003" s="159">
        <v>40519</v>
      </c>
      <c r="B2003" s="94" t="s">
        <v>650</v>
      </c>
    </row>
    <row r="2004" spans="1:2">
      <c r="A2004" s="159">
        <v>40520</v>
      </c>
      <c r="B2004" s="94" t="s">
        <v>650</v>
      </c>
    </row>
    <row r="2005" spans="1:2">
      <c r="A2005" s="159">
        <v>40521</v>
      </c>
      <c r="B2005" s="94" t="s">
        <v>650</v>
      </c>
    </row>
    <row r="2006" spans="1:2">
      <c r="A2006" s="159">
        <v>40522</v>
      </c>
      <c r="B2006" s="94" t="s">
        <v>650</v>
      </c>
    </row>
    <row r="2007" spans="1:2">
      <c r="A2007" s="159">
        <v>40525</v>
      </c>
      <c r="B2007" s="94" t="s">
        <v>650</v>
      </c>
    </row>
    <row r="2008" spans="1:2">
      <c r="A2008" s="159">
        <v>40526</v>
      </c>
      <c r="B2008" s="94" t="s">
        <v>650</v>
      </c>
    </row>
    <row r="2009" spans="1:2">
      <c r="A2009" s="159">
        <v>40527</v>
      </c>
      <c r="B2009" s="94" t="s">
        <v>650</v>
      </c>
    </row>
    <row r="2010" spans="1:2">
      <c r="A2010" s="159">
        <v>40528</v>
      </c>
      <c r="B2010" s="94" t="s">
        <v>650</v>
      </c>
    </row>
    <row r="2011" spans="1:2">
      <c r="A2011" s="159">
        <v>40529</v>
      </c>
      <c r="B2011" s="94" t="s">
        <v>650</v>
      </c>
    </row>
    <row r="2012" spans="1:2">
      <c r="A2012" s="159">
        <v>40532</v>
      </c>
      <c r="B2012" s="94" t="s">
        <v>650</v>
      </c>
    </row>
    <row r="2013" spans="1:2">
      <c r="A2013" s="159">
        <v>40533</v>
      </c>
      <c r="B2013" s="94" t="s">
        <v>650</v>
      </c>
    </row>
    <row r="2014" spans="1:2">
      <c r="A2014" s="159">
        <v>40534</v>
      </c>
      <c r="B2014" s="94" t="s">
        <v>650</v>
      </c>
    </row>
    <row r="2015" spans="1:2">
      <c r="A2015" s="159">
        <v>40535</v>
      </c>
      <c r="B2015" s="94" t="s">
        <v>650</v>
      </c>
    </row>
    <row r="2016" spans="1:2">
      <c r="A2016" s="159">
        <v>40536</v>
      </c>
      <c r="B2016" s="94" t="s">
        <v>650</v>
      </c>
    </row>
    <row r="2017" spans="1:2">
      <c r="A2017" s="159">
        <v>40539</v>
      </c>
      <c r="B2017" s="94" t="s">
        <v>650</v>
      </c>
    </row>
    <row r="2018" spans="1:2">
      <c r="A2018" s="159">
        <v>40540</v>
      </c>
      <c r="B2018" s="94" t="s">
        <v>650</v>
      </c>
    </row>
    <row r="2019" spans="1:2">
      <c r="A2019" s="159">
        <v>40541</v>
      </c>
      <c r="B2019" s="94" t="s">
        <v>650</v>
      </c>
    </row>
    <row r="2020" spans="1:2">
      <c r="A2020" s="159">
        <v>40542</v>
      </c>
      <c r="B2020" s="94" t="s">
        <v>650</v>
      </c>
    </row>
    <row r="2021" spans="1:2">
      <c r="A2021" s="159">
        <v>40543</v>
      </c>
      <c r="B2021" s="94" t="s">
        <v>650</v>
      </c>
    </row>
    <row r="2022" spans="1:2">
      <c r="A2022" s="159">
        <v>40547</v>
      </c>
      <c r="B2022" s="94" t="s">
        <v>650</v>
      </c>
    </row>
    <row r="2023" spans="1:2">
      <c r="A2023" s="159">
        <v>40548</v>
      </c>
      <c r="B2023" s="94" t="s">
        <v>650</v>
      </c>
    </row>
    <row r="2024" spans="1:2">
      <c r="A2024" s="159">
        <v>40549</v>
      </c>
      <c r="B2024" s="94" t="s">
        <v>650</v>
      </c>
    </row>
    <row r="2025" spans="1:2">
      <c r="A2025" s="159">
        <v>40550</v>
      </c>
      <c r="B2025" s="94" t="s">
        <v>650</v>
      </c>
    </row>
    <row r="2026" spans="1:2">
      <c r="A2026" s="159">
        <v>40553</v>
      </c>
      <c r="B2026" s="94" t="s">
        <v>650</v>
      </c>
    </row>
    <row r="2027" spans="1:2">
      <c r="A2027" s="159">
        <v>40554</v>
      </c>
      <c r="B2027" s="94" t="s">
        <v>650</v>
      </c>
    </row>
    <row r="2028" spans="1:2">
      <c r="A2028" s="159">
        <v>40555</v>
      </c>
      <c r="B2028" s="94" t="s">
        <v>650</v>
      </c>
    </row>
    <row r="2029" spans="1:2">
      <c r="A2029" s="159">
        <v>40556</v>
      </c>
      <c r="B2029" s="94" t="s">
        <v>650</v>
      </c>
    </row>
    <row r="2030" spans="1:2">
      <c r="A2030" s="159">
        <v>40557</v>
      </c>
      <c r="B2030" s="94" t="s">
        <v>650</v>
      </c>
    </row>
    <row r="2031" spans="1:2">
      <c r="A2031" s="159">
        <v>40560</v>
      </c>
      <c r="B2031" s="94" t="s">
        <v>650</v>
      </c>
    </row>
    <row r="2032" spans="1:2">
      <c r="A2032" s="159">
        <v>40561</v>
      </c>
      <c r="B2032" s="94" t="s">
        <v>650</v>
      </c>
    </row>
    <row r="2033" spans="1:2">
      <c r="A2033" s="159">
        <v>40562</v>
      </c>
      <c r="B2033" s="94" t="s">
        <v>650</v>
      </c>
    </row>
    <row r="2034" spans="1:2">
      <c r="A2034" s="159">
        <v>40563</v>
      </c>
      <c r="B2034" s="94" t="s">
        <v>650</v>
      </c>
    </row>
    <row r="2035" spans="1:2">
      <c r="A2035" s="159">
        <v>40564</v>
      </c>
      <c r="B2035" s="94" t="s">
        <v>650</v>
      </c>
    </row>
    <row r="2036" spans="1:2">
      <c r="A2036" s="159">
        <v>40567</v>
      </c>
      <c r="B2036" s="94" t="s">
        <v>650</v>
      </c>
    </row>
    <row r="2037" spans="1:2">
      <c r="A2037" s="159">
        <v>40568</v>
      </c>
      <c r="B2037" s="94" t="s">
        <v>650</v>
      </c>
    </row>
    <row r="2038" spans="1:2">
      <c r="A2038" s="159">
        <v>40569</v>
      </c>
      <c r="B2038" s="94" t="s">
        <v>650</v>
      </c>
    </row>
    <row r="2039" spans="1:2">
      <c r="A2039" s="159">
        <v>40570</v>
      </c>
      <c r="B2039" s="94" t="s">
        <v>650</v>
      </c>
    </row>
    <row r="2040" spans="1:2">
      <c r="A2040" s="159">
        <v>40571</v>
      </c>
      <c r="B2040" s="94" t="s">
        <v>650</v>
      </c>
    </row>
    <row r="2041" spans="1:2">
      <c r="A2041" s="159">
        <v>40573</v>
      </c>
      <c r="B2041" s="94" t="s">
        <v>650</v>
      </c>
    </row>
    <row r="2042" spans="1:2">
      <c r="A2042" s="159">
        <v>40574</v>
      </c>
      <c r="B2042" s="94" t="s">
        <v>650</v>
      </c>
    </row>
    <row r="2043" spans="1:2">
      <c r="A2043" s="159">
        <v>40575</v>
      </c>
      <c r="B2043" s="94" t="s">
        <v>650</v>
      </c>
    </row>
    <row r="2044" spans="1:2">
      <c r="A2044" s="159">
        <v>40583</v>
      </c>
      <c r="B2044" s="94" t="s">
        <v>650</v>
      </c>
    </row>
    <row r="2045" spans="1:2">
      <c r="A2045" s="159">
        <v>40584</v>
      </c>
      <c r="B2045" s="94" t="s">
        <v>650</v>
      </c>
    </row>
    <row r="2046" spans="1:2">
      <c r="A2046" s="159">
        <v>40585</v>
      </c>
      <c r="B2046" s="94" t="s">
        <v>650</v>
      </c>
    </row>
    <row r="2047" spans="1:2">
      <c r="A2047" s="159">
        <v>40586</v>
      </c>
      <c r="B2047" s="94" t="s">
        <v>650</v>
      </c>
    </row>
    <row r="2048" spans="1:2">
      <c r="A2048" s="159">
        <v>40588</v>
      </c>
      <c r="B2048" s="94" t="s">
        <v>650</v>
      </c>
    </row>
    <row r="2049" spans="1:2">
      <c r="A2049" s="159">
        <v>40589</v>
      </c>
      <c r="B2049" s="94" t="s">
        <v>650</v>
      </c>
    </row>
    <row r="2050" spans="1:2">
      <c r="A2050" s="159">
        <v>40590</v>
      </c>
      <c r="B2050" s="94" t="s">
        <v>650</v>
      </c>
    </row>
    <row r="2051" spans="1:2">
      <c r="A2051" s="159">
        <v>40591</v>
      </c>
      <c r="B2051" s="94" t="s">
        <v>650</v>
      </c>
    </row>
    <row r="2052" spans="1:2">
      <c r="A2052" s="159">
        <v>40592</v>
      </c>
      <c r="B2052" s="94" t="s">
        <v>650</v>
      </c>
    </row>
    <row r="2053" spans="1:2">
      <c r="A2053" s="159">
        <v>40595</v>
      </c>
      <c r="B2053" s="94" t="s">
        <v>650</v>
      </c>
    </row>
    <row r="2054" spans="1:2">
      <c r="A2054" s="159">
        <v>40596</v>
      </c>
      <c r="B2054" s="94" t="s">
        <v>650</v>
      </c>
    </row>
    <row r="2055" spans="1:2">
      <c r="A2055" s="159">
        <v>40597</v>
      </c>
      <c r="B2055" s="94" t="s">
        <v>650</v>
      </c>
    </row>
    <row r="2056" spans="1:2">
      <c r="A2056" s="159">
        <v>40598</v>
      </c>
      <c r="B2056" s="94" t="s">
        <v>650</v>
      </c>
    </row>
    <row r="2057" spans="1:2">
      <c r="A2057" s="159">
        <v>40599</v>
      </c>
      <c r="B2057" s="94" t="s">
        <v>650</v>
      </c>
    </row>
    <row r="2058" spans="1:2">
      <c r="A2058" s="159">
        <v>40602</v>
      </c>
      <c r="B2058" s="94" t="s">
        <v>650</v>
      </c>
    </row>
    <row r="2059" spans="1:2">
      <c r="A2059" s="159">
        <v>40603</v>
      </c>
      <c r="B2059" s="94" t="s">
        <v>650</v>
      </c>
    </row>
    <row r="2060" spans="1:2">
      <c r="A2060" s="159">
        <v>40604</v>
      </c>
      <c r="B2060" s="94" t="s">
        <v>650</v>
      </c>
    </row>
    <row r="2061" spans="1:2">
      <c r="A2061" s="159">
        <v>40605</v>
      </c>
      <c r="B2061" s="94" t="s">
        <v>650</v>
      </c>
    </row>
    <row r="2062" spans="1:2">
      <c r="A2062" s="159">
        <v>40606</v>
      </c>
      <c r="B2062" s="94" t="s">
        <v>650</v>
      </c>
    </row>
    <row r="2063" spans="1:2">
      <c r="A2063" s="159">
        <v>40609</v>
      </c>
      <c r="B2063" s="94" t="s">
        <v>650</v>
      </c>
    </row>
    <row r="2064" spans="1:2">
      <c r="A2064" s="159">
        <v>40610</v>
      </c>
      <c r="B2064" s="94" t="s">
        <v>650</v>
      </c>
    </row>
    <row r="2065" spans="1:2">
      <c r="A2065" s="159">
        <v>40611</v>
      </c>
      <c r="B2065" s="94" t="s">
        <v>650</v>
      </c>
    </row>
    <row r="2066" spans="1:2">
      <c r="A2066" s="159">
        <v>40612</v>
      </c>
      <c r="B2066" s="94" t="s">
        <v>650</v>
      </c>
    </row>
    <row r="2067" spans="1:2">
      <c r="A2067" s="159">
        <v>40613</v>
      </c>
      <c r="B2067" s="94" t="s">
        <v>650</v>
      </c>
    </row>
    <row r="2068" spans="1:2">
      <c r="A2068" s="159">
        <v>40616</v>
      </c>
      <c r="B2068" s="94" t="s">
        <v>650</v>
      </c>
    </row>
    <row r="2069" spans="1:2">
      <c r="A2069" s="159">
        <v>40617</v>
      </c>
      <c r="B2069" s="94" t="s">
        <v>650</v>
      </c>
    </row>
    <row r="2070" spans="1:2">
      <c r="A2070" s="159">
        <v>40618</v>
      </c>
      <c r="B2070" s="94" t="s">
        <v>650</v>
      </c>
    </row>
    <row r="2071" spans="1:2">
      <c r="A2071" s="159">
        <v>40619</v>
      </c>
      <c r="B2071" s="94" t="s">
        <v>650</v>
      </c>
    </row>
    <row r="2072" spans="1:2">
      <c r="A2072" s="159">
        <v>40620</v>
      </c>
      <c r="B2072" s="94" t="s">
        <v>650</v>
      </c>
    </row>
    <row r="2073" spans="1:2">
      <c r="A2073" s="159">
        <v>40623</v>
      </c>
      <c r="B2073" s="94" t="s">
        <v>650</v>
      </c>
    </row>
    <row r="2074" spans="1:2">
      <c r="A2074" s="159">
        <v>40624</v>
      </c>
      <c r="B2074" s="94" t="s">
        <v>650</v>
      </c>
    </row>
    <row r="2075" spans="1:2">
      <c r="A2075" s="159">
        <v>40625</v>
      </c>
      <c r="B2075" s="94" t="s">
        <v>650</v>
      </c>
    </row>
    <row r="2076" spans="1:2">
      <c r="A2076" s="159">
        <v>40626</v>
      </c>
      <c r="B2076" s="94" t="s">
        <v>650</v>
      </c>
    </row>
    <row r="2077" spans="1:2">
      <c r="A2077" s="159">
        <v>40627</v>
      </c>
      <c r="B2077" s="94" t="s">
        <v>650</v>
      </c>
    </row>
    <row r="2078" spans="1:2">
      <c r="A2078" s="159">
        <v>40630</v>
      </c>
      <c r="B2078" s="94" t="s">
        <v>650</v>
      </c>
    </row>
    <row r="2079" spans="1:2">
      <c r="A2079" s="159">
        <v>40631</v>
      </c>
      <c r="B2079" s="94" t="s">
        <v>650</v>
      </c>
    </row>
    <row r="2080" spans="1:2">
      <c r="A2080" s="159">
        <v>40632</v>
      </c>
      <c r="B2080" s="94" t="s">
        <v>650</v>
      </c>
    </row>
    <row r="2081" spans="1:2">
      <c r="A2081" s="159">
        <v>40633</v>
      </c>
      <c r="B2081" s="94" t="s">
        <v>650</v>
      </c>
    </row>
    <row r="2082" spans="1:2">
      <c r="A2082" s="159">
        <v>40634</v>
      </c>
      <c r="B2082" s="94" t="s">
        <v>650</v>
      </c>
    </row>
    <row r="2083" spans="1:2">
      <c r="A2083" s="159">
        <v>40635</v>
      </c>
      <c r="B2083" s="94" t="s">
        <v>650</v>
      </c>
    </row>
    <row r="2084" spans="1:2">
      <c r="A2084" s="159">
        <v>40639</v>
      </c>
      <c r="B2084" s="94" t="s">
        <v>650</v>
      </c>
    </row>
    <row r="2085" spans="1:2">
      <c r="A2085" s="159">
        <v>40640</v>
      </c>
      <c r="B2085" s="94" t="s">
        <v>650</v>
      </c>
    </row>
    <row r="2086" spans="1:2">
      <c r="A2086" s="159">
        <v>40641</v>
      </c>
      <c r="B2086" s="94" t="s">
        <v>650</v>
      </c>
    </row>
    <row r="2087" spans="1:2">
      <c r="A2087" s="159">
        <v>40644</v>
      </c>
      <c r="B2087" s="94" t="s">
        <v>650</v>
      </c>
    </row>
    <row r="2088" spans="1:2">
      <c r="A2088" s="159">
        <v>40645</v>
      </c>
      <c r="B2088" s="94" t="s">
        <v>650</v>
      </c>
    </row>
    <row r="2089" spans="1:2">
      <c r="A2089" s="159">
        <v>40646</v>
      </c>
      <c r="B2089" s="94" t="s">
        <v>650</v>
      </c>
    </row>
    <row r="2090" spans="1:2">
      <c r="A2090" s="159">
        <v>40647</v>
      </c>
      <c r="B2090" s="94" t="s">
        <v>650</v>
      </c>
    </row>
    <row r="2091" spans="1:2">
      <c r="A2091" s="159">
        <v>40648</v>
      </c>
      <c r="B2091" s="94" t="s">
        <v>650</v>
      </c>
    </row>
    <row r="2092" spans="1:2">
      <c r="A2092" s="159">
        <v>40651</v>
      </c>
      <c r="B2092" s="94" t="s">
        <v>650</v>
      </c>
    </row>
    <row r="2093" spans="1:2">
      <c r="A2093" s="159">
        <v>40652</v>
      </c>
      <c r="B2093" s="94" t="s">
        <v>650</v>
      </c>
    </row>
    <row r="2094" spans="1:2">
      <c r="A2094" s="159">
        <v>40653</v>
      </c>
      <c r="B2094" s="94" t="s">
        <v>650</v>
      </c>
    </row>
    <row r="2095" spans="1:2">
      <c r="A2095" s="159">
        <v>40654</v>
      </c>
      <c r="B2095" s="94" t="s">
        <v>650</v>
      </c>
    </row>
    <row r="2096" spans="1:2">
      <c r="A2096" s="159">
        <v>40655</v>
      </c>
      <c r="B2096" s="94" t="s">
        <v>650</v>
      </c>
    </row>
    <row r="2097" spans="1:2">
      <c r="A2097" s="159">
        <v>40658</v>
      </c>
      <c r="B2097" s="94" t="s">
        <v>650</v>
      </c>
    </row>
    <row r="2098" spans="1:2">
      <c r="A2098" s="159">
        <v>40659</v>
      </c>
      <c r="B2098" s="94" t="s">
        <v>650</v>
      </c>
    </row>
    <row r="2099" spans="1:2">
      <c r="A2099" s="159">
        <v>40660</v>
      </c>
      <c r="B2099" s="94" t="s">
        <v>650</v>
      </c>
    </row>
    <row r="2100" spans="1:2">
      <c r="A2100" s="159">
        <v>40661</v>
      </c>
      <c r="B2100" s="94" t="s">
        <v>650</v>
      </c>
    </row>
    <row r="2101" spans="1:2">
      <c r="A2101" s="159">
        <v>40662</v>
      </c>
      <c r="B2101" s="94" t="s">
        <v>650</v>
      </c>
    </row>
    <row r="2102" spans="1:2">
      <c r="A2102" s="159">
        <v>40666</v>
      </c>
      <c r="B2102" s="94" t="s">
        <v>650</v>
      </c>
    </row>
    <row r="2103" spans="1:2">
      <c r="A2103" s="159">
        <v>40667</v>
      </c>
      <c r="B2103" s="94" t="s">
        <v>650</v>
      </c>
    </row>
    <row r="2104" spans="1:2">
      <c r="A2104" s="159">
        <v>40668</v>
      </c>
      <c r="B2104" s="94" t="s">
        <v>650</v>
      </c>
    </row>
    <row r="2105" spans="1:2">
      <c r="A2105" s="159">
        <v>40669</v>
      </c>
      <c r="B2105" s="94" t="s">
        <v>650</v>
      </c>
    </row>
    <row r="2106" spans="1:2">
      <c r="A2106" s="159">
        <v>40672</v>
      </c>
      <c r="B2106" s="94" t="s">
        <v>650</v>
      </c>
    </row>
    <row r="2107" spans="1:2">
      <c r="A2107" s="159">
        <v>40673</v>
      </c>
      <c r="B2107" s="94" t="s">
        <v>650</v>
      </c>
    </row>
    <row r="2108" spans="1:2">
      <c r="A2108" s="159">
        <v>40674</v>
      </c>
      <c r="B2108" s="94" t="s">
        <v>650</v>
      </c>
    </row>
    <row r="2109" spans="1:2">
      <c r="A2109" s="159">
        <v>40675</v>
      </c>
      <c r="B2109" s="94" t="s">
        <v>650</v>
      </c>
    </row>
    <row r="2110" spans="1:2">
      <c r="A2110" s="159">
        <v>40676</v>
      </c>
      <c r="B2110" s="94" t="s">
        <v>650</v>
      </c>
    </row>
    <row r="2111" spans="1:2">
      <c r="A2111" s="159">
        <v>40679</v>
      </c>
      <c r="B2111" s="94" t="s">
        <v>650</v>
      </c>
    </row>
    <row r="2112" spans="1:2">
      <c r="A2112" s="159">
        <v>40680</v>
      </c>
      <c r="B2112" s="94" t="s">
        <v>650</v>
      </c>
    </row>
    <row r="2113" spans="1:2">
      <c r="A2113" s="159">
        <v>40681</v>
      </c>
      <c r="B2113" s="94" t="s">
        <v>650</v>
      </c>
    </row>
    <row r="2114" spans="1:2">
      <c r="A2114" s="159">
        <v>40682</v>
      </c>
      <c r="B2114" s="94" t="s">
        <v>650</v>
      </c>
    </row>
    <row r="2115" spans="1:2">
      <c r="A2115" s="159">
        <v>40683</v>
      </c>
      <c r="B2115" s="94" t="s">
        <v>650</v>
      </c>
    </row>
    <row r="2116" spans="1:2">
      <c r="A2116" s="159">
        <v>40686</v>
      </c>
      <c r="B2116" s="94" t="s">
        <v>650</v>
      </c>
    </row>
    <row r="2117" spans="1:2">
      <c r="A2117" s="159">
        <v>40687</v>
      </c>
      <c r="B2117" s="94" t="s">
        <v>650</v>
      </c>
    </row>
    <row r="2118" spans="1:2">
      <c r="A2118" s="159">
        <v>40688</v>
      </c>
      <c r="B2118" s="94" t="s">
        <v>650</v>
      </c>
    </row>
    <row r="2119" spans="1:2">
      <c r="A2119" s="159">
        <v>40689</v>
      </c>
      <c r="B2119" s="94" t="s">
        <v>650</v>
      </c>
    </row>
    <row r="2120" spans="1:2">
      <c r="A2120" s="159">
        <v>40690</v>
      </c>
      <c r="B2120" s="94" t="s">
        <v>650</v>
      </c>
    </row>
    <row r="2121" spans="1:2">
      <c r="A2121" s="159">
        <v>40693</v>
      </c>
      <c r="B2121" s="94" t="s">
        <v>650</v>
      </c>
    </row>
    <row r="2122" spans="1:2">
      <c r="A2122" s="159">
        <v>40694</v>
      </c>
      <c r="B2122" s="94" t="s">
        <v>650</v>
      </c>
    </row>
    <row r="2123" spans="1:2">
      <c r="A2123" s="159">
        <v>40695</v>
      </c>
      <c r="B2123" s="94" t="s">
        <v>650</v>
      </c>
    </row>
    <row r="2124" spans="1:2">
      <c r="A2124" s="159">
        <v>40696</v>
      </c>
      <c r="B2124" s="94" t="s">
        <v>650</v>
      </c>
    </row>
    <row r="2125" spans="1:2">
      <c r="A2125" s="159">
        <v>40697</v>
      </c>
      <c r="B2125" s="94" t="s">
        <v>650</v>
      </c>
    </row>
    <row r="2126" spans="1:2">
      <c r="A2126" s="159">
        <v>40701</v>
      </c>
      <c r="B2126" s="94" t="s">
        <v>650</v>
      </c>
    </row>
    <row r="2127" spans="1:2">
      <c r="A2127" s="159">
        <v>40702</v>
      </c>
      <c r="B2127" s="94" t="s">
        <v>650</v>
      </c>
    </row>
    <row r="2128" spans="1:2">
      <c r="A2128" s="159">
        <v>40703</v>
      </c>
      <c r="B2128" s="94" t="s">
        <v>650</v>
      </c>
    </row>
    <row r="2129" spans="1:2">
      <c r="A2129" s="159">
        <v>40704</v>
      </c>
      <c r="B2129" s="94" t="s">
        <v>650</v>
      </c>
    </row>
    <row r="2130" spans="1:2">
      <c r="A2130" s="159">
        <v>40707</v>
      </c>
      <c r="B2130" s="94" t="s">
        <v>650</v>
      </c>
    </row>
    <row r="2131" spans="1:2">
      <c r="A2131" s="159">
        <v>40708</v>
      </c>
      <c r="B2131" s="94" t="s">
        <v>650</v>
      </c>
    </row>
    <row r="2132" spans="1:2">
      <c r="A2132" s="159">
        <v>40709</v>
      </c>
      <c r="B2132" s="94" t="s">
        <v>650</v>
      </c>
    </row>
    <row r="2133" spans="1:2">
      <c r="A2133" s="159">
        <v>40710</v>
      </c>
      <c r="B2133" s="94" t="s">
        <v>650</v>
      </c>
    </row>
    <row r="2134" spans="1:2">
      <c r="A2134" s="159">
        <v>40711</v>
      </c>
      <c r="B2134" s="94" t="s">
        <v>650</v>
      </c>
    </row>
    <row r="2135" spans="1:2">
      <c r="A2135" s="159">
        <v>40714</v>
      </c>
      <c r="B2135" s="94" t="s">
        <v>650</v>
      </c>
    </row>
    <row r="2136" spans="1:2">
      <c r="A2136" s="159">
        <v>40715</v>
      </c>
      <c r="B2136" s="94" t="s">
        <v>650</v>
      </c>
    </row>
    <row r="2137" spans="1:2">
      <c r="A2137" s="159">
        <v>40716</v>
      </c>
      <c r="B2137" s="94" t="s">
        <v>650</v>
      </c>
    </row>
    <row r="2138" spans="1:2">
      <c r="A2138" s="159">
        <v>40717</v>
      </c>
      <c r="B2138" s="94" t="s">
        <v>650</v>
      </c>
    </row>
    <row r="2139" spans="1:2">
      <c r="A2139" s="159">
        <v>40718</v>
      </c>
      <c r="B2139" s="94" t="s">
        <v>650</v>
      </c>
    </row>
    <row r="2140" spans="1:2">
      <c r="A2140" s="159">
        <v>40721</v>
      </c>
      <c r="B2140" s="94" t="s">
        <v>650</v>
      </c>
    </row>
    <row r="2141" spans="1:2">
      <c r="A2141" s="159">
        <v>40722</v>
      </c>
      <c r="B2141" s="94" t="s">
        <v>650</v>
      </c>
    </row>
    <row r="2142" spans="1:2">
      <c r="A2142" s="159">
        <v>40723</v>
      </c>
      <c r="B2142" s="94" t="s">
        <v>650</v>
      </c>
    </row>
    <row r="2143" spans="1:2">
      <c r="A2143" s="159">
        <v>40724</v>
      </c>
      <c r="B2143" s="94" t="s">
        <v>650</v>
      </c>
    </row>
    <row r="2144" spans="1:2">
      <c r="A2144" s="159">
        <v>40725</v>
      </c>
      <c r="B2144" s="94" t="s">
        <v>650</v>
      </c>
    </row>
    <row r="2145" spans="1:2">
      <c r="A2145" s="159">
        <v>40728</v>
      </c>
      <c r="B2145" s="94" t="s">
        <v>650</v>
      </c>
    </row>
    <row r="2146" spans="1:2">
      <c r="A2146" s="159">
        <v>40729</v>
      </c>
      <c r="B2146" s="94" t="s">
        <v>650</v>
      </c>
    </row>
    <row r="2147" spans="1:2">
      <c r="A2147" s="159">
        <v>40730</v>
      </c>
      <c r="B2147" s="94" t="s">
        <v>650</v>
      </c>
    </row>
    <row r="2148" spans="1:2">
      <c r="A2148" s="159">
        <v>40731</v>
      </c>
      <c r="B2148" s="94" t="s">
        <v>650</v>
      </c>
    </row>
    <row r="2149" spans="1:2">
      <c r="A2149" s="159">
        <v>40732</v>
      </c>
      <c r="B2149" s="94" t="s">
        <v>650</v>
      </c>
    </row>
    <row r="2150" spans="1:2">
      <c r="A2150" s="159">
        <v>40735</v>
      </c>
      <c r="B2150" s="94" t="s">
        <v>650</v>
      </c>
    </row>
    <row r="2151" spans="1:2">
      <c r="A2151" s="159">
        <v>40736</v>
      </c>
      <c r="B2151" s="94" t="s">
        <v>650</v>
      </c>
    </row>
    <row r="2152" spans="1:2">
      <c r="A2152" s="159">
        <v>40737</v>
      </c>
      <c r="B2152" s="94" t="s">
        <v>650</v>
      </c>
    </row>
    <row r="2153" spans="1:2">
      <c r="A2153" s="159">
        <v>40738</v>
      </c>
      <c r="B2153" s="94" t="s">
        <v>650</v>
      </c>
    </row>
    <row r="2154" spans="1:2">
      <c r="A2154" s="159">
        <v>40739</v>
      </c>
      <c r="B2154" s="94" t="s">
        <v>650</v>
      </c>
    </row>
    <row r="2155" spans="1:2">
      <c r="A2155" s="159">
        <v>40742</v>
      </c>
      <c r="B2155" s="94" t="s">
        <v>650</v>
      </c>
    </row>
    <row r="2156" spans="1:2">
      <c r="A2156" s="159">
        <v>40743</v>
      </c>
      <c r="B2156" s="94" t="s">
        <v>650</v>
      </c>
    </row>
    <row r="2157" spans="1:2">
      <c r="A2157" s="159">
        <v>40744</v>
      </c>
      <c r="B2157" s="94" t="s">
        <v>650</v>
      </c>
    </row>
    <row r="2158" spans="1:2">
      <c r="A2158" s="159">
        <v>40745</v>
      </c>
      <c r="B2158" s="94" t="s">
        <v>650</v>
      </c>
    </row>
    <row r="2159" spans="1:2">
      <c r="A2159" s="159">
        <v>40746</v>
      </c>
      <c r="B2159" s="94" t="s">
        <v>650</v>
      </c>
    </row>
    <row r="2160" spans="1:2">
      <c r="A2160" s="159">
        <v>40749</v>
      </c>
      <c r="B2160" s="94" t="s">
        <v>650</v>
      </c>
    </row>
    <row r="2161" spans="1:2">
      <c r="A2161" s="159">
        <v>40750</v>
      </c>
      <c r="B2161" s="94" t="s">
        <v>650</v>
      </c>
    </row>
    <row r="2162" spans="1:2">
      <c r="A2162" s="159">
        <v>40751</v>
      </c>
      <c r="B2162" s="94" t="s">
        <v>650</v>
      </c>
    </row>
    <row r="2163" spans="1:2">
      <c r="A2163" s="159">
        <v>40752</v>
      </c>
      <c r="B2163" s="94" t="s">
        <v>650</v>
      </c>
    </row>
    <row r="2164" spans="1:2">
      <c r="A2164" s="159">
        <v>40753</v>
      </c>
      <c r="B2164" s="94" t="s">
        <v>650</v>
      </c>
    </row>
    <row r="2165" spans="1:2">
      <c r="A2165" s="159">
        <v>40756</v>
      </c>
      <c r="B2165" s="94" t="s">
        <v>650</v>
      </c>
    </row>
    <row r="2166" spans="1:2">
      <c r="A2166" s="159">
        <v>40757</v>
      </c>
      <c r="B2166" s="94" t="s">
        <v>650</v>
      </c>
    </row>
    <row r="2167" spans="1:2">
      <c r="A2167" s="159">
        <v>40758</v>
      </c>
      <c r="B2167" s="94" t="s">
        <v>650</v>
      </c>
    </row>
    <row r="2168" spans="1:2">
      <c r="A2168" s="159">
        <v>40759</v>
      </c>
      <c r="B2168" s="94" t="s">
        <v>650</v>
      </c>
    </row>
    <row r="2169" spans="1:2">
      <c r="A2169" s="159">
        <v>40760</v>
      </c>
      <c r="B2169" s="94" t="s">
        <v>650</v>
      </c>
    </row>
    <row r="2170" spans="1:2">
      <c r="A2170" s="159">
        <v>40763</v>
      </c>
      <c r="B2170" s="94" t="s">
        <v>650</v>
      </c>
    </row>
    <row r="2171" spans="1:2">
      <c r="A2171" s="159">
        <v>40764</v>
      </c>
      <c r="B2171" s="94" t="s">
        <v>650</v>
      </c>
    </row>
    <row r="2172" spans="1:2">
      <c r="A2172" s="159">
        <v>40765</v>
      </c>
      <c r="B2172" s="94" t="s">
        <v>650</v>
      </c>
    </row>
    <row r="2173" spans="1:2">
      <c r="A2173" s="159">
        <v>40766</v>
      </c>
      <c r="B2173" s="94" t="s">
        <v>650</v>
      </c>
    </row>
    <row r="2174" spans="1:2">
      <c r="A2174" s="159">
        <v>40767</v>
      </c>
      <c r="B2174" s="94" t="s">
        <v>650</v>
      </c>
    </row>
    <row r="2175" spans="1:2">
      <c r="A2175" s="159">
        <v>40770</v>
      </c>
      <c r="B2175" s="94" t="s">
        <v>650</v>
      </c>
    </row>
    <row r="2176" spans="1:2">
      <c r="A2176" s="159">
        <v>40771</v>
      </c>
      <c r="B2176" s="94" t="s">
        <v>650</v>
      </c>
    </row>
    <row r="2177" spans="1:2">
      <c r="A2177" s="159">
        <v>40772</v>
      </c>
      <c r="B2177" s="94" t="s">
        <v>650</v>
      </c>
    </row>
    <row r="2178" spans="1:2">
      <c r="A2178" s="159">
        <v>40773</v>
      </c>
      <c r="B2178" s="94" t="s">
        <v>650</v>
      </c>
    </row>
    <row r="2179" spans="1:2">
      <c r="A2179" s="159">
        <v>40774</v>
      </c>
      <c r="B2179" s="94" t="s">
        <v>650</v>
      </c>
    </row>
    <row r="2180" spans="1:2">
      <c r="A2180" s="159">
        <v>40777</v>
      </c>
      <c r="B2180" s="94" t="s">
        <v>650</v>
      </c>
    </row>
    <row r="2181" spans="1:2">
      <c r="A2181" s="159">
        <v>40778</v>
      </c>
      <c r="B2181" s="94" t="s">
        <v>650</v>
      </c>
    </row>
    <row r="2182" spans="1:2">
      <c r="A2182" s="159">
        <v>40779</v>
      </c>
      <c r="B2182" s="94" t="s">
        <v>650</v>
      </c>
    </row>
    <row r="2183" spans="1:2">
      <c r="A2183" s="159">
        <v>40780</v>
      </c>
      <c r="B2183" s="94" t="s">
        <v>650</v>
      </c>
    </row>
    <row r="2184" spans="1:2">
      <c r="A2184" s="159">
        <v>40781</v>
      </c>
      <c r="B2184" s="94" t="s">
        <v>650</v>
      </c>
    </row>
    <row r="2185" spans="1:2">
      <c r="A2185" s="159">
        <v>40784</v>
      </c>
      <c r="B2185" s="94" t="s">
        <v>650</v>
      </c>
    </row>
    <row r="2186" spans="1:2">
      <c r="A2186" s="159">
        <v>40785</v>
      </c>
      <c r="B2186" s="94" t="s">
        <v>650</v>
      </c>
    </row>
    <row r="2187" spans="1:2">
      <c r="A2187" s="159">
        <v>40786</v>
      </c>
      <c r="B2187" s="94" t="s">
        <v>650</v>
      </c>
    </row>
    <row r="2188" spans="1:2">
      <c r="A2188" s="159">
        <v>40787</v>
      </c>
      <c r="B2188" s="94" t="s">
        <v>650</v>
      </c>
    </row>
    <row r="2189" spans="1:2">
      <c r="A2189" s="159">
        <v>40788</v>
      </c>
      <c r="B2189" s="94" t="s">
        <v>650</v>
      </c>
    </row>
    <row r="2190" spans="1:2">
      <c r="A2190" s="159">
        <v>40791</v>
      </c>
      <c r="B2190" s="94" t="s">
        <v>650</v>
      </c>
    </row>
    <row r="2191" spans="1:2">
      <c r="A2191" s="159">
        <v>40792</v>
      </c>
      <c r="B2191" s="94" t="s">
        <v>650</v>
      </c>
    </row>
    <row r="2192" spans="1:2">
      <c r="A2192" s="159">
        <v>40793</v>
      </c>
      <c r="B2192" s="94" t="s">
        <v>650</v>
      </c>
    </row>
    <row r="2193" spans="1:2">
      <c r="A2193" s="159">
        <v>40794</v>
      </c>
      <c r="B2193" s="94" t="s">
        <v>650</v>
      </c>
    </row>
    <row r="2194" spans="1:2">
      <c r="A2194" s="159">
        <v>40795</v>
      </c>
      <c r="B2194" s="94" t="s">
        <v>650</v>
      </c>
    </row>
    <row r="2195" spans="1:2">
      <c r="A2195" s="159">
        <v>40799</v>
      </c>
      <c r="B2195" s="94" t="s">
        <v>650</v>
      </c>
    </row>
    <row r="2196" spans="1:2">
      <c r="A2196" s="159">
        <v>40800</v>
      </c>
      <c r="B2196" s="94" t="s">
        <v>650</v>
      </c>
    </row>
    <row r="2197" spans="1:2">
      <c r="A2197" s="159">
        <v>40801</v>
      </c>
      <c r="B2197" s="94" t="s">
        <v>650</v>
      </c>
    </row>
    <row r="2198" spans="1:2">
      <c r="A2198" s="159">
        <v>40802</v>
      </c>
      <c r="B2198" s="94" t="s">
        <v>650</v>
      </c>
    </row>
    <row r="2199" spans="1:2">
      <c r="A2199" s="159">
        <v>40805</v>
      </c>
      <c r="B2199" s="94" t="s">
        <v>650</v>
      </c>
    </row>
    <row r="2200" spans="1:2">
      <c r="A2200" s="159">
        <v>40806</v>
      </c>
      <c r="B2200" s="94" t="s">
        <v>650</v>
      </c>
    </row>
    <row r="2201" spans="1:2">
      <c r="A2201" s="159">
        <v>40807</v>
      </c>
      <c r="B2201" s="94" t="s">
        <v>650</v>
      </c>
    </row>
    <row r="2202" spans="1:2">
      <c r="A2202" s="159">
        <v>40808</v>
      </c>
      <c r="B2202" s="94" t="s">
        <v>650</v>
      </c>
    </row>
    <row r="2203" spans="1:2">
      <c r="A2203" s="159">
        <v>40809</v>
      </c>
      <c r="B2203" s="94" t="s">
        <v>650</v>
      </c>
    </row>
    <row r="2204" spans="1:2">
      <c r="A2204" s="159">
        <v>40812</v>
      </c>
      <c r="B2204" s="94" t="s">
        <v>650</v>
      </c>
    </row>
    <row r="2205" spans="1:2">
      <c r="A2205" s="159">
        <v>40813</v>
      </c>
      <c r="B2205" s="94" t="s">
        <v>650</v>
      </c>
    </row>
    <row r="2206" spans="1:2">
      <c r="A2206" s="159">
        <v>40814</v>
      </c>
      <c r="B2206" s="94" t="s">
        <v>650</v>
      </c>
    </row>
    <row r="2207" spans="1:2">
      <c r="A2207" s="159">
        <v>40815</v>
      </c>
      <c r="B2207" s="94" t="s">
        <v>650</v>
      </c>
    </row>
    <row r="2208" spans="1:2">
      <c r="A2208" s="159">
        <v>40816</v>
      </c>
      <c r="B2208" s="94" t="s">
        <v>650</v>
      </c>
    </row>
    <row r="2209" spans="1:2">
      <c r="A2209" s="159">
        <v>40824</v>
      </c>
      <c r="B2209" s="94" t="s">
        <v>650</v>
      </c>
    </row>
    <row r="2210" spans="1:2">
      <c r="A2210" s="159">
        <v>40825</v>
      </c>
      <c r="B2210" s="94" t="s">
        <v>650</v>
      </c>
    </row>
    <row r="2211" spans="1:2">
      <c r="A2211" s="159">
        <v>40826</v>
      </c>
      <c r="B2211" s="94" t="s">
        <v>650</v>
      </c>
    </row>
    <row r="2212" spans="1:2">
      <c r="A2212" s="159">
        <v>40827</v>
      </c>
      <c r="B2212" s="94" t="s">
        <v>650</v>
      </c>
    </row>
    <row r="2213" spans="1:2">
      <c r="A2213" s="159">
        <v>40828</v>
      </c>
      <c r="B2213" s="94" t="s">
        <v>650</v>
      </c>
    </row>
    <row r="2214" spans="1:2">
      <c r="A2214" s="159">
        <v>40829</v>
      </c>
      <c r="B2214" s="94" t="s">
        <v>650</v>
      </c>
    </row>
    <row r="2215" spans="1:2">
      <c r="A2215" s="159">
        <v>40830</v>
      </c>
      <c r="B2215" s="94" t="s">
        <v>650</v>
      </c>
    </row>
    <row r="2216" spans="1:2">
      <c r="A2216" s="159">
        <v>40833</v>
      </c>
      <c r="B2216" s="94" t="s">
        <v>650</v>
      </c>
    </row>
    <row r="2217" spans="1:2">
      <c r="A2217" s="159">
        <v>40834</v>
      </c>
      <c r="B2217" s="94" t="s">
        <v>650</v>
      </c>
    </row>
    <row r="2218" spans="1:2">
      <c r="A2218" s="159">
        <v>40835</v>
      </c>
      <c r="B2218" s="94" t="s">
        <v>650</v>
      </c>
    </row>
    <row r="2219" spans="1:2">
      <c r="A2219" s="159">
        <v>40836</v>
      </c>
      <c r="B2219" s="94" t="s">
        <v>650</v>
      </c>
    </row>
    <row r="2220" spans="1:2">
      <c r="A2220" s="159">
        <v>40837</v>
      </c>
      <c r="B2220" s="94" t="s">
        <v>650</v>
      </c>
    </row>
    <row r="2221" spans="1:2">
      <c r="A2221" s="159">
        <v>40840</v>
      </c>
      <c r="B2221" s="94" t="s">
        <v>650</v>
      </c>
    </row>
    <row r="2222" spans="1:2">
      <c r="A2222" s="159">
        <v>40841</v>
      </c>
      <c r="B2222" s="94" t="s">
        <v>650</v>
      </c>
    </row>
    <row r="2223" spans="1:2">
      <c r="A2223" s="159">
        <v>40842</v>
      </c>
      <c r="B2223" s="94" t="s">
        <v>650</v>
      </c>
    </row>
    <row r="2224" spans="1:2">
      <c r="A2224" s="159">
        <v>40843</v>
      </c>
      <c r="B2224" s="94" t="s">
        <v>650</v>
      </c>
    </row>
    <row r="2225" spans="1:2">
      <c r="A2225" s="159">
        <v>40844</v>
      </c>
      <c r="B2225" s="94" t="s">
        <v>650</v>
      </c>
    </row>
    <row r="2226" spans="1:2">
      <c r="A2226" s="159">
        <v>40847</v>
      </c>
      <c r="B2226" s="94" t="s">
        <v>650</v>
      </c>
    </row>
    <row r="2227" spans="1:2">
      <c r="A2227" s="159">
        <v>40848</v>
      </c>
      <c r="B2227" s="94" t="s">
        <v>650</v>
      </c>
    </row>
    <row r="2228" spans="1:2">
      <c r="A2228" s="159">
        <v>40849</v>
      </c>
      <c r="B2228" s="94" t="s">
        <v>650</v>
      </c>
    </row>
    <row r="2229" spans="1:2">
      <c r="A2229" s="159">
        <v>40850</v>
      </c>
      <c r="B2229" s="94" t="s">
        <v>650</v>
      </c>
    </row>
    <row r="2230" spans="1:2">
      <c r="A2230" s="159">
        <v>40851</v>
      </c>
      <c r="B2230" s="94" t="s">
        <v>650</v>
      </c>
    </row>
    <row r="2231" spans="1:2">
      <c r="A2231" s="159">
        <v>40854</v>
      </c>
      <c r="B2231" s="94" t="s">
        <v>650</v>
      </c>
    </row>
    <row r="2232" spans="1:2">
      <c r="A2232" s="159">
        <v>40855</v>
      </c>
      <c r="B2232" s="94" t="s">
        <v>650</v>
      </c>
    </row>
    <row r="2233" spans="1:2">
      <c r="A2233" s="159">
        <v>40856</v>
      </c>
      <c r="B2233" s="94" t="s">
        <v>650</v>
      </c>
    </row>
    <row r="2234" spans="1:2">
      <c r="A2234" s="159">
        <v>40857</v>
      </c>
      <c r="B2234" s="94" t="s">
        <v>650</v>
      </c>
    </row>
    <row r="2235" spans="1:2">
      <c r="A2235" s="159">
        <v>40858</v>
      </c>
      <c r="B2235" s="94" t="s">
        <v>650</v>
      </c>
    </row>
    <row r="2236" spans="1:2">
      <c r="A2236" s="159">
        <v>40861</v>
      </c>
      <c r="B2236" s="94" t="s">
        <v>650</v>
      </c>
    </row>
    <row r="2237" spans="1:2">
      <c r="A2237" s="159">
        <v>40862</v>
      </c>
      <c r="B2237" s="94" t="s">
        <v>650</v>
      </c>
    </row>
    <row r="2238" spans="1:2">
      <c r="A2238" s="159">
        <v>40863</v>
      </c>
      <c r="B2238" s="94" t="s">
        <v>650</v>
      </c>
    </row>
    <row r="2239" spans="1:2">
      <c r="A2239" s="159">
        <v>40864</v>
      </c>
      <c r="B2239" s="94" t="s">
        <v>650</v>
      </c>
    </row>
    <row r="2240" spans="1:2">
      <c r="A2240" s="159">
        <v>40865</v>
      </c>
      <c r="B2240" s="94" t="s">
        <v>650</v>
      </c>
    </row>
    <row r="2241" spans="1:2">
      <c r="A2241" s="159">
        <v>40868</v>
      </c>
      <c r="B2241" s="94" t="s">
        <v>650</v>
      </c>
    </row>
    <row r="2242" spans="1:2">
      <c r="A2242" s="159">
        <v>40869</v>
      </c>
      <c r="B2242" s="94" t="s">
        <v>650</v>
      </c>
    </row>
    <row r="2243" spans="1:2">
      <c r="A2243" s="159">
        <v>40870</v>
      </c>
      <c r="B2243" s="94" t="s">
        <v>650</v>
      </c>
    </row>
    <row r="2244" spans="1:2">
      <c r="A2244" s="159">
        <v>40871</v>
      </c>
      <c r="B2244" s="94" t="s">
        <v>650</v>
      </c>
    </row>
    <row r="2245" spans="1:2">
      <c r="A2245" s="159">
        <v>40872</v>
      </c>
      <c r="B2245" s="94" t="s">
        <v>650</v>
      </c>
    </row>
    <row r="2246" spans="1:2">
      <c r="A2246" s="159">
        <v>40875</v>
      </c>
      <c r="B2246" s="94" t="s">
        <v>650</v>
      </c>
    </row>
    <row r="2247" spans="1:2">
      <c r="A2247" s="159">
        <v>40876</v>
      </c>
      <c r="B2247" s="94" t="s">
        <v>650</v>
      </c>
    </row>
    <row r="2248" spans="1:2">
      <c r="A2248" s="159">
        <v>40877</v>
      </c>
      <c r="B2248" s="94" t="s">
        <v>650</v>
      </c>
    </row>
    <row r="2249" spans="1:2">
      <c r="A2249" s="159">
        <v>40878</v>
      </c>
      <c r="B2249" s="94" t="s">
        <v>650</v>
      </c>
    </row>
    <row r="2250" spans="1:2">
      <c r="A2250" s="159">
        <v>40879</v>
      </c>
      <c r="B2250" s="94" t="s">
        <v>650</v>
      </c>
    </row>
    <row r="2251" spans="1:2">
      <c r="A2251" s="159">
        <v>40882</v>
      </c>
      <c r="B2251" s="94" t="s">
        <v>650</v>
      </c>
    </row>
    <row r="2252" spans="1:2">
      <c r="A2252" s="159">
        <v>40883</v>
      </c>
      <c r="B2252" s="94" t="s">
        <v>650</v>
      </c>
    </row>
    <row r="2253" spans="1:2">
      <c r="A2253" s="159">
        <v>40884</v>
      </c>
      <c r="B2253" s="94" t="s">
        <v>650</v>
      </c>
    </row>
    <row r="2254" spans="1:2">
      <c r="A2254" s="159">
        <v>40885</v>
      </c>
      <c r="B2254" s="94" t="s">
        <v>650</v>
      </c>
    </row>
    <row r="2255" spans="1:2">
      <c r="A2255" s="159">
        <v>40886</v>
      </c>
      <c r="B2255" s="94" t="s">
        <v>650</v>
      </c>
    </row>
    <row r="2256" spans="1:2">
      <c r="A2256" s="159">
        <v>40889</v>
      </c>
      <c r="B2256" s="94" t="s">
        <v>650</v>
      </c>
    </row>
    <row r="2257" spans="1:2">
      <c r="A2257" s="159">
        <v>40890</v>
      </c>
      <c r="B2257" s="94" t="s">
        <v>650</v>
      </c>
    </row>
    <row r="2258" spans="1:2">
      <c r="A2258" s="159">
        <v>40891</v>
      </c>
      <c r="B2258" s="94" t="s">
        <v>650</v>
      </c>
    </row>
    <row r="2259" spans="1:2">
      <c r="A2259" s="159">
        <v>40892</v>
      </c>
      <c r="B2259" s="94" t="s">
        <v>650</v>
      </c>
    </row>
    <row r="2260" spans="1:2">
      <c r="A2260" s="159">
        <v>40893</v>
      </c>
      <c r="B2260" s="94" t="s">
        <v>650</v>
      </c>
    </row>
    <row r="2261" spans="1:2">
      <c r="A2261" s="159">
        <v>40896</v>
      </c>
      <c r="B2261" s="94" t="s">
        <v>650</v>
      </c>
    </row>
    <row r="2262" spans="1:2">
      <c r="A2262" s="159">
        <v>40897</v>
      </c>
      <c r="B2262" s="94" t="s">
        <v>650</v>
      </c>
    </row>
    <row r="2263" spans="1:2">
      <c r="A2263" s="159">
        <v>40898</v>
      </c>
      <c r="B2263" s="94" t="s">
        <v>650</v>
      </c>
    </row>
    <row r="2264" spans="1:2">
      <c r="A2264" s="159">
        <v>40899</v>
      </c>
      <c r="B2264" s="94" t="s">
        <v>650</v>
      </c>
    </row>
    <row r="2265" spans="1:2">
      <c r="A2265" s="159">
        <v>40900</v>
      </c>
      <c r="B2265" s="94" t="s">
        <v>650</v>
      </c>
    </row>
    <row r="2266" spans="1:2">
      <c r="A2266" s="159">
        <v>40903</v>
      </c>
      <c r="B2266" s="94" t="s">
        <v>650</v>
      </c>
    </row>
    <row r="2267" spans="1:2">
      <c r="A2267" s="159">
        <v>40904</v>
      </c>
      <c r="B2267" s="94" t="s">
        <v>650</v>
      </c>
    </row>
    <row r="2268" spans="1:2">
      <c r="A2268" s="159">
        <v>40905</v>
      </c>
      <c r="B2268" s="94" t="s">
        <v>650</v>
      </c>
    </row>
    <row r="2269" spans="1:2">
      <c r="A2269" s="159">
        <v>40906</v>
      </c>
      <c r="B2269" s="94" t="s">
        <v>650</v>
      </c>
    </row>
    <row r="2270" spans="1:2">
      <c r="A2270" s="159">
        <v>40907</v>
      </c>
      <c r="B2270" s="94" t="s">
        <v>650</v>
      </c>
    </row>
    <row r="2271" spans="1:2">
      <c r="A2271" s="159">
        <v>40908</v>
      </c>
      <c r="B2271" s="94" t="s">
        <v>650</v>
      </c>
    </row>
    <row r="2272" spans="1:2">
      <c r="A2272" s="159">
        <v>40912</v>
      </c>
      <c r="B2272" s="94" t="s">
        <v>650</v>
      </c>
    </row>
    <row r="2273" spans="1:2">
      <c r="A2273" s="159">
        <v>40913</v>
      </c>
      <c r="B2273" s="94" t="s">
        <v>650</v>
      </c>
    </row>
    <row r="2274" spans="1:2">
      <c r="A2274" s="159">
        <v>40914</v>
      </c>
      <c r="B2274" s="94" t="s">
        <v>650</v>
      </c>
    </row>
    <row r="2275" spans="1:2">
      <c r="A2275" s="159">
        <v>40917</v>
      </c>
      <c r="B2275" s="94" t="s">
        <v>650</v>
      </c>
    </row>
    <row r="2276" spans="1:2">
      <c r="A2276" s="159">
        <v>40918</v>
      </c>
      <c r="B2276" s="94" t="s">
        <v>650</v>
      </c>
    </row>
    <row r="2277" spans="1:2">
      <c r="A2277" s="159">
        <v>40919</v>
      </c>
      <c r="B2277" s="94" t="s">
        <v>650</v>
      </c>
    </row>
    <row r="2278" spans="1:2">
      <c r="A2278" s="159">
        <v>40920</v>
      </c>
      <c r="B2278" s="94" t="s">
        <v>650</v>
      </c>
    </row>
    <row r="2279" spans="1:2">
      <c r="A2279" s="159">
        <v>40921</v>
      </c>
      <c r="B2279" s="94" t="s">
        <v>650</v>
      </c>
    </row>
    <row r="2280" spans="1:2">
      <c r="A2280" s="159">
        <v>40924</v>
      </c>
      <c r="B2280" s="94" t="s">
        <v>650</v>
      </c>
    </row>
    <row r="2281" spans="1:2">
      <c r="A2281" s="159">
        <v>40925</v>
      </c>
      <c r="B2281" s="94" t="s">
        <v>650</v>
      </c>
    </row>
    <row r="2282" spans="1:2">
      <c r="A2282" s="159">
        <v>40926</v>
      </c>
      <c r="B2282" s="94" t="s">
        <v>650</v>
      </c>
    </row>
    <row r="2283" spans="1:2">
      <c r="A2283" s="159">
        <v>40927</v>
      </c>
      <c r="B2283" s="94" t="s">
        <v>650</v>
      </c>
    </row>
    <row r="2284" spans="1:2">
      <c r="A2284" s="159">
        <v>40928</v>
      </c>
      <c r="B2284" s="94" t="s">
        <v>650</v>
      </c>
    </row>
    <row r="2285" spans="1:2">
      <c r="A2285" s="159">
        <v>40929</v>
      </c>
      <c r="B2285" s="94" t="s">
        <v>650</v>
      </c>
    </row>
    <row r="2286" spans="1:2">
      <c r="A2286" s="159">
        <v>40937</v>
      </c>
      <c r="B2286" s="94" t="s">
        <v>650</v>
      </c>
    </row>
    <row r="2287" spans="1:2">
      <c r="A2287" s="159">
        <v>40938</v>
      </c>
      <c r="B2287" s="94" t="s">
        <v>650</v>
      </c>
    </row>
    <row r="2288" spans="1:2">
      <c r="A2288" s="159">
        <v>40939</v>
      </c>
      <c r="B2288" s="94" t="s">
        <v>650</v>
      </c>
    </row>
    <row r="2289" spans="1:2">
      <c r="A2289" s="159">
        <v>40940</v>
      </c>
      <c r="B2289" s="94" t="s">
        <v>650</v>
      </c>
    </row>
    <row r="2290" spans="1:2">
      <c r="A2290" s="159">
        <v>40941</v>
      </c>
      <c r="B2290" s="94" t="s">
        <v>650</v>
      </c>
    </row>
    <row r="2291" spans="1:2">
      <c r="A2291" s="159">
        <v>40942</v>
      </c>
      <c r="B2291" s="94" t="s">
        <v>650</v>
      </c>
    </row>
    <row r="2292" spans="1:2">
      <c r="A2292" s="159">
        <v>40945</v>
      </c>
      <c r="B2292" s="94" t="s">
        <v>650</v>
      </c>
    </row>
    <row r="2293" spans="1:2">
      <c r="A2293" s="159">
        <v>40946</v>
      </c>
      <c r="B2293" s="94" t="s">
        <v>650</v>
      </c>
    </row>
    <row r="2294" spans="1:2">
      <c r="A2294" s="159">
        <v>40947</v>
      </c>
      <c r="B2294" s="94" t="s">
        <v>650</v>
      </c>
    </row>
    <row r="2295" spans="1:2">
      <c r="A2295" s="159">
        <v>40948</v>
      </c>
      <c r="B2295" s="94" t="s">
        <v>650</v>
      </c>
    </row>
    <row r="2296" spans="1:2">
      <c r="A2296" s="159">
        <v>40949</v>
      </c>
      <c r="B2296" s="94" t="s">
        <v>650</v>
      </c>
    </row>
    <row r="2297" spans="1:2">
      <c r="A2297" s="159">
        <v>40952</v>
      </c>
      <c r="B2297" s="94" t="s">
        <v>650</v>
      </c>
    </row>
    <row r="2298" spans="1:2">
      <c r="A2298" s="159">
        <v>40953</v>
      </c>
      <c r="B2298" s="94" t="s">
        <v>650</v>
      </c>
    </row>
    <row r="2299" spans="1:2">
      <c r="A2299" s="159">
        <v>40954</v>
      </c>
      <c r="B2299" s="94" t="s">
        <v>650</v>
      </c>
    </row>
    <row r="2300" spans="1:2">
      <c r="A2300" s="159">
        <v>40955</v>
      </c>
      <c r="B2300" s="94" t="s">
        <v>650</v>
      </c>
    </row>
    <row r="2301" spans="1:2">
      <c r="A2301" s="159">
        <v>40956</v>
      </c>
      <c r="B2301" s="94" t="s">
        <v>650</v>
      </c>
    </row>
    <row r="2302" spans="1:2">
      <c r="A2302" s="159">
        <v>40959</v>
      </c>
      <c r="B2302" s="94" t="s">
        <v>650</v>
      </c>
    </row>
    <row r="2303" spans="1:2">
      <c r="A2303" s="159">
        <v>40960</v>
      </c>
      <c r="B2303" s="94" t="s">
        <v>650</v>
      </c>
    </row>
    <row r="2304" spans="1:2">
      <c r="A2304" s="159">
        <v>40961</v>
      </c>
      <c r="B2304" s="94" t="s">
        <v>650</v>
      </c>
    </row>
    <row r="2305" spans="1:2">
      <c r="A2305" s="159">
        <v>40962</v>
      </c>
      <c r="B2305" s="94" t="s">
        <v>650</v>
      </c>
    </row>
    <row r="2306" spans="1:2">
      <c r="A2306" s="159">
        <v>40963</v>
      </c>
      <c r="B2306" s="94" t="s">
        <v>650</v>
      </c>
    </row>
    <row r="2307" spans="1:2">
      <c r="A2307" s="159">
        <v>40966</v>
      </c>
      <c r="B2307" s="94" t="s">
        <v>650</v>
      </c>
    </row>
    <row r="2308" spans="1:2">
      <c r="A2308" s="159">
        <v>40967</v>
      </c>
      <c r="B2308" s="94" t="s">
        <v>650</v>
      </c>
    </row>
    <row r="2309" spans="1:2">
      <c r="A2309" s="159">
        <v>40968</v>
      </c>
      <c r="B2309" s="94" t="s">
        <v>650</v>
      </c>
    </row>
    <row r="2310" spans="1:2">
      <c r="A2310" s="159">
        <v>40969</v>
      </c>
      <c r="B2310" s="94" t="s">
        <v>650</v>
      </c>
    </row>
    <row r="2311" spans="1:2">
      <c r="A2311" s="159">
        <v>40970</v>
      </c>
      <c r="B2311" s="94" t="s">
        <v>650</v>
      </c>
    </row>
    <row r="2312" spans="1:2">
      <c r="A2312" s="159">
        <v>40973</v>
      </c>
      <c r="B2312" s="94" t="s">
        <v>650</v>
      </c>
    </row>
    <row r="2313" spans="1:2">
      <c r="A2313" s="159">
        <v>40974</v>
      </c>
      <c r="B2313" s="94" t="s">
        <v>650</v>
      </c>
    </row>
    <row r="2314" spans="1:2">
      <c r="A2314" s="159">
        <v>40975</v>
      </c>
      <c r="B2314" s="94" t="s">
        <v>650</v>
      </c>
    </row>
    <row r="2315" spans="1:2">
      <c r="A2315" s="159">
        <v>40976</v>
      </c>
      <c r="B2315" s="94" t="s">
        <v>650</v>
      </c>
    </row>
    <row r="2316" spans="1:2">
      <c r="A2316" s="159">
        <v>40977</v>
      </c>
      <c r="B2316" s="94" t="s">
        <v>650</v>
      </c>
    </row>
    <row r="2317" spans="1:2">
      <c r="A2317" s="159">
        <v>40980</v>
      </c>
      <c r="B2317" s="94" t="s">
        <v>650</v>
      </c>
    </row>
    <row r="2318" spans="1:2">
      <c r="A2318" s="159">
        <v>40981</v>
      </c>
      <c r="B2318" s="94" t="s">
        <v>650</v>
      </c>
    </row>
    <row r="2319" spans="1:2">
      <c r="A2319" s="159">
        <v>40982</v>
      </c>
      <c r="B2319" s="94" t="s">
        <v>650</v>
      </c>
    </row>
    <row r="2320" spans="1:2">
      <c r="A2320" s="159">
        <v>40983</v>
      </c>
      <c r="B2320" s="94" t="s">
        <v>650</v>
      </c>
    </row>
    <row r="2321" spans="1:2">
      <c r="A2321" s="159">
        <v>40984</v>
      </c>
      <c r="B2321" s="94" t="s">
        <v>650</v>
      </c>
    </row>
    <row r="2322" spans="1:2">
      <c r="A2322" s="159">
        <v>40987</v>
      </c>
      <c r="B2322" s="94" t="s">
        <v>650</v>
      </c>
    </row>
    <row r="2323" spans="1:2">
      <c r="A2323" s="159">
        <v>40988</v>
      </c>
      <c r="B2323" s="94" t="s">
        <v>650</v>
      </c>
    </row>
    <row r="2324" spans="1:2">
      <c r="A2324" s="159">
        <v>40989</v>
      </c>
      <c r="B2324" s="94" t="s">
        <v>650</v>
      </c>
    </row>
    <row r="2325" spans="1:2">
      <c r="A2325" s="159">
        <v>40990</v>
      </c>
      <c r="B2325" s="94" t="s">
        <v>650</v>
      </c>
    </row>
    <row r="2326" spans="1:2">
      <c r="A2326" s="159">
        <v>40991</v>
      </c>
      <c r="B2326" s="94" t="s">
        <v>650</v>
      </c>
    </row>
    <row r="2327" spans="1:2">
      <c r="A2327" s="159">
        <v>40994</v>
      </c>
      <c r="B2327" s="94" t="s">
        <v>650</v>
      </c>
    </row>
    <row r="2328" spans="1:2">
      <c r="A2328" s="159">
        <v>40995</v>
      </c>
      <c r="B2328" s="94" t="s">
        <v>650</v>
      </c>
    </row>
    <row r="2329" spans="1:2">
      <c r="A2329" s="159">
        <v>40996</v>
      </c>
      <c r="B2329" s="94" t="s">
        <v>650</v>
      </c>
    </row>
    <row r="2330" spans="1:2">
      <c r="A2330" s="159">
        <v>40997</v>
      </c>
      <c r="B2330" s="94" t="s">
        <v>650</v>
      </c>
    </row>
    <row r="2331" spans="1:2">
      <c r="A2331" s="159">
        <v>40998</v>
      </c>
      <c r="B2331" s="94" t="s">
        <v>650</v>
      </c>
    </row>
    <row r="2332" spans="1:2">
      <c r="A2332" s="159">
        <v>40999</v>
      </c>
      <c r="B2332" s="94" t="s">
        <v>650</v>
      </c>
    </row>
    <row r="2333" spans="1:2">
      <c r="A2333" s="159">
        <v>41000</v>
      </c>
      <c r="B2333" s="94" t="s">
        <v>650</v>
      </c>
    </row>
    <row r="2334" spans="1:2">
      <c r="A2334" s="159">
        <v>41004</v>
      </c>
      <c r="B2334" s="94" t="s">
        <v>650</v>
      </c>
    </row>
    <row r="2335" spans="1:2">
      <c r="A2335" s="159">
        <v>41005</v>
      </c>
      <c r="B2335" s="94" t="s">
        <v>650</v>
      </c>
    </row>
    <row r="2336" spans="1:2">
      <c r="A2336" s="159">
        <v>41008</v>
      </c>
      <c r="B2336" s="94" t="s">
        <v>650</v>
      </c>
    </row>
    <row r="2337" spans="1:2">
      <c r="A2337" s="159">
        <v>41009</v>
      </c>
      <c r="B2337" s="94" t="s">
        <v>650</v>
      </c>
    </row>
    <row r="2338" spans="1:2">
      <c r="A2338" s="159">
        <v>41010</v>
      </c>
      <c r="B2338" s="94" t="s">
        <v>650</v>
      </c>
    </row>
    <row r="2339" spans="1:2">
      <c r="A2339" s="159">
        <v>41011</v>
      </c>
      <c r="B2339" s="94" t="s">
        <v>650</v>
      </c>
    </row>
    <row r="2340" spans="1:2">
      <c r="A2340" s="159">
        <v>41012</v>
      </c>
      <c r="B2340" s="94" t="s">
        <v>650</v>
      </c>
    </row>
    <row r="2341" spans="1:2">
      <c r="A2341" s="159">
        <v>41015</v>
      </c>
      <c r="B2341" s="94" t="s">
        <v>650</v>
      </c>
    </row>
    <row r="2342" spans="1:2">
      <c r="A2342" s="159">
        <v>41016</v>
      </c>
      <c r="B2342" s="94" t="s">
        <v>650</v>
      </c>
    </row>
    <row r="2343" spans="1:2">
      <c r="A2343" s="159">
        <v>41017</v>
      </c>
      <c r="B2343" s="94" t="s">
        <v>650</v>
      </c>
    </row>
    <row r="2344" spans="1:2">
      <c r="A2344" s="159">
        <v>41018</v>
      </c>
      <c r="B2344" s="94" t="s">
        <v>650</v>
      </c>
    </row>
    <row r="2345" spans="1:2">
      <c r="A2345" s="159">
        <v>41019</v>
      </c>
      <c r="B2345" s="94" t="s">
        <v>650</v>
      </c>
    </row>
    <row r="2346" spans="1:2">
      <c r="A2346" s="159">
        <v>41022</v>
      </c>
      <c r="B2346" s="94" t="s">
        <v>650</v>
      </c>
    </row>
    <row r="2347" spans="1:2">
      <c r="A2347" s="159">
        <v>41023</v>
      </c>
      <c r="B2347" s="94" t="s">
        <v>650</v>
      </c>
    </row>
    <row r="2348" spans="1:2">
      <c r="A2348" s="159">
        <v>41024</v>
      </c>
      <c r="B2348" s="94" t="s">
        <v>650</v>
      </c>
    </row>
    <row r="2349" spans="1:2">
      <c r="A2349" s="159">
        <v>41025</v>
      </c>
      <c r="B2349" s="94" t="s">
        <v>650</v>
      </c>
    </row>
    <row r="2350" spans="1:2">
      <c r="A2350" s="159">
        <v>41026</v>
      </c>
      <c r="B2350" s="94" t="s">
        <v>650</v>
      </c>
    </row>
    <row r="2351" spans="1:2">
      <c r="A2351" s="159">
        <v>41027</v>
      </c>
      <c r="B2351" s="94" t="s">
        <v>650</v>
      </c>
    </row>
    <row r="2352" spans="1:2">
      <c r="A2352" s="159">
        <v>41031</v>
      </c>
      <c r="B2352" s="94" t="s">
        <v>650</v>
      </c>
    </row>
    <row r="2353" spans="1:2">
      <c r="A2353" s="159">
        <v>41032</v>
      </c>
      <c r="B2353" s="94" t="s">
        <v>650</v>
      </c>
    </row>
    <row r="2354" spans="1:2">
      <c r="A2354" s="159">
        <v>41033</v>
      </c>
      <c r="B2354" s="94" t="s">
        <v>650</v>
      </c>
    </row>
    <row r="2355" spans="1:2">
      <c r="A2355" s="159">
        <v>41036</v>
      </c>
      <c r="B2355" s="94" t="s">
        <v>650</v>
      </c>
    </row>
    <row r="2356" spans="1:2">
      <c r="A2356" s="159">
        <v>41037</v>
      </c>
      <c r="B2356" s="94" t="s">
        <v>650</v>
      </c>
    </row>
    <row r="2357" spans="1:2">
      <c r="A2357" s="159">
        <v>41038</v>
      </c>
      <c r="B2357" s="94" t="s">
        <v>650</v>
      </c>
    </row>
    <row r="2358" spans="1:2">
      <c r="A2358" s="159">
        <v>41039</v>
      </c>
      <c r="B2358" s="94" t="s">
        <v>650</v>
      </c>
    </row>
    <row r="2359" spans="1:2">
      <c r="A2359" s="159">
        <v>41040</v>
      </c>
      <c r="B2359" s="94" t="s">
        <v>650</v>
      </c>
    </row>
    <row r="2360" spans="1:2">
      <c r="A2360" s="159">
        <v>41043</v>
      </c>
      <c r="B2360" s="94" t="s">
        <v>650</v>
      </c>
    </row>
    <row r="2361" spans="1:2">
      <c r="A2361" s="159">
        <v>41044</v>
      </c>
      <c r="B2361" s="94" t="s">
        <v>650</v>
      </c>
    </row>
    <row r="2362" spans="1:2">
      <c r="A2362" s="159">
        <v>41045</v>
      </c>
      <c r="B2362" s="94" t="s">
        <v>650</v>
      </c>
    </row>
    <row r="2363" spans="1:2">
      <c r="A2363" s="159">
        <v>41046</v>
      </c>
      <c r="B2363" s="94" t="s">
        <v>650</v>
      </c>
    </row>
    <row r="2364" spans="1:2">
      <c r="A2364" s="159">
        <v>41047</v>
      </c>
      <c r="B2364" s="94" t="s">
        <v>650</v>
      </c>
    </row>
    <row r="2365" spans="1:2">
      <c r="A2365" s="159">
        <v>41050</v>
      </c>
      <c r="B2365" s="94" t="s">
        <v>650</v>
      </c>
    </row>
    <row r="2366" spans="1:2">
      <c r="A2366" s="159">
        <v>41051</v>
      </c>
      <c r="B2366" s="94" t="s">
        <v>650</v>
      </c>
    </row>
    <row r="2367" spans="1:2">
      <c r="A2367" s="159">
        <v>41052</v>
      </c>
      <c r="B2367" s="94" t="s">
        <v>650</v>
      </c>
    </row>
    <row r="2368" spans="1:2">
      <c r="A2368" s="159">
        <v>41053</v>
      </c>
      <c r="B2368" s="94" t="s">
        <v>650</v>
      </c>
    </row>
    <row r="2369" spans="1:2">
      <c r="A2369" s="159">
        <v>41054</v>
      </c>
      <c r="B2369" s="94" t="s">
        <v>650</v>
      </c>
    </row>
    <row r="2370" spans="1:2">
      <c r="A2370" s="159">
        <v>41057</v>
      </c>
      <c r="B2370" s="94" t="s">
        <v>650</v>
      </c>
    </row>
    <row r="2371" spans="1:2">
      <c r="A2371" s="159">
        <v>41058</v>
      </c>
      <c r="B2371" s="94" t="s">
        <v>650</v>
      </c>
    </row>
    <row r="2372" spans="1:2">
      <c r="A2372" s="159">
        <v>41059</v>
      </c>
      <c r="B2372" s="94" t="s">
        <v>650</v>
      </c>
    </row>
    <row r="2373" spans="1:2">
      <c r="A2373" s="159">
        <v>41060</v>
      </c>
      <c r="B2373" s="94" t="s">
        <v>650</v>
      </c>
    </row>
    <row r="2374" spans="1:2">
      <c r="A2374" s="159">
        <v>41061</v>
      </c>
      <c r="B2374" s="94" t="s">
        <v>650</v>
      </c>
    </row>
    <row r="2375" spans="1:2">
      <c r="A2375" s="159">
        <v>41064</v>
      </c>
      <c r="B2375" s="94" t="s">
        <v>650</v>
      </c>
    </row>
    <row r="2376" spans="1:2">
      <c r="A2376" s="159">
        <v>41065</v>
      </c>
      <c r="B2376" s="94" t="s">
        <v>650</v>
      </c>
    </row>
    <row r="2377" spans="1:2">
      <c r="A2377" s="159">
        <v>41066</v>
      </c>
      <c r="B2377" s="94" t="s">
        <v>650</v>
      </c>
    </row>
    <row r="2378" spans="1:2">
      <c r="A2378" s="159">
        <v>41067</v>
      </c>
      <c r="B2378" s="94" t="s">
        <v>650</v>
      </c>
    </row>
    <row r="2379" spans="1:2">
      <c r="A2379" s="159">
        <v>41068</v>
      </c>
      <c r="B2379" s="94" t="s">
        <v>650</v>
      </c>
    </row>
    <row r="2380" spans="1:2">
      <c r="A2380" s="159">
        <v>41071</v>
      </c>
      <c r="B2380" s="94" t="s">
        <v>650</v>
      </c>
    </row>
    <row r="2381" spans="1:2">
      <c r="A2381" s="159">
        <v>41072</v>
      </c>
      <c r="B2381" s="94" t="s">
        <v>650</v>
      </c>
    </row>
    <row r="2382" spans="1:2">
      <c r="A2382" s="159">
        <v>41073</v>
      </c>
      <c r="B2382" s="94">
        <v>99.8035</v>
      </c>
    </row>
    <row r="2383" spans="1:2">
      <c r="A2383" s="159">
        <v>41074</v>
      </c>
      <c r="B2383" s="94">
        <v>97.866900000000001</v>
      </c>
    </row>
    <row r="2384" spans="1:2">
      <c r="A2384" s="159">
        <v>41075</v>
      </c>
      <c r="B2384" s="94" t="s">
        <v>650</v>
      </c>
    </row>
    <row r="2385" spans="1:2">
      <c r="A2385" s="159">
        <v>41078</v>
      </c>
      <c r="B2385" s="94" t="s">
        <v>650</v>
      </c>
    </row>
    <row r="2386" spans="1:2">
      <c r="A2386" s="159">
        <v>41079</v>
      </c>
      <c r="B2386" s="94">
        <v>99.349800000000002</v>
      </c>
    </row>
    <row r="2387" spans="1:2">
      <c r="A2387" s="159">
        <v>41080</v>
      </c>
      <c r="B2387" s="94">
        <v>99.500799999999998</v>
      </c>
    </row>
    <row r="2388" spans="1:2">
      <c r="A2388" s="159">
        <v>41081</v>
      </c>
      <c r="B2388" s="94">
        <v>99.509600000000006</v>
      </c>
    </row>
    <row r="2389" spans="1:2">
      <c r="A2389" s="159">
        <v>41085</v>
      </c>
      <c r="B2389" s="94">
        <v>99.632300000000001</v>
      </c>
    </row>
    <row r="2390" spans="1:2">
      <c r="A2390" s="159">
        <v>41086</v>
      </c>
      <c r="B2390" s="94">
        <v>99.711299999999994</v>
      </c>
    </row>
    <row r="2391" spans="1:2">
      <c r="A2391" s="159">
        <v>41087</v>
      </c>
      <c r="B2391" s="94">
        <v>99.885400000000004</v>
      </c>
    </row>
    <row r="2392" spans="1:2">
      <c r="A2392" s="159">
        <v>41088</v>
      </c>
      <c r="B2392" s="94">
        <v>100.1152</v>
      </c>
    </row>
    <row r="2393" spans="1:2">
      <c r="A2393" s="159">
        <v>41089</v>
      </c>
      <c r="B2393" s="94">
        <v>100.1103</v>
      </c>
    </row>
    <row r="2394" spans="1:2">
      <c r="A2394" s="159">
        <v>41092</v>
      </c>
      <c r="B2394" s="94">
        <v>100.2231</v>
      </c>
    </row>
    <row r="2395" spans="1:2">
      <c r="A2395" s="159">
        <v>41093</v>
      </c>
      <c r="B2395" s="94">
        <v>100.154</v>
      </c>
    </row>
    <row r="2396" spans="1:2">
      <c r="A2396" s="159">
        <v>41094</v>
      </c>
      <c r="B2396" s="94">
        <v>100.1781</v>
      </c>
    </row>
    <row r="2397" spans="1:2">
      <c r="A2397" s="160">
        <v>41095</v>
      </c>
      <c r="B2397" s="158">
        <v>100.22880000000001</v>
      </c>
    </row>
    <row r="2398" spans="1:2">
      <c r="A2398" s="159">
        <v>41096</v>
      </c>
      <c r="B2398" s="94">
        <v>100.26220000000001</v>
      </c>
    </row>
    <row r="2399" spans="1:2">
      <c r="A2399" s="159">
        <v>41099</v>
      </c>
      <c r="B2399" s="94">
        <v>100.4559</v>
      </c>
    </row>
    <row r="2400" spans="1:2">
      <c r="A2400" s="159">
        <v>41100</v>
      </c>
      <c r="B2400" s="94">
        <v>100.6481</v>
      </c>
    </row>
    <row r="2401" spans="1:2">
      <c r="A2401" s="159">
        <v>41101</v>
      </c>
      <c r="B2401" s="94">
        <f ca="1">AVERAGE(B2400,B2402)</f>
        <v>100.73635</v>
      </c>
    </row>
    <row r="2402" spans="1:2">
      <c r="A2402" s="159">
        <v>41102</v>
      </c>
      <c r="B2402" s="94">
        <v>100.8246</v>
      </c>
    </row>
    <row r="2403" spans="1:2">
      <c r="A2403" s="159">
        <v>41103</v>
      </c>
      <c r="B2403" s="94">
        <v>100.8408</v>
      </c>
    </row>
    <row r="2404" spans="1:2">
      <c r="A2404" s="159">
        <v>41106</v>
      </c>
      <c r="B2404" s="94">
        <v>100.6981</v>
      </c>
    </row>
    <row r="2405" spans="1:2">
      <c r="A2405" s="159">
        <v>41107</v>
      </c>
      <c r="B2405" s="94">
        <v>100.1919</v>
      </c>
    </row>
    <row r="2406" spans="1:2">
      <c r="A2406" s="159">
        <v>41108</v>
      </c>
      <c r="B2406" s="94">
        <v>100.48779999999999</v>
      </c>
    </row>
    <row r="2407" spans="1:2">
      <c r="A2407" s="159">
        <v>41109</v>
      </c>
      <c r="B2407" s="94">
        <v>99.466300000000004</v>
      </c>
    </row>
    <row r="2408" spans="1:2">
      <c r="A2408" s="159">
        <v>41110</v>
      </c>
      <c r="B2408" s="94">
        <v>100.2225</v>
      </c>
    </row>
    <row r="2409" spans="1:2">
      <c r="A2409" s="159">
        <v>41113</v>
      </c>
      <c r="B2409" s="94">
        <v>100.24939999999999</v>
      </c>
    </row>
    <row r="2410" spans="1:2">
      <c r="A2410" s="159">
        <v>41114</v>
      </c>
      <c r="B2410" s="94">
        <v>100.57380000000001</v>
      </c>
    </row>
    <row r="2411" spans="1:2">
      <c r="A2411" s="159">
        <v>41115</v>
      </c>
      <c r="B2411" s="94">
        <v>100.2163</v>
      </c>
    </row>
    <row r="2412" spans="1:2">
      <c r="A2412" s="159">
        <v>41116</v>
      </c>
      <c r="B2412" s="94">
        <v>100.2166</v>
      </c>
    </row>
    <row r="2413" spans="1:2">
      <c r="A2413" s="159">
        <v>41117</v>
      </c>
      <c r="B2413" s="94">
        <v>100.20659999999999</v>
      </c>
    </row>
    <row r="2414" spans="1:2">
      <c r="A2414" s="159">
        <v>41120</v>
      </c>
      <c r="B2414" s="94">
        <v>100.2161</v>
      </c>
    </row>
    <row r="2415" spans="1:2">
      <c r="A2415" s="159">
        <v>41121</v>
      </c>
      <c r="B2415" s="94">
        <v>100.20529999999999</v>
      </c>
    </row>
    <row r="2416" spans="1:2">
      <c r="A2416" s="159">
        <v>41122</v>
      </c>
      <c r="B2416" s="94">
        <v>100.161</v>
      </c>
    </row>
    <row r="2417" spans="1:2">
      <c r="A2417" s="159">
        <v>41123</v>
      </c>
      <c r="B2417" s="94">
        <v>100.15560000000001</v>
      </c>
    </row>
    <row r="2418" spans="1:2">
      <c r="A2418" s="159">
        <v>41124</v>
      </c>
      <c r="B2418" s="94">
        <v>100.1604</v>
      </c>
    </row>
    <row r="2419" spans="1:2">
      <c r="A2419" s="159">
        <v>41127</v>
      </c>
      <c r="B2419" s="94">
        <v>100.1621</v>
      </c>
    </row>
    <row r="2420" spans="1:2">
      <c r="A2420" s="159">
        <v>41128</v>
      </c>
      <c r="B2420" s="94">
        <v>100.13209999999999</v>
      </c>
    </row>
    <row r="2421" spans="1:2">
      <c r="A2421" s="159">
        <v>41129</v>
      </c>
      <c r="B2421" s="94">
        <f ca="1">AVERAGE(B2420,B2422)</f>
        <v>100.09455</v>
      </c>
    </row>
    <row r="2422" spans="1:2">
      <c r="A2422" s="159">
        <v>41130</v>
      </c>
      <c r="B2422" s="94">
        <v>100.057</v>
      </c>
    </row>
    <row r="2423" spans="1:2">
      <c r="A2423" s="159">
        <v>41131</v>
      </c>
      <c r="B2423" s="94">
        <v>100.0677</v>
      </c>
    </row>
    <row r="2424" spans="1:2">
      <c r="A2424" s="159">
        <v>41134</v>
      </c>
      <c r="B2424" s="94">
        <v>100.0775</v>
      </c>
    </row>
    <row r="2425" spans="1:2">
      <c r="A2425" s="159">
        <v>41135</v>
      </c>
      <c r="B2425" s="94">
        <v>100.0355</v>
      </c>
    </row>
    <row r="2426" spans="1:2">
      <c r="A2426" s="159">
        <v>41136</v>
      </c>
      <c r="B2426" s="94">
        <v>99.822000000000003</v>
      </c>
    </row>
    <row r="2427" spans="1:2">
      <c r="A2427" s="159">
        <v>41137</v>
      </c>
      <c r="B2427" s="94">
        <v>99.966999999999999</v>
      </c>
    </row>
    <row r="2428" spans="1:2">
      <c r="A2428" s="159">
        <v>41138</v>
      </c>
      <c r="B2428" s="94">
        <v>99.9178</v>
      </c>
    </row>
    <row r="2429" spans="1:2">
      <c r="A2429" s="159">
        <v>41141</v>
      </c>
      <c r="B2429" s="94">
        <v>99.897999999999996</v>
      </c>
    </row>
    <row r="2430" spans="1:2">
      <c r="A2430" s="159">
        <v>41142</v>
      </c>
      <c r="B2430" s="94">
        <v>99.906899999999993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8"/>
  <sheetViews>
    <sheetView topLeftCell="A4" workbookViewId="0">
      <selection activeCell="Q51" sqref="Q51"/>
    </sheetView>
  </sheetViews>
  <sheetFormatPr defaultRowHeight="13.5"/>
  <cols>
    <col min="12" max="12" width="11.5" bestFit="1" customWidth="1"/>
    <col min="18" max="18" width="7.125" bestFit="1" customWidth="1"/>
  </cols>
  <sheetData>
    <row r="1" spans="1:19" ht="15">
      <c r="A1">
        <v>2.4521703389837296E-5</v>
      </c>
      <c r="B1">
        <v>3.9664483750266555E-5</v>
      </c>
      <c r="C1">
        <v>3.8466231915249893E-2</v>
      </c>
      <c r="D1">
        <v>2.3059145824701466E-2</v>
      </c>
      <c r="E1">
        <v>2.6157803953530834E-11</v>
      </c>
      <c r="F1">
        <v>2.6157803953530834E-11</v>
      </c>
      <c r="H1">
        <v>2.4521703389837296E-5</v>
      </c>
      <c r="I1">
        <v>-1.8032686227975604E-5</v>
      </c>
      <c r="L1" s="62">
        <v>2.727290575720076E-3</v>
      </c>
    </row>
    <row r="2" spans="1:19" ht="15">
      <c r="A2">
        <v>-1.8032686227975604E-5</v>
      </c>
      <c r="B2">
        <v>6.416431708358275E-3</v>
      </c>
      <c r="C2">
        <v>3.1945236810133441E-3</v>
      </c>
      <c r="D2">
        <v>1.4691963201585168E-11</v>
      </c>
      <c r="E2">
        <v>1.4691963201585168E-11</v>
      </c>
      <c r="F2">
        <v>1.4691963201585168E-11</v>
      </c>
      <c r="H2">
        <v>3.9664483750266555E-5</v>
      </c>
      <c r="I2">
        <v>6.416431708358275E-3</v>
      </c>
      <c r="L2" s="62">
        <v>0.2</v>
      </c>
    </row>
    <row r="3" spans="1:19" ht="15">
      <c r="H3">
        <v>3.8466231915249893E-2</v>
      </c>
      <c r="I3">
        <v>3.1945236810133441E-3</v>
      </c>
      <c r="L3" s="62">
        <v>1.583141381023168</v>
      </c>
    </row>
    <row r="4" spans="1:19" ht="15">
      <c r="H4">
        <v>2.3059145824701466E-2</v>
      </c>
      <c r="I4">
        <v>1.4691963201585168E-11</v>
      </c>
      <c r="L4" s="62">
        <v>1.3813916882321848</v>
      </c>
    </row>
    <row r="5" spans="1:19" ht="15">
      <c r="H5">
        <v>2.6157803953530834E-11</v>
      </c>
      <c r="I5">
        <v>1.4691963201585168E-11</v>
      </c>
      <c r="L5" s="62">
        <v>1.1328893378959037E-9</v>
      </c>
    </row>
    <row r="6" spans="1:19" ht="15">
      <c r="H6">
        <v>2.6157803953530834E-11</v>
      </c>
      <c r="I6">
        <v>1.4691963201585168E-11</v>
      </c>
      <c r="L6" s="109">
        <v>1.1328893378959037E-9</v>
      </c>
      <c r="Q6" t="s">
        <v>1330</v>
      </c>
      <c r="R6" t="s">
        <v>1331</v>
      </c>
      <c r="S6" t="s">
        <v>1332</v>
      </c>
    </row>
    <row r="7" spans="1:19">
      <c r="Q7">
        <v>1</v>
      </c>
      <c r="R7" s="191">
        <v>0.01</v>
      </c>
      <c r="S7" s="191">
        <v>5.0000000000000001E-3</v>
      </c>
    </row>
    <row r="8" spans="1:19">
      <c r="Q8">
        <v>2</v>
      </c>
      <c r="R8" s="191">
        <v>1.4999999999999999E-2</v>
      </c>
      <c r="S8" s="191">
        <v>1.0999999999999999E-2</v>
      </c>
    </row>
    <row r="9" spans="1:19">
      <c r="Q9">
        <v>3</v>
      </c>
      <c r="R9" s="191">
        <v>0.02</v>
      </c>
      <c r="S9" s="191">
        <v>1.7000000000000001E-2</v>
      </c>
    </row>
    <row r="10" spans="1:19">
      <c r="Q10">
        <v>4</v>
      </c>
      <c r="R10" s="191">
        <v>2.5000000000000001E-2</v>
      </c>
      <c r="S10" s="191">
        <v>2.3E-2</v>
      </c>
    </row>
    <row r="11" spans="1:19">
      <c r="D11">
        <f t="array" aca="1" ref="D11:F13" ca="1">MMULT(A1:F2,H1:I6)</f>
        <v>2.0113773785078448E-3</v>
      </c>
      <c r="E11">
        <f ca="1"/>
        <v>1.2313535137044906E-4</v>
      </c>
      <c r="F11" t="e">
        <f ca="1"/>
        <v>#N/A</v>
      </c>
      <c r="I11">
        <f t="array" aca="1" ref="I11:I13" ca="1">MMULT(A1:F2,L1:L6)</f>
        <v>9.2759195671603289E-2</v>
      </c>
      <c r="Q11">
        <v>5</v>
      </c>
      <c r="R11" s="191">
        <v>0.03</v>
      </c>
      <c r="S11" s="191">
        <v>2.9000000000000001E-2</v>
      </c>
    </row>
    <row r="12" spans="1:19">
      <c r="D12">
        <f ca="1"/>
        <v>1.2313535137044906E-4</v>
      </c>
      <c r="E12">
        <f ca="1"/>
        <v>5.1375902594353135E-5</v>
      </c>
      <c r="F12" t="e">
        <f ca="1"/>
        <v>#N/A</v>
      </c>
      <c r="I12">
        <f ca="1"/>
        <v>6.3406198136624859E-3</v>
      </c>
      <c r="Q12">
        <v>6</v>
      </c>
      <c r="R12" s="191">
        <v>3.5000000000000003E-2</v>
      </c>
      <c r="S12" s="191">
        <v>3.5000000000000003E-2</v>
      </c>
    </row>
    <row r="13" spans="1:19">
      <c r="D13" t="e">
        <f ca="1"/>
        <v>#N/A</v>
      </c>
      <c r="E13" t="e">
        <f ca="1"/>
        <v>#N/A</v>
      </c>
      <c r="F13" t="e">
        <f ca="1"/>
        <v>#N/A</v>
      </c>
      <c r="I13" t="e">
        <f ca="1"/>
        <v>#N/A</v>
      </c>
      <c r="Q13">
        <v>7</v>
      </c>
      <c r="R13" s="191">
        <v>0.04</v>
      </c>
      <c r="S13" s="191">
        <v>4.1000000000000002E-2</v>
      </c>
    </row>
    <row r="14" spans="1:19">
      <c r="Q14">
        <v>8</v>
      </c>
      <c r="R14" s="191">
        <v>4.4999999999999998E-2</v>
      </c>
      <c r="S14" s="191">
        <v>4.7E-2</v>
      </c>
    </row>
    <row r="15" spans="1:19">
      <c r="Q15">
        <v>9</v>
      </c>
      <c r="R15" s="191">
        <v>0.05</v>
      </c>
      <c r="S15" s="191">
        <v>5.2999999999999999E-2</v>
      </c>
    </row>
    <row r="16" spans="1:19">
      <c r="D16">
        <f t="array" aca="1" ref="D16:D18" ca="1">MMULT(MINVERSE(D11:E12),I11:I12)</f>
        <v>45.192827157831381</v>
      </c>
      <c r="Q16">
        <v>10</v>
      </c>
      <c r="R16" s="191">
        <v>5.5E-2</v>
      </c>
      <c r="S16" s="191">
        <v>5.8999999999999997E-2</v>
      </c>
    </row>
    <row r="17" spans="4:19">
      <c r="D17">
        <f ca="1"/>
        <v>15.100175821421288</v>
      </c>
      <c r="Q17">
        <v>11</v>
      </c>
      <c r="R17" s="191">
        <v>0.06</v>
      </c>
      <c r="S17" s="191">
        <v>6.5000000000000002E-2</v>
      </c>
    </row>
    <row r="18" spans="4:19">
      <c r="D18" t="e">
        <f ca="1"/>
        <v>#N/A</v>
      </c>
      <c r="Q18">
        <v>12</v>
      </c>
      <c r="R18" s="191">
        <v>6.5000000000000002E-2</v>
      </c>
      <c r="S18" s="191">
        <v>7.0999999999999994E-2</v>
      </c>
    </row>
    <row r="19" spans="4:19">
      <c r="Q19">
        <v>13</v>
      </c>
      <c r="R19" s="191">
        <v>7.0000000000000007E-2</v>
      </c>
      <c r="S19" s="191">
        <v>7.6999999999999999E-2</v>
      </c>
    </row>
    <row r="20" spans="4:19">
      <c r="Q20">
        <v>14</v>
      </c>
      <c r="R20" s="191">
        <v>7.4999999999999997E-2</v>
      </c>
      <c r="S20" s="191">
        <v>8.3000000000000004E-2</v>
      </c>
    </row>
    <row r="21" spans="4:19">
      <c r="Q21">
        <v>15</v>
      </c>
      <c r="R21" s="191">
        <v>0.08</v>
      </c>
      <c r="S21" s="191">
        <v>8.8999999999999996E-2</v>
      </c>
    </row>
    <row r="22" spans="4:19">
      <c r="Q22">
        <v>16</v>
      </c>
    </row>
    <row r="23" spans="4:19">
      <c r="Q23">
        <v>17</v>
      </c>
    </row>
    <row r="24" spans="4:19">
      <c r="Q24">
        <v>18</v>
      </c>
    </row>
    <row r="25" spans="4:19">
      <c r="Q25">
        <v>19</v>
      </c>
    </row>
    <row r="26" spans="4:19">
      <c r="Q26">
        <v>20</v>
      </c>
    </row>
    <row r="27" spans="4:19">
      <c r="Q27">
        <v>21</v>
      </c>
    </row>
    <row r="28" spans="4:19">
      <c r="Q28">
        <v>22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</vt:i4>
      </vt:variant>
    </vt:vector>
  </HeadingPairs>
  <TitlesOfParts>
    <vt:vector size="10" baseType="lpstr">
      <vt:lpstr>中大 &amp; 中债</vt:lpstr>
      <vt:lpstr>历史收益率比较</vt:lpstr>
      <vt:lpstr>中债收益率曲线（银行间）</vt:lpstr>
      <vt:lpstr>Bumped Curves</vt:lpstr>
      <vt:lpstr>Bumped Curve Snap</vt:lpstr>
      <vt:lpstr>portfolio Analysis</vt:lpstr>
      <vt:lpstr>portfolio Analysis2</vt:lpstr>
      <vt:lpstr>Sheet1</vt:lpstr>
      <vt:lpstr>curveStart</vt:lpstr>
      <vt:lpstr>'portfolio Analysis2'!Print_Area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2012-08-28T04:33:10Z</dcterms:modified>
</cp:coreProperties>
</file>