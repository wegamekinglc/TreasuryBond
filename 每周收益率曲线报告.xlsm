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中大 &amp; 中债" sheetId="1" r:id="rId1"/>
    <sheet name="历史收益率比较" sheetId="4" r:id="rId2"/>
    <sheet name="中债收益率曲线（银行间）" sheetId="2" r:id="rId3"/>
    <sheet name="Sheet1" sheetId="5" r:id="rId4"/>
    <sheet name="test" sheetId="6" r:id="rId5"/>
    <sheet name="Bumped Curves" sheetId="7" r:id="rId6"/>
    <sheet name="Sheet3" sheetId="8" r:id="rId7"/>
  </sheets>
  <functionGroups builtInGroupCount="17"/>
  <definedNames>
    <definedName name="curveStart">'Bumped Curves'!$A$6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C4" i="1" l="1"/>
  <c r="I1" i="7" l="1"/>
  <c r="A3" i="8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C2" i="8" a="1"/>
  <c r="D2" i="8" a="1"/>
  <c r="E2" i="8" a="1"/>
  <c r="F2" i="8" a="1"/>
  <c r="G2" i="8" a="1"/>
  <c r="I2" i="8" a="1"/>
  <c r="H2" i="8" a="1"/>
  <c r="J2" i="8" a="1"/>
  <c r="L2" i="8" a="1"/>
  <c r="K2" i="8" a="1"/>
  <c r="M2" i="8" a="1"/>
  <c r="N2" i="8" a="1"/>
  <c r="O2" i="8" a="1"/>
  <c r="O3" i="8" l="1"/>
  <c r="O5" i="8"/>
  <c r="O7" i="8"/>
  <c r="O9" i="8"/>
  <c r="O11" i="8"/>
  <c r="O13" i="8"/>
  <c r="O15" i="8"/>
  <c r="O17" i="8"/>
  <c r="O19" i="8"/>
  <c r="O21" i="8"/>
  <c r="O23" i="8"/>
  <c r="O25" i="8"/>
  <c r="O27" i="8"/>
  <c r="O29" i="8"/>
  <c r="O31" i="8"/>
  <c r="O33" i="8"/>
  <c r="O35" i="8"/>
  <c r="O37" i="8"/>
  <c r="O39" i="8"/>
  <c r="O41" i="8"/>
  <c r="O43" i="8"/>
  <c r="O45" i="8"/>
  <c r="O47" i="8"/>
  <c r="O49" i="8"/>
  <c r="O51" i="8"/>
  <c r="O53" i="8"/>
  <c r="O55" i="8"/>
  <c r="O57" i="8"/>
  <c r="O59" i="8"/>
  <c r="O61" i="8"/>
  <c r="O63" i="8"/>
  <c r="O65" i="8"/>
  <c r="O67" i="8"/>
  <c r="O69" i="8"/>
  <c r="O71" i="8"/>
  <c r="O73" i="8"/>
  <c r="O75" i="8"/>
  <c r="O77" i="8"/>
  <c r="O79" i="8"/>
  <c r="O81" i="8"/>
  <c r="O83" i="8"/>
  <c r="O85" i="8"/>
  <c r="O87" i="8"/>
  <c r="O89" i="8"/>
  <c r="O91" i="8"/>
  <c r="O93" i="8"/>
  <c r="O95" i="8"/>
  <c r="O97" i="8"/>
  <c r="O99" i="8"/>
  <c r="O101" i="8"/>
  <c r="O103" i="8"/>
  <c r="O105" i="8"/>
  <c r="O107" i="8"/>
  <c r="O109" i="8"/>
  <c r="O111" i="8"/>
  <c r="O113" i="8"/>
  <c r="O115" i="8"/>
  <c r="O117" i="8"/>
  <c r="O119" i="8"/>
  <c r="O121" i="8"/>
  <c r="O123" i="8"/>
  <c r="O125" i="8"/>
  <c r="O127" i="8"/>
  <c r="O129" i="8"/>
  <c r="O131" i="8"/>
  <c r="O133" i="8"/>
  <c r="O135" i="8"/>
  <c r="O137" i="8"/>
  <c r="O139" i="8"/>
  <c r="O141" i="8"/>
  <c r="O143" i="8"/>
  <c r="O145" i="8"/>
  <c r="O147" i="8"/>
  <c r="O149" i="8"/>
  <c r="O151" i="8"/>
  <c r="O153" i="8"/>
  <c r="O155" i="8"/>
  <c r="O157" i="8"/>
  <c r="O159" i="8"/>
  <c r="O161" i="8"/>
  <c r="O163" i="8"/>
  <c r="O165" i="8"/>
  <c r="O167" i="8"/>
  <c r="O169" i="8"/>
  <c r="O171" i="8"/>
  <c r="O173" i="8"/>
  <c r="O175" i="8"/>
  <c r="O177" i="8"/>
  <c r="O179" i="8"/>
  <c r="O181" i="8"/>
  <c r="O183" i="8"/>
  <c r="O185" i="8"/>
  <c r="O187" i="8"/>
  <c r="O189" i="8"/>
  <c r="O191" i="8"/>
  <c r="O193" i="8"/>
  <c r="O195" i="8"/>
  <c r="O197" i="8"/>
  <c r="O199" i="8"/>
  <c r="O201" i="8"/>
  <c r="O203" i="8"/>
  <c r="O205" i="8"/>
  <c r="O207" i="8"/>
  <c r="O209" i="8"/>
  <c r="O211" i="8"/>
  <c r="O213" i="8"/>
  <c r="O2" i="8"/>
  <c r="O4" i="8"/>
  <c r="O6" i="8"/>
  <c r="O8" i="8"/>
  <c r="O10" i="8"/>
  <c r="O12" i="8"/>
  <c r="O14" i="8"/>
  <c r="O16" i="8"/>
  <c r="O18" i="8"/>
  <c r="O20" i="8"/>
  <c r="O22" i="8"/>
  <c r="O24" i="8"/>
  <c r="O26" i="8"/>
  <c r="O28" i="8"/>
  <c r="O30" i="8"/>
  <c r="O32" i="8"/>
  <c r="O34" i="8"/>
  <c r="O36" i="8"/>
  <c r="O38" i="8"/>
  <c r="O40" i="8"/>
  <c r="O42" i="8"/>
  <c r="O44" i="8"/>
  <c r="O46" i="8"/>
  <c r="O48" i="8"/>
  <c r="O50" i="8"/>
  <c r="O52" i="8"/>
  <c r="O54" i="8"/>
  <c r="O56" i="8"/>
  <c r="O58" i="8"/>
  <c r="O60" i="8"/>
  <c r="O62" i="8"/>
  <c r="O64" i="8"/>
  <c r="O66" i="8"/>
  <c r="O68" i="8"/>
  <c r="O70" i="8"/>
  <c r="O72" i="8"/>
  <c r="O74" i="8"/>
  <c r="O76" i="8"/>
  <c r="O78" i="8"/>
  <c r="O80" i="8"/>
  <c r="O82" i="8"/>
  <c r="O84" i="8"/>
  <c r="O86" i="8"/>
  <c r="O88" i="8"/>
  <c r="O90" i="8"/>
  <c r="O92" i="8"/>
  <c r="O94" i="8"/>
  <c r="O96" i="8"/>
  <c r="O98" i="8"/>
  <c r="O100" i="8"/>
  <c r="O102" i="8"/>
  <c r="O104" i="8"/>
  <c r="O106" i="8"/>
  <c r="O108" i="8"/>
  <c r="O110" i="8"/>
  <c r="O112" i="8"/>
  <c r="O114" i="8"/>
  <c r="O116" i="8"/>
  <c r="O118" i="8"/>
  <c r="O120" i="8"/>
  <c r="O122" i="8"/>
  <c r="O124" i="8"/>
  <c r="O126" i="8"/>
  <c r="O128" i="8"/>
  <c r="O130" i="8"/>
  <c r="O132" i="8"/>
  <c r="O134" i="8"/>
  <c r="O136" i="8"/>
  <c r="O138" i="8"/>
  <c r="O140" i="8"/>
  <c r="O142" i="8"/>
  <c r="O144" i="8"/>
  <c r="O146" i="8"/>
  <c r="O148" i="8"/>
  <c r="O150" i="8"/>
  <c r="O152" i="8"/>
  <c r="O154" i="8"/>
  <c r="O156" i="8"/>
  <c r="O158" i="8"/>
  <c r="O160" i="8"/>
  <c r="O162" i="8"/>
  <c r="O164" i="8"/>
  <c r="O166" i="8"/>
  <c r="O168" i="8"/>
  <c r="O170" i="8"/>
  <c r="O172" i="8"/>
  <c r="O174" i="8"/>
  <c r="O176" i="8"/>
  <c r="O178" i="8"/>
  <c r="O180" i="8"/>
  <c r="O182" i="8"/>
  <c r="O184" i="8"/>
  <c r="O186" i="8"/>
  <c r="O188" i="8"/>
  <c r="O190" i="8"/>
  <c r="O192" i="8"/>
  <c r="O194" i="8"/>
  <c r="O196" i="8"/>
  <c r="O198" i="8"/>
  <c r="O200" i="8"/>
  <c r="O202" i="8"/>
  <c r="O204" i="8"/>
  <c r="O206" i="8"/>
  <c r="O208" i="8"/>
  <c r="O210" i="8"/>
  <c r="O212" i="8"/>
  <c r="N2" i="8"/>
  <c r="N4" i="8"/>
  <c r="N6" i="8"/>
  <c r="N8" i="8"/>
  <c r="N10" i="8"/>
  <c r="N12" i="8"/>
  <c r="N14" i="8"/>
  <c r="N16" i="8"/>
  <c r="N18" i="8"/>
  <c r="N20" i="8"/>
  <c r="N22" i="8"/>
  <c r="N24" i="8"/>
  <c r="N26" i="8"/>
  <c r="N28" i="8"/>
  <c r="N30" i="8"/>
  <c r="N32" i="8"/>
  <c r="N34" i="8"/>
  <c r="N36" i="8"/>
  <c r="N38" i="8"/>
  <c r="N40" i="8"/>
  <c r="N42" i="8"/>
  <c r="N44" i="8"/>
  <c r="N46" i="8"/>
  <c r="N48" i="8"/>
  <c r="N50" i="8"/>
  <c r="N52" i="8"/>
  <c r="N54" i="8"/>
  <c r="N56" i="8"/>
  <c r="N58" i="8"/>
  <c r="N60" i="8"/>
  <c r="N62" i="8"/>
  <c r="N64" i="8"/>
  <c r="N66" i="8"/>
  <c r="N5" i="8"/>
  <c r="N9" i="8"/>
  <c r="N13" i="8"/>
  <c r="N17" i="8"/>
  <c r="N21" i="8"/>
  <c r="N25" i="8"/>
  <c r="N29" i="8"/>
  <c r="N33" i="8"/>
  <c r="N37" i="8"/>
  <c r="N41" i="8"/>
  <c r="N45" i="8"/>
  <c r="N49" i="8"/>
  <c r="N53" i="8"/>
  <c r="N57" i="8"/>
  <c r="N61" i="8"/>
  <c r="N65" i="8"/>
  <c r="N68" i="8"/>
  <c r="N70" i="8"/>
  <c r="N72" i="8"/>
  <c r="N74" i="8"/>
  <c r="N76" i="8"/>
  <c r="N78" i="8"/>
  <c r="N80" i="8"/>
  <c r="N82" i="8"/>
  <c r="N84" i="8"/>
  <c r="N86" i="8"/>
  <c r="N88" i="8"/>
  <c r="N90" i="8"/>
  <c r="N92" i="8"/>
  <c r="N94" i="8"/>
  <c r="N96" i="8"/>
  <c r="N98" i="8"/>
  <c r="N100" i="8"/>
  <c r="N102" i="8"/>
  <c r="N104" i="8"/>
  <c r="N106" i="8"/>
  <c r="N108" i="8"/>
  <c r="N110" i="8"/>
  <c r="N112" i="8"/>
  <c r="N114" i="8"/>
  <c r="N116" i="8"/>
  <c r="N118" i="8"/>
  <c r="N120" i="8"/>
  <c r="N122" i="8"/>
  <c r="N124" i="8"/>
  <c r="N126" i="8"/>
  <c r="N128" i="8"/>
  <c r="N130" i="8"/>
  <c r="N132" i="8"/>
  <c r="N134" i="8"/>
  <c r="N136" i="8"/>
  <c r="N138" i="8"/>
  <c r="N140" i="8"/>
  <c r="N142" i="8"/>
  <c r="N144" i="8"/>
  <c r="N146" i="8"/>
  <c r="N148" i="8"/>
  <c r="N150" i="8"/>
  <c r="N152" i="8"/>
  <c r="N154" i="8"/>
  <c r="N156" i="8"/>
  <c r="N158" i="8"/>
  <c r="N160" i="8"/>
  <c r="N162" i="8"/>
  <c r="N164" i="8"/>
  <c r="N166" i="8"/>
  <c r="N168" i="8"/>
  <c r="N170" i="8"/>
  <c r="N172" i="8"/>
  <c r="N174" i="8"/>
  <c r="N176" i="8"/>
  <c r="N178" i="8"/>
  <c r="N180" i="8"/>
  <c r="N182" i="8"/>
  <c r="N184" i="8"/>
  <c r="N186" i="8"/>
  <c r="N188" i="8"/>
  <c r="N190" i="8"/>
  <c r="N192" i="8"/>
  <c r="N194" i="8"/>
  <c r="N196" i="8"/>
  <c r="N198" i="8"/>
  <c r="N200" i="8"/>
  <c r="N202" i="8"/>
  <c r="N204" i="8"/>
  <c r="N206" i="8"/>
  <c r="N208" i="8"/>
  <c r="N210" i="8"/>
  <c r="N212" i="8"/>
  <c r="N3" i="8"/>
  <c r="N7" i="8"/>
  <c r="N11" i="8"/>
  <c r="N15" i="8"/>
  <c r="N19" i="8"/>
  <c r="N23" i="8"/>
  <c r="N27" i="8"/>
  <c r="N31" i="8"/>
  <c r="N35" i="8"/>
  <c r="N39" i="8"/>
  <c r="N43" i="8"/>
  <c r="N47" i="8"/>
  <c r="N51" i="8"/>
  <c r="N55" i="8"/>
  <c r="N59" i="8"/>
  <c r="N63" i="8"/>
  <c r="N67" i="8"/>
  <c r="N69" i="8"/>
  <c r="N71" i="8"/>
  <c r="N73" i="8"/>
  <c r="N75" i="8"/>
  <c r="N77" i="8"/>
  <c r="N79" i="8"/>
  <c r="N81" i="8"/>
  <c r="N83" i="8"/>
  <c r="N85" i="8"/>
  <c r="N87" i="8"/>
  <c r="N89" i="8"/>
  <c r="N91" i="8"/>
  <c r="N93" i="8"/>
  <c r="N95" i="8"/>
  <c r="N97" i="8"/>
  <c r="N99" i="8"/>
  <c r="N101" i="8"/>
  <c r="N103" i="8"/>
  <c r="N105" i="8"/>
  <c r="N107" i="8"/>
  <c r="N109" i="8"/>
  <c r="N111" i="8"/>
  <c r="N113" i="8"/>
  <c r="N115" i="8"/>
  <c r="N117" i="8"/>
  <c r="N119" i="8"/>
  <c r="N121" i="8"/>
  <c r="N123" i="8"/>
  <c r="N125" i="8"/>
  <c r="N127" i="8"/>
  <c r="N129" i="8"/>
  <c r="N131" i="8"/>
  <c r="N133" i="8"/>
  <c r="N135" i="8"/>
  <c r="N137" i="8"/>
  <c r="N139" i="8"/>
  <c r="N141" i="8"/>
  <c r="N143" i="8"/>
  <c r="N145" i="8"/>
  <c r="N147" i="8"/>
  <c r="N149" i="8"/>
  <c r="N151" i="8"/>
  <c r="N153" i="8"/>
  <c r="N155" i="8"/>
  <c r="N157" i="8"/>
  <c r="N159" i="8"/>
  <c r="N161" i="8"/>
  <c r="N163" i="8"/>
  <c r="N165" i="8"/>
  <c r="N167" i="8"/>
  <c r="N169" i="8"/>
  <c r="N171" i="8"/>
  <c r="N173" i="8"/>
  <c r="N175" i="8"/>
  <c r="N177" i="8"/>
  <c r="N179" i="8"/>
  <c r="N181" i="8"/>
  <c r="N183" i="8"/>
  <c r="N185" i="8"/>
  <c r="N187" i="8"/>
  <c r="N189" i="8"/>
  <c r="N191" i="8"/>
  <c r="N193" i="8"/>
  <c r="N195" i="8"/>
  <c r="N197" i="8"/>
  <c r="N199" i="8"/>
  <c r="N201" i="8"/>
  <c r="N203" i="8"/>
  <c r="N205" i="8"/>
  <c r="N207" i="8"/>
  <c r="N209" i="8"/>
  <c r="N211" i="8"/>
  <c r="N213" i="8"/>
  <c r="M2" i="8"/>
  <c r="M4" i="8"/>
  <c r="M6" i="8"/>
  <c r="M8" i="8"/>
  <c r="M10" i="8"/>
  <c r="M12" i="8"/>
  <c r="M14" i="8"/>
  <c r="M16" i="8"/>
  <c r="M18" i="8"/>
  <c r="M20" i="8"/>
  <c r="M22" i="8"/>
  <c r="M24" i="8"/>
  <c r="M26" i="8"/>
  <c r="M28" i="8"/>
  <c r="M30" i="8"/>
  <c r="M32" i="8"/>
  <c r="M34" i="8"/>
  <c r="M36" i="8"/>
  <c r="M38" i="8"/>
  <c r="M40" i="8"/>
  <c r="M42" i="8"/>
  <c r="M44" i="8"/>
  <c r="M46" i="8"/>
  <c r="M48" i="8"/>
  <c r="M50" i="8"/>
  <c r="M52" i="8"/>
  <c r="M54" i="8"/>
  <c r="M56" i="8"/>
  <c r="M58" i="8"/>
  <c r="M60" i="8"/>
  <c r="M62" i="8"/>
  <c r="M64" i="8"/>
  <c r="M66" i="8"/>
  <c r="M68" i="8"/>
  <c r="M70" i="8"/>
  <c r="M72" i="8"/>
  <c r="M74" i="8"/>
  <c r="M76" i="8"/>
  <c r="M78" i="8"/>
  <c r="M80" i="8"/>
  <c r="M82" i="8"/>
  <c r="M84" i="8"/>
  <c r="M86" i="8"/>
  <c r="M88" i="8"/>
  <c r="M90" i="8"/>
  <c r="M92" i="8"/>
  <c r="M94" i="8"/>
  <c r="M96" i="8"/>
  <c r="M98" i="8"/>
  <c r="M100" i="8"/>
  <c r="M102" i="8"/>
  <c r="M104" i="8"/>
  <c r="M106" i="8"/>
  <c r="M108" i="8"/>
  <c r="M110" i="8"/>
  <c r="M112" i="8"/>
  <c r="M114" i="8"/>
  <c r="M116" i="8"/>
  <c r="M118" i="8"/>
  <c r="M120" i="8"/>
  <c r="M122" i="8"/>
  <c r="M124" i="8"/>
  <c r="M126" i="8"/>
  <c r="M128" i="8"/>
  <c r="M130" i="8"/>
  <c r="M132" i="8"/>
  <c r="M134" i="8"/>
  <c r="M136" i="8"/>
  <c r="M138" i="8"/>
  <c r="M140" i="8"/>
  <c r="M142" i="8"/>
  <c r="M144" i="8"/>
  <c r="M146" i="8"/>
  <c r="M148" i="8"/>
  <c r="M150" i="8"/>
  <c r="M152" i="8"/>
  <c r="M154" i="8"/>
  <c r="M156" i="8"/>
  <c r="M158" i="8"/>
  <c r="M160" i="8"/>
  <c r="M162" i="8"/>
  <c r="M164" i="8"/>
  <c r="M166" i="8"/>
  <c r="M168" i="8"/>
  <c r="M170" i="8"/>
  <c r="M172" i="8"/>
  <c r="M174" i="8"/>
  <c r="M176" i="8"/>
  <c r="M178" i="8"/>
  <c r="M180" i="8"/>
  <c r="M3" i="8"/>
  <c r="M5" i="8"/>
  <c r="M7" i="8"/>
  <c r="M9" i="8"/>
  <c r="M11" i="8"/>
  <c r="M13" i="8"/>
  <c r="M15" i="8"/>
  <c r="M17" i="8"/>
  <c r="M19" i="8"/>
  <c r="M21" i="8"/>
  <c r="M23" i="8"/>
  <c r="M25" i="8"/>
  <c r="M27" i="8"/>
  <c r="M29" i="8"/>
  <c r="M31" i="8"/>
  <c r="M33" i="8"/>
  <c r="M35" i="8"/>
  <c r="M37" i="8"/>
  <c r="M39" i="8"/>
  <c r="M41" i="8"/>
  <c r="M43" i="8"/>
  <c r="M45" i="8"/>
  <c r="M47" i="8"/>
  <c r="M49" i="8"/>
  <c r="M51" i="8"/>
  <c r="M53" i="8"/>
  <c r="M55" i="8"/>
  <c r="M57" i="8"/>
  <c r="M59" i="8"/>
  <c r="M61" i="8"/>
  <c r="M63" i="8"/>
  <c r="M65" i="8"/>
  <c r="M67" i="8"/>
  <c r="M69" i="8"/>
  <c r="M71" i="8"/>
  <c r="M73" i="8"/>
  <c r="M75" i="8"/>
  <c r="M77" i="8"/>
  <c r="M79" i="8"/>
  <c r="M81" i="8"/>
  <c r="M83" i="8"/>
  <c r="M85" i="8"/>
  <c r="M87" i="8"/>
  <c r="M89" i="8"/>
  <c r="M91" i="8"/>
  <c r="M93" i="8"/>
  <c r="M95" i="8"/>
  <c r="M97" i="8"/>
  <c r="M99" i="8"/>
  <c r="M101" i="8"/>
  <c r="M103" i="8"/>
  <c r="M105" i="8"/>
  <c r="M107" i="8"/>
  <c r="M109" i="8"/>
  <c r="M111" i="8"/>
  <c r="M113" i="8"/>
  <c r="M115" i="8"/>
  <c r="M117" i="8"/>
  <c r="M119" i="8"/>
  <c r="M121" i="8"/>
  <c r="M123" i="8"/>
  <c r="M125" i="8"/>
  <c r="M127" i="8"/>
  <c r="M129" i="8"/>
  <c r="M131" i="8"/>
  <c r="M133" i="8"/>
  <c r="M135" i="8"/>
  <c r="M137" i="8"/>
  <c r="M139" i="8"/>
  <c r="M141" i="8"/>
  <c r="M143" i="8"/>
  <c r="M145" i="8"/>
  <c r="M147" i="8"/>
  <c r="M149" i="8"/>
  <c r="M151" i="8"/>
  <c r="M153" i="8"/>
  <c r="M155" i="8"/>
  <c r="M157" i="8"/>
  <c r="M159" i="8"/>
  <c r="M161" i="8"/>
  <c r="M163" i="8"/>
  <c r="M165" i="8"/>
  <c r="M167" i="8"/>
  <c r="M169" i="8"/>
  <c r="M171" i="8"/>
  <c r="M173" i="8"/>
  <c r="M175" i="8"/>
  <c r="M177" i="8"/>
  <c r="M179" i="8"/>
  <c r="M181" i="8"/>
  <c r="M183" i="8"/>
  <c r="M185" i="8"/>
  <c r="M187" i="8"/>
  <c r="M189" i="8"/>
  <c r="M191" i="8"/>
  <c r="M193" i="8"/>
  <c r="M195" i="8"/>
  <c r="M197" i="8"/>
  <c r="M199" i="8"/>
  <c r="M201" i="8"/>
  <c r="M203" i="8"/>
  <c r="M205" i="8"/>
  <c r="M207" i="8"/>
  <c r="M209" i="8"/>
  <c r="M211" i="8"/>
  <c r="M213" i="8"/>
  <c r="M182" i="8"/>
  <c r="M186" i="8"/>
  <c r="M190" i="8"/>
  <c r="M194" i="8"/>
  <c r="M198" i="8"/>
  <c r="M202" i="8"/>
  <c r="M206" i="8"/>
  <c r="M210" i="8"/>
  <c r="M184" i="8"/>
  <c r="M188" i="8"/>
  <c r="M192" i="8"/>
  <c r="M196" i="8"/>
  <c r="M200" i="8"/>
  <c r="M204" i="8"/>
  <c r="M208" i="8"/>
  <c r="M212" i="8"/>
  <c r="K2" i="8"/>
  <c r="K4" i="8"/>
  <c r="K6" i="8"/>
  <c r="K8" i="8"/>
  <c r="K10" i="8"/>
  <c r="K12" i="8"/>
  <c r="K14" i="8"/>
  <c r="K16" i="8"/>
  <c r="K18" i="8"/>
  <c r="K20" i="8"/>
  <c r="K22" i="8"/>
  <c r="K24" i="8"/>
  <c r="K26" i="8"/>
  <c r="K28" i="8"/>
  <c r="K30" i="8"/>
  <c r="K32" i="8"/>
  <c r="K34" i="8"/>
  <c r="K36" i="8"/>
  <c r="K38" i="8"/>
  <c r="K40" i="8"/>
  <c r="K42" i="8"/>
  <c r="K44" i="8"/>
  <c r="K46" i="8"/>
  <c r="K48" i="8"/>
  <c r="K50" i="8"/>
  <c r="K52" i="8"/>
  <c r="K54" i="8"/>
  <c r="K56" i="8"/>
  <c r="K58" i="8"/>
  <c r="K60" i="8"/>
  <c r="K62" i="8"/>
  <c r="K64" i="8"/>
  <c r="K66" i="8"/>
  <c r="K68" i="8"/>
  <c r="K70" i="8"/>
  <c r="K72" i="8"/>
  <c r="K74" i="8"/>
  <c r="K76" i="8"/>
  <c r="K78" i="8"/>
  <c r="K80" i="8"/>
  <c r="K82" i="8"/>
  <c r="K84" i="8"/>
  <c r="K86" i="8"/>
  <c r="K88" i="8"/>
  <c r="K90" i="8"/>
  <c r="K92" i="8"/>
  <c r="K94" i="8"/>
  <c r="K96" i="8"/>
  <c r="K98" i="8"/>
  <c r="K100" i="8"/>
  <c r="K102" i="8"/>
  <c r="K104" i="8"/>
  <c r="K106" i="8"/>
  <c r="K108" i="8"/>
  <c r="K110" i="8"/>
  <c r="K112" i="8"/>
  <c r="K114" i="8"/>
  <c r="K116" i="8"/>
  <c r="K118" i="8"/>
  <c r="K120" i="8"/>
  <c r="K122" i="8"/>
  <c r="K124" i="8"/>
  <c r="K126" i="8"/>
  <c r="K128" i="8"/>
  <c r="K130" i="8"/>
  <c r="K132" i="8"/>
  <c r="K134" i="8"/>
  <c r="K136" i="8"/>
  <c r="K138" i="8"/>
  <c r="K140" i="8"/>
  <c r="K142" i="8"/>
  <c r="K144" i="8"/>
  <c r="K146" i="8"/>
  <c r="K148" i="8"/>
  <c r="K150" i="8"/>
  <c r="K152" i="8"/>
  <c r="K154" i="8"/>
  <c r="K156" i="8"/>
  <c r="K158" i="8"/>
  <c r="K160" i="8"/>
  <c r="K162" i="8"/>
  <c r="K164" i="8"/>
  <c r="K166" i="8"/>
  <c r="K168" i="8"/>
  <c r="K170" i="8"/>
  <c r="K172" i="8"/>
  <c r="K174" i="8"/>
  <c r="K176" i="8"/>
  <c r="K178" i="8"/>
  <c r="K180" i="8"/>
  <c r="K182" i="8"/>
  <c r="K184" i="8"/>
  <c r="K186" i="8"/>
  <c r="K188" i="8"/>
  <c r="K190" i="8"/>
  <c r="K192" i="8"/>
  <c r="K194" i="8"/>
  <c r="K196" i="8"/>
  <c r="K198" i="8"/>
  <c r="K200" i="8"/>
  <c r="K202" i="8"/>
  <c r="K204" i="8"/>
  <c r="K206" i="8"/>
  <c r="K208" i="8"/>
  <c r="K210" i="8"/>
  <c r="K212" i="8"/>
  <c r="K3" i="8"/>
  <c r="K5" i="8"/>
  <c r="K7" i="8"/>
  <c r="K9" i="8"/>
  <c r="K11" i="8"/>
  <c r="K13" i="8"/>
  <c r="K15" i="8"/>
  <c r="K17" i="8"/>
  <c r="K19" i="8"/>
  <c r="K21" i="8"/>
  <c r="K23" i="8"/>
  <c r="K25" i="8"/>
  <c r="K27" i="8"/>
  <c r="K29" i="8"/>
  <c r="K31" i="8"/>
  <c r="K33" i="8"/>
  <c r="K35" i="8"/>
  <c r="K37" i="8"/>
  <c r="K39" i="8"/>
  <c r="K41" i="8"/>
  <c r="K43" i="8"/>
  <c r="K45" i="8"/>
  <c r="K47" i="8"/>
  <c r="K49" i="8"/>
  <c r="K51" i="8"/>
  <c r="K53" i="8"/>
  <c r="K55" i="8"/>
  <c r="K57" i="8"/>
  <c r="K59" i="8"/>
  <c r="K61" i="8"/>
  <c r="K63" i="8"/>
  <c r="K65" i="8"/>
  <c r="K67" i="8"/>
  <c r="K69" i="8"/>
  <c r="K71" i="8"/>
  <c r="K73" i="8"/>
  <c r="K75" i="8"/>
  <c r="K77" i="8"/>
  <c r="K79" i="8"/>
  <c r="K81" i="8"/>
  <c r="K83" i="8"/>
  <c r="K85" i="8"/>
  <c r="K87" i="8"/>
  <c r="K89" i="8"/>
  <c r="K91" i="8"/>
  <c r="K93" i="8"/>
  <c r="K95" i="8"/>
  <c r="K97" i="8"/>
  <c r="K99" i="8"/>
  <c r="K101" i="8"/>
  <c r="K103" i="8"/>
  <c r="K105" i="8"/>
  <c r="K107" i="8"/>
  <c r="K109" i="8"/>
  <c r="K111" i="8"/>
  <c r="K113" i="8"/>
  <c r="K115" i="8"/>
  <c r="K117" i="8"/>
  <c r="K119" i="8"/>
  <c r="K121" i="8"/>
  <c r="K123" i="8"/>
  <c r="K125" i="8"/>
  <c r="K127" i="8"/>
  <c r="K129" i="8"/>
  <c r="K131" i="8"/>
  <c r="K133" i="8"/>
  <c r="K135" i="8"/>
  <c r="K137" i="8"/>
  <c r="K139" i="8"/>
  <c r="K141" i="8"/>
  <c r="K143" i="8"/>
  <c r="K145" i="8"/>
  <c r="K147" i="8"/>
  <c r="K149" i="8"/>
  <c r="K151" i="8"/>
  <c r="K153" i="8"/>
  <c r="K155" i="8"/>
  <c r="K157" i="8"/>
  <c r="K159" i="8"/>
  <c r="K161" i="8"/>
  <c r="K163" i="8"/>
  <c r="K165" i="8"/>
  <c r="K167" i="8"/>
  <c r="K169" i="8"/>
  <c r="K171" i="8"/>
  <c r="K173" i="8"/>
  <c r="K175" i="8"/>
  <c r="K177" i="8"/>
  <c r="K179" i="8"/>
  <c r="K181" i="8"/>
  <c r="K183" i="8"/>
  <c r="K185" i="8"/>
  <c r="K187" i="8"/>
  <c r="K189" i="8"/>
  <c r="K191" i="8"/>
  <c r="K193" i="8"/>
  <c r="K195" i="8"/>
  <c r="K197" i="8"/>
  <c r="K199" i="8"/>
  <c r="K201" i="8"/>
  <c r="K203" i="8"/>
  <c r="K205" i="8"/>
  <c r="K207" i="8"/>
  <c r="K209" i="8"/>
  <c r="K211" i="8"/>
  <c r="K213" i="8"/>
  <c r="L3" i="8"/>
  <c r="L5" i="8"/>
  <c r="L7" i="8"/>
  <c r="L9" i="8"/>
  <c r="L11" i="8"/>
  <c r="L13" i="8"/>
  <c r="L15" i="8"/>
  <c r="L17" i="8"/>
  <c r="L19" i="8"/>
  <c r="L21" i="8"/>
  <c r="L23" i="8"/>
  <c r="L25" i="8"/>
  <c r="L27" i="8"/>
  <c r="L29" i="8"/>
  <c r="L31" i="8"/>
  <c r="L33" i="8"/>
  <c r="L35" i="8"/>
  <c r="L37" i="8"/>
  <c r="L39" i="8"/>
  <c r="L41" i="8"/>
  <c r="L43" i="8"/>
  <c r="L45" i="8"/>
  <c r="L47" i="8"/>
  <c r="L49" i="8"/>
  <c r="L51" i="8"/>
  <c r="L53" i="8"/>
  <c r="L55" i="8"/>
  <c r="L57" i="8"/>
  <c r="L59" i="8"/>
  <c r="L61" i="8"/>
  <c r="L63" i="8"/>
  <c r="L65" i="8"/>
  <c r="L67" i="8"/>
  <c r="L69" i="8"/>
  <c r="L71" i="8"/>
  <c r="L73" i="8"/>
  <c r="L75" i="8"/>
  <c r="L77" i="8"/>
  <c r="L79" i="8"/>
  <c r="L81" i="8"/>
  <c r="L83" i="8"/>
  <c r="L85" i="8"/>
  <c r="L87" i="8"/>
  <c r="L89" i="8"/>
  <c r="L91" i="8"/>
  <c r="L93" i="8"/>
  <c r="L95" i="8"/>
  <c r="L97" i="8"/>
  <c r="L99" i="8"/>
  <c r="L101" i="8"/>
  <c r="L103" i="8"/>
  <c r="L105" i="8"/>
  <c r="L107" i="8"/>
  <c r="L109" i="8"/>
  <c r="L111" i="8"/>
  <c r="L113" i="8"/>
  <c r="L115" i="8"/>
  <c r="L117" i="8"/>
  <c r="L119" i="8"/>
  <c r="L121" i="8"/>
  <c r="L123" i="8"/>
  <c r="L125" i="8"/>
  <c r="L127" i="8"/>
  <c r="L129" i="8"/>
  <c r="L131" i="8"/>
  <c r="L133" i="8"/>
  <c r="L135" i="8"/>
  <c r="L137" i="8"/>
  <c r="L139" i="8"/>
  <c r="L141" i="8"/>
  <c r="L143" i="8"/>
  <c r="L145" i="8"/>
  <c r="L147" i="8"/>
  <c r="L149" i="8"/>
  <c r="L151" i="8"/>
  <c r="L153" i="8"/>
  <c r="L155" i="8"/>
  <c r="L157" i="8"/>
  <c r="L159" i="8"/>
  <c r="L161" i="8"/>
  <c r="L163" i="8"/>
  <c r="L165" i="8"/>
  <c r="L167" i="8"/>
  <c r="L169" i="8"/>
  <c r="L171" i="8"/>
  <c r="L173" i="8"/>
  <c r="L175" i="8"/>
  <c r="L177" i="8"/>
  <c r="L179" i="8"/>
  <c r="L181" i="8"/>
  <c r="L183" i="8"/>
  <c r="L185" i="8"/>
  <c r="L187" i="8"/>
  <c r="L189" i="8"/>
  <c r="L191" i="8"/>
  <c r="L193" i="8"/>
  <c r="L195" i="8"/>
  <c r="L197" i="8"/>
  <c r="L199" i="8"/>
  <c r="L201" i="8"/>
  <c r="L203" i="8"/>
  <c r="L205" i="8"/>
  <c r="L207" i="8"/>
  <c r="L209" i="8"/>
  <c r="L211" i="8"/>
  <c r="L213" i="8"/>
  <c r="L2" i="8"/>
  <c r="L4" i="8"/>
  <c r="L6" i="8"/>
  <c r="L8" i="8"/>
  <c r="L10" i="8"/>
  <c r="L12" i="8"/>
  <c r="L14" i="8"/>
  <c r="L16" i="8"/>
  <c r="L18" i="8"/>
  <c r="L20" i="8"/>
  <c r="L22" i="8"/>
  <c r="L24" i="8"/>
  <c r="L26" i="8"/>
  <c r="L28" i="8"/>
  <c r="L30" i="8"/>
  <c r="L32" i="8"/>
  <c r="L34" i="8"/>
  <c r="L36" i="8"/>
  <c r="L38" i="8"/>
  <c r="L40" i="8"/>
  <c r="L42" i="8"/>
  <c r="L44" i="8"/>
  <c r="L46" i="8"/>
  <c r="L48" i="8"/>
  <c r="L50" i="8"/>
  <c r="L52" i="8"/>
  <c r="L54" i="8"/>
  <c r="L56" i="8"/>
  <c r="L58" i="8"/>
  <c r="L60" i="8"/>
  <c r="L62" i="8"/>
  <c r="L64" i="8"/>
  <c r="L66" i="8"/>
  <c r="L68" i="8"/>
  <c r="L70" i="8"/>
  <c r="L72" i="8"/>
  <c r="L74" i="8"/>
  <c r="L76" i="8"/>
  <c r="L78" i="8"/>
  <c r="L80" i="8"/>
  <c r="L82" i="8"/>
  <c r="L84" i="8"/>
  <c r="L86" i="8"/>
  <c r="L88" i="8"/>
  <c r="L90" i="8"/>
  <c r="L92" i="8"/>
  <c r="L94" i="8"/>
  <c r="L96" i="8"/>
  <c r="L98" i="8"/>
  <c r="L100" i="8"/>
  <c r="L102" i="8"/>
  <c r="L104" i="8"/>
  <c r="L106" i="8"/>
  <c r="L108" i="8"/>
  <c r="L110" i="8"/>
  <c r="L112" i="8"/>
  <c r="L114" i="8"/>
  <c r="L116" i="8"/>
  <c r="L118" i="8"/>
  <c r="L120" i="8"/>
  <c r="L122" i="8"/>
  <c r="L124" i="8"/>
  <c r="L126" i="8"/>
  <c r="L128" i="8"/>
  <c r="L130" i="8"/>
  <c r="L132" i="8"/>
  <c r="L134" i="8"/>
  <c r="L136" i="8"/>
  <c r="L138" i="8"/>
  <c r="L140" i="8"/>
  <c r="L142" i="8"/>
  <c r="L144" i="8"/>
  <c r="L146" i="8"/>
  <c r="L148" i="8"/>
  <c r="L150" i="8"/>
  <c r="L152" i="8"/>
  <c r="L154" i="8"/>
  <c r="L156" i="8"/>
  <c r="L158" i="8"/>
  <c r="L160" i="8"/>
  <c r="L162" i="8"/>
  <c r="L164" i="8"/>
  <c r="L166" i="8"/>
  <c r="L168" i="8"/>
  <c r="L170" i="8"/>
  <c r="L172" i="8"/>
  <c r="L174" i="8"/>
  <c r="L176" i="8"/>
  <c r="L178" i="8"/>
  <c r="L180" i="8"/>
  <c r="L182" i="8"/>
  <c r="L184" i="8"/>
  <c r="L186" i="8"/>
  <c r="L188" i="8"/>
  <c r="L190" i="8"/>
  <c r="L192" i="8"/>
  <c r="L194" i="8"/>
  <c r="L196" i="8"/>
  <c r="L198" i="8"/>
  <c r="L200" i="8"/>
  <c r="L202" i="8"/>
  <c r="L204" i="8"/>
  <c r="L206" i="8"/>
  <c r="L208" i="8"/>
  <c r="L210" i="8"/>
  <c r="L212" i="8"/>
  <c r="J2" i="8"/>
  <c r="J4" i="8"/>
  <c r="J6" i="8"/>
  <c r="J8" i="8"/>
  <c r="J10" i="8"/>
  <c r="J12" i="8"/>
  <c r="J14" i="8"/>
  <c r="J16" i="8"/>
  <c r="J18" i="8"/>
  <c r="J20" i="8"/>
  <c r="J22" i="8"/>
  <c r="J24" i="8"/>
  <c r="J26" i="8"/>
  <c r="J28" i="8"/>
  <c r="J30" i="8"/>
  <c r="J32" i="8"/>
  <c r="J34" i="8"/>
  <c r="J36" i="8"/>
  <c r="J38" i="8"/>
  <c r="J40" i="8"/>
  <c r="J42" i="8"/>
  <c r="J44" i="8"/>
  <c r="J46" i="8"/>
  <c r="J48" i="8"/>
  <c r="J50" i="8"/>
  <c r="J52" i="8"/>
  <c r="J54" i="8"/>
  <c r="J56" i="8"/>
  <c r="J58" i="8"/>
  <c r="J60" i="8"/>
  <c r="J62" i="8"/>
  <c r="J64" i="8"/>
  <c r="J66" i="8"/>
  <c r="J68" i="8"/>
  <c r="J70" i="8"/>
  <c r="J72" i="8"/>
  <c r="J74" i="8"/>
  <c r="J76" i="8"/>
  <c r="J78" i="8"/>
  <c r="J80" i="8"/>
  <c r="J82" i="8"/>
  <c r="J84" i="8"/>
  <c r="J3" i="8"/>
  <c r="J5" i="8"/>
  <c r="J7" i="8"/>
  <c r="J9" i="8"/>
  <c r="J11" i="8"/>
  <c r="J13" i="8"/>
  <c r="J15" i="8"/>
  <c r="J17" i="8"/>
  <c r="J19" i="8"/>
  <c r="J21" i="8"/>
  <c r="J23" i="8"/>
  <c r="J25" i="8"/>
  <c r="J27" i="8"/>
  <c r="J29" i="8"/>
  <c r="J31" i="8"/>
  <c r="J33" i="8"/>
  <c r="J35" i="8"/>
  <c r="J37" i="8"/>
  <c r="J39" i="8"/>
  <c r="J41" i="8"/>
  <c r="J43" i="8"/>
  <c r="J45" i="8"/>
  <c r="J47" i="8"/>
  <c r="J49" i="8"/>
  <c r="J51" i="8"/>
  <c r="J53" i="8"/>
  <c r="J55" i="8"/>
  <c r="J57" i="8"/>
  <c r="J59" i="8"/>
  <c r="J61" i="8"/>
  <c r="J63" i="8"/>
  <c r="J65" i="8"/>
  <c r="J67" i="8"/>
  <c r="J69" i="8"/>
  <c r="J71" i="8"/>
  <c r="J73" i="8"/>
  <c r="J75" i="8"/>
  <c r="J77" i="8"/>
  <c r="J79" i="8"/>
  <c r="J81" i="8"/>
  <c r="J83" i="8"/>
  <c r="J85" i="8"/>
  <c r="J87" i="8"/>
  <c r="J89" i="8"/>
  <c r="J91" i="8"/>
  <c r="J93" i="8"/>
  <c r="J95" i="8"/>
  <c r="J97" i="8"/>
  <c r="J99" i="8"/>
  <c r="J101" i="8"/>
  <c r="J103" i="8"/>
  <c r="J105" i="8"/>
  <c r="J107" i="8"/>
  <c r="J109" i="8"/>
  <c r="J111" i="8"/>
  <c r="J113" i="8"/>
  <c r="J115" i="8"/>
  <c r="J117" i="8"/>
  <c r="J119" i="8"/>
  <c r="J121" i="8"/>
  <c r="J123" i="8"/>
  <c r="J125" i="8"/>
  <c r="J127" i="8"/>
  <c r="J129" i="8"/>
  <c r="J131" i="8"/>
  <c r="J133" i="8"/>
  <c r="J135" i="8"/>
  <c r="J137" i="8"/>
  <c r="J139" i="8"/>
  <c r="J141" i="8"/>
  <c r="J143" i="8"/>
  <c r="J145" i="8"/>
  <c r="J147" i="8"/>
  <c r="J149" i="8"/>
  <c r="J151" i="8"/>
  <c r="J153" i="8"/>
  <c r="J155" i="8"/>
  <c r="J157" i="8"/>
  <c r="J159" i="8"/>
  <c r="J161" i="8"/>
  <c r="J163" i="8"/>
  <c r="J165" i="8"/>
  <c r="J167" i="8"/>
  <c r="J169" i="8"/>
  <c r="J171" i="8"/>
  <c r="J173" i="8"/>
  <c r="J175" i="8"/>
  <c r="J177" i="8"/>
  <c r="J179" i="8"/>
  <c r="J181" i="8"/>
  <c r="J183" i="8"/>
  <c r="J185" i="8"/>
  <c r="J187" i="8"/>
  <c r="J189" i="8"/>
  <c r="J191" i="8"/>
  <c r="J86" i="8"/>
  <c r="J90" i="8"/>
  <c r="J94" i="8"/>
  <c r="J98" i="8"/>
  <c r="J102" i="8"/>
  <c r="J106" i="8"/>
  <c r="J110" i="8"/>
  <c r="J114" i="8"/>
  <c r="J118" i="8"/>
  <c r="J122" i="8"/>
  <c r="J126" i="8"/>
  <c r="J130" i="8"/>
  <c r="J134" i="8"/>
  <c r="J138" i="8"/>
  <c r="J142" i="8"/>
  <c r="J146" i="8"/>
  <c r="J150" i="8"/>
  <c r="J154" i="8"/>
  <c r="J158" i="8"/>
  <c r="J162" i="8"/>
  <c r="J166" i="8"/>
  <c r="J170" i="8"/>
  <c r="J174" i="8"/>
  <c r="J178" i="8"/>
  <c r="J182" i="8"/>
  <c r="J186" i="8"/>
  <c r="J190" i="8"/>
  <c r="J193" i="8"/>
  <c r="J195" i="8"/>
  <c r="J197" i="8"/>
  <c r="J199" i="8"/>
  <c r="J201" i="8"/>
  <c r="J203" i="8"/>
  <c r="J205" i="8"/>
  <c r="J207" i="8"/>
  <c r="J209" i="8"/>
  <c r="J211" i="8"/>
  <c r="J213" i="8"/>
  <c r="J88" i="8"/>
  <c r="J92" i="8"/>
  <c r="J96" i="8"/>
  <c r="J100" i="8"/>
  <c r="J104" i="8"/>
  <c r="J108" i="8"/>
  <c r="J112" i="8"/>
  <c r="J116" i="8"/>
  <c r="J120" i="8"/>
  <c r="J124" i="8"/>
  <c r="J128" i="8"/>
  <c r="J132" i="8"/>
  <c r="J136" i="8"/>
  <c r="J140" i="8"/>
  <c r="J144" i="8"/>
  <c r="J148" i="8"/>
  <c r="J152" i="8"/>
  <c r="J156" i="8"/>
  <c r="J160" i="8"/>
  <c r="J164" i="8"/>
  <c r="J168" i="8"/>
  <c r="J172" i="8"/>
  <c r="J176" i="8"/>
  <c r="J180" i="8"/>
  <c r="J184" i="8"/>
  <c r="J188" i="8"/>
  <c r="J192" i="8"/>
  <c r="J194" i="8"/>
  <c r="J196" i="8"/>
  <c r="J198" i="8"/>
  <c r="J200" i="8"/>
  <c r="J202" i="8"/>
  <c r="J204" i="8"/>
  <c r="J206" i="8"/>
  <c r="J208" i="8"/>
  <c r="J210" i="8"/>
  <c r="J212" i="8"/>
  <c r="H2" i="8"/>
  <c r="H4" i="8"/>
  <c r="H6" i="8"/>
  <c r="H8" i="8"/>
  <c r="H10" i="8"/>
  <c r="H12" i="8"/>
  <c r="H14" i="8"/>
  <c r="H16" i="8"/>
  <c r="H18" i="8"/>
  <c r="H20" i="8"/>
  <c r="H22" i="8"/>
  <c r="H24" i="8"/>
  <c r="H26" i="8"/>
  <c r="H28" i="8"/>
  <c r="H30" i="8"/>
  <c r="H32" i="8"/>
  <c r="H34" i="8"/>
  <c r="H36" i="8"/>
  <c r="H38" i="8"/>
  <c r="H40" i="8"/>
  <c r="H42" i="8"/>
  <c r="H44" i="8"/>
  <c r="H46" i="8"/>
  <c r="H48" i="8"/>
  <c r="H50" i="8"/>
  <c r="H52" i="8"/>
  <c r="H54" i="8"/>
  <c r="H56" i="8"/>
  <c r="H58" i="8"/>
  <c r="H60" i="8"/>
  <c r="H62" i="8"/>
  <c r="H64" i="8"/>
  <c r="H66" i="8"/>
  <c r="H68" i="8"/>
  <c r="H70" i="8"/>
  <c r="H72" i="8"/>
  <c r="H74" i="8"/>
  <c r="H76" i="8"/>
  <c r="H78" i="8"/>
  <c r="H80" i="8"/>
  <c r="H82" i="8"/>
  <c r="H84" i="8"/>
  <c r="H86" i="8"/>
  <c r="H88" i="8"/>
  <c r="H90" i="8"/>
  <c r="H92" i="8"/>
  <c r="H94" i="8"/>
  <c r="H96" i="8"/>
  <c r="H98" i="8"/>
  <c r="H100" i="8"/>
  <c r="H102" i="8"/>
  <c r="H104" i="8"/>
  <c r="H106" i="8"/>
  <c r="H108" i="8"/>
  <c r="H110" i="8"/>
  <c r="H112" i="8"/>
  <c r="H114" i="8"/>
  <c r="H116" i="8"/>
  <c r="H118" i="8"/>
  <c r="H120" i="8"/>
  <c r="H122" i="8"/>
  <c r="H124" i="8"/>
  <c r="H126" i="8"/>
  <c r="H128" i="8"/>
  <c r="H130" i="8"/>
  <c r="H132" i="8"/>
  <c r="H134" i="8"/>
  <c r="H136" i="8"/>
  <c r="H138" i="8"/>
  <c r="H140" i="8"/>
  <c r="H142" i="8"/>
  <c r="H144" i="8"/>
  <c r="H146" i="8"/>
  <c r="H148" i="8"/>
  <c r="H150" i="8"/>
  <c r="H152" i="8"/>
  <c r="H154" i="8"/>
  <c r="H156" i="8"/>
  <c r="H158" i="8"/>
  <c r="H160" i="8"/>
  <c r="H162" i="8"/>
  <c r="H164" i="8"/>
  <c r="H166" i="8"/>
  <c r="H168" i="8"/>
  <c r="H170" i="8"/>
  <c r="H172" i="8"/>
  <c r="H174" i="8"/>
  <c r="H176" i="8"/>
  <c r="H178" i="8"/>
  <c r="H180" i="8"/>
  <c r="H182" i="8"/>
  <c r="H184" i="8"/>
  <c r="H186" i="8"/>
  <c r="H188" i="8"/>
  <c r="H190" i="8"/>
  <c r="H192" i="8"/>
  <c r="H194" i="8"/>
  <c r="H196" i="8"/>
  <c r="H198" i="8"/>
  <c r="H200" i="8"/>
  <c r="H202" i="8"/>
  <c r="H204" i="8"/>
  <c r="H206" i="8"/>
  <c r="H208" i="8"/>
  <c r="H210" i="8"/>
  <c r="H212" i="8"/>
  <c r="H3" i="8"/>
  <c r="H5" i="8"/>
  <c r="H7" i="8"/>
  <c r="H9" i="8"/>
  <c r="H11" i="8"/>
  <c r="H13" i="8"/>
  <c r="H15" i="8"/>
  <c r="H17" i="8"/>
  <c r="H19" i="8"/>
  <c r="H21" i="8"/>
  <c r="H23" i="8"/>
  <c r="H25" i="8"/>
  <c r="H27" i="8"/>
  <c r="H29" i="8"/>
  <c r="H31" i="8"/>
  <c r="H33" i="8"/>
  <c r="H35" i="8"/>
  <c r="H37" i="8"/>
  <c r="H39" i="8"/>
  <c r="H41" i="8"/>
  <c r="H43" i="8"/>
  <c r="H45" i="8"/>
  <c r="H47" i="8"/>
  <c r="H49" i="8"/>
  <c r="H51" i="8"/>
  <c r="H53" i="8"/>
  <c r="H55" i="8"/>
  <c r="H57" i="8"/>
  <c r="H59" i="8"/>
  <c r="H61" i="8"/>
  <c r="H63" i="8"/>
  <c r="H65" i="8"/>
  <c r="H67" i="8"/>
  <c r="H69" i="8"/>
  <c r="H71" i="8"/>
  <c r="H73" i="8"/>
  <c r="H75" i="8"/>
  <c r="H77" i="8"/>
  <c r="H79" i="8"/>
  <c r="H81" i="8"/>
  <c r="H83" i="8"/>
  <c r="H85" i="8"/>
  <c r="H87" i="8"/>
  <c r="H89" i="8"/>
  <c r="H91" i="8"/>
  <c r="H93" i="8"/>
  <c r="H95" i="8"/>
  <c r="H97" i="8"/>
  <c r="H99" i="8"/>
  <c r="H101" i="8"/>
  <c r="H103" i="8"/>
  <c r="H105" i="8"/>
  <c r="H107" i="8"/>
  <c r="H109" i="8"/>
  <c r="H111" i="8"/>
  <c r="H113" i="8"/>
  <c r="H115" i="8"/>
  <c r="H117" i="8"/>
  <c r="H119" i="8"/>
  <c r="H121" i="8"/>
  <c r="H123" i="8"/>
  <c r="H125" i="8"/>
  <c r="H127" i="8"/>
  <c r="H129" i="8"/>
  <c r="H131" i="8"/>
  <c r="H133" i="8"/>
  <c r="H135" i="8"/>
  <c r="H137" i="8"/>
  <c r="H139" i="8"/>
  <c r="H141" i="8"/>
  <c r="H143" i="8"/>
  <c r="H145" i="8"/>
  <c r="H147" i="8"/>
  <c r="H149" i="8"/>
  <c r="H151" i="8"/>
  <c r="H153" i="8"/>
  <c r="H155" i="8"/>
  <c r="H157" i="8"/>
  <c r="H159" i="8"/>
  <c r="H161" i="8"/>
  <c r="H163" i="8"/>
  <c r="H165" i="8"/>
  <c r="H167" i="8"/>
  <c r="H169" i="8"/>
  <c r="H171" i="8"/>
  <c r="H173" i="8"/>
  <c r="H175" i="8"/>
  <c r="H177" i="8"/>
  <c r="H179" i="8"/>
  <c r="H181" i="8"/>
  <c r="H183" i="8"/>
  <c r="H185" i="8"/>
  <c r="H187" i="8"/>
  <c r="H189" i="8"/>
  <c r="H191" i="8"/>
  <c r="H193" i="8"/>
  <c r="H195" i="8"/>
  <c r="H197" i="8"/>
  <c r="H199" i="8"/>
  <c r="H201" i="8"/>
  <c r="H203" i="8"/>
  <c r="H205" i="8"/>
  <c r="H207" i="8"/>
  <c r="H209" i="8"/>
  <c r="H211" i="8"/>
  <c r="H213" i="8"/>
  <c r="I3" i="8"/>
  <c r="I5" i="8"/>
  <c r="I7" i="8"/>
  <c r="I9" i="8"/>
  <c r="I11" i="8"/>
  <c r="I13" i="8"/>
  <c r="I15" i="8"/>
  <c r="I17" i="8"/>
  <c r="I19" i="8"/>
  <c r="I21" i="8"/>
  <c r="I23" i="8"/>
  <c r="I25" i="8"/>
  <c r="I27" i="8"/>
  <c r="I29" i="8"/>
  <c r="I31" i="8"/>
  <c r="I33" i="8"/>
  <c r="I35" i="8"/>
  <c r="I37" i="8"/>
  <c r="I39" i="8"/>
  <c r="I41" i="8"/>
  <c r="I43" i="8"/>
  <c r="I45" i="8"/>
  <c r="I47" i="8"/>
  <c r="I49" i="8"/>
  <c r="I51" i="8"/>
  <c r="I53" i="8"/>
  <c r="I55" i="8"/>
  <c r="I57" i="8"/>
  <c r="I59" i="8"/>
  <c r="I61" i="8"/>
  <c r="I63" i="8"/>
  <c r="I65" i="8"/>
  <c r="I67" i="8"/>
  <c r="I69" i="8"/>
  <c r="I71" i="8"/>
  <c r="I73" i="8"/>
  <c r="I75" i="8"/>
  <c r="I77" i="8"/>
  <c r="I79" i="8"/>
  <c r="I81" i="8"/>
  <c r="I83" i="8"/>
  <c r="I85" i="8"/>
  <c r="I87" i="8"/>
  <c r="I89" i="8"/>
  <c r="I91" i="8"/>
  <c r="I93" i="8"/>
  <c r="I95" i="8"/>
  <c r="I97" i="8"/>
  <c r="I99" i="8"/>
  <c r="I101" i="8"/>
  <c r="I103" i="8"/>
  <c r="I105" i="8"/>
  <c r="I107" i="8"/>
  <c r="I109" i="8"/>
  <c r="I111" i="8"/>
  <c r="I113" i="8"/>
  <c r="I115" i="8"/>
  <c r="I117" i="8"/>
  <c r="I119" i="8"/>
  <c r="I121" i="8"/>
  <c r="I123" i="8"/>
  <c r="I125" i="8"/>
  <c r="I127" i="8"/>
  <c r="I129" i="8"/>
  <c r="I131" i="8"/>
  <c r="I133" i="8"/>
  <c r="I135" i="8"/>
  <c r="I137" i="8"/>
  <c r="I139" i="8"/>
  <c r="I141" i="8"/>
  <c r="I143" i="8"/>
  <c r="I145" i="8"/>
  <c r="I147" i="8"/>
  <c r="I149" i="8"/>
  <c r="I151" i="8"/>
  <c r="I153" i="8"/>
  <c r="I155" i="8"/>
  <c r="I157" i="8"/>
  <c r="I159" i="8"/>
  <c r="I161" i="8"/>
  <c r="I163" i="8"/>
  <c r="I165" i="8"/>
  <c r="I167" i="8"/>
  <c r="I169" i="8"/>
  <c r="I171" i="8"/>
  <c r="I173" i="8"/>
  <c r="I175" i="8"/>
  <c r="I177" i="8"/>
  <c r="I179" i="8"/>
  <c r="I181" i="8"/>
  <c r="I183" i="8"/>
  <c r="I185" i="8"/>
  <c r="I187" i="8"/>
  <c r="I189" i="8"/>
  <c r="I191" i="8"/>
  <c r="I193" i="8"/>
  <c r="I195" i="8"/>
  <c r="I197" i="8"/>
  <c r="I199" i="8"/>
  <c r="I201" i="8"/>
  <c r="I203" i="8"/>
  <c r="I205" i="8"/>
  <c r="I207" i="8"/>
  <c r="I209" i="8"/>
  <c r="I211" i="8"/>
  <c r="I213" i="8"/>
  <c r="I2" i="8"/>
  <c r="I4" i="8"/>
  <c r="I6" i="8"/>
  <c r="I8" i="8"/>
  <c r="I10" i="8"/>
  <c r="I12" i="8"/>
  <c r="I14" i="8"/>
  <c r="I16" i="8"/>
  <c r="I18" i="8"/>
  <c r="I20" i="8"/>
  <c r="I22" i="8"/>
  <c r="I24" i="8"/>
  <c r="I26" i="8"/>
  <c r="I28" i="8"/>
  <c r="I30" i="8"/>
  <c r="I32" i="8"/>
  <c r="I34" i="8"/>
  <c r="I36" i="8"/>
  <c r="I38" i="8"/>
  <c r="I40" i="8"/>
  <c r="I42" i="8"/>
  <c r="I44" i="8"/>
  <c r="I46" i="8"/>
  <c r="I48" i="8"/>
  <c r="I50" i="8"/>
  <c r="I52" i="8"/>
  <c r="I54" i="8"/>
  <c r="I56" i="8"/>
  <c r="I58" i="8"/>
  <c r="I60" i="8"/>
  <c r="I62" i="8"/>
  <c r="I64" i="8"/>
  <c r="I66" i="8"/>
  <c r="I68" i="8"/>
  <c r="I70" i="8"/>
  <c r="I72" i="8"/>
  <c r="I74" i="8"/>
  <c r="I76" i="8"/>
  <c r="I78" i="8"/>
  <c r="I80" i="8"/>
  <c r="I82" i="8"/>
  <c r="I84" i="8"/>
  <c r="I86" i="8"/>
  <c r="I88" i="8"/>
  <c r="I90" i="8"/>
  <c r="I92" i="8"/>
  <c r="I94" i="8"/>
  <c r="I96" i="8"/>
  <c r="I98" i="8"/>
  <c r="I100" i="8"/>
  <c r="I102" i="8"/>
  <c r="I104" i="8"/>
  <c r="I106" i="8"/>
  <c r="I108" i="8"/>
  <c r="I110" i="8"/>
  <c r="I112" i="8"/>
  <c r="I114" i="8"/>
  <c r="I116" i="8"/>
  <c r="I118" i="8"/>
  <c r="I120" i="8"/>
  <c r="I122" i="8"/>
  <c r="I124" i="8"/>
  <c r="I126" i="8"/>
  <c r="I128" i="8"/>
  <c r="I130" i="8"/>
  <c r="I132" i="8"/>
  <c r="I134" i="8"/>
  <c r="I136" i="8"/>
  <c r="I138" i="8"/>
  <c r="I140" i="8"/>
  <c r="I142" i="8"/>
  <c r="I144" i="8"/>
  <c r="I146" i="8"/>
  <c r="I148" i="8"/>
  <c r="I150" i="8"/>
  <c r="I152" i="8"/>
  <c r="I154" i="8"/>
  <c r="I156" i="8"/>
  <c r="I158" i="8"/>
  <c r="I160" i="8"/>
  <c r="I162" i="8"/>
  <c r="I164" i="8"/>
  <c r="I166" i="8"/>
  <c r="I168" i="8"/>
  <c r="I170" i="8"/>
  <c r="I172" i="8"/>
  <c r="I174" i="8"/>
  <c r="I176" i="8"/>
  <c r="I178" i="8"/>
  <c r="I180" i="8"/>
  <c r="I182" i="8"/>
  <c r="I184" i="8"/>
  <c r="I186" i="8"/>
  <c r="I188" i="8"/>
  <c r="I190" i="8"/>
  <c r="I192" i="8"/>
  <c r="I194" i="8"/>
  <c r="I196" i="8"/>
  <c r="I198" i="8"/>
  <c r="I200" i="8"/>
  <c r="I202" i="8"/>
  <c r="I204" i="8"/>
  <c r="I206" i="8"/>
  <c r="I208" i="8"/>
  <c r="I210" i="8"/>
  <c r="I212" i="8"/>
  <c r="G2" i="8"/>
  <c r="G4" i="8"/>
  <c r="G6" i="8"/>
  <c r="G8" i="8"/>
  <c r="G10" i="8"/>
  <c r="G12" i="8"/>
  <c r="G14" i="8"/>
  <c r="G16" i="8"/>
  <c r="G18" i="8"/>
  <c r="G20" i="8"/>
  <c r="G22" i="8"/>
  <c r="G24" i="8"/>
  <c r="G26" i="8"/>
  <c r="G28" i="8"/>
  <c r="G30" i="8"/>
  <c r="G32" i="8"/>
  <c r="G34" i="8"/>
  <c r="G36" i="8"/>
  <c r="G38" i="8"/>
  <c r="G40" i="8"/>
  <c r="G42" i="8"/>
  <c r="G44" i="8"/>
  <c r="G46" i="8"/>
  <c r="G48" i="8"/>
  <c r="G50" i="8"/>
  <c r="G52" i="8"/>
  <c r="G54" i="8"/>
  <c r="G56" i="8"/>
  <c r="G58" i="8"/>
  <c r="G60" i="8"/>
  <c r="G62" i="8"/>
  <c r="G64" i="8"/>
  <c r="G66" i="8"/>
  <c r="G68" i="8"/>
  <c r="G70" i="8"/>
  <c r="G72" i="8"/>
  <c r="G74" i="8"/>
  <c r="G76" i="8"/>
  <c r="G78" i="8"/>
  <c r="G80" i="8"/>
  <c r="G82" i="8"/>
  <c r="G84" i="8"/>
  <c r="G86" i="8"/>
  <c r="G88" i="8"/>
  <c r="G90" i="8"/>
  <c r="G92" i="8"/>
  <c r="G94" i="8"/>
  <c r="G96" i="8"/>
  <c r="G98" i="8"/>
  <c r="G100" i="8"/>
  <c r="G102" i="8"/>
  <c r="G104" i="8"/>
  <c r="G106" i="8"/>
  <c r="G108" i="8"/>
  <c r="G3" i="8"/>
  <c r="G5" i="8"/>
  <c r="G7" i="8"/>
  <c r="G9" i="8"/>
  <c r="G11" i="8"/>
  <c r="G13" i="8"/>
  <c r="G15" i="8"/>
  <c r="G17" i="8"/>
  <c r="G19" i="8"/>
  <c r="G21" i="8"/>
  <c r="G23" i="8"/>
  <c r="G25" i="8"/>
  <c r="G27" i="8"/>
  <c r="G29" i="8"/>
  <c r="G31" i="8"/>
  <c r="G33" i="8"/>
  <c r="G35" i="8"/>
  <c r="G37" i="8"/>
  <c r="G39" i="8"/>
  <c r="G41" i="8"/>
  <c r="G43" i="8"/>
  <c r="G45" i="8"/>
  <c r="G47" i="8"/>
  <c r="G49" i="8"/>
  <c r="G51" i="8"/>
  <c r="G53" i="8"/>
  <c r="G55" i="8"/>
  <c r="G57" i="8"/>
  <c r="G59" i="8"/>
  <c r="G61" i="8"/>
  <c r="G63" i="8"/>
  <c r="G65" i="8"/>
  <c r="G67" i="8"/>
  <c r="G69" i="8"/>
  <c r="G71" i="8"/>
  <c r="G73" i="8"/>
  <c r="G75" i="8"/>
  <c r="G77" i="8"/>
  <c r="G79" i="8"/>
  <c r="G81" i="8"/>
  <c r="G83" i="8"/>
  <c r="G85" i="8"/>
  <c r="G87" i="8"/>
  <c r="G89" i="8"/>
  <c r="G91" i="8"/>
  <c r="G93" i="8"/>
  <c r="G95" i="8"/>
  <c r="G97" i="8"/>
  <c r="G99" i="8"/>
  <c r="G101" i="8"/>
  <c r="G103" i="8"/>
  <c r="G105" i="8"/>
  <c r="G107" i="8"/>
  <c r="G109" i="8"/>
  <c r="G111" i="8"/>
  <c r="G113" i="8"/>
  <c r="G115" i="8"/>
  <c r="G117" i="8"/>
  <c r="G119" i="8"/>
  <c r="G121" i="8"/>
  <c r="G123" i="8"/>
  <c r="G125" i="8"/>
  <c r="G127" i="8"/>
  <c r="G129" i="8"/>
  <c r="G131" i="8"/>
  <c r="G133" i="8"/>
  <c r="G135" i="8"/>
  <c r="G137" i="8"/>
  <c r="G139" i="8"/>
  <c r="G141" i="8"/>
  <c r="G143" i="8"/>
  <c r="G145" i="8"/>
  <c r="G147" i="8"/>
  <c r="G149" i="8"/>
  <c r="G151" i="8"/>
  <c r="G153" i="8"/>
  <c r="G155" i="8"/>
  <c r="G157" i="8"/>
  <c r="G159" i="8"/>
  <c r="G161" i="8"/>
  <c r="G163" i="8"/>
  <c r="G165" i="8"/>
  <c r="G167" i="8"/>
  <c r="G169" i="8"/>
  <c r="G171" i="8"/>
  <c r="G173" i="8"/>
  <c r="G175" i="8"/>
  <c r="G177" i="8"/>
  <c r="G179" i="8"/>
  <c r="G181" i="8"/>
  <c r="G183" i="8"/>
  <c r="G110" i="8"/>
  <c r="G114" i="8"/>
  <c r="G118" i="8"/>
  <c r="G122" i="8"/>
  <c r="G126" i="8"/>
  <c r="G130" i="8"/>
  <c r="G134" i="8"/>
  <c r="G138" i="8"/>
  <c r="G142" i="8"/>
  <c r="G146" i="8"/>
  <c r="G150" i="8"/>
  <c r="G154" i="8"/>
  <c r="G158" i="8"/>
  <c r="G162" i="8"/>
  <c r="G166" i="8"/>
  <c r="G170" i="8"/>
  <c r="G174" i="8"/>
  <c r="G178" i="8"/>
  <c r="G182" i="8"/>
  <c r="G185" i="8"/>
  <c r="G187" i="8"/>
  <c r="G189" i="8"/>
  <c r="G191" i="8"/>
  <c r="G193" i="8"/>
  <c r="G195" i="8"/>
  <c r="G197" i="8"/>
  <c r="G199" i="8"/>
  <c r="G201" i="8"/>
  <c r="G203" i="8"/>
  <c r="G205" i="8"/>
  <c r="G207" i="8"/>
  <c r="G209" i="8"/>
  <c r="G211" i="8"/>
  <c r="G213" i="8"/>
  <c r="G112" i="8"/>
  <c r="G116" i="8"/>
  <c r="G120" i="8"/>
  <c r="G124" i="8"/>
  <c r="G128" i="8"/>
  <c r="G132" i="8"/>
  <c r="G136" i="8"/>
  <c r="G140" i="8"/>
  <c r="G144" i="8"/>
  <c r="G148" i="8"/>
  <c r="G152" i="8"/>
  <c r="G156" i="8"/>
  <c r="G160" i="8"/>
  <c r="G164" i="8"/>
  <c r="G168" i="8"/>
  <c r="G172" i="8"/>
  <c r="G176" i="8"/>
  <c r="G180" i="8"/>
  <c r="G184" i="8"/>
  <c r="G186" i="8"/>
  <c r="G188" i="8"/>
  <c r="G190" i="8"/>
  <c r="G192" i="8"/>
  <c r="G194" i="8"/>
  <c r="G196" i="8"/>
  <c r="G198" i="8"/>
  <c r="G200" i="8"/>
  <c r="G202" i="8"/>
  <c r="G204" i="8"/>
  <c r="G206" i="8"/>
  <c r="G208" i="8"/>
  <c r="G210" i="8"/>
  <c r="G212" i="8"/>
  <c r="F2" i="8"/>
  <c r="F4" i="8"/>
  <c r="F6" i="8"/>
  <c r="F8" i="8"/>
  <c r="F10" i="8"/>
  <c r="F12" i="8"/>
  <c r="F14" i="8"/>
  <c r="F16" i="8"/>
  <c r="F18" i="8"/>
  <c r="F20" i="8"/>
  <c r="F22" i="8"/>
  <c r="F24" i="8"/>
  <c r="F26" i="8"/>
  <c r="F28" i="8"/>
  <c r="F30" i="8"/>
  <c r="F32" i="8"/>
  <c r="F34" i="8"/>
  <c r="F36" i="8"/>
  <c r="F38" i="8"/>
  <c r="F40" i="8"/>
  <c r="F42" i="8"/>
  <c r="F44" i="8"/>
  <c r="F46" i="8"/>
  <c r="F48" i="8"/>
  <c r="F50" i="8"/>
  <c r="F52" i="8"/>
  <c r="F54" i="8"/>
  <c r="F3" i="8"/>
  <c r="F7" i="8"/>
  <c r="F11" i="8"/>
  <c r="F15" i="8"/>
  <c r="F19" i="8"/>
  <c r="F23" i="8"/>
  <c r="F27" i="8"/>
  <c r="F31" i="8"/>
  <c r="F35" i="8"/>
  <c r="F39" i="8"/>
  <c r="F43" i="8"/>
  <c r="F47" i="8"/>
  <c r="F51" i="8"/>
  <c r="F55" i="8"/>
  <c r="F57" i="8"/>
  <c r="F59" i="8"/>
  <c r="F61" i="8"/>
  <c r="F63" i="8"/>
  <c r="F65" i="8"/>
  <c r="F67" i="8"/>
  <c r="F69" i="8"/>
  <c r="F71" i="8"/>
  <c r="F73" i="8"/>
  <c r="F75" i="8"/>
  <c r="F77" i="8"/>
  <c r="F79" i="8"/>
  <c r="F81" i="8"/>
  <c r="F83" i="8"/>
  <c r="F85" i="8"/>
  <c r="F87" i="8"/>
  <c r="F89" i="8"/>
  <c r="F91" i="8"/>
  <c r="F93" i="8"/>
  <c r="F95" i="8"/>
  <c r="F97" i="8"/>
  <c r="F99" i="8"/>
  <c r="F101" i="8"/>
  <c r="F103" i="8"/>
  <c r="F105" i="8"/>
  <c r="F107" i="8"/>
  <c r="F109" i="8"/>
  <c r="F111" i="8"/>
  <c r="F113" i="8"/>
  <c r="F115" i="8"/>
  <c r="F117" i="8"/>
  <c r="F119" i="8"/>
  <c r="F121" i="8"/>
  <c r="F123" i="8"/>
  <c r="F125" i="8"/>
  <c r="F127" i="8"/>
  <c r="F129" i="8"/>
  <c r="F131" i="8"/>
  <c r="F133" i="8"/>
  <c r="F135" i="8"/>
  <c r="F137" i="8"/>
  <c r="F139" i="8"/>
  <c r="F141" i="8"/>
  <c r="F143" i="8"/>
  <c r="F145" i="8"/>
  <c r="F147" i="8"/>
  <c r="F149" i="8"/>
  <c r="F151" i="8"/>
  <c r="F153" i="8"/>
  <c r="F155" i="8"/>
  <c r="F157" i="8"/>
  <c r="F159" i="8"/>
  <c r="F161" i="8"/>
  <c r="F163" i="8"/>
  <c r="F165" i="8"/>
  <c r="F167" i="8"/>
  <c r="F169" i="8"/>
  <c r="F171" i="8"/>
  <c r="F173" i="8"/>
  <c r="F175" i="8"/>
  <c r="F177" i="8"/>
  <c r="F179" i="8"/>
  <c r="F181" i="8"/>
  <c r="F183" i="8"/>
  <c r="F185" i="8"/>
  <c r="F187" i="8"/>
  <c r="F189" i="8"/>
  <c r="F191" i="8"/>
  <c r="F193" i="8"/>
  <c r="F195" i="8"/>
  <c r="F197" i="8"/>
  <c r="F199" i="8"/>
  <c r="F201" i="8"/>
  <c r="F203" i="8"/>
  <c r="F205" i="8"/>
  <c r="F207" i="8"/>
  <c r="F209" i="8"/>
  <c r="F211" i="8"/>
  <c r="F213" i="8"/>
  <c r="F5" i="8"/>
  <c r="F9" i="8"/>
  <c r="F13" i="8"/>
  <c r="F17" i="8"/>
  <c r="F21" i="8"/>
  <c r="F25" i="8"/>
  <c r="F29" i="8"/>
  <c r="F33" i="8"/>
  <c r="F37" i="8"/>
  <c r="F41" i="8"/>
  <c r="F45" i="8"/>
  <c r="F49" i="8"/>
  <c r="F53" i="8"/>
  <c r="F56" i="8"/>
  <c r="F58" i="8"/>
  <c r="F60" i="8"/>
  <c r="F62" i="8"/>
  <c r="F64" i="8"/>
  <c r="F66" i="8"/>
  <c r="F68" i="8"/>
  <c r="F70" i="8"/>
  <c r="F72" i="8"/>
  <c r="F74" i="8"/>
  <c r="F76" i="8"/>
  <c r="F78" i="8"/>
  <c r="F80" i="8"/>
  <c r="F82" i="8"/>
  <c r="F84" i="8"/>
  <c r="F86" i="8"/>
  <c r="F88" i="8"/>
  <c r="F90" i="8"/>
  <c r="F92" i="8"/>
  <c r="F94" i="8"/>
  <c r="F96" i="8"/>
  <c r="F98" i="8"/>
  <c r="F100" i="8"/>
  <c r="F102" i="8"/>
  <c r="F104" i="8"/>
  <c r="F106" i="8"/>
  <c r="F108" i="8"/>
  <c r="F110" i="8"/>
  <c r="F112" i="8"/>
  <c r="F114" i="8"/>
  <c r="F116" i="8"/>
  <c r="F118" i="8"/>
  <c r="F120" i="8"/>
  <c r="F122" i="8"/>
  <c r="F124" i="8"/>
  <c r="F126" i="8"/>
  <c r="F128" i="8"/>
  <c r="F130" i="8"/>
  <c r="F132" i="8"/>
  <c r="F134" i="8"/>
  <c r="F136" i="8"/>
  <c r="F138" i="8"/>
  <c r="F140" i="8"/>
  <c r="F142" i="8"/>
  <c r="F144" i="8"/>
  <c r="F146" i="8"/>
  <c r="F148" i="8"/>
  <c r="F150" i="8"/>
  <c r="F152" i="8"/>
  <c r="F154" i="8"/>
  <c r="F156" i="8"/>
  <c r="F158" i="8"/>
  <c r="F160" i="8"/>
  <c r="F162" i="8"/>
  <c r="F164" i="8"/>
  <c r="F166" i="8"/>
  <c r="F168" i="8"/>
  <c r="F170" i="8"/>
  <c r="F172" i="8"/>
  <c r="F174" i="8"/>
  <c r="F176" i="8"/>
  <c r="F178" i="8"/>
  <c r="F180" i="8"/>
  <c r="F182" i="8"/>
  <c r="F184" i="8"/>
  <c r="F186" i="8"/>
  <c r="F188" i="8"/>
  <c r="F190" i="8"/>
  <c r="F192" i="8"/>
  <c r="F194" i="8"/>
  <c r="F196" i="8"/>
  <c r="F198" i="8"/>
  <c r="F200" i="8"/>
  <c r="F202" i="8"/>
  <c r="F204" i="8"/>
  <c r="F206" i="8"/>
  <c r="F208" i="8"/>
  <c r="F210" i="8"/>
  <c r="F212" i="8"/>
  <c r="E2" i="8"/>
  <c r="E4" i="8"/>
  <c r="E6" i="8"/>
  <c r="E8" i="8"/>
  <c r="E10" i="8"/>
  <c r="E12" i="8"/>
  <c r="E14" i="8"/>
  <c r="E16" i="8"/>
  <c r="E18" i="8"/>
  <c r="E20" i="8"/>
  <c r="E22" i="8"/>
  <c r="E24" i="8"/>
  <c r="E26" i="8"/>
  <c r="E28" i="8"/>
  <c r="E30" i="8"/>
  <c r="E32" i="8"/>
  <c r="E34" i="8"/>
  <c r="E36" i="8"/>
  <c r="E38" i="8"/>
  <c r="E40" i="8"/>
  <c r="E42" i="8"/>
  <c r="E44" i="8"/>
  <c r="E46" i="8"/>
  <c r="E48" i="8"/>
  <c r="E50" i="8"/>
  <c r="E52" i="8"/>
  <c r="E54" i="8"/>
  <c r="E56" i="8"/>
  <c r="E58" i="8"/>
  <c r="E60" i="8"/>
  <c r="E62" i="8"/>
  <c r="E64" i="8"/>
  <c r="E66" i="8"/>
  <c r="E68" i="8"/>
  <c r="E70" i="8"/>
  <c r="E72" i="8"/>
  <c r="E74" i="8"/>
  <c r="E76" i="8"/>
  <c r="E78" i="8"/>
  <c r="E80" i="8"/>
  <c r="E82" i="8"/>
  <c r="E84" i="8"/>
  <c r="E86" i="8"/>
  <c r="E88" i="8"/>
  <c r="E90" i="8"/>
  <c r="E92" i="8"/>
  <c r="E94" i="8"/>
  <c r="E96" i="8"/>
  <c r="E98" i="8"/>
  <c r="E100" i="8"/>
  <c r="E102" i="8"/>
  <c r="E104" i="8"/>
  <c r="E106" i="8"/>
  <c r="E108" i="8"/>
  <c r="E110" i="8"/>
  <c r="E112" i="8"/>
  <c r="E114" i="8"/>
  <c r="E116" i="8"/>
  <c r="E118" i="8"/>
  <c r="E120" i="8"/>
  <c r="E122" i="8"/>
  <c r="E3" i="8"/>
  <c r="E5" i="8"/>
  <c r="E7" i="8"/>
  <c r="E9" i="8"/>
  <c r="E11" i="8"/>
  <c r="E13" i="8"/>
  <c r="E15" i="8"/>
  <c r="E17" i="8"/>
  <c r="E19" i="8"/>
  <c r="E21" i="8"/>
  <c r="E23" i="8"/>
  <c r="E25" i="8"/>
  <c r="E27" i="8"/>
  <c r="E29" i="8"/>
  <c r="E31" i="8"/>
  <c r="E33" i="8"/>
  <c r="E35" i="8"/>
  <c r="E37" i="8"/>
  <c r="E39" i="8"/>
  <c r="E41" i="8"/>
  <c r="E43" i="8"/>
  <c r="E45" i="8"/>
  <c r="E47" i="8"/>
  <c r="E49" i="8"/>
  <c r="E51" i="8"/>
  <c r="E53" i="8"/>
  <c r="E55" i="8"/>
  <c r="E57" i="8"/>
  <c r="E59" i="8"/>
  <c r="E61" i="8"/>
  <c r="E63" i="8"/>
  <c r="E65" i="8"/>
  <c r="E67" i="8"/>
  <c r="E69" i="8"/>
  <c r="E71" i="8"/>
  <c r="E73" i="8"/>
  <c r="E75" i="8"/>
  <c r="E77" i="8"/>
  <c r="E79" i="8"/>
  <c r="E81" i="8"/>
  <c r="E83" i="8"/>
  <c r="E85" i="8"/>
  <c r="E87" i="8"/>
  <c r="E89" i="8"/>
  <c r="E91" i="8"/>
  <c r="E93" i="8"/>
  <c r="E95" i="8"/>
  <c r="E97" i="8"/>
  <c r="E99" i="8"/>
  <c r="E101" i="8"/>
  <c r="E103" i="8"/>
  <c r="E105" i="8"/>
  <c r="E107" i="8"/>
  <c r="E109" i="8"/>
  <c r="E111" i="8"/>
  <c r="E113" i="8"/>
  <c r="E115" i="8"/>
  <c r="E117" i="8"/>
  <c r="E119" i="8"/>
  <c r="E121" i="8"/>
  <c r="E123" i="8"/>
  <c r="E125" i="8"/>
  <c r="E127" i="8"/>
  <c r="E129" i="8"/>
  <c r="E131" i="8"/>
  <c r="E133" i="8"/>
  <c r="E135" i="8"/>
  <c r="E137" i="8"/>
  <c r="E139" i="8"/>
  <c r="E141" i="8"/>
  <c r="E143" i="8"/>
  <c r="E145" i="8"/>
  <c r="E147" i="8"/>
  <c r="E149" i="8"/>
  <c r="E151" i="8"/>
  <c r="E153" i="8"/>
  <c r="E155" i="8"/>
  <c r="E157" i="8"/>
  <c r="E159" i="8"/>
  <c r="E161" i="8"/>
  <c r="E163" i="8"/>
  <c r="E165" i="8"/>
  <c r="E167" i="8"/>
  <c r="E169" i="8"/>
  <c r="E171" i="8"/>
  <c r="E173" i="8"/>
  <c r="E175" i="8"/>
  <c r="E177" i="8"/>
  <c r="E179" i="8"/>
  <c r="E181" i="8"/>
  <c r="E183" i="8"/>
  <c r="E185" i="8"/>
  <c r="E187" i="8"/>
  <c r="E189" i="8"/>
  <c r="E191" i="8"/>
  <c r="E193" i="8"/>
  <c r="E195" i="8"/>
  <c r="E197" i="8"/>
  <c r="E199" i="8"/>
  <c r="E201" i="8"/>
  <c r="E203" i="8"/>
  <c r="E205" i="8"/>
  <c r="E207" i="8"/>
  <c r="E209" i="8"/>
  <c r="E211" i="8"/>
  <c r="E213" i="8"/>
  <c r="E124" i="8"/>
  <c r="E128" i="8"/>
  <c r="E132" i="8"/>
  <c r="E136" i="8"/>
  <c r="E140" i="8"/>
  <c r="E144" i="8"/>
  <c r="E148" i="8"/>
  <c r="E152" i="8"/>
  <c r="E156" i="8"/>
  <c r="E160" i="8"/>
  <c r="E164" i="8"/>
  <c r="E168" i="8"/>
  <c r="E172" i="8"/>
  <c r="E176" i="8"/>
  <c r="E180" i="8"/>
  <c r="E184" i="8"/>
  <c r="E188" i="8"/>
  <c r="E192" i="8"/>
  <c r="E196" i="8"/>
  <c r="E200" i="8"/>
  <c r="E204" i="8"/>
  <c r="E208" i="8"/>
  <c r="E212" i="8"/>
  <c r="E126" i="8"/>
  <c r="E130" i="8"/>
  <c r="E134" i="8"/>
  <c r="E138" i="8"/>
  <c r="E142" i="8"/>
  <c r="E146" i="8"/>
  <c r="E150" i="8"/>
  <c r="E154" i="8"/>
  <c r="E158" i="8"/>
  <c r="E162" i="8"/>
  <c r="E166" i="8"/>
  <c r="E170" i="8"/>
  <c r="E174" i="8"/>
  <c r="E178" i="8"/>
  <c r="E182" i="8"/>
  <c r="E186" i="8"/>
  <c r="E190" i="8"/>
  <c r="E194" i="8"/>
  <c r="E198" i="8"/>
  <c r="E202" i="8"/>
  <c r="E206" i="8"/>
  <c r="E210" i="8"/>
  <c r="D3" i="8"/>
  <c r="D5" i="8"/>
  <c r="D7" i="8"/>
  <c r="D9" i="8"/>
  <c r="D11" i="8"/>
  <c r="D13" i="8"/>
  <c r="D15" i="8"/>
  <c r="D17" i="8"/>
  <c r="D19" i="8"/>
  <c r="D21" i="8"/>
  <c r="D23" i="8"/>
  <c r="D25" i="8"/>
  <c r="D27" i="8"/>
  <c r="D29" i="8"/>
  <c r="D31" i="8"/>
  <c r="D33" i="8"/>
  <c r="D35" i="8"/>
  <c r="D37" i="8"/>
  <c r="D39" i="8"/>
  <c r="D41" i="8"/>
  <c r="D43" i="8"/>
  <c r="D45" i="8"/>
  <c r="D47" i="8"/>
  <c r="D49" i="8"/>
  <c r="D51" i="8"/>
  <c r="D53" i="8"/>
  <c r="D55" i="8"/>
  <c r="D57" i="8"/>
  <c r="D59" i="8"/>
  <c r="D61" i="8"/>
  <c r="D63" i="8"/>
  <c r="D65" i="8"/>
  <c r="D2" i="8"/>
  <c r="D4" i="8"/>
  <c r="D6" i="8"/>
  <c r="D8" i="8"/>
  <c r="D10" i="8"/>
  <c r="D12" i="8"/>
  <c r="D14" i="8"/>
  <c r="D16" i="8"/>
  <c r="D18" i="8"/>
  <c r="D20" i="8"/>
  <c r="D22" i="8"/>
  <c r="D24" i="8"/>
  <c r="D26" i="8"/>
  <c r="D28" i="8"/>
  <c r="D30" i="8"/>
  <c r="D32" i="8"/>
  <c r="D34" i="8"/>
  <c r="D36" i="8"/>
  <c r="D38" i="8"/>
  <c r="D40" i="8"/>
  <c r="D42" i="8"/>
  <c r="D44" i="8"/>
  <c r="D46" i="8"/>
  <c r="D48" i="8"/>
  <c r="D50" i="8"/>
  <c r="D52" i="8"/>
  <c r="D54" i="8"/>
  <c r="D56" i="8"/>
  <c r="D58" i="8"/>
  <c r="D60" i="8"/>
  <c r="D62" i="8"/>
  <c r="D64" i="8"/>
  <c r="D66" i="8"/>
  <c r="D68" i="8"/>
  <c r="D70" i="8"/>
  <c r="D72" i="8"/>
  <c r="D74" i="8"/>
  <c r="D76" i="8"/>
  <c r="D78" i="8"/>
  <c r="D80" i="8"/>
  <c r="D82" i="8"/>
  <c r="D84" i="8"/>
  <c r="D86" i="8"/>
  <c r="D88" i="8"/>
  <c r="D90" i="8"/>
  <c r="D92" i="8"/>
  <c r="D94" i="8"/>
  <c r="D96" i="8"/>
  <c r="D98" i="8"/>
  <c r="D100" i="8"/>
  <c r="D102" i="8"/>
  <c r="D104" i="8"/>
  <c r="D106" i="8"/>
  <c r="D108" i="8"/>
  <c r="D110" i="8"/>
  <c r="D112" i="8"/>
  <c r="D114" i="8"/>
  <c r="D116" i="8"/>
  <c r="D118" i="8"/>
  <c r="D120" i="8"/>
  <c r="D122" i="8"/>
  <c r="D124" i="8"/>
  <c r="D126" i="8"/>
  <c r="D128" i="8"/>
  <c r="D130" i="8"/>
  <c r="D132" i="8"/>
  <c r="D134" i="8"/>
  <c r="D136" i="8"/>
  <c r="D138" i="8"/>
  <c r="D140" i="8"/>
  <c r="D142" i="8"/>
  <c r="D144" i="8"/>
  <c r="D146" i="8"/>
  <c r="D148" i="8"/>
  <c r="D150" i="8"/>
  <c r="D152" i="8"/>
  <c r="D154" i="8"/>
  <c r="D156" i="8"/>
  <c r="D158" i="8"/>
  <c r="D160" i="8"/>
  <c r="D162" i="8"/>
  <c r="D164" i="8"/>
  <c r="D166" i="8"/>
  <c r="D168" i="8"/>
  <c r="D170" i="8"/>
  <c r="D172" i="8"/>
  <c r="D174" i="8"/>
  <c r="D176" i="8"/>
  <c r="D178" i="8"/>
  <c r="D180" i="8"/>
  <c r="D182" i="8"/>
  <c r="D184" i="8"/>
  <c r="D186" i="8"/>
  <c r="D188" i="8"/>
  <c r="D190" i="8"/>
  <c r="D192" i="8"/>
  <c r="D194" i="8"/>
  <c r="D196" i="8"/>
  <c r="D198" i="8"/>
  <c r="D200" i="8"/>
  <c r="D202" i="8"/>
  <c r="D204" i="8"/>
  <c r="D206" i="8"/>
  <c r="D208" i="8"/>
  <c r="D210" i="8"/>
  <c r="D212" i="8"/>
  <c r="D67" i="8"/>
  <c r="D71" i="8"/>
  <c r="D75" i="8"/>
  <c r="D79" i="8"/>
  <c r="D83" i="8"/>
  <c r="D87" i="8"/>
  <c r="D91" i="8"/>
  <c r="D95" i="8"/>
  <c r="D99" i="8"/>
  <c r="D103" i="8"/>
  <c r="D107" i="8"/>
  <c r="D111" i="8"/>
  <c r="D115" i="8"/>
  <c r="D119" i="8"/>
  <c r="D123" i="8"/>
  <c r="D127" i="8"/>
  <c r="D131" i="8"/>
  <c r="D135" i="8"/>
  <c r="D139" i="8"/>
  <c r="D143" i="8"/>
  <c r="D147" i="8"/>
  <c r="D151" i="8"/>
  <c r="D155" i="8"/>
  <c r="D159" i="8"/>
  <c r="D163" i="8"/>
  <c r="D167" i="8"/>
  <c r="D171" i="8"/>
  <c r="D175" i="8"/>
  <c r="D179" i="8"/>
  <c r="D183" i="8"/>
  <c r="D187" i="8"/>
  <c r="D191" i="8"/>
  <c r="D195" i="8"/>
  <c r="D199" i="8"/>
  <c r="D203" i="8"/>
  <c r="D207" i="8"/>
  <c r="D211" i="8"/>
  <c r="D69" i="8"/>
  <c r="D73" i="8"/>
  <c r="D77" i="8"/>
  <c r="D81" i="8"/>
  <c r="D85" i="8"/>
  <c r="D89" i="8"/>
  <c r="D93" i="8"/>
  <c r="D97" i="8"/>
  <c r="D101" i="8"/>
  <c r="D105" i="8"/>
  <c r="D109" i="8"/>
  <c r="D113" i="8"/>
  <c r="D117" i="8"/>
  <c r="D121" i="8"/>
  <c r="D125" i="8"/>
  <c r="D129" i="8"/>
  <c r="D133" i="8"/>
  <c r="D137" i="8"/>
  <c r="D141" i="8"/>
  <c r="D145" i="8"/>
  <c r="D149" i="8"/>
  <c r="D153" i="8"/>
  <c r="D157" i="8"/>
  <c r="D161" i="8"/>
  <c r="D165" i="8"/>
  <c r="D169" i="8"/>
  <c r="D173" i="8"/>
  <c r="D177" i="8"/>
  <c r="D181" i="8"/>
  <c r="D185" i="8"/>
  <c r="D189" i="8"/>
  <c r="D193" i="8"/>
  <c r="D197" i="8"/>
  <c r="D201" i="8"/>
  <c r="D205" i="8"/>
  <c r="D209" i="8"/>
  <c r="D213" i="8"/>
  <c r="C3" i="8"/>
  <c r="C5" i="8"/>
  <c r="C7" i="8"/>
  <c r="C9" i="8"/>
  <c r="C11" i="8"/>
  <c r="C13" i="8"/>
  <c r="C15" i="8"/>
  <c r="C17" i="8"/>
  <c r="C19" i="8"/>
  <c r="C21" i="8"/>
  <c r="C23" i="8"/>
  <c r="C25" i="8"/>
  <c r="C27" i="8"/>
  <c r="C29" i="8"/>
  <c r="C31" i="8"/>
  <c r="C33" i="8"/>
  <c r="C35" i="8"/>
  <c r="C37" i="8"/>
  <c r="C39" i="8"/>
  <c r="C41" i="8"/>
  <c r="C43" i="8"/>
  <c r="C45" i="8"/>
  <c r="C47" i="8"/>
  <c r="C2" i="8"/>
  <c r="C4" i="8"/>
  <c r="C6" i="8"/>
  <c r="C8" i="8"/>
  <c r="C10" i="8"/>
  <c r="C12" i="8"/>
  <c r="C14" i="8"/>
  <c r="C16" i="8"/>
  <c r="C18" i="8"/>
  <c r="C20" i="8"/>
  <c r="C22" i="8"/>
  <c r="C24" i="8"/>
  <c r="C26" i="8"/>
  <c r="C28" i="8"/>
  <c r="C30" i="8"/>
  <c r="C32" i="8"/>
  <c r="C34" i="8"/>
  <c r="C36" i="8"/>
  <c r="C38" i="8"/>
  <c r="C40" i="8"/>
  <c r="C42" i="8"/>
  <c r="C44" i="8"/>
  <c r="C46" i="8"/>
  <c r="C48" i="8"/>
  <c r="C50" i="8"/>
  <c r="C52" i="8"/>
  <c r="C54" i="8"/>
  <c r="C56" i="8"/>
  <c r="C58" i="8"/>
  <c r="C60" i="8"/>
  <c r="C62" i="8"/>
  <c r="C64" i="8"/>
  <c r="C66" i="8"/>
  <c r="C68" i="8"/>
  <c r="C70" i="8"/>
  <c r="C72" i="8"/>
  <c r="C74" i="8"/>
  <c r="C76" i="8"/>
  <c r="C78" i="8"/>
  <c r="C80" i="8"/>
  <c r="C82" i="8"/>
  <c r="C84" i="8"/>
  <c r="C86" i="8"/>
  <c r="C88" i="8"/>
  <c r="C90" i="8"/>
  <c r="C92" i="8"/>
  <c r="C94" i="8"/>
  <c r="C96" i="8"/>
  <c r="C98" i="8"/>
  <c r="C100" i="8"/>
  <c r="C102" i="8"/>
  <c r="C104" i="8"/>
  <c r="C106" i="8"/>
  <c r="C108" i="8"/>
  <c r="C110" i="8"/>
  <c r="C112" i="8"/>
  <c r="C114" i="8"/>
  <c r="C116" i="8"/>
  <c r="C118" i="8"/>
  <c r="C120" i="8"/>
  <c r="C122" i="8"/>
  <c r="C124" i="8"/>
  <c r="C126" i="8"/>
  <c r="C128" i="8"/>
  <c r="C130" i="8"/>
  <c r="C132" i="8"/>
  <c r="C134" i="8"/>
  <c r="C136" i="8"/>
  <c r="C138" i="8"/>
  <c r="C140" i="8"/>
  <c r="C142" i="8"/>
  <c r="C144" i="8"/>
  <c r="C146" i="8"/>
  <c r="C148" i="8"/>
  <c r="C150" i="8"/>
  <c r="C152" i="8"/>
  <c r="C154" i="8"/>
  <c r="C156" i="8"/>
  <c r="C158" i="8"/>
  <c r="C160" i="8"/>
  <c r="C162" i="8"/>
  <c r="C164" i="8"/>
  <c r="C166" i="8"/>
  <c r="C168" i="8"/>
  <c r="C170" i="8"/>
  <c r="C49" i="8"/>
  <c r="C53" i="8"/>
  <c r="C57" i="8"/>
  <c r="C61" i="8"/>
  <c r="C65" i="8"/>
  <c r="C69" i="8"/>
  <c r="C73" i="8"/>
  <c r="C77" i="8"/>
  <c r="C81" i="8"/>
  <c r="C85" i="8"/>
  <c r="C89" i="8"/>
  <c r="C93" i="8"/>
  <c r="C97" i="8"/>
  <c r="C101" i="8"/>
  <c r="C105" i="8"/>
  <c r="C109" i="8"/>
  <c r="C113" i="8"/>
  <c r="C117" i="8"/>
  <c r="C121" i="8"/>
  <c r="C125" i="8"/>
  <c r="C129" i="8"/>
  <c r="C133" i="8"/>
  <c r="C137" i="8"/>
  <c r="C141" i="8"/>
  <c r="C145" i="8"/>
  <c r="C149" i="8"/>
  <c r="C153" i="8"/>
  <c r="C157" i="8"/>
  <c r="C161" i="8"/>
  <c r="C165" i="8"/>
  <c r="C169" i="8"/>
  <c r="C172" i="8"/>
  <c r="C174" i="8"/>
  <c r="C176" i="8"/>
  <c r="C178" i="8"/>
  <c r="C180" i="8"/>
  <c r="C182" i="8"/>
  <c r="C184" i="8"/>
  <c r="C186" i="8"/>
  <c r="C188" i="8"/>
  <c r="C190" i="8"/>
  <c r="C192" i="8"/>
  <c r="C194" i="8"/>
  <c r="C196" i="8"/>
  <c r="C198" i="8"/>
  <c r="C200" i="8"/>
  <c r="C202" i="8"/>
  <c r="C204" i="8"/>
  <c r="C206" i="8"/>
  <c r="C208" i="8"/>
  <c r="C210" i="8"/>
  <c r="C212" i="8"/>
  <c r="C51" i="8"/>
  <c r="C55" i="8"/>
  <c r="C59" i="8"/>
  <c r="C63" i="8"/>
  <c r="C67" i="8"/>
  <c r="C71" i="8"/>
  <c r="C75" i="8"/>
  <c r="C79" i="8"/>
  <c r="C83" i="8"/>
  <c r="C87" i="8"/>
  <c r="C91" i="8"/>
  <c r="C95" i="8"/>
  <c r="C99" i="8"/>
  <c r="C103" i="8"/>
  <c r="C107" i="8"/>
  <c r="C111" i="8"/>
  <c r="C115" i="8"/>
  <c r="C119" i="8"/>
  <c r="C123" i="8"/>
  <c r="C127" i="8"/>
  <c r="C131" i="8"/>
  <c r="C135" i="8"/>
  <c r="C139" i="8"/>
  <c r="C143" i="8"/>
  <c r="C147" i="8"/>
  <c r="C151" i="8"/>
  <c r="C155" i="8"/>
  <c r="C159" i="8"/>
  <c r="C163" i="8"/>
  <c r="C167" i="8"/>
  <c r="C171" i="8"/>
  <c r="C173" i="8"/>
  <c r="C175" i="8"/>
  <c r="C177" i="8"/>
  <c r="C179" i="8"/>
  <c r="C181" i="8"/>
  <c r="C183" i="8"/>
  <c r="C185" i="8"/>
  <c r="C187" i="8"/>
  <c r="C189" i="8"/>
  <c r="C191" i="8"/>
  <c r="C193" i="8"/>
  <c r="C195" i="8"/>
  <c r="C197" i="8"/>
  <c r="C199" i="8"/>
  <c r="C201" i="8"/>
  <c r="C203" i="8"/>
  <c r="C205" i="8"/>
  <c r="C207" i="8"/>
  <c r="C209" i="8"/>
  <c r="C211" i="8"/>
  <c r="C213" i="8"/>
  <c r="B3" i="5"/>
  <c r="C9" i="5"/>
  <c r="B9" i="5"/>
  <c r="F77" i="5" l="1"/>
  <c r="E70" i="5"/>
  <c r="E77" i="5"/>
  <c r="C14" i="5"/>
  <c r="C58" i="5"/>
  <c r="C23" i="5"/>
  <c r="C39" i="5"/>
  <c r="C51" i="5"/>
  <c r="C13" i="5"/>
  <c r="C16" i="5"/>
  <c r="C20" i="5"/>
  <c r="C24" i="5"/>
  <c r="C28" i="5"/>
  <c r="C32" i="5"/>
  <c r="C36" i="5"/>
  <c r="C40" i="5"/>
  <c r="C44" i="5"/>
  <c r="C48" i="5"/>
  <c r="C52" i="5"/>
  <c r="C56" i="5"/>
  <c r="C60" i="5"/>
  <c r="C22" i="5"/>
  <c r="C26" i="5"/>
  <c r="C34" i="5"/>
  <c r="C42" i="5"/>
  <c r="C50" i="5"/>
  <c r="C62" i="5"/>
  <c r="C19" i="5"/>
  <c r="C31" i="5"/>
  <c r="C43" i="5"/>
  <c r="C55" i="5"/>
  <c r="C17" i="5"/>
  <c r="C21" i="5"/>
  <c r="C25" i="5"/>
  <c r="C29" i="5"/>
  <c r="C33" i="5"/>
  <c r="C37" i="5"/>
  <c r="C41" i="5"/>
  <c r="C45" i="5"/>
  <c r="C49" i="5"/>
  <c r="C53" i="5"/>
  <c r="C57" i="5"/>
  <c r="C61" i="5"/>
  <c r="C18" i="5"/>
  <c r="C30" i="5"/>
  <c r="C38" i="5"/>
  <c r="C46" i="5"/>
  <c r="C54" i="5"/>
  <c r="C15" i="5"/>
  <c r="C27" i="5"/>
  <c r="C35" i="5"/>
  <c r="C47" i="5"/>
  <c r="C59" i="5"/>
  <c r="B14" i="5" l="1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13" i="5"/>
  <c r="B66" i="5" s="1"/>
  <c r="B67" i="5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B97" i="5" s="1"/>
  <c r="B98" i="5" s="1"/>
  <c r="B99" i="5" s="1"/>
  <c r="B100" i="5" s="1"/>
  <c r="B101" i="5" s="1"/>
  <c r="B102" i="5" s="1"/>
  <c r="B103" i="5" s="1"/>
  <c r="B104" i="5" s="1"/>
  <c r="B105" i="5" s="1"/>
  <c r="B106" i="5" s="1"/>
  <c r="B107" i="5" s="1"/>
  <c r="B108" i="5" s="1"/>
  <c r="B109" i="5" s="1"/>
  <c r="B110" i="5" s="1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B121" i="5" s="1"/>
  <c r="B122" i="5" s="1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B138" i="5" s="1"/>
  <c r="B139" i="5" s="1"/>
  <c r="B140" i="5" s="1"/>
  <c r="B141" i="5" s="1"/>
  <c r="B142" i="5" s="1"/>
  <c r="B143" i="5" s="1"/>
  <c r="B144" i="5" s="1"/>
  <c r="B145" i="5" s="1"/>
  <c r="B146" i="5" s="1"/>
  <c r="B147" i="5" s="1"/>
  <c r="B148" i="5" s="1"/>
  <c r="B149" i="5" s="1"/>
  <c r="B150" i="5" s="1"/>
  <c r="B151" i="5" s="1"/>
  <c r="B152" i="5" s="1"/>
  <c r="B153" i="5" s="1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B201" i="5" s="1"/>
  <c r="B202" i="5" s="1"/>
  <c r="B203" i="5" s="1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B251" i="5" s="1"/>
  <c r="B252" i="5" s="1"/>
  <c r="B253" i="5" s="1"/>
  <c r="B254" i="5" s="1"/>
  <c r="B255" i="5" s="1"/>
  <c r="B256" i="5" s="1"/>
  <c r="B257" i="5" s="1"/>
  <c r="B258" i="5" s="1"/>
  <c r="B259" i="5" s="1"/>
  <c r="B260" i="5" s="1"/>
  <c r="B261" i="5" s="1"/>
  <c r="B262" i="5" s="1"/>
  <c r="B263" i="5" s="1"/>
  <c r="B264" i="5" s="1"/>
  <c r="B265" i="5" s="1"/>
  <c r="B266" i="5" s="1"/>
  <c r="B267" i="5" s="1"/>
  <c r="B268" i="5" s="1"/>
  <c r="B269" i="5" s="1"/>
  <c r="B270" i="5" s="1"/>
  <c r="B271" i="5" s="1"/>
  <c r="B272" i="5" s="1"/>
  <c r="B273" i="5" s="1"/>
  <c r="B274" i="5" s="1"/>
  <c r="B275" i="5" s="1"/>
  <c r="B276" i="5" s="1"/>
  <c r="B277" i="5" s="1"/>
  <c r="B278" i="5" s="1"/>
  <c r="B279" i="5" s="1"/>
  <c r="B280" i="5" s="1"/>
  <c r="B281" i="5" s="1"/>
  <c r="B282" i="5" s="1"/>
  <c r="B283" i="5" s="1"/>
  <c r="B284" i="5" s="1"/>
  <c r="B285" i="5" s="1"/>
  <c r="B286" i="5" s="1"/>
  <c r="B287" i="5" s="1"/>
  <c r="B288" i="5" s="1"/>
  <c r="B289" i="5" s="1"/>
  <c r="B290" i="5" s="1"/>
  <c r="B291" i="5" s="1"/>
  <c r="B292" i="5" s="1"/>
  <c r="B293" i="5" s="1"/>
  <c r="B294" i="5" s="1"/>
  <c r="B295" i="5" s="1"/>
  <c r="B296" i="5" s="1"/>
  <c r="B297" i="5" s="1"/>
  <c r="B298" i="5" s="1"/>
  <c r="B299" i="5" s="1"/>
  <c r="B300" i="5" s="1"/>
  <c r="B301" i="5" s="1"/>
  <c r="B302" i="5" s="1"/>
  <c r="B303" i="5" s="1"/>
  <c r="B304" i="5" s="1"/>
  <c r="B305" i="5" s="1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B323" i="5" s="1"/>
  <c r="B324" i="5" s="1"/>
  <c r="B325" i="5" s="1"/>
  <c r="B326" i="5" s="1"/>
  <c r="B327" i="5" s="1"/>
  <c r="B328" i="5" s="1"/>
  <c r="B329" i="5" s="1"/>
  <c r="B330" i="5" s="1"/>
  <c r="B331" i="5" s="1"/>
  <c r="B332" i="5" s="1"/>
  <c r="B333" i="5" s="1"/>
  <c r="B334" i="5" s="1"/>
  <c r="B335" i="5" s="1"/>
  <c r="B336" i="5" s="1"/>
  <c r="B337" i="5" s="1"/>
  <c r="B338" i="5" s="1"/>
  <c r="B339" i="5" s="1"/>
  <c r="B340" i="5" s="1"/>
  <c r="B341" i="5" s="1"/>
  <c r="B342" i="5" s="1"/>
  <c r="B343" i="5" s="1"/>
  <c r="B344" i="5" s="1"/>
  <c r="B345" i="5" s="1"/>
  <c r="B346" i="5" s="1"/>
  <c r="B347" i="5" s="1"/>
  <c r="B348" i="5" s="1"/>
  <c r="B349" i="5" s="1"/>
  <c r="B350" i="5" s="1"/>
  <c r="B351" i="5" s="1"/>
  <c r="B352" i="5" s="1"/>
  <c r="B353" i="5" s="1"/>
  <c r="B354" i="5" s="1"/>
  <c r="B355" i="5" s="1"/>
  <c r="B356" i="5" s="1"/>
  <c r="B357" i="5" s="1"/>
  <c r="B358" i="5" s="1"/>
  <c r="B359" i="5" s="1"/>
  <c r="B360" i="5" s="1"/>
  <c r="B361" i="5" s="1"/>
  <c r="B362" i="5" s="1"/>
  <c r="B363" i="5" s="1"/>
  <c r="B364" i="5" s="1"/>
  <c r="B365" i="5" s="1"/>
  <c r="B366" i="5" s="1"/>
  <c r="B367" i="5" s="1"/>
  <c r="B368" i="5" s="1"/>
  <c r="B369" i="5" s="1"/>
  <c r="B370" i="5" s="1"/>
  <c r="B371" i="5" s="1"/>
  <c r="B372" i="5" s="1"/>
  <c r="B373" i="5" s="1"/>
  <c r="B374" i="5" s="1"/>
  <c r="B375" i="5" s="1"/>
  <c r="B376" i="5" s="1"/>
  <c r="B377" i="5" s="1"/>
  <c r="B378" i="5" s="1"/>
  <c r="B379" i="5" s="1"/>
  <c r="B380" i="5" s="1"/>
  <c r="B381" i="5" s="1"/>
  <c r="B382" i="5" s="1"/>
  <c r="B383" i="5" s="1"/>
  <c r="B384" i="5" s="1"/>
  <c r="B385" i="5" s="1"/>
  <c r="B386" i="5" s="1"/>
  <c r="B387" i="5" s="1"/>
  <c r="B388" i="5" s="1"/>
  <c r="B389" i="5" s="1"/>
  <c r="B390" i="5" s="1"/>
  <c r="B391" i="5" s="1"/>
  <c r="B392" i="5" s="1"/>
  <c r="B393" i="5" s="1"/>
  <c r="B394" i="5" s="1"/>
  <c r="B395" i="5" s="1"/>
  <c r="B396" i="5" s="1"/>
  <c r="B397" i="5" s="1"/>
  <c r="B398" i="5" s="1"/>
  <c r="B399" i="5" s="1"/>
  <c r="B400" i="5" s="1"/>
  <c r="B401" i="5" s="1"/>
  <c r="B402" i="5" s="1"/>
  <c r="B403" i="5" s="1"/>
  <c r="B404" i="5" s="1"/>
  <c r="B405" i="5" s="1"/>
  <c r="B406" i="5" s="1"/>
  <c r="B407" i="5" s="1"/>
  <c r="B408" i="5" s="1"/>
  <c r="B409" i="5" s="1"/>
  <c r="B410" i="5" s="1"/>
  <c r="B411" i="5" s="1"/>
  <c r="B412" i="5" s="1"/>
  <c r="B413" i="5" s="1"/>
  <c r="B414" i="5" s="1"/>
  <c r="B415" i="5" s="1"/>
  <c r="B416" i="5" s="1"/>
  <c r="B417" i="5" s="1"/>
  <c r="B418" i="5" s="1"/>
  <c r="B419" i="5" s="1"/>
  <c r="B420" i="5" s="1"/>
  <c r="B421" i="5" s="1"/>
  <c r="B422" i="5" s="1"/>
  <c r="B423" i="5" s="1"/>
  <c r="B424" i="5" s="1"/>
  <c r="B425" i="5" s="1"/>
  <c r="B426" i="5" s="1"/>
  <c r="B427" i="5" s="1"/>
  <c r="B428" i="5" s="1"/>
  <c r="B429" i="5" s="1"/>
  <c r="B430" i="5" s="1"/>
  <c r="B431" i="5" s="1"/>
  <c r="B432" i="5" s="1"/>
  <c r="B433" i="5" s="1"/>
  <c r="B434" i="5" s="1"/>
  <c r="B435" i="5" s="1"/>
  <c r="B436" i="5" s="1"/>
  <c r="B437" i="5" s="1"/>
  <c r="B438" i="5" s="1"/>
  <c r="B439" i="5" s="1"/>
  <c r="B440" i="5" s="1"/>
  <c r="B441" i="5" s="1"/>
  <c r="B442" i="5" s="1"/>
  <c r="B443" i="5" s="1"/>
  <c r="B444" i="5" s="1"/>
  <c r="B445" i="5" s="1"/>
  <c r="B446" i="5" s="1"/>
  <c r="B447" i="5" s="1"/>
  <c r="B448" i="5" s="1"/>
  <c r="B449" i="5" s="1"/>
  <c r="B450" i="5" s="1"/>
  <c r="B451" i="5" s="1"/>
  <c r="B452" i="5" s="1"/>
  <c r="B453" i="5" s="1"/>
  <c r="B454" i="5" s="1"/>
  <c r="B455" i="5" s="1"/>
  <c r="B456" i="5" s="1"/>
  <c r="B457" i="5" s="1"/>
  <c r="B458" i="5" s="1"/>
  <c r="B459" i="5" s="1"/>
  <c r="B460" i="5" s="1"/>
  <c r="B461" i="5" s="1"/>
  <c r="B462" i="5" s="1"/>
  <c r="B463" i="5" s="1"/>
  <c r="B464" i="5" s="1"/>
  <c r="B465" i="5" s="1"/>
  <c r="B466" i="5" s="1"/>
  <c r="B467" i="5" s="1"/>
  <c r="B468" i="5" s="1"/>
  <c r="B469" i="5" s="1"/>
  <c r="B470" i="5" s="1"/>
  <c r="B471" i="5" s="1"/>
  <c r="B472" i="5" s="1"/>
  <c r="B473" i="5" s="1"/>
  <c r="B474" i="5" s="1"/>
  <c r="B475" i="5" s="1"/>
  <c r="B476" i="5" s="1"/>
  <c r="B477" i="5" s="1"/>
  <c r="B478" i="5" s="1"/>
  <c r="B479" i="5" s="1"/>
  <c r="B480" i="5" s="1"/>
  <c r="B481" i="5" s="1"/>
  <c r="B482" i="5" s="1"/>
  <c r="B483" i="5" s="1"/>
  <c r="B484" i="5" s="1"/>
  <c r="B485" i="5" s="1"/>
  <c r="B486" i="5" s="1"/>
  <c r="B487" i="5" s="1"/>
  <c r="B488" i="5" s="1"/>
  <c r="B489" i="5" s="1"/>
  <c r="B490" i="5" s="1"/>
  <c r="B491" i="5" s="1"/>
  <c r="B492" i="5" s="1"/>
  <c r="B493" i="5" s="1"/>
  <c r="B494" i="5" s="1"/>
  <c r="B495" i="5" s="1"/>
  <c r="B496" i="5" s="1"/>
  <c r="B497" i="5" s="1"/>
  <c r="B498" i="5" s="1"/>
  <c r="B499" i="5" s="1"/>
  <c r="B500" i="5" s="1"/>
  <c r="B501" i="5" s="1"/>
  <c r="B502" i="5" s="1"/>
  <c r="B503" i="5" s="1"/>
  <c r="B504" i="5" s="1"/>
  <c r="B505" i="5" s="1"/>
  <c r="B506" i="5" s="1"/>
  <c r="B507" i="5" s="1"/>
  <c r="B508" i="5" s="1"/>
  <c r="B509" i="5" s="1"/>
  <c r="B510" i="5" s="1"/>
  <c r="B511" i="5" s="1"/>
  <c r="B512" i="5" s="1"/>
  <c r="B513" i="5" s="1"/>
  <c r="B514" i="5" s="1"/>
  <c r="B515" i="5" s="1"/>
  <c r="B516" i="5" s="1"/>
  <c r="B517" i="5" s="1"/>
  <c r="B518" i="5" s="1"/>
  <c r="B519" i="5" s="1"/>
  <c r="B520" i="5" s="1"/>
  <c r="B521" i="5" s="1"/>
  <c r="B522" i="5" s="1"/>
  <c r="B523" i="5" s="1"/>
  <c r="B524" i="5" s="1"/>
  <c r="B525" i="5" s="1"/>
  <c r="B526" i="5" s="1"/>
  <c r="B527" i="5" s="1"/>
  <c r="B528" i="5" s="1"/>
  <c r="B529" i="5" s="1"/>
  <c r="B530" i="5" s="1"/>
  <c r="B531" i="5" s="1"/>
  <c r="B532" i="5" s="1"/>
  <c r="B533" i="5" s="1"/>
  <c r="B534" i="5" s="1"/>
  <c r="B535" i="5" s="1"/>
  <c r="B536" i="5" s="1"/>
  <c r="B537" i="5" s="1"/>
  <c r="B538" i="5" s="1"/>
  <c r="B539" i="5" s="1"/>
  <c r="B540" i="5" s="1"/>
  <c r="B541" i="5" s="1"/>
  <c r="B542" i="5" s="1"/>
  <c r="B543" i="5" s="1"/>
  <c r="B544" i="5" s="1"/>
  <c r="B545" i="5" s="1"/>
  <c r="B546" i="5" s="1"/>
  <c r="B547" i="5" s="1"/>
  <c r="B548" i="5" s="1"/>
  <c r="B549" i="5" s="1"/>
  <c r="B550" i="5" s="1"/>
  <c r="B551" i="5" s="1"/>
  <c r="B552" i="5" s="1"/>
  <c r="B553" i="5" s="1"/>
  <c r="B554" i="5" s="1"/>
  <c r="B555" i="5" s="1"/>
  <c r="B556" i="5" s="1"/>
  <c r="B557" i="5" s="1"/>
  <c r="B558" i="5" s="1"/>
  <c r="B559" i="5" s="1"/>
  <c r="B560" i="5" s="1"/>
  <c r="B561" i="5" s="1"/>
  <c r="B562" i="5" s="1"/>
  <c r="B563" i="5" s="1"/>
  <c r="B564" i="5" s="1"/>
  <c r="B565" i="5" s="1"/>
  <c r="B566" i="5" s="1"/>
  <c r="B567" i="5" s="1"/>
  <c r="B568" i="5" s="1"/>
  <c r="B569" i="5" s="1"/>
  <c r="B570" i="5" s="1"/>
  <c r="B571" i="5" s="1"/>
  <c r="B572" i="5" s="1"/>
  <c r="B573" i="5" s="1"/>
  <c r="B574" i="5" s="1"/>
  <c r="B575" i="5" s="1"/>
  <c r="B576" i="5" s="1"/>
  <c r="B577" i="5" s="1"/>
  <c r="B578" i="5" s="1"/>
  <c r="B579" i="5" s="1"/>
  <c r="B580" i="5" s="1"/>
  <c r="B581" i="5" s="1"/>
  <c r="B582" i="5" s="1"/>
  <c r="B583" i="5" s="1"/>
  <c r="B584" i="5" s="1"/>
  <c r="B585" i="5" s="1"/>
  <c r="B586" i="5" s="1"/>
  <c r="B587" i="5" s="1"/>
  <c r="B588" i="5" s="1"/>
  <c r="B589" i="5" s="1"/>
  <c r="B590" i="5" s="1"/>
  <c r="B591" i="5" s="1"/>
  <c r="B592" i="5" s="1"/>
  <c r="B593" i="5" s="1"/>
  <c r="B594" i="5" s="1"/>
  <c r="B595" i="5" s="1"/>
  <c r="B596" i="5" s="1"/>
  <c r="B597" i="5" s="1"/>
  <c r="B598" i="5" s="1"/>
  <c r="B599" i="5" s="1"/>
  <c r="B600" i="5" s="1"/>
  <c r="B601" i="5" s="1"/>
  <c r="B602" i="5" s="1"/>
  <c r="B603" i="5" s="1"/>
  <c r="B604" i="5" s="1"/>
  <c r="B605" i="5" s="1"/>
  <c r="B606" i="5" s="1"/>
  <c r="B607" i="5" s="1"/>
  <c r="B608" i="5" s="1"/>
  <c r="B609" i="5" s="1"/>
  <c r="B610" i="5" s="1"/>
  <c r="B611" i="5" s="1"/>
  <c r="B612" i="5" s="1"/>
  <c r="B613" i="5" s="1"/>
  <c r="B614" i="5" s="1"/>
  <c r="B615" i="5" s="1"/>
  <c r="B616" i="5" s="1"/>
  <c r="B617" i="5" s="1"/>
  <c r="B618" i="5" s="1"/>
  <c r="B619" i="5" s="1"/>
  <c r="B620" i="5" s="1"/>
  <c r="B621" i="5" s="1"/>
  <c r="B622" i="5" s="1"/>
  <c r="B623" i="5" s="1"/>
  <c r="B624" i="5" s="1"/>
  <c r="B625" i="5" s="1"/>
  <c r="B626" i="5" s="1"/>
  <c r="B627" i="5" s="1"/>
  <c r="B628" i="5" s="1"/>
  <c r="B629" i="5" s="1"/>
  <c r="B630" i="5" s="1"/>
  <c r="B631" i="5" s="1"/>
  <c r="B632" i="5" s="1"/>
  <c r="B633" i="5" s="1"/>
  <c r="B634" i="5" s="1"/>
  <c r="B635" i="5" s="1"/>
  <c r="B636" i="5" s="1"/>
  <c r="B637" i="5" s="1"/>
  <c r="B638" i="5" s="1"/>
  <c r="B639" i="5" s="1"/>
  <c r="B640" i="5" s="1"/>
  <c r="B641" i="5" s="1"/>
  <c r="B642" i="5" s="1"/>
  <c r="B643" i="5" s="1"/>
  <c r="B644" i="5" s="1"/>
  <c r="B645" i="5" s="1"/>
  <c r="B646" i="5" s="1"/>
  <c r="B647" i="5" s="1"/>
  <c r="B648" i="5" s="1"/>
  <c r="B649" i="5" s="1"/>
  <c r="B650" i="5" s="1"/>
  <c r="B651" i="5" s="1"/>
  <c r="B652" i="5" s="1"/>
  <c r="B653" i="5" s="1"/>
  <c r="B654" i="5" s="1"/>
  <c r="B655" i="5" s="1"/>
  <c r="B656" i="5" s="1"/>
  <c r="B657" i="5" s="1"/>
  <c r="B658" i="5" s="1"/>
  <c r="B659" i="5" s="1"/>
  <c r="B660" i="5" s="1"/>
  <c r="B661" i="5" s="1"/>
  <c r="B662" i="5" s="1"/>
  <c r="B663" i="5" s="1"/>
  <c r="B664" i="5" s="1"/>
  <c r="B665" i="5" s="1"/>
  <c r="B666" i="5" s="1"/>
  <c r="B667" i="5" s="1"/>
  <c r="B668" i="5" s="1"/>
  <c r="B669" i="5" s="1"/>
  <c r="B670" i="5" s="1"/>
  <c r="B671" i="5" s="1"/>
  <c r="B672" i="5" s="1"/>
  <c r="B673" i="5" s="1"/>
  <c r="B674" i="5" s="1"/>
  <c r="B675" i="5" s="1"/>
  <c r="B676" i="5" s="1"/>
  <c r="B677" i="5" s="1"/>
  <c r="B678" i="5" s="1"/>
  <c r="B679" i="5" s="1"/>
  <c r="B680" i="5" s="1"/>
  <c r="B681" i="5" s="1"/>
  <c r="B682" i="5" s="1"/>
  <c r="B683" i="5" s="1"/>
  <c r="B684" i="5" s="1"/>
  <c r="B685" i="5" s="1"/>
  <c r="B686" i="5" s="1"/>
  <c r="B687" i="5" s="1"/>
  <c r="B688" i="5" s="1"/>
  <c r="B689" i="5" s="1"/>
  <c r="B690" i="5" s="1"/>
  <c r="B691" i="5" s="1"/>
  <c r="B692" i="5" s="1"/>
  <c r="B693" i="5" s="1"/>
  <c r="B694" i="5" s="1"/>
  <c r="B695" i="5" s="1"/>
  <c r="B696" i="5" s="1"/>
  <c r="B697" i="5" s="1"/>
  <c r="B698" i="5" s="1"/>
  <c r="B699" i="5" s="1"/>
  <c r="B700" i="5" s="1"/>
  <c r="B701" i="5" s="1"/>
  <c r="B702" i="5" s="1"/>
  <c r="B703" i="5" s="1"/>
  <c r="B704" i="5" s="1"/>
  <c r="B705" i="5" s="1"/>
  <c r="B706" i="5" s="1"/>
  <c r="B707" i="5" s="1"/>
  <c r="B708" i="5" s="1"/>
  <c r="B709" i="5" s="1"/>
  <c r="B710" i="5" s="1"/>
  <c r="B711" i="5" s="1"/>
  <c r="B712" i="5" s="1"/>
  <c r="B713" i="5" s="1"/>
  <c r="B714" i="5" s="1"/>
  <c r="B715" i="5" s="1"/>
  <c r="B716" i="5" s="1"/>
  <c r="B717" i="5" s="1"/>
  <c r="B718" i="5" s="1"/>
  <c r="B719" i="5" s="1"/>
  <c r="B720" i="5" s="1"/>
  <c r="B721" i="5" s="1"/>
  <c r="B722" i="5" s="1"/>
  <c r="B723" i="5" s="1"/>
  <c r="B724" i="5" s="1"/>
  <c r="B725" i="5" s="1"/>
  <c r="B726" i="5" s="1"/>
  <c r="B727" i="5" s="1"/>
  <c r="B728" i="5" s="1"/>
  <c r="B729" i="5" s="1"/>
  <c r="B730" i="5" s="1"/>
  <c r="B731" i="5" s="1"/>
  <c r="B732" i="5" s="1"/>
  <c r="B733" i="5" s="1"/>
  <c r="B734" i="5" s="1"/>
  <c r="B735" i="5" s="1"/>
  <c r="B736" i="5" s="1"/>
  <c r="B737" i="5" s="1"/>
  <c r="B738" i="5" s="1"/>
  <c r="B739" i="5" s="1"/>
  <c r="B740" i="5" s="1"/>
  <c r="B741" i="5" s="1"/>
  <c r="B742" i="5" s="1"/>
  <c r="B743" i="5" s="1"/>
  <c r="B744" i="5" s="1"/>
  <c r="B745" i="5" s="1"/>
  <c r="B746" i="5" s="1"/>
  <c r="B747" i="5" s="1"/>
  <c r="B748" i="5" s="1"/>
  <c r="B749" i="5" s="1"/>
  <c r="B750" i="5" s="1"/>
  <c r="B751" i="5" s="1"/>
  <c r="B752" i="5" s="1"/>
  <c r="B753" i="5" s="1"/>
  <c r="B754" i="5" s="1"/>
  <c r="B755" i="5" s="1"/>
  <c r="B756" i="5" s="1"/>
  <c r="B757" i="5" s="1"/>
  <c r="B758" i="5" s="1"/>
  <c r="B759" i="5" s="1"/>
  <c r="B760" i="5" s="1"/>
  <c r="B761" i="5" s="1"/>
  <c r="B762" i="5" s="1"/>
  <c r="B763" i="5" s="1"/>
  <c r="B764" i="5" s="1"/>
  <c r="B765" i="5" s="1"/>
  <c r="B766" i="5" s="1"/>
  <c r="B767" i="5" s="1"/>
  <c r="B768" i="5" s="1"/>
  <c r="B769" i="5" s="1"/>
  <c r="B770" i="5" s="1"/>
  <c r="B771" i="5" s="1"/>
  <c r="B772" i="5" s="1"/>
  <c r="B773" i="5" s="1"/>
  <c r="B774" i="5" s="1"/>
  <c r="B775" i="5" s="1"/>
  <c r="B776" i="5" s="1"/>
  <c r="B777" i="5" s="1"/>
  <c r="B778" i="5" s="1"/>
  <c r="B779" i="5" s="1"/>
  <c r="B780" i="5" s="1"/>
  <c r="B781" i="5" s="1"/>
  <c r="B782" i="5" s="1"/>
  <c r="B783" i="5" s="1"/>
  <c r="B784" i="5" s="1"/>
  <c r="B785" i="5" s="1"/>
  <c r="B786" i="5" s="1"/>
  <c r="B787" i="5" s="1"/>
  <c r="B788" i="5" s="1"/>
  <c r="B789" i="5" s="1"/>
  <c r="B790" i="5" s="1"/>
  <c r="B791" i="5" s="1"/>
  <c r="B792" i="5" s="1"/>
  <c r="B793" i="5" s="1"/>
  <c r="B794" i="5" s="1"/>
  <c r="B795" i="5" s="1"/>
  <c r="B796" i="5" s="1"/>
  <c r="B797" i="5" s="1"/>
  <c r="B798" i="5" s="1"/>
  <c r="B799" i="5" s="1"/>
  <c r="B800" i="5" s="1"/>
  <c r="B801" i="5" s="1"/>
  <c r="B802" i="5" s="1"/>
  <c r="B803" i="5" s="1"/>
  <c r="B804" i="5" s="1"/>
  <c r="B805" i="5" s="1"/>
  <c r="B806" i="5" s="1"/>
  <c r="B807" i="5" s="1"/>
  <c r="B808" i="5" s="1"/>
  <c r="B809" i="5" s="1"/>
  <c r="B810" i="5" s="1"/>
  <c r="B811" i="5" s="1"/>
  <c r="B812" i="5" s="1"/>
  <c r="B813" i="5" s="1"/>
  <c r="B814" i="5" s="1"/>
  <c r="B815" i="5" s="1"/>
  <c r="C66" i="5" a="1"/>
  <c r="D1" i="5"/>
  <c r="D46" i="5"/>
  <c r="D19" i="5"/>
  <c r="D18" i="5"/>
  <c r="D25" i="5"/>
  <c r="D45" i="5"/>
  <c r="D52" i="5"/>
  <c r="D56" i="5"/>
  <c r="D21" i="5"/>
  <c r="D58" i="5"/>
  <c r="D49" i="5"/>
  <c r="D47" i="5"/>
  <c r="D13" i="5"/>
  <c r="E13" i="5" s="1"/>
  <c r="F13" i="5" s="1"/>
  <c r="D48" i="5"/>
  <c r="D55" i="5"/>
  <c r="D37" i="5"/>
  <c r="D40" i="5"/>
  <c r="D39" i="5"/>
  <c r="D30" i="5"/>
  <c r="D44" i="5"/>
  <c r="D54" i="5"/>
  <c r="D29" i="5"/>
  <c r="D32" i="5"/>
  <c r="D41" i="5"/>
  <c r="D14" i="5"/>
  <c r="D33" i="5"/>
  <c r="D38" i="5"/>
  <c r="D15" i="5"/>
  <c r="D61" i="5"/>
  <c r="D31" i="5"/>
  <c r="D57" i="5"/>
  <c r="D59" i="5"/>
  <c r="D62" i="5"/>
  <c r="D28" i="5"/>
  <c r="D36" i="5"/>
  <c r="D26" i="5"/>
  <c r="D24" i="5"/>
  <c r="D23" i="5"/>
  <c r="D34" i="5"/>
  <c r="D35" i="5"/>
  <c r="D51" i="5"/>
  <c r="D27" i="5"/>
  <c r="D16" i="5"/>
  <c r="D60" i="5"/>
  <c r="D17" i="5"/>
  <c r="D22" i="5"/>
  <c r="D20" i="5"/>
  <c r="D50" i="5"/>
  <c r="D43" i="5"/>
  <c r="D53" i="5"/>
  <c r="D42" i="5"/>
  <c r="C66" i="5" l="1"/>
  <c r="C70" i="5"/>
  <c r="C74" i="5"/>
  <c r="C78" i="5"/>
  <c r="C82" i="5"/>
  <c r="C86" i="5"/>
  <c r="C90" i="5"/>
  <c r="C94" i="5"/>
  <c r="C98" i="5"/>
  <c r="C102" i="5"/>
  <c r="C106" i="5"/>
  <c r="C110" i="5"/>
  <c r="C114" i="5"/>
  <c r="C118" i="5"/>
  <c r="C122" i="5"/>
  <c r="C126" i="5"/>
  <c r="C130" i="5"/>
  <c r="C134" i="5"/>
  <c r="C138" i="5"/>
  <c r="C142" i="5"/>
  <c r="C146" i="5"/>
  <c r="C150" i="5"/>
  <c r="C154" i="5"/>
  <c r="C158" i="5"/>
  <c r="C162" i="5"/>
  <c r="C166" i="5"/>
  <c r="C170" i="5"/>
  <c r="C174" i="5"/>
  <c r="C178" i="5"/>
  <c r="C182" i="5"/>
  <c r="C186" i="5"/>
  <c r="C190" i="5"/>
  <c r="C194" i="5"/>
  <c r="C198" i="5"/>
  <c r="C202" i="5"/>
  <c r="C206" i="5"/>
  <c r="C210" i="5"/>
  <c r="C214" i="5"/>
  <c r="C218" i="5"/>
  <c r="C222" i="5"/>
  <c r="C226" i="5"/>
  <c r="C230" i="5"/>
  <c r="C234" i="5"/>
  <c r="C238" i="5"/>
  <c r="C242" i="5"/>
  <c r="C246" i="5"/>
  <c r="C250" i="5"/>
  <c r="C254" i="5"/>
  <c r="C258" i="5"/>
  <c r="C262" i="5"/>
  <c r="C266" i="5"/>
  <c r="C270" i="5"/>
  <c r="C274" i="5"/>
  <c r="C278" i="5"/>
  <c r="C282" i="5"/>
  <c r="C286" i="5"/>
  <c r="C290" i="5"/>
  <c r="C294" i="5"/>
  <c r="C298" i="5"/>
  <c r="C302" i="5"/>
  <c r="C306" i="5"/>
  <c r="C310" i="5"/>
  <c r="C314" i="5"/>
  <c r="C318" i="5"/>
  <c r="C322" i="5"/>
  <c r="C326" i="5"/>
  <c r="C330" i="5"/>
  <c r="C334" i="5"/>
  <c r="C338" i="5"/>
  <c r="C342" i="5"/>
  <c r="C346" i="5"/>
  <c r="C350" i="5"/>
  <c r="C354" i="5"/>
  <c r="C358" i="5"/>
  <c r="C362" i="5"/>
  <c r="C366" i="5"/>
  <c r="C370" i="5"/>
  <c r="C374" i="5"/>
  <c r="C378" i="5"/>
  <c r="C382" i="5"/>
  <c r="C386" i="5"/>
  <c r="C390" i="5"/>
  <c r="C394" i="5"/>
  <c r="C398" i="5"/>
  <c r="C402" i="5"/>
  <c r="C67" i="5"/>
  <c r="C72" i="5"/>
  <c r="C77" i="5"/>
  <c r="C83" i="5"/>
  <c r="C88" i="5"/>
  <c r="C93" i="5"/>
  <c r="C99" i="5"/>
  <c r="C104" i="5"/>
  <c r="C109" i="5"/>
  <c r="C115" i="5"/>
  <c r="C120" i="5"/>
  <c r="C125" i="5"/>
  <c r="C131" i="5"/>
  <c r="C136" i="5"/>
  <c r="C141" i="5"/>
  <c r="C147" i="5"/>
  <c r="C152" i="5"/>
  <c r="C157" i="5"/>
  <c r="C163" i="5"/>
  <c r="C168" i="5"/>
  <c r="C173" i="5"/>
  <c r="C179" i="5"/>
  <c r="C184" i="5"/>
  <c r="C189" i="5"/>
  <c r="C195" i="5"/>
  <c r="C200" i="5"/>
  <c r="C205" i="5"/>
  <c r="C211" i="5"/>
  <c r="C216" i="5"/>
  <c r="C221" i="5"/>
  <c r="C227" i="5"/>
  <c r="C232" i="5"/>
  <c r="C237" i="5"/>
  <c r="C243" i="5"/>
  <c r="C248" i="5"/>
  <c r="C253" i="5"/>
  <c r="C259" i="5"/>
  <c r="C264" i="5"/>
  <c r="C269" i="5"/>
  <c r="C275" i="5"/>
  <c r="C280" i="5"/>
  <c r="C285" i="5"/>
  <c r="C291" i="5"/>
  <c r="C296" i="5"/>
  <c r="C301" i="5"/>
  <c r="C307" i="5"/>
  <c r="C312" i="5"/>
  <c r="C317" i="5"/>
  <c r="C323" i="5"/>
  <c r="C328" i="5"/>
  <c r="C333" i="5"/>
  <c r="C339" i="5"/>
  <c r="C344" i="5"/>
  <c r="C349" i="5"/>
  <c r="C355" i="5"/>
  <c r="C360" i="5"/>
  <c r="C365" i="5"/>
  <c r="C371" i="5"/>
  <c r="C376" i="5"/>
  <c r="C381" i="5"/>
  <c r="C387" i="5"/>
  <c r="C392" i="5"/>
  <c r="C397" i="5"/>
  <c r="C403" i="5"/>
  <c r="C407" i="5"/>
  <c r="C411" i="5"/>
  <c r="C415" i="5"/>
  <c r="C419" i="5"/>
  <c r="C423" i="5"/>
  <c r="C427" i="5"/>
  <c r="C431" i="5"/>
  <c r="C435" i="5"/>
  <c r="C439" i="5"/>
  <c r="C443" i="5"/>
  <c r="C447" i="5"/>
  <c r="C451" i="5"/>
  <c r="C455" i="5"/>
  <c r="C459" i="5"/>
  <c r="C463" i="5"/>
  <c r="C467" i="5"/>
  <c r="C471" i="5"/>
  <c r="C475" i="5"/>
  <c r="C479" i="5"/>
  <c r="C483" i="5"/>
  <c r="C487" i="5"/>
  <c r="C69" i="5"/>
  <c r="C75" i="5"/>
  <c r="C80" i="5"/>
  <c r="C85" i="5"/>
  <c r="C91" i="5"/>
  <c r="C96" i="5"/>
  <c r="C101" i="5"/>
  <c r="C107" i="5"/>
  <c r="C112" i="5"/>
  <c r="C117" i="5"/>
  <c r="C123" i="5"/>
  <c r="C128" i="5"/>
  <c r="C133" i="5"/>
  <c r="C139" i="5"/>
  <c r="C144" i="5"/>
  <c r="C149" i="5"/>
  <c r="C155" i="5"/>
  <c r="C160" i="5"/>
  <c r="C165" i="5"/>
  <c r="C171" i="5"/>
  <c r="C176" i="5"/>
  <c r="C181" i="5"/>
  <c r="C187" i="5"/>
  <c r="C192" i="5"/>
  <c r="C197" i="5"/>
  <c r="C203" i="5"/>
  <c r="C208" i="5"/>
  <c r="C213" i="5"/>
  <c r="C219" i="5"/>
  <c r="C224" i="5"/>
  <c r="C229" i="5"/>
  <c r="C235" i="5"/>
  <c r="C240" i="5"/>
  <c r="C245" i="5"/>
  <c r="C251" i="5"/>
  <c r="C256" i="5"/>
  <c r="C261" i="5"/>
  <c r="C267" i="5"/>
  <c r="C272" i="5"/>
  <c r="C277" i="5"/>
  <c r="C283" i="5"/>
  <c r="C288" i="5"/>
  <c r="C293" i="5"/>
  <c r="C299" i="5"/>
  <c r="C304" i="5"/>
  <c r="C309" i="5"/>
  <c r="C315" i="5"/>
  <c r="C320" i="5"/>
  <c r="C325" i="5"/>
  <c r="C331" i="5"/>
  <c r="C336" i="5"/>
  <c r="C341" i="5"/>
  <c r="C347" i="5"/>
  <c r="C352" i="5"/>
  <c r="C357" i="5"/>
  <c r="C363" i="5"/>
  <c r="C368" i="5"/>
  <c r="C373" i="5"/>
  <c r="C379" i="5"/>
  <c r="C68" i="5"/>
  <c r="C79" i="5"/>
  <c r="C89" i="5"/>
  <c r="C100" i="5"/>
  <c r="C111" i="5"/>
  <c r="C121" i="5"/>
  <c r="C132" i="5"/>
  <c r="C143" i="5"/>
  <c r="C153" i="5"/>
  <c r="C164" i="5"/>
  <c r="C175" i="5"/>
  <c r="C185" i="5"/>
  <c r="C196" i="5"/>
  <c r="C207" i="5"/>
  <c r="C217" i="5"/>
  <c r="C228" i="5"/>
  <c r="C239" i="5"/>
  <c r="C249" i="5"/>
  <c r="C260" i="5"/>
  <c r="C271" i="5"/>
  <c r="C281" i="5"/>
  <c r="C292" i="5"/>
  <c r="C303" i="5"/>
  <c r="C313" i="5"/>
  <c r="C324" i="5"/>
  <c r="C335" i="5"/>
  <c r="C345" i="5"/>
  <c r="C356" i="5"/>
  <c r="C367" i="5"/>
  <c r="C377" i="5"/>
  <c r="C385" i="5"/>
  <c r="C393" i="5"/>
  <c r="C400" i="5"/>
  <c r="C406" i="5"/>
  <c r="C412" i="5"/>
  <c r="C417" i="5"/>
  <c r="C422" i="5"/>
  <c r="C428" i="5"/>
  <c r="C433" i="5"/>
  <c r="C438" i="5"/>
  <c r="C444" i="5"/>
  <c r="C449" i="5"/>
  <c r="C454" i="5"/>
  <c r="C460" i="5"/>
  <c r="C465" i="5"/>
  <c r="C470" i="5"/>
  <c r="C476" i="5"/>
  <c r="C481" i="5"/>
  <c r="C486" i="5"/>
  <c r="C491" i="5"/>
  <c r="C495" i="5"/>
  <c r="C499" i="5"/>
  <c r="C503" i="5"/>
  <c r="C507" i="5"/>
  <c r="C511" i="5"/>
  <c r="C515" i="5"/>
  <c r="C519" i="5"/>
  <c r="C523" i="5"/>
  <c r="C527" i="5"/>
  <c r="C531" i="5"/>
  <c r="C535" i="5"/>
  <c r="C539" i="5"/>
  <c r="C543" i="5"/>
  <c r="C547" i="5"/>
  <c r="C551" i="5"/>
  <c r="C555" i="5"/>
  <c r="C559" i="5"/>
  <c r="C563" i="5"/>
  <c r="C567" i="5"/>
  <c r="C571" i="5"/>
  <c r="C575" i="5"/>
  <c r="C579" i="5"/>
  <c r="C583" i="5"/>
  <c r="C587" i="5"/>
  <c r="C591" i="5"/>
  <c r="C595" i="5"/>
  <c r="C599" i="5"/>
  <c r="C603" i="5"/>
  <c r="C607" i="5"/>
  <c r="C611" i="5"/>
  <c r="C615" i="5"/>
  <c r="C619" i="5"/>
  <c r="C623" i="5"/>
  <c r="C627" i="5"/>
  <c r="C631" i="5"/>
  <c r="C635" i="5"/>
  <c r="C639" i="5"/>
  <c r="C643" i="5"/>
  <c r="C647" i="5"/>
  <c r="C651" i="5"/>
  <c r="C655" i="5"/>
  <c r="C659" i="5"/>
  <c r="C663" i="5"/>
  <c r="C667" i="5"/>
  <c r="C671" i="5"/>
  <c r="C675" i="5"/>
  <c r="C679" i="5"/>
  <c r="C683" i="5"/>
  <c r="C687" i="5"/>
  <c r="C691" i="5"/>
  <c r="C695" i="5"/>
  <c r="C699" i="5"/>
  <c r="C703" i="5"/>
  <c r="C707" i="5"/>
  <c r="C711" i="5"/>
  <c r="C715" i="5"/>
  <c r="C719" i="5"/>
  <c r="C723" i="5"/>
  <c r="C727" i="5"/>
  <c r="C731" i="5"/>
  <c r="C735" i="5"/>
  <c r="C739" i="5"/>
  <c r="C743" i="5"/>
  <c r="C747" i="5"/>
  <c r="C751" i="5"/>
  <c r="C755" i="5"/>
  <c r="C759" i="5"/>
  <c r="C763" i="5"/>
  <c r="C767" i="5"/>
  <c r="C771" i="5"/>
  <c r="C775" i="5"/>
  <c r="C779" i="5"/>
  <c r="C783" i="5"/>
  <c r="C787" i="5"/>
  <c r="C791" i="5"/>
  <c r="C795" i="5"/>
  <c r="C799" i="5"/>
  <c r="C803" i="5"/>
  <c r="C807" i="5"/>
  <c r="C811" i="5"/>
  <c r="C815" i="5"/>
  <c r="C819" i="5"/>
  <c r="C823" i="5"/>
  <c r="C827" i="5"/>
  <c r="C831" i="5"/>
  <c r="C835" i="5"/>
  <c r="C839" i="5"/>
  <c r="C843" i="5"/>
  <c r="C847" i="5"/>
  <c r="C851" i="5"/>
  <c r="C855" i="5"/>
  <c r="C859" i="5"/>
  <c r="C863" i="5"/>
  <c r="C867" i="5"/>
  <c r="C871" i="5"/>
  <c r="C875" i="5"/>
  <c r="C879" i="5"/>
  <c r="C73" i="5"/>
  <c r="C84" i="5"/>
  <c r="C95" i="5"/>
  <c r="C105" i="5"/>
  <c r="C116" i="5"/>
  <c r="C127" i="5"/>
  <c r="C137" i="5"/>
  <c r="C148" i="5"/>
  <c r="C159" i="5"/>
  <c r="C169" i="5"/>
  <c r="C180" i="5"/>
  <c r="C191" i="5"/>
  <c r="C201" i="5"/>
  <c r="C212" i="5"/>
  <c r="C223" i="5"/>
  <c r="C233" i="5"/>
  <c r="C244" i="5"/>
  <c r="C255" i="5"/>
  <c r="C265" i="5"/>
  <c r="C276" i="5"/>
  <c r="C287" i="5"/>
  <c r="C297" i="5"/>
  <c r="C308" i="5"/>
  <c r="C319" i="5"/>
  <c r="C329" i="5"/>
  <c r="C340" i="5"/>
  <c r="C351" i="5"/>
  <c r="C361" i="5"/>
  <c r="C372" i="5"/>
  <c r="C383" i="5"/>
  <c r="C389" i="5"/>
  <c r="C396" i="5"/>
  <c r="C404" i="5"/>
  <c r="C409" i="5"/>
  <c r="C414" i="5"/>
  <c r="C420" i="5"/>
  <c r="C425" i="5"/>
  <c r="C430" i="5"/>
  <c r="C436" i="5"/>
  <c r="C441" i="5"/>
  <c r="C446" i="5"/>
  <c r="C452" i="5"/>
  <c r="C457" i="5"/>
  <c r="C462" i="5"/>
  <c r="C468" i="5"/>
  <c r="C473" i="5"/>
  <c r="C478" i="5"/>
  <c r="C484" i="5"/>
  <c r="C489" i="5"/>
  <c r="C493" i="5"/>
  <c r="C497" i="5"/>
  <c r="C501" i="5"/>
  <c r="C505" i="5"/>
  <c r="C509" i="5"/>
  <c r="C513" i="5"/>
  <c r="C517" i="5"/>
  <c r="C521" i="5"/>
  <c r="C525" i="5"/>
  <c r="C529" i="5"/>
  <c r="C533" i="5"/>
  <c r="C537" i="5"/>
  <c r="C541" i="5"/>
  <c r="C545" i="5"/>
  <c r="C549" i="5"/>
  <c r="C553" i="5"/>
  <c r="C557" i="5"/>
  <c r="C561" i="5"/>
  <c r="C565" i="5"/>
  <c r="C569" i="5"/>
  <c r="C573" i="5"/>
  <c r="C577" i="5"/>
  <c r="C581" i="5"/>
  <c r="C585" i="5"/>
  <c r="C589" i="5"/>
  <c r="C593" i="5"/>
  <c r="C597" i="5"/>
  <c r="C601" i="5"/>
  <c r="C605" i="5"/>
  <c r="C609" i="5"/>
  <c r="C613" i="5"/>
  <c r="C617" i="5"/>
  <c r="C621" i="5"/>
  <c r="C625" i="5"/>
  <c r="C629" i="5"/>
  <c r="C633" i="5"/>
  <c r="C637" i="5"/>
  <c r="C641" i="5"/>
  <c r="C645" i="5"/>
  <c r="C649" i="5"/>
  <c r="C653" i="5"/>
  <c r="C657" i="5"/>
  <c r="C661" i="5"/>
  <c r="C665" i="5"/>
  <c r="C669" i="5"/>
  <c r="C673" i="5"/>
  <c r="C677" i="5"/>
  <c r="C681" i="5"/>
  <c r="C685" i="5"/>
  <c r="C689" i="5"/>
  <c r="C693" i="5"/>
  <c r="C697" i="5"/>
  <c r="C701" i="5"/>
  <c r="C705" i="5"/>
  <c r="C709" i="5"/>
  <c r="C713" i="5"/>
  <c r="C717" i="5"/>
  <c r="C721" i="5"/>
  <c r="C725" i="5"/>
  <c r="C729" i="5"/>
  <c r="C733" i="5"/>
  <c r="C737" i="5"/>
  <c r="C741" i="5"/>
  <c r="C745" i="5"/>
  <c r="C749" i="5"/>
  <c r="C753" i="5"/>
  <c r="C757" i="5"/>
  <c r="C761" i="5"/>
  <c r="C765" i="5"/>
  <c r="C769" i="5"/>
  <c r="C773" i="5"/>
  <c r="C777" i="5"/>
  <c r="C781" i="5"/>
  <c r="C785" i="5"/>
  <c r="C789" i="5"/>
  <c r="C793" i="5"/>
  <c r="C797" i="5"/>
  <c r="C801" i="5"/>
  <c r="C805" i="5"/>
  <c r="C809" i="5"/>
  <c r="C813" i="5"/>
  <c r="C817" i="5"/>
  <c r="C821" i="5"/>
  <c r="C825" i="5"/>
  <c r="C829" i="5"/>
  <c r="C833" i="5"/>
  <c r="C837" i="5"/>
  <c r="C841" i="5"/>
  <c r="C845" i="5"/>
  <c r="C849" i="5"/>
  <c r="C853" i="5"/>
  <c r="C857" i="5"/>
  <c r="C861" i="5"/>
  <c r="C865" i="5"/>
  <c r="C869" i="5"/>
  <c r="C873" i="5"/>
  <c r="C877" i="5"/>
  <c r="C881" i="5"/>
  <c r="C885" i="5"/>
  <c r="C889" i="5"/>
  <c r="C893" i="5"/>
  <c r="C897" i="5"/>
  <c r="C901" i="5"/>
  <c r="C905" i="5"/>
  <c r="C909" i="5"/>
  <c r="C913" i="5"/>
  <c r="C917" i="5"/>
  <c r="C921" i="5"/>
  <c r="C925" i="5"/>
  <c r="C929" i="5"/>
  <c r="C933" i="5"/>
  <c r="C937" i="5"/>
  <c r="C941" i="5"/>
  <c r="C945" i="5"/>
  <c r="C949" i="5"/>
  <c r="C953" i="5"/>
  <c r="C957" i="5"/>
  <c r="C961" i="5"/>
  <c r="C965" i="5"/>
  <c r="C969" i="5"/>
  <c r="C973" i="5"/>
  <c r="C71" i="5"/>
  <c r="C92" i="5"/>
  <c r="C113" i="5"/>
  <c r="C135" i="5"/>
  <c r="C156" i="5"/>
  <c r="C177" i="5"/>
  <c r="C199" i="5"/>
  <c r="C220" i="5"/>
  <c r="C241" i="5"/>
  <c r="C263" i="5"/>
  <c r="C284" i="5"/>
  <c r="C305" i="5"/>
  <c r="C327" i="5"/>
  <c r="C348" i="5"/>
  <c r="C369" i="5"/>
  <c r="C388" i="5"/>
  <c r="C401" i="5"/>
  <c r="C413" i="5"/>
  <c r="C424" i="5"/>
  <c r="C434" i="5"/>
  <c r="C445" i="5"/>
  <c r="C456" i="5"/>
  <c r="C466" i="5"/>
  <c r="C477" i="5"/>
  <c r="C488" i="5"/>
  <c r="C496" i="5"/>
  <c r="C504" i="5"/>
  <c r="C512" i="5"/>
  <c r="C520" i="5"/>
  <c r="C528" i="5"/>
  <c r="C536" i="5"/>
  <c r="C544" i="5"/>
  <c r="C552" i="5"/>
  <c r="C560" i="5"/>
  <c r="C568" i="5"/>
  <c r="C576" i="5"/>
  <c r="C584" i="5"/>
  <c r="C592" i="5"/>
  <c r="C600" i="5"/>
  <c r="C608" i="5"/>
  <c r="C616" i="5"/>
  <c r="C624" i="5"/>
  <c r="C632" i="5"/>
  <c r="C640" i="5"/>
  <c r="C648" i="5"/>
  <c r="C656" i="5"/>
  <c r="C664" i="5"/>
  <c r="C672" i="5"/>
  <c r="C680" i="5"/>
  <c r="C688" i="5"/>
  <c r="C696" i="5"/>
  <c r="C704" i="5"/>
  <c r="C712" i="5"/>
  <c r="C720" i="5"/>
  <c r="C728" i="5"/>
  <c r="C736" i="5"/>
  <c r="C744" i="5"/>
  <c r="C752" i="5"/>
  <c r="C760" i="5"/>
  <c r="C768" i="5"/>
  <c r="C776" i="5"/>
  <c r="C784" i="5"/>
  <c r="C792" i="5"/>
  <c r="C800" i="5"/>
  <c r="C808" i="5"/>
  <c r="C816" i="5"/>
  <c r="C824" i="5"/>
  <c r="C832" i="5"/>
  <c r="C840" i="5"/>
  <c r="C848" i="5"/>
  <c r="C856" i="5"/>
  <c r="C864" i="5"/>
  <c r="C872" i="5"/>
  <c r="C880" i="5"/>
  <c r="C886" i="5"/>
  <c r="C891" i="5"/>
  <c r="C896" i="5"/>
  <c r="C902" i="5"/>
  <c r="C907" i="5"/>
  <c r="C912" i="5"/>
  <c r="C918" i="5"/>
  <c r="C923" i="5"/>
  <c r="C928" i="5"/>
  <c r="C934" i="5"/>
  <c r="C939" i="5"/>
  <c r="C944" i="5"/>
  <c r="C950" i="5"/>
  <c r="C955" i="5"/>
  <c r="C960" i="5"/>
  <c r="C966" i="5"/>
  <c r="C971" i="5"/>
  <c r="C976" i="5"/>
  <c r="C980" i="5"/>
  <c r="C984" i="5"/>
  <c r="C988" i="5"/>
  <c r="C992" i="5"/>
  <c r="C996" i="5"/>
  <c r="C1000" i="5"/>
  <c r="C1004" i="5"/>
  <c r="C1008" i="5"/>
  <c r="C1012" i="5"/>
  <c r="C1016" i="5"/>
  <c r="C1020" i="5"/>
  <c r="C1024" i="5"/>
  <c r="C1028" i="5"/>
  <c r="C1032" i="5"/>
  <c r="C1036" i="5"/>
  <c r="C1040" i="5"/>
  <c r="C1044" i="5"/>
  <c r="C1048" i="5"/>
  <c r="C1052" i="5"/>
  <c r="C1056" i="5"/>
  <c r="C1060" i="5"/>
  <c r="C1064" i="5"/>
  <c r="C1068" i="5"/>
  <c r="C1072" i="5"/>
  <c r="C1076" i="5"/>
  <c r="C1080" i="5"/>
  <c r="C1084" i="5"/>
  <c r="C1088" i="5"/>
  <c r="C76" i="5"/>
  <c r="C97" i="5"/>
  <c r="C119" i="5"/>
  <c r="C140" i="5"/>
  <c r="C161" i="5"/>
  <c r="C183" i="5"/>
  <c r="C204" i="5"/>
  <c r="C225" i="5"/>
  <c r="C247" i="5"/>
  <c r="C268" i="5"/>
  <c r="C289" i="5"/>
  <c r="C311" i="5"/>
  <c r="C332" i="5"/>
  <c r="C353" i="5"/>
  <c r="C375" i="5"/>
  <c r="C391" i="5"/>
  <c r="C405" i="5"/>
  <c r="C416" i="5"/>
  <c r="C426" i="5"/>
  <c r="C437" i="5"/>
  <c r="C448" i="5"/>
  <c r="C458" i="5"/>
  <c r="C469" i="5"/>
  <c r="C480" i="5"/>
  <c r="C490" i="5"/>
  <c r="C498" i="5"/>
  <c r="C506" i="5"/>
  <c r="C514" i="5"/>
  <c r="C522" i="5"/>
  <c r="C530" i="5"/>
  <c r="C538" i="5"/>
  <c r="C546" i="5"/>
  <c r="C554" i="5"/>
  <c r="C562" i="5"/>
  <c r="C570" i="5"/>
  <c r="C578" i="5"/>
  <c r="C586" i="5"/>
  <c r="C594" i="5"/>
  <c r="C602" i="5"/>
  <c r="C610" i="5"/>
  <c r="C618" i="5"/>
  <c r="C626" i="5"/>
  <c r="C634" i="5"/>
  <c r="C642" i="5"/>
  <c r="C650" i="5"/>
  <c r="C658" i="5"/>
  <c r="C666" i="5"/>
  <c r="C674" i="5"/>
  <c r="C682" i="5"/>
  <c r="C690" i="5"/>
  <c r="C81" i="5"/>
  <c r="C103" i="5"/>
  <c r="C124" i="5"/>
  <c r="C145" i="5"/>
  <c r="C167" i="5"/>
  <c r="C188" i="5"/>
  <c r="C209" i="5"/>
  <c r="C231" i="5"/>
  <c r="C252" i="5"/>
  <c r="C273" i="5"/>
  <c r="C295" i="5"/>
  <c r="C316" i="5"/>
  <c r="C337" i="5"/>
  <c r="C359" i="5"/>
  <c r="C380" i="5"/>
  <c r="C395" i="5"/>
  <c r="C408" i="5"/>
  <c r="C418" i="5"/>
  <c r="C429" i="5"/>
  <c r="C440" i="5"/>
  <c r="C450" i="5"/>
  <c r="C461" i="5"/>
  <c r="C472" i="5"/>
  <c r="C482" i="5"/>
  <c r="C492" i="5"/>
  <c r="C500" i="5"/>
  <c r="C508" i="5"/>
  <c r="C516" i="5"/>
  <c r="C524" i="5"/>
  <c r="C532" i="5"/>
  <c r="C540" i="5"/>
  <c r="C548" i="5"/>
  <c r="C556" i="5"/>
  <c r="C564" i="5"/>
  <c r="C572" i="5"/>
  <c r="C580" i="5"/>
  <c r="C588" i="5"/>
  <c r="C596" i="5"/>
  <c r="C604" i="5"/>
  <c r="C612" i="5"/>
  <c r="C620" i="5"/>
  <c r="C628" i="5"/>
  <c r="C636" i="5"/>
  <c r="C644" i="5"/>
  <c r="C652" i="5"/>
  <c r="C660" i="5"/>
  <c r="C668" i="5"/>
  <c r="C676" i="5"/>
  <c r="C684" i="5"/>
  <c r="C692" i="5"/>
  <c r="C700" i="5"/>
  <c r="C708" i="5"/>
  <c r="C716" i="5"/>
  <c r="C724" i="5"/>
  <c r="C732" i="5"/>
  <c r="C740" i="5"/>
  <c r="C748" i="5"/>
  <c r="C756" i="5"/>
  <c r="C764" i="5"/>
  <c r="C772" i="5"/>
  <c r="C780" i="5"/>
  <c r="C788" i="5"/>
  <c r="C796" i="5"/>
  <c r="C804" i="5"/>
  <c r="C812" i="5"/>
  <c r="C820" i="5"/>
  <c r="C828" i="5"/>
  <c r="C836" i="5"/>
  <c r="C844" i="5"/>
  <c r="C852" i="5"/>
  <c r="C860" i="5"/>
  <c r="C868" i="5"/>
  <c r="C876" i="5"/>
  <c r="C883" i="5"/>
  <c r="C888" i="5"/>
  <c r="C894" i="5"/>
  <c r="C899" i="5"/>
  <c r="C904" i="5"/>
  <c r="C910" i="5"/>
  <c r="C915" i="5"/>
  <c r="C920" i="5"/>
  <c r="C926" i="5"/>
  <c r="C931" i="5"/>
  <c r="C936" i="5"/>
  <c r="C942" i="5"/>
  <c r="C947" i="5"/>
  <c r="C952" i="5"/>
  <c r="C958" i="5"/>
  <c r="C963" i="5"/>
  <c r="C968" i="5"/>
  <c r="C974" i="5"/>
  <c r="C978" i="5"/>
  <c r="C982" i="5"/>
  <c r="C986" i="5"/>
  <c r="C990" i="5"/>
  <c r="C994" i="5"/>
  <c r="C998" i="5"/>
  <c r="C1002" i="5"/>
  <c r="C1006" i="5"/>
  <c r="C1010" i="5"/>
  <c r="C1014" i="5"/>
  <c r="C1018" i="5"/>
  <c r="C1022" i="5"/>
  <c r="C1026" i="5"/>
  <c r="C1030" i="5"/>
  <c r="C1034" i="5"/>
  <c r="C1038" i="5"/>
  <c r="C1042" i="5"/>
  <c r="C1046" i="5"/>
  <c r="C1050" i="5"/>
  <c r="C1054" i="5"/>
  <c r="C1058" i="5"/>
  <c r="C1062" i="5"/>
  <c r="C1066" i="5"/>
  <c r="C1070" i="5"/>
  <c r="C1074" i="5"/>
  <c r="C1078" i="5"/>
  <c r="C1082" i="5"/>
  <c r="C1086" i="5"/>
  <c r="C87" i="5"/>
  <c r="C108" i="5"/>
  <c r="C129" i="5"/>
  <c r="C151" i="5"/>
  <c r="C172" i="5"/>
  <c r="C193" i="5"/>
  <c r="C215" i="5"/>
  <c r="C236" i="5"/>
  <c r="C257" i="5"/>
  <c r="C279" i="5"/>
  <c r="C300" i="5"/>
  <c r="C321" i="5"/>
  <c r="C364" i="5"/>
  <c r="C421" i="5"/>
  <c r="C464" i="5"/>
  <c r="C502" i="5"/>
  <c r="C534" i="5"/>
  <c r="C566" i="5"/>
  <c r="C598" i="5"/>
  <c r="C630" i="5"/>
  <c r="C662" i="5"/>
  <c r="C694" i="5"/>
  <c r="C710" i="5"/>
  <c r="C726" i="5"/>
  <c r="C742" i="5"/>
  <c r="C758" i="5"/>
  <c r="C774" i="5"/>
  <c r="C790" i="5"/>
  <c r="C806" i="5"/>
  <c r="C822" i="5"/>
  <c r="C838" i="5"/>
  <c r="C854" i="5"/>
  <c r="C870" i="5"/>
  <c r="C884" i="5"/>
  <c r="C895" i="5"/>
  <c r="C906" i="5"/>
  <c r="C916" i="5"/>
  <c r="C927" i="5"/>
  <c r="C938" i="5"/>
  <c r="C948" i="5"/>
  <c r="C959" i="5"/>
  <c r="C970" i="5"/>
  <c r="C979" i="5"/>
  <c r="C987" i="5"/>
  <c r="C995" i="5"/>
  <c r="C1003" i="5"/>
  <c r="C1011" i="5"/>
  <c r="C1019" i="5"/>
  <c r="C1027" i="5"/>
  <c r="C1035" i="5"/>
  <c r="C1043" i="5"/>
  <c r="C1051" i="5"/>
  <c r="C1059" i="5"/>
  <c r="C1067" i="5"/>
  <c r="C1075" i="5"/>
  <c r="C1083" i="5"/>
  <c r="C384" i="5"/>
  <c r="C432" i="5"/>
  <c r="C510" i="5"/>
  <c r="C542" i="5"/>
  <c r="C574" i="5"/>
  <c r="C606" i="5"/>
  <c r="C670" i="5"/>
  <c r="C698" i="5"/>
  <c r="C730" i="5"/>
  <c r="C762" i="5"/>
  <c r="C794" i="5"/>
  <c r="C826" i="5"/>
  <c r="C858" i="5"/>
  <c r="C887" i="5"/>
  <c r="C908" i="5"/>
  <c r="C930" i="5"/>
  <c r="C951" i="5"/>
  <c r="C972" i="5"/>
  <c r="C989" i="5"/>
  <c r="C1005" i="5"/>
  <c r="C1021" i="5"/>
  <c r="C1037" i="5"/>
  <c r="C1053" i="5"/>
  <c r="C1069" i="5"/>
  <c r="C1085" i="5"/>
  <c r="C399" i="5"/>
  <c r="C442" i="5"/>
  <c r="C485" i="5"/>
  <c r="C518" i="5"/>
  <c r="C550" i="5"/>
  <c r="C582" i="5"/>
  <c r="C614" i="5"/>
  <c r="C646" i="5"/>
  <c r="C678" i="5"/>
  <c r="C702" i="5"/>
  <c r="C718" i="5"/>
  <c r="C734" i="5"/>
  <c r="C750" i="5"/>
  <c r="C766" i="5"/>
  <c r="C782" i="5"/>
  <c r="C798" i="5"/>
  <c r="C814" i="5"/>
  <c r="C830" i="5"/>
  <c r="C846" i="5"/>
  <c r="C862" i="5"/>
  <c r="C878" i="5"/>
  <c r="C890" i="5"/>
  <c r="C900" i="5"/>
  <c r="C911" i="5"/>
  <c r="C922" i="5"/>
  <c r="C932" i="5"/>
  <c r="C943" i="5"/>
  <c r="C954" i="5"/>
  <c r="C964" i="5"/>
  <c r="C975" i="5"/>
  <c r="C983" i="5"/>
  <c r="C991" i="5"/>
  <c r="C999" i="5"/>
  <c r="C1007" i="5"/>
  <c r="C1015" i="5"/>
  <c r="C1023" i="5"/>
  <c r="C1031" i="5"/>
  <c r="C1039" i="5"/>
  <c r="C1047" i="5"/>
  <c r="C1055" i="5"/>
  <c r="C1063" i="5"/>
  <c r="C1071" i="5"/>
  <c r="C1079" i="5"/>
  <c r="C1087" i="5"/>
  <c r="C343" i="5"/>
  <c r="C410" i="5"/>
  <c r="C453" i="5"/>
  <c r="C494" i="5"/>
  <c r="C526" i="5"/>
  <c r="C558" i="5"/>
  <c r="C590" i="5"/>
  <c r="C622" i="5"/>
  <c r="C654" i="5"/>
  <c r="C686" i="5"/>
  <c r="C706" i="5"/>
  <c r="C722" i="5"/>
  <c r="C738" i="5"/>
  <c r="C754" i="5"/>
  <c r="C770" i="5"/>
  <c r="C786" i="5"/>
  <c r="C802" i="5"/>
  <c r="C818" i="5"/>
  <c r="C834" i="5"/>
  <c r="C850" i="5"/>
  <c r="C866" i="5"/>
  <c r="C882" i="5"/>
  <c r="C892" i="5"/>
  <c r="C903" i="5"/>
  <c r="C914" i="5"/>
  <c r="C924" i="5"/>
  <c r="C935" i="5"/>
  <c r="C946" i="5"/>
  <c r="C956" i="5"/>
  <c r="C967" i="5"/>
  <c r="C977" i="5"/>
  <c r="C985" i="5"/>
  <c r="C993" i="5"/>
  <c r="C1001" i="5"/>
  <c r="C1009" i="5"/>
  <c r="C1017" i="5"/>
  <c r="C1025" i="5"/>
  <c r="C1033" i="5"/>
  <c r="C1041" i="5"/>
  <c r="C1049" i="5"/>
  <c r="C1057" i="5"/>
  <c r="C1065" i="5"/>
  <c r="C1073" i="5"/>
  <c r="C1081" i="5"/>
  <c r="C1089" i="5"/>
  <c r="C474" i="5"/>
  <c r="C638" i="5"/>
  <c r="C714" i="5"/>
  <c r="C746" i="5"/>
  <c r="C778" i="5"/>
  <c r="C810" i="5"/>
  <c r="C842" i="5"/>
  <c r="C874" i="5"/>
  <c r="C898" i="5"/>
  <c r="C919" i="5"/>
  <c r="C940" i="5"/>
  <c r="C962" i="5"/>
  <c r="C981" i="5"/>
  <c r="C997" i="5"/>
  <c r="C1013" i="5"/>
  <c r="C1029" i="5"/>
  <c r="C1045" i="5"/>
  <c r="C1061" i="5"/>
  <c r="C1077" i="5"/>
  <c r="A46" i="4"/>
  <c r="B46" i="4" s="1"/>
  <c r="A47" i="4"/>
  <c r="B47" i="4" s="1"/>
  <c r="A48" i="4"/>
  <c r="B48" i="4" s="1"/>
  <c r="A49" i="4"/>
  <c r="B49" i="4" s="1"/>
  <c r="A50" i="4"/>
  <c r="B50" i="4" s="1"/>
  <c r="A51" i="4"/>
  <c r="B51" i="4" s="1"/>
  <c r="A52" i="4"/>
  <c r="B52" i="4" s="1"/>
  <c r="A53" i="4"/>
  <c r="B53" i="4" s="1"/>
  <c r="A54" i="4"/>
  <c r="B54" i="4" s="1"/>
  <c r="A55" i="4"/>
  <c r="B55" i="4" s="1"/>
  <c r="A56" i="4"/>
  <c r="B56" i="4" s="1"/>
  <c r="A57" i="4"/>
  <c r="B57" i="4" s="1"/>
  <c r="A58" i="4"/>
  <c r="B58" i="4" s="1"/>
  <c r="A59" i="4"/>
  <c r="B59" i="4" s="1"/>
  <c r="A60" i="4"/>
  <c r="B60" i="4" s="1"/>
  <c r="A61" i="4"/>
  <c r="B61" i="4" s="1"/>
  <c r="A62" i="4"/>
  <c r="B62" i="4" s="1"/>
  <c r="A63" i="4"/>
  <c r="B63" i="4" s="1"/>
  <c r="A64" i="4"/>
  <c r="B64" i="4" s="1"/>
  <c r="A65" i="4"/>
  <c r="B65" i="4" s="1"/>
  <c r="A66" i="4"/>
  <c r="B66" i="4" s="1"/>
  <c r="A67" i="4"/>
  <c r="B67" i="4" s="1"/>
  <c r="A68" i="4"/>
  <c r="B68" i="4" s="1"/>
  <c r="A69" i="4"/>
  <c r="B69" i="4" s="1"/>
  <c r="A70" i="4"/>
  <c r="B70" i="4" s="1"/>
  <c r="A71" i="4"/>
  <c r="B71" i="4" s="1"/>
  <c r="A72" i="4"/>
  <c r="B72" i="4" s="1"/>
  <c r="A73" i="4"/>
  <c r="B73" i="4" s="1"/>
  <c r="A74" i="4"/>
  <c r="B74" i="4" s="1"/>
  <c r="A75" i="4"/>
  <c r="B75" i="4" s="1"/>
  <c r="A45" i="4"/>
  <c r="B45" i="4" s="1"/>
  <c r="A2" i="4"/>
  <c r="E14" i="5"/>
  <c r="F14" i="5" s="1"/>
  <c r="E51" i="5"/>
  <c r="F51" i="5" s="1"/>
  <c r="E37" i="5"/>
  <c r="F37" i="5" s="1"/>
  <c r="E18" i="5"/>
  <c r="F18" i="5" s="1"/>
  <c r="E32" i="5"/>
  <c r="F32" i="5" s="1"/>
  <c r="E39" i="5"/>
  <c r="F39" i="5" s="1"/>
  <c r="E41" i="5"/>
  <c r="F41" i="5" s="1"/>
  <c r="E22" i="5"/>
  <c r="F22" i="5" s="1"/>
  <c r="E36" i="5"/>
  <c r="F36" i="5" s="1"/>
  <c r="E57" i="5"/>
  <c r="F57" i="5" s="1"/>
  <c r="E35" i="5"/>
  <c r="F35" i="5" s="1"/>
  <c r="E55" i="5"/>
  <c r="F55" i="5" s="1"/>
  <c r="E56" i="5"/>
  <c r="F56" i="5" s="1"/>
  <c r="E52" i="5"/>
  <c r="F52" i="5" s="1"/>
  <c r="E49" i="5"/>
  <c r="F49" i="5" s="1"/>
  <c r="E30" i="5"/>
  <c r="F30" i="5" s="1"/>
  <c r="E60" i="5"/>
  <c r="F60" i="5" s="1"/>
  <c r="E24" i="5"/>
  <c r="F24" i="5" s="1"/>
  <c r="E53" i="5"/>
  <c r="F53" i="5" s="1"/>
  <c r="E50" i="5"/>
  <c r="F50" i="5" s="1"/>
  <c r="E19" i="5"/>
  <c r="F19" i="5" s="1"/>
  <c r="E28" i="5"/>
  <c r="F28" i="5" s="1"/>
  <c r="E31" i="5"/>
  <c r="F31" i="5" s="1"/>
  <c r="E58" i="5"/>
  <c r="F58" i="5" s="1"/>
  <c r="E48" i="5"/>
  <c r="F48" i="5" s="1"/>
  <c r="E47" i="5"/>
  <c r="F47" i="5" s="1"/>
  <c r="E44" i="5"/>
  <c r="F44" i="5" s="1"/>
  <c r="E27" i="5"/>
  <c r="F27" i="5" s="1"/>
  <c r="E34" i="5"/>
  <c r="F34" i="5" s="1"/>
  <c r="E16" i="5"/>
  <c r="F16" i="5" s="1"/>
  <c r="E46" i="5"/>
  <c r="F46" i="5" s="1"/>
  <c r="E45" i="5"/>
  <c r="F45" i="5" s="1"/>
  <c r="E17" i="5"/>
  <c r="F17" i="5" s="1"/>
  <c r="E62" i="5"/>
  <c r="F62" i="5" s="1"/>
  <c r="E61" i="5"/>
  <c r="F61" i="5" s="1"/>
  <c r="E33" i="5"/>
  <c r="F33" i="5" s="1"/>
  <c r="E21" i="5"/>
  <c r="F21" i="5" s="1"/>
  <c r="E40" i="5"/>
  <c r="F40" i="5" s="1"/>
  <c r="E54" i="5"/>
  <c r="F54" i="5" s="1"/>
  <c r="E23" i="5"/>
  <c r="F23" i="5" s="1"/>
  <c r="E25" i="5"/>
  <c r="F25" i="5" s="1"/>
  <c r="E29" i="5"/>
  <c r="F29" i="5" s="1"/>
  <c r="E42" i="5"/>
  <c r="F42" i="5" s="1"/>
  <c r="E43" i="5"/>
  <c r="F43" i="5" s="1"/>
  <c r="E20" i="5"/>
  <c r="F20" i="5" s="1"/>
  <c r="E26" i="5"/>
  <c r="F26" i="5" s="1"/>
  <c r="E59" i="5"/>
  <c r="F59" i="5" s="1"/>
  <c r="E15" i="5"/>
  <c r="F15" i="5" s="1"/>
  <c r="E38" i="5"/>
  <c r="F38" i="5" s="1"/>
  <c r="B38" i="4"/>
  <c r="B36" i="4"/>
  <c r="E2" i="4"/>
  <c r="F34" i="4"/>
  <c r="F36" i="4"/>
  <c r="B33" i="4"/>
  <c r="B31" i="4"/>
  <c r="F37" i="4"/>
  <c r="F8" i="4"/>
  <c r="B14" i="4"/>
  <c r="B12" i="4"/>
  <c r="F9" i="4"/>
  <c r="F11" i="4"/>
  <c r="B26" i="4"/>
  <c r="B24" i="4"/>
  <c r="F13" i="4"/>
  <c r="F15" i="4"/>
  <c r="B37" i="4"/>
  <c r="F35" i="4"/>
  <c r="Q2" i="4"/>
  <c r="F38" i="4"/>
  <c r="R37" i="4"/>
  <c r="F10" i="4"/>
  <c r="B25" i="4"/>
  <c r="R19" i="4"/>
  <c r="R8" i="4"/>
  <c r="B22" i="4"/>
  <c r="B20" i="4"/>
  <c r="F17" i="4"/>
  <c r="F19" i="4"/>
  <c r="F4" i="4"/>
  <c r="B17" i="4"/>
  <c r="B15" i="4"/>
  <c r="F22" i="4"/>
  <c r="F24" i="4"/>
  <c r="R27" i="4"/>
  <c r="R29" i="4"/>
  <c r="B29" i="4"/>
  <c r="B27" i="4"/>
  <c r="F25" i="4"/>
  <c r="F27" i="4"/>
  <c r="R30" i="4"/>
  <c r="R32" i="4"/>
  <c r="B10" i="4"/>
  <c r="B8" i="4"/>
  <c r="F29" i="4"/>
  <c r="F31" i="4"/>
  <c r="R34" i="4"/>
  <c r="R36" i="4"/>
  <c r="R33" i="4"/>
  <c r="R24" i="4"/>
  <c r="R22" i="4"/>
  <c r="F33" i="4"/>
  <c r="B34" i="4"/>
  <c r="R12" i="4"/>
  <c r="B11" i="4"/>
  <c r="F12" i="4"/>
  <c r="B23" i="4"/>
  <c r="F16" i="4"/>
  <c r="R4" i="4"/>
  <c r="B4" i="4"/>
  <c r="B21" i="4"/>
  <c r="B19" i="4"/>
  <c r="F18" i="4"/>
  <c r="F20" i="4"/>
  <c r="B18" i="4"/>
  <c r="B16" i="4"/>
  <c r="F21" i="4"/>
  <c r="F23" i="4"/>
  <c r="R26" i="4"/>
  <c r="R28" i="4"/>
  <c r="B30" i="4"/>
  <c r="B28" i="4"/>
  <c r="M2" i="4"/>
  <c r="F26" i="4"/>
  <c r="F28" i="4"/>
  <c r="R31" i="4"/>
  <c r="N33" i="4"/>
  <c r="N8" i="4"/>
  <c r="B9" i="4"/>
  <c r="I2" i="4"/>
  <c r="J28" i="4"/>
  <c r="J30" i="4"/>
  <c r="F30" i="4"/>
  <c r="F32" i="4"/>
  <c r="R35" i="4"/>
  <c r="N22" i="4"/>
  <c r="R25" i="4"/>
  <c r="R23" i="4"/>
  <c r="N20" i="4"/>
  <c r="N16" i="4"/>
  <c r="N14" i="4"/>
  <c r="N21" i="4"/>
  <c r="N28" i="4"/>
  <c r="N26" i="4"/>
  <c r="J26" i="4"/>
  <c r="J24" i="4"/>
  <c r="J38" i="4"/>
  <c r="J36" i="4"/>
  <c r="J34" i="4"/>
  <c r="J32" i="4"/>
  <c r="J8" i="4"/>
  <c r="J20" i="4"/>
  <c r="J16" i="4"/>
  <c r="B35" i="4"/>
  <c r="B32" i="4"/>
  <c r="R10" i="4"/>
  <c r="B13" i="4"/>
  <c r="R15" i="4"/>
  <c r="R17" i="4"/>
  <c r="J12" i="4"/>
  <c r="F14" i="4"/>
  <c r="R21" i="4"/>
  <c r="N32" i="4"/>
  <c r="N18" i="4"/>
  <c r="N9" i="4"/>
  <c r="J21" i="4"/>
  <c r="J15" i="4"/>
  <c r="R38" i="4"/>
  <c r="R9" i="4"/>
  <c r="R20" i="4"/>
  <c r="R18" i="4"/>
  <c r="R16" i="4"/>
  <c r="R14" i="4"/>
  <c r="R13" i="4"/>
  <c r="R11" i="4"/>
  <c r="N11" i="4"/>
  <c r="N30" i="4"/>
  <c r="N38" i="4"/>
  <c r="N37" i="4"/>
  <c r="N25" i="4"/>
  <c r="N27" i="4"/>
  <c r="N35" i="4"/>
  <c r="N13" i="4"/>
  <c r="N15" i="4"/>
  <c r="N17" i="4"/>
  <c r="N36" i="4"/>
  <c r="N23" i="4"/>
  <c r="N10" i="4"/>
  <c r="N12" i="4"/>
  <c r="N4" i="4"/>
  <c r="N29" i="4"/>
  <c r="N31" i="4"/>
  <c r="N34" i="4"/>
  <c r="N24" i="4"/>
  <c r="N19" i="4"/>
  <c r="J17" i="4"/>
  <c r="J4" i="4"/>
  <c r="J31" i="4"/>
  <c r="J33" i="4"/>
  <c r="J35" i="4"/>
  <c r="J37" i="4"/>
  <c r="J23" i="4"/>
  <c r="J25" i="4"/>
  <c r="J29" i="4"/>
  <c r="J27" i="4"/>
  <c r="J19" i="4"/>
  <c r="J9" i="4"/>
  <c r="J14" i="4"/>
  <c r="J18" i="4"/>
  <c r="J22" i="4"/>
  <c r="J10" i="4"/>
  <c r="J13" i="4"/>
  <c r="J11" i="4"/>
  <c r="C7" i="4" l="1"/>
  <c r="C44" i="4" s="1"/>
  <c r="C4" i="4"/>
  <c r="O4" i="4"/>
  <c r="S4" i="4"/>
  <c r="G4" i="4"/>
  <c r="K4" i="4"/>
  <c r="S7" i="4"/>
  <c r="G44" i="4" s="1"/>
  <c r="O7" i="4"/>
  <c r="F44" i="4" s="1"/>
  <c r="K7" i="4"/>
  <c r="E44" i="4" s="1"/>
  <c r="G7" i="4"/>
  <c r="D44" i="4" s="1"/>
  <c r="D2" i="1"/>
  <c r="B10" i="1"/>
  <c r="O5" i="4"/>
  <c r="S5" i="4"/>
  <c r="C5" i="4"/>
  <c r="G5" i="4"/>
  <c r="K5" i="4"/>
  <c r="B11" i="1"/>
  <c r="A4" i="1"/>
  <c r="E2" i="1"/>
  <c r="D40" i="1" l="1"/>
  <c r="F40" i="1" s="1"/>
  <c r="D36" i="1"/>
  <c r="F36" i="1" s="1"/>
  <c r="D32" i="1"/>
  <c r="F32" i="1" s="1"/>
  <c r="D28" i="1"/>
  <c r="F28" i="1" s="1"/>
  <c r="D24" i="1"/>
  <c r="F24" i="1" s="1"/>
  <c r="D20" i="1"/>
  <c r="F20" i="1" s="1"/>
  <c r="D16" i="1"/>
  <c r="F16" i="1" s="1"/>
  <c r="D12" i="1"/>
  <c r="F12" i="1" s="1"/>
  <c r="D37" i="1"/>
  <c r="F37" i="1" s="1"/>
  <c r="D25" i="1"/>
  <c r="F25" i="1" s="1"/>
  <c r="D13" i="1"/>
  <c r="F13" i="1" s="1"/>
  <c r="D39" i="1"/>
  <c r="F39" i="1" s="1"/>
  <c r="D35" i="1"/>
  <c r="F35" i="1" s="1"/>
  <c r="D31" i="1"/>
  <c r="F31" i="1" s="1"/>
  <c r="D27" i="1"/>
  <c r="F27" i="1" s="1"/>
  <c r="D23" i="1"/>
  <c r="F23" i="1" s="1"/>
  <c r="D19" i="1"/>
  <c r="F19" i="1" s="1"/>
  <c r="D15" i="1"/>
  <c r="F15" i="1" s="1"/>
  <c r="D11" i="1"/>
  <c r="F11" i="1" s="1"/>
  <c r="D29" i="1"/>
  <c r="F29" i="1" s="1"/>
  <c r="D17" i="1"/>
  <c r="F17" i="1" s="1"/>
  <c r="D38" i="1"/>
  <c r="F38" i="1" s="1"/>
  <c r="D34" i="1"/>
  <c r="F34" i="1" s="1"/>
  <c r="D30" i="1"/>
  <c r="F30" i="1" s="1"/>
  <c r="D26" i="1"/>
  <c r="F26" i="1" s="1"/>
  <c r="D22" i="1"/>
  <c r="F22" i="1" s="1"/>
  <c r="D18" i="1"/>
  <c r="F18" i="1" s="1"/>
  <c r="D14" i="1"/>
  <c r="F14" i="1" s="1"/>
  <c r="D10" i="1"/>
  <c r="F10" i="1" s="1"/>
  <c r="D33" i="1"/>
  <c r="F33" i="1" s="1"/>
  <c r="D21" i="1"/>
  <c r="F21" i="1" s="1"/>
  <c r="O8" i="4" a="1"/>
  <c r="K8" i="4" a="1"/>
  <c r="S8" i="4" a="1"/>
  <c r="G8" i="4" a="1"/>
  <c r="C8" i="4" a="1"/>
  <c r="B12" i="1"/>
  <c r="C19" i="4" l="1"/>
  <c r="C35" i="4"/>
  <c r="C20" i="4"/>
  <c r="C36" i="4"/>
  <c r="C21" i="4"/>
  <c r="C37" i="4"/>
  <c r="C22" i="4"/>
  <c r="C38" i="4"/>
  <c r="C23" i="4"/>
  <c r="C8" i="4"/>
  <c r="C24" i="4"/>
  <c r="C9" i="4"/>
  <c r="C25" i="4"/>
  <c r="C10" i="4"/>
  <c r="C26" i="4"/>
  <c r="C11" i="4"/>
  <c r="C27" i="4"/>
  <c r="C12" i="4"/>
  <c r="C28" i="4"/>
  <c r="C13" i="4"/>
  <c r="C29" i="4"/>
  <c r="C14" i="4"/>
  <c r="C30" i="4"/>
  <c r="C15" i="4"/>
  <c r="C31" i="4"/>
  <c r="C16" i="4"/>
  <c r="C32" i="4"/>
  <c r="C17" i="4"/>
  <c r="C33" i="4"/>
  <c r="C18" i="4"/>
  <c r="C34" i="4"/>
  <c r="S15" i="4"/>
  <c r="S31" i="4"/>
  <c r="S16" i="4"/>
  <c r="S32" i="4"/>
  <c r="S17" i="4"/>
  <c r="S33" i="4"/>
  <c r="S18" i="4"/>
  <c r="S34" i="4"/>
  <c r="S19" i="4"/>
  <c r="S35" i="4"/>
  <c r="S20" i="4"/>
  <c r="S36" i="4"/>
  <c r="S21" i="4"/>
  <c r="S37" i="4"/>
  <c r="S22" i="4"/>
  <c r="S38" i="4"/>
  <c r="S23" i="4"/>
  <c r="S8" i="4"/>
  <c r="S24" i="4"/>
  <c r="S9" i="4"/>
  <c r="S25" i="4"/>
  <c r="S10" i="4"/>
  <c r="S26" i="4"/>
  <c r="S11" i="4"/>
  <c r="S27" i="4"/>
  <c r="S12" i="4"/>
  <c r="S28" i="4"/>
  <c r="S13" i="4"/>
  <c r="S29" i="4"/>
  <c r="S14" i="4"/>
  <c r="S30" i="4"/>
  <c r="K21" i="4"/>
  <c r="K37" i="4"/>
  <c r="K22" i="4"/>
  <c r="K38" i="4"/>
  <c r="K23" i="4"/>
  <c r="K8" i="4"/>
  <c r="K24" i="4"/>
  <c r="K9" i="4"/>
  <c r="K25" i="4"/>
  <c r="K10" i="4"/>
  <c r="K26" i="4"/>
  <c r="K11" i="4"/>
  <c r="K27" i="4"/>
  <c r="K12" i="4"/>
  <c r="K28" i="4"/>
  <c r="K13" i="4"/>
  <c r="K29" i="4"/>
  <c r="K14" i="4"/>
  <c r="K30" i="4"/>
  <c r="K15" i="4"/>
  <c r="K31" i="4"/>
  <c r="K16" i="4"/>
  <c r="K32" i="4"/>
  <c r="K17" i="4"/>
  <c r="K33" i="4"/>
  <c r="K18" i="4"/>
  <c r="K34" i="4"/>
  <c r="K19" i="4"/>
  <c r="K35" i="4"/>
  <c r="K20" i="4"/>
  <c r="K36" i="4"/>
  <c r="O20" i="4"/>
  <c r="O36" i="4"/>
  <c r="O21" i="4"/>
  <c r="O37" i="4"/>
  <c r="O22" i="4"/>
  <c r="O38" i="4"/>
  <c r="O23" i="4"/>
  <c r="O8" i="4"/>
  <c r="O24" i="4"/>
  <c r="O9" i="4"/>
  <c r="O25" i="4"/>
  <c r="O10" i="4"/>
  <c r="O26" i="4"/>
  <c r="O11" i="4"/>
  <c r="O27" i="4"/>
  <c r="O12" i="4"/>
  <c r="O28" i="4"/>
  <c r="O13" i="4"/>
  <c r="O29" i="4"/>
  <c r="O14" i="4"/>
  <c r="O30" i="4"/>
  <c r="O15" i="4"/>
  <c r="O31" i="4"/>
  <c r="O16" i="4"/>
  <c r="O32" i="4"/>
  <c r="O17" i="4"/>
  <c r="O33" i="4"/>
  <c r="O18" i="4"/>
  <c r="O34" i="4"/>
  <c r="O19" i="4"/>
  <c r="O35" i="4"/>
  <c r="G10" i="4"/>
  <c r="G26" i="4"/>
  <c r="G11" i="4"/>
  <c r="G27" i="4"/>
  <c r="G12" i="4"/>
  <c r="G28" i="4"/>
  <c r="G13" i="4"/>
  <c r="G29" i="4"/>
  <c r="G14" i="4"/>
  <c r="G30" i="4"/>
  <c r="G15" i="4"/>
  <c r="G31" i="4"/>
  <c r="G16" i="4"/>
  <c r="G32" i="4"/>
  <c r="G17" i="4"/>
  <c r="G33" i="4"/>
  <c r="G18" i="4"/>
  <c r="G34" i="4"/>
  <c r="G19" i="4"/>
  <c r="G35" i="4"/>
  <c r="G20" i="4"/>
  <c r="G36" i="4"/>
  <c r="G21" i="4"/>
  <c r="G37" i="4"/>
  <c r="G22" i="4"/>
  <c r="G38" i="4"/>
  <c r="G23" i="4"/>
  <c r="G8" i="4"/>
  <c r="G24" i="4"/>
  <c r="G9" i="4"/>
  <c r="G25" i="4"/>
  <c r="B13" i="1"/>
  <c r="B14" i="1" s="1"/>
  <c r="E66" i="5" l="1"/>
  <c r="G13" i="5"/>
  <c r="G14" i="5"/>
  <c r="G51" i="5"/>
  <c r="G37" i="5"/>
  <c r="G18" i="5"/>
  <c r="G32" i="5"/>
  <c r="G39" i="5"/>
  <c r="G41" i="5"/>
  <c r="G22" i="5"/>
  <c r="G36" i="5"/>
  <c r="G57" i="5"/>
  <c r="G35" i="5"/>
  <c r="G55" i="5"/>
  <c r="G56" i="5"/>
  <c r="G52" i="5"/>
  <c r="G49" i="5"/>
  <c r="G30" i="5"/>
  <c r="G60" i="5"/>
  <c r="G24" i="5"/>
  <c r="G53" i="5"/>
  <c r="G50" i="5"/>
  <c r="G19" i="5"/>
  <c r="G28" i="5"/>
  <c r="G31" i="5"/>
  <c r="G58" i="5"/>
  <c r="G48" i="5"/>
  <c r="G47" i="5"/>
  <c r="G44" i="5"/>
  <c r="G27" i="5"/>
  <c r="G34" i="5"/>
  <c r="G16" i="5"/>
  <c r="G46" i="5"/>
  <c r="G45" i="5"/>
  <c r="G17" i="5"/>
  <c r="G62" i="5"/>
  <c r="G61" i="5"/>
  <c r="G33" i="5"/>
  <c r="G21" i="5"/>
  <c r="G40" i="5"/>
  <c r="G54" i="5"/>
  <c r="G23" i="5"/>
  <c r="G25" i="5"/>
  <c r="G29" i="5"/>
  <c r="G42" i="5"/>
  <c r="G43" i="5"/>
  <c r="G20" i="5"/>
  <c r="G26" i="5"/>
  <c r="G59" i="5"/>
  <c r="G15" i="5"/>
  <c r="G38" i="5"/>
  <c r="D67" i="5" a="1"/>
  <c r="D67" i="5"/>
  <c r="D87" i="5"/>
  <c r="D104" i="5"/>
  <c r="D105" i="5"/>
  <c r="D74" i="5"/>
  <c r="D72" i="5"/>
  <c r="D115" i="5"/>
  <c r="D90" i="5"/>
  <c r="D106" i="5"/>
  <c r="D109" i="5"/>
  <c r="D76" i="5"/>
  <c r="D80" i="5"/>
  <c r="D102" i="5"/>
  <c r="D81" i="5"/>
  <c r="D112" i="5"/>
  <c r="D89" i="5"/>
  <c r="D113" i="5"/>
  <c r="D108" i="5"/>
  <c r="D69" i="5"/>
  <c r="D84" i="5"/>
  <c r="D100" i="5"/>
  <c r="D71" i="5"/>
  <c r="D116" i="5"/>
  <c r="D94" i="5"/>
  <c r="D68" i="5"/>
  <c r="D110" i="5"/>
  <c r="D77" i="5"/>
  <c r="D73" i="5"/>
  <c r="D70" i="5"/>
  <c r="D82" i="5"/>
  <c r="D92" i="5"/>
  <c r="D75" i="5"/>
  <c r="D88" i="5"/>
  <c r="D85" i="5"/>
  <c r="D83" i="5"/>
  <c r="D111" i="5"/>
  <c r="D99" i="5"/>
  <c r="D79" i="5"/>
  <c r="D91" i="5"/>
  <c r="D93" i="5"/>
  <c r="D103" i="5"/>
  <c r="D114" i="5"/>
  <c r="D78" i="5"/>
  <c r="D86" i="5"/>
  <c r="D97" i="5"/>
  <c r="D107" i="5"/>
  <c r="D96" i="5"/>
  <c r="D95" i="5"/>
  <c r="D98" i="5"/>
  <c r="D101" i="5"/>
  <c r="B15" i="1"/>
  <c r="B16" i="1"/>
  <c r="B17" i="1" s="1"/>
  <c r="B18" i="1" s="1"/>
  <c r="B19" i="1" s="1"/>
  <c r="B20" i="1"/>
  <c r="B21" i="1"/>
  <c r="B22" i="1" s="1"/>
  <c r="B23" i="1" s="1"/>
  <c r="B24" i="1" s="1"/>
  <c r="B25" i="1" s="1"/>
  <c r="B26" i="1" s="1"/>
  <c r="B27" i="1" s="1"/>
  <c r="B28" i="1" s="1"/>
  <c r="B29" i="1"/>
  <c r="B30" i="1" s="1"/>
  <c r="B31" i="1" s="1"/>
  <c r="B32" i="1" s="1"/>
  <c r="B33" i="1" s="1"/>
  <c r="B34" i="1" s="1"/>
  <c r="B35" i="1" s="1"/>
  <c r="B36" i="1" s="1"/>
  <c r="B37" i="1"/>
  <c r="B38" i="1" s="1"/>
  <c r="B39" i="1" s="1"/>
  <c r="B40" i="1" s="1"/>
  <c r="E10" i="1" a="1"/>
  <c r="C10" i="1" a="1"/>
  <c r="C30" i="1" l="1"/>
  <c r="C23" i="1"/>
  <c r="C12" i="1"/>
  <c r="C16" i="1"/>
  <c r="C20" i="1"/>
  <c r="C33" i="1"/>
  <c r="C14" i="1"/>
  <c r="C18" i="1"/>
  <c r="C29" i="1"/>
  <c r="C37" i="1"/>
  <c r="C28" i="1"/>
  <c r="C39" i="1"/>
  <c r="C26" i="1"/>
  <c r="C22" i="1"/>
  <c r="C25" i="1"/>
  <c r="C36" i="1"/>
  <c r="C21" i="1"/>
  <c r="C35" i="1"/>
  <c r="C24" i="1"/>
  <c r="C34" i="1"/>
  <c r="C32" i="1"/>
  <c r="C17" i="1"/>
  <c r="C13" i="1"/>
  <c r="C31" i="1"/>
  <c r="C10" i="1"/>
  <c r="C40" i="1"/>
  <c r="C27" i="1"/>
  <c r="C38" i="1"/>
  <c r="C19" i="1"/>
  <c r="C11" i="1"/>
  <c r="C15" i="1"/>
  <c r="E20" i="1"/>
  <c r="E23" i="1"/>
  <c r="E22" i="1"/>
  <c r="E21" i="1"/>
  <c r="E24" i="1"/>
  <c r="E27" i="1"/>
  <c r="E16" i="1"/>
  <c r="E25" i="1"/>
  <c r="E32" i="1"/>
  <c r="E33" i="1"/>
  <c r="E36" i="1"/>
  <c r="E37" i="1"/>
  <c r="E31" i="1"/>
  <c r="E15" i="1"/>
  <c r="E10" i="1"/>
  <c r="E12" i="1"/>
  <c r="E19" i="1"/>
  <c r="E40" i="1"/>
  <c r="E17" i="1"/>
  <c r="E30" i="1"/>
  <c r="E29" i="1"/>
  <c r="E26" i="1"/>
  <c r="E35" i="1"/>
  <c r="E28" i="1"/>
  <c r="E38" i="1"/>
  <c r="E18" i="1"/>
  <c r="E14" i="1"/>
  <c r="E13" i="1"/>
  <c r="E34" i="1"/>
  <c r="E39" i="1"/>
  <c r="E11" i="1"/>
</calcChain>
</file>

<file path=xl/sharedStrings.xml><?xml version="1.0" encoding="utf-8"?>
<sst xmlns="http://schemas.openxmlformats.org/spreadsheetml/2006/main" count="2143" uniqueCount="2134">
  <si>
    <t>银行间固定利率国债收益率曲线(中债即期)</t>
  </si>
  <si>
    <t>0.00 年</t>
  </si>
  <si>
    <t>1.0 年</t>
  </si>
  <si>
    <t>2.0 年</t>
  </si>
  <si>
    <t>3.0 年</t>
  </si>
  <si>
    <t>4.0 年</t>
  </si>
  <si>
    <t>5.0 年</t>
  </si>
  <si>
    <t>6.0 年</t>
  </si>
  <si>
    <t>7.0 年</t>
  </si>
  <si>
    <t>8.0 年</t>
  </si>
  <si>
    <t>9.0 年</t>
  </si>
  <si>
    <t>10.0 年</t>
  </si>
  <si>
    <t>11.0 年</t>
  </si>
  <si>
    <t>12.0 年</t>
  </si>
  <si>
    <t>13.0 年</t>
  </si>
  <si>
    <t>14.0 年</t>
  </si>
  <si>
    <t>15.0 年</t>
  </si>
  <si>
    <t>16.0 年</t>
  </si>
  <si>
    <t>17.0 年</t>
  </si>
  <si>
    <t>18.0 年</t>
  </si>
  <si>
    <t>19.0 年</t>
  </si>
  <si>
    <t>20.0 年</t>
  </si>
  <si>
    <t>21.0 年</t>
  </si>
  <si>
    <t>22.0 年</t>
  </si>
  <si>
    <t>23.0 年</t>
  </si>
  <si>
    <t>24.0 年</t>
  </si>
  <si>
    <t>25.0 年</t>
  </si>
  <si>
    <t>26.0 年</t>
  </si>
  <si>
    <t>27.0 年</t>
  </si>
  <si>
    <t>28.0 年</t>
  </si>
  <si>
    <t>29.0 年</t>
  </si>
  <si>
    <t>30.0 年</t>
  </si>
  <si>
    <r>
      <rPr>
        <sz val="11"/>
        <color theme="1"/>
        <rFont val="宋体"/>
        <family val="2"/>
      </rPr>
      <t>报告时间</t>
    </r>
    <phoneticPr fontId="2" type="noConversion"/>
  </si>
  <si>
    <r>
      <rPr>
        <sz val="11"/>
        <color theme="1"/>
        <rFont val="宋体"/>
        <family val="2"/>
      </rPr>
      <t>路径</t>
    </r>
    <phoneticPr fontId="2" type="noConversion"/>
  </si>
  <si>
    <r>
      <rPr>
        <sz val="11"/>
        <color theme="1"/>
        <rFont val="宋体"/>
        <family val="2"/>
      </rPr>
      <t>收益率曲线</t>
    </r>
    <phoneticPr fontId="2" type="noConversion"/>
  </si>
  <si>
    <r>
      <rPr>
        <sz val="11"/>
        <color theme="1"/>
        <rFont val="宋体"/>
        <family val="2"/>
      </rPr>
      <t>读取收益率曲线</t>
    </r>
    <phoneticPr fontId="2" type="noConversion"/>
  </si>
  <si>
    <r>
      <rPr>
        <sz val="11"/>
        <color theme="1"/>
        <rFont val="宋体"/>
        <family val="2"/>
      </rPr>
      <t>时间</t>
    </r>
    <phoneticPr fontId="2" type="noConversion"/>
  </si>
  <si>
    <t>中债公司即期收益率</t>
    <phoneticPr fontId="2" type="noConversion"/>
  </si>
  <si>
    <t>中债公司折现因子</t>
    <phoneticPr fontId="2" type="noConversion"/>
  </si>
  <si>
    <t>中大期货即期收益率</t>
    <phoneticPr fontId="2" type="noConversion"/>
  </si>
  <si>
    <t>中大期货折现因子</t>
    <phoneticPr fontId="2" type="noConversion"/>
  </si>
  <si>
    <r>
      <rPr>
        <sz val="11"/>
        <color theme="1"/>
        <rFont val="宋体"/>
        <family val="2"/>
      </rPr>
      <t>报告时间</t>
    </r>
    <phoneticPr fontId="2" type="noConversion"/>
  </si>
  <si>
    <r>
      <rPr>
        <sz val="11"/>
        <color theme="1"/>
        <rFont val="宋体"/>
        <family val="2"/>
      </rPr>
      <t>一周前</t>
    </r>
    <phoneticPr fontId="2" type="noConversion"/>
  </si>
  <si>
    <r>
      <rPr>
        <sz val="11"/>
        <color theme="1"/>
        <rFont val="宋体"/>
        <family val="2"/>
      </rPr>
      <t>一月前</t>
    </r>
    <phoneticPr fontId="2" type="noConversion"/>
  </si>
  <si>
    <r>
      <rPr>
        <sz val="11"/>
        <color theme="1"/>
        <rFont val="宋体"/>
        <family val="2"/>
      </rPr>
      <t>一季前</t>
    </r>
    <phoneticPr fontId="2" type="noConversion"/>
  </si>
  <si>
    <r>
      <rPr>
        <sz val="11"/>
        <color theme="1"/>
        <rFont val="宋体"/>
        <family val="2"/>
      </rPr>
      <t>一年前</t>
    </r>
    <phoneticPr fontId="2" type="noConversion"/>
  </si>
  <si>
    <r>
      <rPr>
        <sz val="11"/>
        <color theme="1"/>
        <rFont val="宋体"/>
        <family val="2"/>
      </rPr>
      <t>读取曲线</t>
    </r>
    <phoneticPr fontId="2" type="noConversion"/>
  </si>
  <si>
    <r>
      <rPr>
        <sz val="11"/>
        <color theme="1"/>
        <rFont val="宋体"/>
        <family val="2"/>
      </rPr>
      <t>日期</t>
    </r>
    <phoneticPr fontId="2" type="noConversion"/>
  </si>
  <si>
    <r>
      <rPr>
        <b/>
        <sz val="11"/>
        <color theme="1"/>
        <rFont val="宋体"/>
        <family val="3"/>
        <charset val="134"/>
      </rPr>
      <t>期限</t>
    </r>
    <phoneticPr fontId="2" type="noConversion"/>
  </si>
  <si>
    <r>
      <rPr>
        <b/>
        <sz val="11"/>
        <color theme="1"/>
        <rFont val="宋体"/>
        <family val="3"/>
        <charset val="134"/>
      </rPr>
      <t>日期</t>
    </r>
    <phoneticPr fontId="2" type="noConversion"/>
  </si>
  <si>
    <t>Issue Date</t>
    <phoneticPr fontId="2" type="noConversion"/>
  </si>
  <si>
    <t>1Y</t>
    <phoneticPr fontId="2" type="noConversion"/>
  </si>
  <si>
    <t>2Y</t>
    <phoneticPr fontId="2" type="noConversion"/>
  </si>
  <si>
    <t>3Y</t>
    <phoneticPr fontId="2" type="noConversion"/>
  </si>
  <si>
    <t>5Y</t>
  </si>
  <si>
    <t>7Y</t>
  </si>
  <si>
    <t>10Y</t>
  </si>
  <si>
    <t>15Y</t>
  </si>
  <si>
    <t>20Y</t>
  </si>
  <si>
    <t>4Y</t>
  </si>
  <si>
    <t>6Y</t>
  </si>
  <si>
    <t>8Y</t>
  </si>
  <si>
    <t>9Y</t>
  </si>
  <si>
    <t>11Y</t>
  </si>
  <si>
    <t>12Y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</si>
  <si>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</si>
  <si>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</si>
  <si>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</si>
  <si>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</si>
  <si>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</si>
  <si>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</si>
  <si>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</si>
  <si>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</si>
  <si>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</si>
  <si>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</si>
  <si>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</si>
  <si>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</si>
  <si>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</si>
  <si>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</si>
  <si>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</si>
  <si>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30Y</t>
  </si>
  <si>
    <t>31Y</t>
  </si>
  <si>
    <t>32Y</t>
  </si>
  <si>
    <t>33Y</t>
  </si>
  <si>
    <t>34Y</t>
  </si>
  <si>
    <t>35Y</t>
  </si>
  <si>
    <t>36Y</t>
  </si>
  <si>
    <t>37Y</t>
  </si>
  <si>
    <t>38Y</t>
  </si>
  <si>
    <t>39Y</t>
  </si>
  <si>
    <t>40Y</t>
  </si>
  <si>
    <t>41Y</t>
  </si>
  <si>
    <t>42Y</t>
  </si>
  <si>
    <t>43Y</t>
  </si>
  <si>
    <t>44Y</t>
  </si>
  <si>
    <t>45Y</t>
  </si>
  <si>
    <t>46Y</t>
  </si>
  <si>
    <t>47Y</t>
  </si>
  <si>
    <t>48Y</t>
  </si>
  <si>
    <t>49Y</t>
  </si>
  <si>
    <t>50Y</t>
  </si>
  <si>
    <t>Expiry</t>
    <phoneticPr fontId="2" type="noConversion"/>
  </si>
  <si>
    <t>Schedule</t>
    <phoneticPr fontId="2" type="noConversion"/>
  </si>
  <si>
    <t>Bond</t>
    <phoneticPr fontId="2" type="noConversion"/>
  </si>
  <si>
    <t>Evaluation Date</t>
    <phoneticPr fontId="2" type="noConversion"/>
  </si>
  <si>
    <t>Settlement Date</t>
    <phoneticPr fontId="2" type="noConversion"/>
  </si>
  <si>
    <t>Flat curve</t>
    <phoneticPr fontId="2" type="noConversion"/>
  </si>
  <si>
    <t>Tenor</t>
    <phoneticPr fontId="2" type="noConversion"/>
  </si>
  <si>
    <t>Date</t>
    <phoneticPr fontId="2" type="noConversion"/>
  </si>
  <si>
    <t>Clean Price 1</t>
    <phoneticPr fontId="2" type="noConversion"/>
  </si>
  <si>
    <t>Clean Price 2</t>
    <phoneticPr fontId="2" type="noConversion"/>
  </si>
  <si>
    <t>3M</t>
    <phoneticPr fontId="2" type="noConversion"/>
  </si>
  <si>
    <t>Discount</t>
    <phoneticPr fontId="2" type="noConversion"/>
  </si>
  <si>
    <t>Date</t>
    <phoneticPr fontId="2" type="noConversion"/>
  </si>
  <si>
    <t>Save Path</t>
    <phoneticPr fontId="2" type="noConversion"/>
  </si>
  <si>
    <t>CNY_Treasury_Live_Curve_2012-8-16_Calibrated_Curve_1</t>
  </si>
  <si>
    <t>CNY_Treasury_Live_Curve_2012-8-16_Calibrated_Curve_2</t>
  </si>
  <si>
    <t>CNY_Treasury_Live_Curve_2012-8-16_Calibrated_Curve_3</t>
  </si>
  <si>
    <t>CNY_Treasury_Live_Curve_2012-8-16_Calibrated_Curve_4</t>
  </si>
  <si>
    <t>CNY_Treasury_Live_Curve_2012-8-16_Calibrated_Curve_5</t>
  </si>
  <si>
    <t>CNY_Treasury_Live_Curve_2012-8-16_Calibrated_Curve_6</t>
  </si>
  <si>
    <t>CNY_Treasury_Live_Curve_2012-8-16_Calibrated_Curve_7</t>
  </si>
  <si>
    <t>Load Path</t>
    <phoneticPr fontId="2" type="noConversion"/>
  </si>
  <si>
    <t>Built Curves</t>
    <phoneticPr fontId="2" type="noConversion"/>
  </si>
  <si>
    <t>Base Curve</t>
    <phoneticPr fontId="2" type="noConversion"/>
  </si>
  <si>
    <t>CNY_Treasury_Live_Curve_2008-9-25_Calibrated_Curve_7</t>
    <phoneticPr fontId="2" type="noConversion"/>
  </si>
  <si>
    <t>CNY_Treasury_Live_Curve_2008-9-26_Calibrated_Curve_7</t>
    <phoneticPr fontId="2" type="noConversion"/>
  </si>
  <si>
    <t>CNY_Treasury_Live_Curve_2008-9-27_Calibrated_Curve_7</t>
    <phoneticPr fontId="2" type="noConversion"/>
  </si>
  <si>
    <t>CNY_Treasury_Live_Curve_2008-9-28_Calibrated_Curve_7</t>
    <phoneticPr fontId="2" type="noConversion"/>
  </si>
  <si>
    <t>CNY_Treasury_Live_Curve_2008-9-3_Calibrated_Curve_7</t>
    <phoneticPr fontId="2" type="noConversion"/>
  </si>
  <si>
    <t>CNY_Treasury_Live_Curve_2008-9-4_Calibrated_Curve_7</t>
    <phoneticPr fontId="2" type="noConversion"/>
  </si>
  <si>
    <t>CNY_Treasury_Live_Curve_2008-9-5_Calibrated_Curve_7</t>
    <phoneticPr fontId="2" type="noConversion"/>
  </si>
  <si>
    <t>CNY_Treasury_Live_Curve_2008-9-8_Calibrated_Curve_7</t>
    <phoneticPr fontId="2" type="noConversion"/>
  </si>
  <si>
    <t>CNY_Treasury_Live_Curve_2008-9-9_Calibrated_Curve_7</t>
    <phoneticPr fontId="2" type="noConversion"/>
  </si>
  <si>
    <t>CNY_Treasury_Live_Curve_2009-1-12_Calibrated_Curve_7</t>
    <phoneticPr fontId="2" type="noConversion"/>
  </si>
  <si>
    <t>CNY_Treasury_Live_Curve_2009-1-13_Calibrated_Curve_7</t>
    <phoneticPr fontId="2" type="noConversion"/>
  </si>
  <si>
    <t>CNY_Treasury_Live_Curve_2009-1-14_Calibrated_Curve_7</t>
    <phoneticPr fontId="2" type="noConversion"/>
  </si>
  <si>
    <t>CNY_Treasury_Live_Curve_2009-1-15_Calibrated_Curve_7</t>
    <phoneticPr fontId="2" type="noConversion"/>
  </si>
  <si>
    <t>CNY_Treasury_Live_Curve_2009-1-16_Calibrated_Curve_7</t>
    <phoneticPr fontId="2" type="noConversion"/>
  </si>
  <si>
    <t>CNY_Treasury_Live_Curve_2009-1-19_Calibrated_Curve_7</t>
    <phoneticPr fontId="2" type="noConversion"/>
  </si>
  <si>
    <t>CNY_Treasury_Live_Curve_2009-1-20_Calibrated_Curve_7</t>
    <phoneticPr fontId="2" type="noConversion"/>
  </si>
  <si>
    <t>CNY_Treasury_Live_Curve_2009-1-21_Calibrated_Curve_7</t>
    <phoneticPr fontId="2" type="noConversion"/>
  </si>
  <si>
    <t>CNY_Treasury_Live_Curve_2009-1-22_Calibrated_Curve_7</t>
    <phoneticPr fontId="2" type="noConversion"/>
  </si>
  <si>
    <t>CNY_Treasury_Live_Curve_2009-1-23_Calibrated_Curve_7</t>
    <phoneticPr fontId="2" type="noConversion"/>
  </si>
  <si>
    <t>CNY_Treasury_Live_Curve_2009-1-24_Calibrated_Curve_7</t>
    <phoneticPr fontId="2" type="noConversion"/>
  </si>
  <si>
    <t>CNY_Treasury_Live_Curve_2009-1-4_Calibrated_Curve_7</t>
    <phoneticPr fontId="2" type="noConversion"/>
  </si>
  <si>
    <t>CNY_Treasury_Live_Curve_2009-1-5_Calibrated_Curve_7</t>
    <phoneticPr fontId="2" type="noConversion"/>
  </si>
  <si>
    <t>CNY_Treasury_Live_Curve_2009-1-6_Calibrated_Curve_7</t>
    <phoneticPr fontId="2" type="noConversion"/>
  </si>
  <si>
    <t>CNY_Treasury_Live_Curve_2009-1-7_Calibrated_Curve_7</t>
    <phoneticPr fontId="2" type="noConversion"/>
  </si>
  <si>
    <t>CNY_Treasury_Live_Curve_2009-1-8_Calibrated_Curve_7</t>
    <phoneticPr fontId="2" type="noConversion"/>
  </si>
  <si>
    <t>CNY_Treasury_Live_Curve_2009-1-9_Calibrated_Curve_7</t>
    <phoneticPr fontId="2" type="noConversion"/>
  </si>
  <si>
    <t>CNY_Treasury_Live_Curve_2009-10-10_Calibrated_Curve_7</t>
    <phoneticPr fontId="2" type="noConversion"/>
  </si>
  <si>
    <t>CNY_Treasury_Live_Curve_2009-10-12_Calibrated_Curve_7</t>
    <phoneticPr fontId="2" type="noConversion"/>
  </si>
  <si>
    <t>CNY_Treasury_Live_Curve_2009-10-13_Calibrated_Curve_7</t>
    <phoneticPr fontId="2" type="noConversion"/>
  </si>
  <si>
    <t>CNY_Treasury_Live_Curve_2009-10-14_Calibrated_Curve_7</t>
    <phoneticPr fontId="2" type="noConversion"/>
  </si>
  <si>
    <t>CNY_Treasury_Live_Curve_2009-10-15_Calibrated_Curve_7</t>
    <phoneticPr fontId="2" type="noConversion"/>
  </si>
  <si>
    <t>CNY_Treasury_Live_Curve_2009-10-16_Calibrated_Curve_7</t>
    <phoneticPr fontId="2" type="noConversion"/>
  </si>
  <si>
    <t>CNY_Treasury_Live_Curve_2009-10-19_Calibrated_Curve_7</t>
    <phoneticPr fontId="2" type="noConversion"/>
  </si>
  <si>
    <t>CNY_Treasury_Live_Curve_2009-10-20_Calibrated_Curve_7</t>
    <phoneticPr fontId="2" type="noConversion"/>
  </si>
  <si>
    <t>CNY_Treasury_Live_Curve_2009-10-21_Calibrated_Curve_7</t>
    <phoneticPr fontId="2" type="noConversion"/>
  </si>
  <si>
    <t>CNY_Treasury_Live_Curve_2009-10-22_Calibrated_Curve_7</t>
    <phoneticPr fontId="2" type="noConversion"/>
  </si>
  <si>
    <t>CNY_Treasury_Live_Curve_2009-10-23_Calibrated_Curve_7</t>
    <phoneticPr fontId="2" type="noConversion"/>
  </si>
  <si>
    <t>CNY_Treasury_Live_Curve_2009-10-26_Calibrated_Curve_7</t>
    <phoneticPr fontId="2" type="noConversion"/>
  </si>
  <si>
    <t>CNY_Treasury_Live_Curve_2009-10-27_Calibrated_Curve_7</t>
    <phoneticPr fontId="2" type="noConversion"/>
  </si>
  <si>
    <t>CNY_Treasury_Live_Curve_2009-10-28_Calibrated_Curve_7</t>
    <phoneticPr fontId="2" type="noConversion"/>
  </si>
  <si>
    <t>CNY_Treasury_Live_Curve_2009-10-29_Calibrated_Curve_7</t>
    <phoneticPr fontId="2" type="noConversion"/>
  </si>
  <si>
    <t>CNY_Treasury_Live_Curve_2009-10-30_Calibrated_Curve_7</t>
    <phoneticPr fontId="2" type="noConversion"/>
  </si>
  <si>
    <t>CNY_Treasury_Live_Curve_2009-10-9_Calibrated_Curve_7</t>
    <phoneticPr fontId="2" type="noConversion"/>
  </si>
  <si>
    <t>CNY_Treasury_Live_Curve_2009-11-10_Calibrated_Curve_7</t>
    <phoneticPr fontId="2" type="noConversion"/>
  </si>
  <si>
    <t>CNY_Treasury_Live_Curve_2009-11-11_Calibrated_Curve_7</t>
    <phoneticPr fontId="2" type="noConversion"/>
  </si>
  <si>
    <t>CNY_Treasury_Live_Curve_2009-11-12_Calibrated_Curve_7</t>
    <phoneticPr fontId="2" type="noConversion"/>
  </si>
  <si>
    <t>CNY_Treasury_Live_Curve_2009-11-13_Calibrated_Curve_7</t>
    <phoneticPr fontId="2" type="noConversion"/>
  </si>
  <si>
    <t>CNY_Treasury_Live_Curve_2009-11-16_Calibrated_Curve_7</t>
    <phoneticPr fontId="2" type="noConversion"/>
  </si>
  <si>
    <t>CNY_Treasury_Live_Curve_2009-11-17_Calibrated_Curve_7</t>
    <phoneticPr fontId="2" type="noConversion"/>
  </si>
  <si>
    <t>CNY_Treasury_Live_Curve_2009-11-18_Calibrated_Curve_7</t>
    <phoneticPr fontId="2" type="noConversion"/>
  </si>
  <si>
    <t>CNY_Treasury_Live_Curve_2009-11-19_Calibrated_Curve_7</t>
    <phoneticPr fontId="2" type="noConversion"/>
  </si>
  <si>
    <t>CNY_Treasury_Live_Curve_2009-11-2_Calibrated_Curve_7</t>
    <phoneticPr fontId="2" type="noConversion"/>
  </si>
  <si>
    <t>CNY_Treasury_Live_Curve_2009-11-20_Calibrated_Curve_7</t>
    <phoneticPr fontId="2" type="noConversion"/>
  </si>
  <si>
    <t>CNY_Treasury_Live_Curve_2009-11-23_Calibrated_Curve_7</t>
    <phoneticPr fontId="2" type="noConversion"/>
  </si>
  <si>
    <t>CNY_Treasury_Live_Curve_2009-11-24_Calibrated_Curve_7</t>
    <phoneticPr fontId="2" type="noConversion"/>
  </si>
  <si>
    <t>CNY_Treasury_Live_Curve_2009-11-25_Calibrated_Curve_7</t>
    <phoneticPr fontId="2" type="noConversion"/>
  </si>
  <si>
    <t>CNY_Treasury_Live_Curve_2009-11-26_Calibrated_Curve_7</t>
    <phoneticPr fontId="2" type="noConversion"/>
  </si>
  <si>
    <t>CNY_Treasury_Live_Curve_2009-11-27_Calibrated_Curve_7</t>
    <phoneticPr fontId="2" type="noConversion"/>
  </si>
  <si>
    <t>CNY_Treasury_Live_Curve_2009-11-3_Calibrated_Curve_7</t>
    <phoneticPr fontId="2" type="noConversion"/>
  </si>
  <si>
    <t>CNY_Treasury_Live_Curve_2009-11-30_Calibrated_Curve_7</t>
    <phoneticPr fontId="2" type="noConversion"/>
  </si>
  <si>
    <t>CNY_Treasury_Live_Curve_2009-11-4_Calibrated_Curve_7</t>
    <phoneticPr fontId="2" type="noConversion"/>
  </si>
  <si>
    <t>CNY_Treasury_Live_Curve_2009-11-5_Calibrated_Curve_7</t>
    <phoneticPr fontId="2" type="noConversion"/>
  </si>
  <si>
    <t>CNY_Treasury_Live_Curve_2009-11-6_Calibrated_Curve_7</t>
    <phoneticPr fontId="2" type="noConversion"/>
  </si>
  <si>
    <t>CNY_Treasury_Live_Curve_2009-11-9_Calibrated_Curve_7</t>
    <phoneticPr fontId="2" type="noConversion"/>
  </si>
  <si>
    <t>CNY_Treasury_Live_Curve_2009-12-1_Calibrated_Curve_7</t>
    <phoneticPr fontId="2" type="noConversion"/>
  </si>
  <si>
    <t>CNY_Treasury_Live_Curve_2009-12-10_Calibrated_Curve_7</t>
    <phoneticPr fontId="2" type="noConversion"/>
  </si>
  <si>
    <t>CNY_Treasury_Live_Curve_2009-12-11_Calibrated_Curve_7</t>
    <phoneticPr fontId="2" type="noConversion"/>
  </si>
  <si>
    <t>CNY_Treasury_Live_Curve_2009-12-14_Calibrated_Curve_7</t>
    <phoneticPr fontId="2" type="noConversion"/>
  </si>
  <si>
    <t>CNY_Treasury_Live_Curve_2009-12-15_Calibrated_Curve_7</t>
    <phoneticPr fontId="2" type="noConversion"/>
  </si>
  <si>
    <t>CNY_Treasury_Live_Curve_2009-12-16_Calibrated_Curve_7</t>
    <phoneticPr fontId="2" type="noConversion"/>
  </si>
  <si>
    <t>CNY_Treasury_Live_Curve_2009-12-17_Calibrated_Curve_7</t>
    <phoneticPr fontId="2" type="noConversion"/>
  </si>
  <si>
    <t>CNY_Treasury_Live_Curve_2009-12-18_Calibrated_Curve_7</t>
    <phoneticPr fontId="2" type="noConversion"/>
  </si>
  <si>
    <t>CNY_Treasury_Live_Curve_2009-12-2_Calibrated_Curve_7</t>
    <phoneticPr fontId="2" type="noConversion"/>
  </si>
  <si>
    <t>CNY_Treasury_Live_Curve_2009-12-21_Calibrated_Curve_7</t>
    <phoneticPr fontId="2" type="noConversion"/>
  </si>
  <si>
    <t>CNY_Treasury_Live_Curve_2009-12-22_Calibrated_Curve_7</t>
    <phoneticPr fontId="2" type="noConversion"/>
  </si>
  <si>
    <t>CNY_Treasury_Live_Curve_2009-12-23_Calibrated_Curve_7</t>
    <phoneticPr fontId="2" type="noConversion"/>
  </si>
  <si>
    <t>CNY_Treasury_Live_Curve_2009-12-24_Calibrated_Curve_7</t>
    <phoneticPr fontId="2" type="noConversion"/>
  </si>
  <si>
    <t>CNY_Treasury_Live_Curve_2009-12-25_Calibrated_Curve_7</t>
    <phoneticPr fontId="2" type="noConversion"/>
  </si>
  <si>
    <t>CNY_Treasury_Live_Curve_2009-12-28_Calibrated_Curve_7</t>
    <phoneticPr fontId="2" type="noConversion"/>
  </si>
  <si>
    <t>CNY_Treasury_Live_Curve_2009-12-29_Calibrated_Curve_7</t>
    <phoneticPr fontId="2" type="noConversion"/>
  </si>
  <si>
    <t>CNY_Treasury_Live_Curve_2009-12-3_Calibrated_Curve_7</t>
    <phoneticPr fontId="2" type="noConversion"/>
  </si>
  <si>
    <t>CNY_Treasury_Live_Curve_2009-12-30_Calibrated_Curve_7</t>
    <phoneticPr fontId="2" type="noConversion"/>
  </si>
  <si>
    <t>CNY_Treasury_Live_Curve_2009-12-31_Calibrated_Curve_7</t>
    <phoneticPr fontId="2" type="noConversion"/>
  </si>
  <si>
    <t>CNY_Treasury_Live_Curve_2009-12-4_Calibrated_Curve_7</t>
    <phoneticPr fontId="2" type="noConversion"/>
  </si>
  <si>
    <t>CNY_Treasury_Live_Curve_2009-12-7_Calibrated_Curve_7</t>
    <phoneticPr fontId="2" type="noConversion"/>
  </si>
  <si>
    <t>CNY_Treasury_Live_Curve_2009-12-8_Calibrated_Curve_7</t>
    <phoneticPr fontId="2" type="noConversion"/>
  </si>
  <si>
    <t>CNY_Treasury_Live_Curve_2009-12-9_Calibrated_Curve_7</t>
    <phoneticPr fontId="2" type="noConversion"/>
  </si>
  <si>
    <t>CNY_Treasury_Live_Curve_2009-2-1_Calibrated_Curve_7</t>
    <phoneticPr fontId="2" type="noConversion"/>
  </si>
  <si>
    <t>CNY_Treasury_Live_Curve_2009-2-10_Calibrated_Curve_7</t>
    <phoneticPr fontId="2" type="noConversion"/>
  </si>
  <si>
    <t>CNY_Treasury_Live_Curve_2009-2-11_Calibrated_Curve_7</t>
    <phoneticPr fontId="2" type="noConversion"/>
  </si>
  <si>
    <t>CNY_Treasury_Live_Curve_2009-2-12_Calibrated_Curve_7</t>
    <phoneticPr fontId="2" type="noConversion"/>
  </si>
  <si>
    <t>CNY_Treasury_Live_Curve_2009-2-13_Calibrated_Curve_7</t>
    <phoneticPr fontId="2" type="noConversion"/>
  </si>
  <si>
    <t>CNY_Treasury_Live_Curve_2009-2-16_Calibrated_Curve_7</t>
    <phoneticPr fontId="2" type="noConversion"/>
  </si>
  <si>
    <t>CNY_Treasury_Live_Curve_2009-2-17_Calibrated_Curve_7</t>
    <phoneticPr fontId="2" type="noConversion"/>
  </si>
  <si>
    <t>CNY_Treasury_Live_Curve_2009-2-18_Calibrated_Curve_7</t>
    <phoneticPr fontId="2" type="noConversion"/>
  </si>
  <si>
    <t>CNY_Treasury_Live_Curve_2009-2-19_Calibrated_Curve_7</t>
    <phoneticPr fontId="2" type="noConversion"/>
  </si>
  <si>
    <t>CNY_Treasury_Live_Curve_2009-2-2_Calibrated_Curve_7</t>
    <phoneticPr fontId="2" type="noConversion"/>
  </si>
  <si>
    <t>CNY_Treasury_Live_Curve_2009-2-20_Calibrated_Curve_7</t>
    <phoneticPr fontId="2" type="noConversion"/>
  </si>
  <si>
    <t>CNY_Treasury_Live_Curve_2009-2-23_Calibrated_Curve_7</t>
    <phoneticPr fontId="2" type="noConversion"/>
  </si>
  <si>
    <t>CNY_Treasury_Live_Curve_2009-2-24_Calibrated_Curve_7</t>
    <phoneticPr fontId="2" type="noConversion"/>
  </si>
  <si>
    <t>CNY_Treasury_Live_Curve_2009-2-25_Calibrated_Curve_7</t>
    <phoneticPr fontId="2" type="noConversion"/>
  </si>
  <si>
    <t>CNY_Treasury_Live_Curve_2009-2-26_Calibrated_Curve_7</t>
    <phoneticPr fontId="2" type="noConversion"/>
  </si>
  <si>
    <t>CNY_Treasury_Live_Curve_2009-2-27_Calibrated_Curve_7</t>
    <phoneticPr fontId="2" type="noConversion"/>
  </si>
  <si>
    <t>CNY_Treasury_Live_Curve_2009-2-3_Calibrated_Curve_7</t>
    <phoneticPr fontId="2" type="noConversion"/>
  </si>
  <si>
    <t>CNY_Treasury_Live_Curve_2009-2-4_Calibrated_Curve_7</t>
    <phoneticPr fontId="2" type="noConversion"/>
  </si>
  <si>
    <t>CNY_Treasury_Live_Curve_2009-2-5_Calibrated_Curve_7</t>
    <phoneticPr fontId="2" type="noConversion"/>
  </si>
  <si>
    <t>CNY_Treasury_Live_Curve_2009-2-6_Calibrated_Curve_7</t>
    <phoneticPr fontId="2" type="noConversion"/>
  </si>
  <si>
    <t>CNY_Treasury_Live_Curve_2009-2-9_Calibrated_Curve_7</t>
    <phoneticPr fontId="2" type="noConversion"/>
  </si>
  <si>
    <t>CNY_Treasury_Live_Curve_2009-3-10_Calibrated_Curve_7</t>
    <phoneticPr fontId="2" type="noConversion"/>
  </si>
  <si>
    <t>CNY_Treasury_Live_Curve_2009-3-11_Calibrated_Curve_7</t>
    <phoneticPr fontId="2" type="noConversion"/>
  </si>
  <si>
    <t>CNY_Treasury_Live_Curve_2009-3-12_Calibrated_Curve_7</t>
    <phoneticPr fontId="2" type="noConversion"/>
  </si>
  <si>
    <t>CNY_Treasury_Live_Curve_2009-3-13_Calibrated_Curve_7</t>
    <phoneticPr fontId="2" type="noConversion"/>
  </si>
  <si>
    <t>CNY_Treasury_Live_Curve_2009-3-16_Calibrated_Curve_7</t>
    <phoneticPr fontId="2" type="noConversion"/>
  </si>
  <si>
    <t>CNY_Treasury_Live_Curve_2009-3-17_Calibrated_Curve_7</t>
    <phoneticPr fontId="2" type="noConversion"/>
  </si>
  <si>
    <t>CNY_Treasury_Live_Curve_2009-3-18_Calibrated_Curve_7</t>
    <phoneticPr fontId="2" type="noConversion"/>
  </si>
  <si>
    <t>CNY_Treasury_Live_Curve_2009-3-19_Calibrated_Curve_7</t>
    <phoneticPr fontId="2" type="noConversion"/>
  </si>
  <si>
    <t>CNY_Treasury_Live_Curve_2009-3-2_Calibrated_Curve_7</t>
    <phoneticPr fontId="2" type="noConversion"/>
  </si>
  <si>
    <t>CNY_Treasury_Live_Curve_2009-3-20_Calibrated_Curve_7</t>
    <phoneticPr fontId="2" type="noConversion"/>
  </si>
  <si>
    <t>CNY_Treasury_Live_Curve_2009-3-23_Calibrated_Curve_7</t>
    <phoneticPr fontId="2" type="noConversion"/>
  </si>
  <si>
    <t>CNY_Treasury_Live_Curve_2009-3-24_Calibrated_Curve_7</t>
    <phoneticPr fontId="2" type="noConversion"/>
  </si>
  <si>
    <t>CNY_Treasury_Live_Curve_2009-3-25_Calibrated_Curve_7</t>
    <phoneticPr fontId="2" type="noConversion"/>
  </si>
  <si>
    <t>CNY_Treasury_Live_Curve_2009-3-26_Calibrated_Curve_7</t>
    <phoneticPr fontId="2" type="noConversion"/>
  </si>
  <si>
    <t>CNY_Treasury_Live_Curve_2009-3-27_Calibrated_Curve_7</t>
    <phoneticPr fontId="2" type="noConversion"/>
  </si>
  <si>
    <t>CNY_Treasury_Live_Curve_2009-3-3_Calibrated_Curve_7</t>
    <phoneticPr fontId="2" type="noConversion"/>
  </si>
  <si>
    <t>CNY_Treasury_Live_Curve_2009-3-30_Calibrated_Curve_7</t>
    <phoneticPr fontId="2" type="noConversion"/>
  </si>
  <si>
    <t>CNY_Treasury_Live_Curve_2009-3-31_Calibrated_Curve_7</t>
    <phoneticPr fontId="2" type="noConversion"/>
  </si>
  <si>
    <t>CNY_Treasury_Live_Curve_2009-3-4_Calibrated_Curve_7</t>
    <phoneticPr fontId="2" type="noConversion"/>
  </si>
  <si>
    <t>CNY_Treasury_Live_Curve_2009-3-5_Calibrated_Curve_7</t>
    <phoneticPr fontId="2" type="noConversion"/>
  </si>
  <si>
    <t>CNY_Treasury_Live_Curve_2009-3-6_Calibrated_Curve_7</t>
    <phoneticPr fontId="2" type="noConversion"/>
  </si>
  <si>
    <t>CNY_Treasury_Live_Curve_2009-3-9_Calibrated_Curve_7</t>
    <phoneticPr fontId="2" type="noConversion"/>
  </si>
  <si>
    <t>CNY_Treasury_Live_Curve_2009-4-1_Calibrated_Curve_7</t>
    <phoneticPr fontId="2" type="noConversion"/>
  </si>
  <si>
    <t>CNY_Treasury_Live_Curve_2009-4-10_Calibrated_Curve_7</t>
    <phoneticPr fontId="2" type="noConversion"/>
  </si>
  <si>
    <t>CNY_Treasury_Live_Curve_2009-4-13_Calibrated_Curve_7</t>
    <phoneticPr fontId="2" type="noConversion"/>
  </si>
  <si>
    <t>CNY_Treasury_Live_Curve_2009-4-14_Calibrated_Curve_7</t>
    <phoneticPr fontId="2" type="noConversion"/>
  </si>
  <si>
    <t>CNY_Treasury_Live_Curve_2009-4-15_Calibrated_Curve_7</t>
    <phoneticPr fontId="2" type="noConversion"/>
  </si>
  <si>
    <t>CNY_Treasury_Live_Curve_2009-4-16_Calibrated_Curve_7</t>
    <phoneticPr fontId="2" type="noConversion"/>
  </si>
  <si>
    <t>CNY_Treasury_Live_Curve_2009-4-17_Calibrated_Curve_7</t>
    <phoneticPr fontId="2" type="noConversion"/>
  </si>
  <si>
    <t>CNY_Treasury_Live_Curve_2009-4-2_Calibrated_Curve_7</t>
    <phoneticPr fontId="2" type="noConversion"/>
  </si>
  <si>
    <t>CNY_Treasury_Live_Curve_2009-4-20_Calibrated_Curve_7</t>
    <phoneticPr fontId="2" type="noConversion"/>
  </si>
  <si>
    <t>CNY_Treasury_Live_Curve_2009-4-21_Calibrated_Curve_7</t>
    <phoneticPr fontId="2" type="noConversion"/>
  </si>
  <si>
    <t>CNY_Treasury_Live_Curve_2009-4-22_Calibrated_Curve_7</t>
    <phoneticPr fontId="2" type="noConversion"/>
  </si>
  <si>
    <t>CNY_Treasury_Live_Curve_2009-4-23_Calibrated_Curve_7</t>
    <phoneticPr fontId="2" type="noConversion"/>
  </si>
  <si>
    <t>CNY_Treasury_Live_Curve_2009-4-24_Calibrated_Curve_7</t>
    <phoneticPr fontId="2" type="noConversion"/>
  </si>
  <si>
    <t>CNY_Treasury_Live_Curve_2009-4-27_Calibrated_Curve_7</t>
    <phoneticPr fontId="2" type="noConversion"/>
  </si>
  <si>
    <t>CNY_Treasury_Live_Curve_2009-4-28_Calibrated_Curve_7</t>
    <phoneticPr fontId="2" type="noConversion"/>
  </si>
  <si>
    <t>CNY_Treasury_Live_Curve_2009-4-29_Calibrated_Curve_7</t>
    <phoneticPr fontId="2" type="noConversion"/>
  </si>
  <si>
    <t>CNY_Treasury_Live_Curve_2009-4-3_Calibrated_Curve_7</t>
    <phoneticPr fontId="2" type="noConversion"/>
  </si>
  <si>
    <t>CNY_Treasury_Live_Curve_2009-4-30_Calibrated_Curve_7</t>
    <phoneticPr fontId="2" type="noConversion"/>
  </si>
  <si>
    <t>CNY_Treasury_Live_Curve_2009-4-7_Calibrated_Curve_7</t>
    <phoneticPr fontId="2" type="noConversion"/>
  </si>
  <si>
    <t>CNY_Treasury_Live_Curve_2009-4-8_Calibrated_Curve_7</t>
    <phoneticPr fontId="2" type="noConversion"/>
  </si>
  <si>
    <t>CNY_Treasury_Live_Curve_2009-4-9_Calibrated_Curve_7</t>
    <phoneticPr fontId="2" type="noConversion"/>
  </si>
  <si>
    <t>CNY_Treasury_Live_Curve_2009-5-11_Calibrated_Curve_7</t>
    <phoneticPr fontId="2" type="noConversion"/>
  </si>
  <si>
    <t>CNY_Treasury_Live_Curve_2009-5-12_Calibrated_Curve_7</t>
    <phoneticPr fontId="2" type="noConversion"/>
  </si>
  <si>
    <t>CNY_Treasury_Live_Curve_2009-5-13_Calibrated_Curve_7</t>
    <phoneticPr fontId="2" type="noConversion"/>
  </si>
  <si>
    <t>CNY_Treasury_Live_Curve_2009-5-14_Calibrated_Curve_7</t>
    <phoneticPr fontId="2" type="noConversion"/>
  </si>
  <si>
    <t>CNY_Treasury_Live_Curve_2009-5-15_Calibrated_Curve_7</t>
    <phoneticPr fontId="2" type="noConversion"/>
  </si>
  <si>
    <t>CNY_Treasury_Live_Curve_2009-5-18_Calibrated_Curve_7</t>
    <phoneticPr fontId="2" type="noConversion"/>
  </si>
  <si>
    <t>CNY_Treasury_Live_Curve_2009-5-19_Calibrated_Curve_7</t>
    <phoneticPr fontId="2" type="noConversion"/>
  </si>
  <si>
    <t>CNY_Treasury_Live_Curve_2009-5-20_Calibrated_Curve_7</t>
    <phoneticPr fontId="2" type="noConversion"/>
  </si>
  <si>
    <t>CNY_Treasury_Live_Curve_2009-5-21_Calibrated_Curve_7</t>
    <phoneticPr fontId="2" type="noConversion"/>
  </si>
  <si>
    <t>CNY_Treasury_Live_Curve_2009-5-22_Calibrated_Curve_7</t>
    <phoneticPr fontId="2" type="noConversion"/>
  </si>
  <si>
    <t>CNY_Treasury_Live_Curve_2009-5-25_Calibrated_Curve_7</t>
    <phoneticPr fontId="2" type="noConversion"/>
  </si>
  <si>
    <t>CNY_Treasury_Live_Curve_2009-5-26_Calibrated_Curve_7</t>
    <phoneticPr fontId="2" type="noConversion"/>
  </si>
  <si>
    <t>CNY_Treasury_Live_Curve_2009-5-27_Calibrated_Curve_7</t>
    <phoneticPr fontId="2" type="noConversion"/>
  </si>
  <si>
    <t>CNY_Treasury_Live_Curve_2009-5-31_Calibrated_Curve_7</t>
    <phoneticPr fontId="2" type="noConversion"/>
  </si>
  <si>
    <t>CNY_Treasury_Live_Curve_2009-5-4_Calibrated_Curve_7</t>
    <phoneticPr fontId="2" type="noConversion"/>
  </si>
  <si>
    <t>CNY_Treasury_Live_Curve_2009-5-5_Calibrated_Curve_7</t>
    <phoneticPr fontId="2" type="noConversion"/>
  </si>
  <si>
    <t>CNY_Treasury_Live_Curve_2009-5-6_Calibrated_Curve_7</t>
    <phoneticPr fontId="2" type="noConversion"/>
  </si>
  <si>
    <t>CNY_Treasury_Live_Curve_2009-5-7_Calibrated_Curve_7</t>
    <phoneticPr fontId="2" type="noConversion"/>
  </si>
  <si>
    <t>CNY_Treasury_Live_Curve_2009-5-8_Calibrated_Curve_7</t>
    <phoneticPr fontId="2" type="noConversion"/>
  </si>
  <si>
    <t>CNY_Treasury_Live_Curve_2009-6-1_Calibrated_Curve_7</t>
    <phoneticPr fontId="2" type="noConversion"/>
  </si>
  <si>
    <t>CNY_Treasury_Live_Curve_2009-6-10_Calibrated_Curve_7</t>
    <phoneticPr fontId="2" type="noConversion"/>
  </si>
  <si>
    <t>CNY_Treasury_Live_Curve_2009-6-11_Calibrated_Curve_7</t>
    <phoneticPr fontId="2" type="noConversion"/>
  </si>
  <si>
    <t>CNY_Treasury_Live_Curve_2009-6-12_Calibrated_Curve_7</t>
    <phoneticPr fontId="2" type="noConversion"/>
  </si>
  <si>
    <t>CNY_Treasury_Live_Curve_2009-6-15_Calibrated_Curve_7</t>
    <phoneticPr fontId="2" type="noConversion"/>
  </si>
  <si>
    <t>CNY_Treasury_Live_Curve_2009-6-16_Calibrated_Curve_7</t>
    <phoneticPr fontId="2" type="noConversion"/>
  </si>
  <si>
    <t>CNY_Treasury_Live_Curve_2009-6-17_Calibrated_Curve_7</t>
    <phoneticPr fontId="2" type="noConversion"/>
  </si>
  <si>
    <t>CNY_Treasury_Live_Curve_2009-6-18_Calibrated_Curve_7</t>
    <phoneticPr fontId="2" type="noConversion"/>
  </si>
  <si>
    <t>CNY_Treasury_Live_Curve_2009-6-19_Calibrated_Curve_7</t>
    <phoneticPr fontId="2" type="noConversion"/>
  </si>
  <si>
    <t>CNY_Treasury_Live_Curve_2009-6-2_Calibrated_Curve_7</t>
    <phoneticPr fontId="2" type="noConversion"/>
  </si>
  <si>
    <t>CNY_Treasury_Live_Curve_2009-6-22_Calibrated_Curve_7</t>
    <phoneticPr fontId="2" type="noConversion"/>
  </si>
  <si>
    <t>CNY_Treasury_Live_Curve_2009-6-23_Calibrated_Curve_7</t>
    <phoneticPr fontId="2" type="noConversion"/>
  </si>
  <si>
    <t>CNY_Treasury_Live_Curve_2009-6-24_Calibrated_Curve_7</t>
    <phoneticPr fontId="2" type="noConversion"/>
  </si>
  <si>
    <t>CNY_Treasury_Live_Curve_2009-6-25_Calibrated_Curve_7</t>
    <phoneticPr fontId="2" type="noConversion"/>
  </si>
  <si>
    <t>CNY_Treasury_Live_Curve_2009-6-26_Calibrated_Curve_7</t>
    <phoneticPr fontId="2" type="noConversion"/>
  </si>
  <si>
    <t>CNY_Treasury_Live_Curve_2009-6-29_Calibrated_Curve_7</t>
    <phoneticPr fontId="2" type="noConversion"/>
  </si>
  <si>
    <t>CNY_Treasury_Live_Curve_2009-6-3_Calibrated_Curve_7</t>
    <phoneticPr fontId="2" type="noConversion"/>
  </si>
  <si>
    <t>CNY_Treasury_Live_Curve_2009-6-30_Calibrated_Curve_7</t>
    <phoneticPr fontId="2" type="noConversion"/>
  </si>
  <si>
    <t>CNY_Treasury_Live_Curve_2009-6-4_Calibrated_Curve_7</t>
    <phoneticPr fontId="2" type="noConversion"/>
  </si>
  <si>
    <t>CNY_Treasury_Live_Curve_2009-6-5_Calibrated_Curve_7</t>
    <phoneticPr fontId="2" type="noConversion"/>
  </si>
  <si>
    <t>CNY_Treasury_Live_Curve_2009-6-8_Calibrated_Curve_7</t>
    <phoneticPr fontId="2" type="noConversion"/>
  </si>
  <si>
    <t>CNY_Treasury_Live_Curve_2009-6-9_Calibrated_Curve_7</t>
    <phoneticPr fontId="2" type="noConversion"/>
  </si>
  <si>
    <t>CNY_Treasury_Live_Curve_2009-7-1_Calibrated_Curve_7</t>
    <phoneticPr fontId="2" type="noConversion"/>
  </si>
  <si>
    <t>CNY_Treasury_Live_Curve_2009-7-10_Calibrated_Curve_7</t>
    <phoneticPr fontId="2" type="noConversion"/>
  </si>
  <si>
    <t>CNY_Treasury_Live_Curve_2009-7-13_Calibrated_Curve_7</t>
    <phoneticPr fontId="2" type="noConversion"/>
  </si>
  <si>
    <t>CNY_Treasury_Live_Curve_2009-7-14_Calibrated_Curve_7</t>
    <phoneticPr fontId="2" type="noConversion"/>
  </si>
  <si>
    <t>CNY_Treasury_Live_Curve_2009-7-15_Calibrated_Curve_7</t>
    <phoneticPr fontId="2" type="noConversion"/>
  </si>
  <si>
    <t>CNY_Treasury_Live_Curve_2009-7-16_Calibrated_Curve_7</t>
    <phoneticPr fontId="2" type="noConversion"/>
  </si>
  <si>
    <t>CNY_Treasury_Live_Curve_2009-7-17_Calibrated_Curve_7</t>
    <phoneticPr fontId="2" type="noConversion"/>
  </si>
  <si>
    <t>CNY_Treasury_Live_Curve_2009-7-2_Calibrated_Curve_7</t>
    <phoneticPr fontId="2" type="noConversion"/>
  </si>
  <si>
    <t>CNY_Treasury_Live_Curve_2009-7-20_Calibrated_Curve_7</t>
    <phoneticPr fontId="2" type="noConversion"/>
  </si>
  <si>
    <t>CNY_Treasury_Live_Curve_2009-7-21_Calibrated_Curve_7</t>
    <phoneticPr fontId="2" type="noConversion"/>
  </si>
  <si>
    <t>CNY_Treasury_Live_Curve_2009-7-22_Calibrated_Curve_7</t>
    <phoneticPr fontId="2" type="noConversion"/>
  </si>
  <si>
    <t>CNY_Treasury_Live_Curve_2009-7-23_Calibrated_Curve_7</t>
    <phoneticPr fontId="2" type="noConversion"/>
  </si>
  <si>
    <t>CNY_Treasury_Live_Curve_2009-7-24_Calibrated_Curve_7</t>
    <phoneticPr fontId="2" type="noConversion"/>
  </si>
  <si>
    <t>CNY_Treasury_Live_Curve_2009-7-27_Calibrated_Curve_7</t>
    <phoneticPr fontId="2" type="noConversion"/>
  </si>
  <si>
    <t>CNY_Treasury_Live_Curve_2009-7-28_Calibrated_Curve_7</t>
    <phoneticPr fontId="2" type="noConversion"/>
  </si>
  <si>
    <t>CNY_Treasury_Live_Curve_2009-7-29_Calibrated_Curve_7</t>
    <phoneticPr fontId="2" type="noConversion"/>
  </si>
  <si>
    <t>CNY_Treasury_Live_Curve_2009-7-3_Calibrated_Curve_7</t>
    <phoneticPr fontId="2" type="noConversion"/>
  </si>
  <si>
    <t>CNY_Treasury_Live_Curve_2009-7-30_Calibrated_Curve_7</t>
    <phoneticPr fontId="2" type="noConversion"/>
  </si>
  <si>
    <t>CNY_Treasury_Live_Curve_2009-7-31_Calibrated_Curve_7</t>
    <phoneticPr fontId="2" type="noConversion"/>
  </si>
  <si>
    <t>CNY_Treasury_Live_Curve_2009-7-6_Calibrated_Curve_7</t>
    <phoneticPr fontId="2" type="noConversion"/>
  </si>
  <si>
    <t>CNY_Treasury_Live_Curve_2009-7-7_Calibrated_Curve_7</t>
    <phoneticPr fontId="2" type="noConversion"/>
  </si>
  <si>
    <t>CNY_Treasury_Live_Curve_2009-7-8_Calibrated_Curve_7</t>
    <phoneticPr fontId="2" type="noConversion"/>
  </si>
  <si>
    <t>CNY_Treasury_Live_Curve_2009-7-9_Calibrated_Curve_7</t>
    <phoneticPr fontId="2" type="noConversion"/>
  </si>
  <si>
    <t>CNY_Treasury_Live_Curve_2009-8-10_Calibrated_Curve_7</t>
    <phoneticPr fontId="2" type="noConversion"/>
  </si>
  <si>
    <t>CNY_Treasury_Live_Curve_2009-8-11_Calibrated_Curve_7</t>
    <phoneticPr fontId="2" type="noConversion"/>
  </si>
  <si>
    <t>CNY_Treasury_Live_Curve_2009-8-12_Calibrated_Curve_7</t>
    <phoneticPr fontId="2" type="noConversion"/>
  </si>
  <si>
    <t>CNY_Treasury_Live_Curve_2009-8-13_Calibrated_Curve_7</t>
    <phoneticPr fontId="2" type="noConversion"/>
  </si>
  <si>
    <t>CNY_Treasury_Live_Curve_2009-8-14_Calibrated_Curve_7</t>
    <phoneticPr fontId="2" type="noConversion"/>
  </si>
  <si>
    <t>CNY_Treasury_Live_Curve_2009-8-17_Calibrated_Curve_7</t>
    <phoneticPr fontId="2" type="noConversion"/>
  </si>
  <si>
    <t>CNY_Treasury_Live_Curve_2009-8-18_Calibrated_Curve_7</t>
    <phoneticPr fontId="2" type="noConversion"/>
  </si>
  <si>
    <t>CNY_Treasury_Live_Curve_2009-8-19_Calibrated_Curve_7</t>
    <phoneticPr fontId="2" type="noConversion"/>
  </si>
  <si>
    <t>CNY_Treasury_Live_Curve_2009-8-20_Calibrated_Curve_7</t>
    <phoneticPr fontId="2" type="noConversion"/>
  </si>
  <si>
    <t>CNY_Treasury_Live_Curve_2009-8-21_Calibrated_Curve_7</t>
    <phoneticPr fontId="2" type="noConversion"/>
  </si>
  <si>
    <t>CNY_Treasury_Live_Curve_2009-8-24_Calibrated_Curve_7</t>
    <phoneticPr fontId="2" type="noConversion"/>
  </si>
  <si>
    <t>CNY_Treasury_Live_Curve_2009-8-25_Calibrated_Curve_7</t>
    <phoneticPr fontId="2" type="noConversion"/>
  </si>
  <si>
    <t>CNY_Treasury_Live_Curve_2009-8-26_Calibrated_Curve_7</t>
    <phoneticPr fontId="2" type="noConversion"/>
  </si>
  <si>
    <t>CNY_Treasury_Live_Curve_2009-8-27_Calibrated_Curve_7</t>
    <phoneticPr fontId="2" type="noConversion"/>
  </si>
  <si>
    <t>CNY_Treasury_Live_Curve_2009-8-28_Calibrated_Curve_7</t>
    <phoneticPr fontId="2" type="noConversion"/>
  </si>
  <si>
    <t>CNY_Treasury_Live_Curve_2009-8-3_Calibrated_Curve_7</t>
    <phoneticPr fontId="2" type="noConversion"/>
  </si>
  <si>
    <t>CNY_Treasury_Live_Curve_2009-8-31_Calibrated_Curve_7</t>
    <phoneticPr fontId="2" type="noConversion"/>
  </si>
  <si>
    <t>CNY_Treasury_Live_Curve_2009-8-4_Calibrated_Curve_7</t>
    <phoneticPr fontId="2" type="noConversion"/>
  </si>
  <si>
    <t>CNY_Treasury_Live_Curve_2009-8-5_Calibrated_Curve_7</t>
    <phoneticPr fontId="2" type="noConversion"/>
  </si>
  <si>
    <t>CNY_Treasury_Live_Curve_2009-8-6_Calibrated_Curve_7</t>
    <phoneticPr fontId="2" type="noConversion"/>
  </si>
  <si>
    <t>CNY_Treasury_Live_Curve_2009-8-7_Calibrated_Curve_7</t>
    <phoneticPr fontId="2" type="noConversion"/>
  </si>
  <si>
    <t>CNY_Treasury_Live_Curve_2009-9-1_Calibrated_Curve_7</t>
    <phoneticPr fontId="2" type="noConversion"/>
  </si>
  <si>
    <t>CNY_Treasury_Live_Curve_2009-9-10_Calibrated_Curve_7</t>
    <phoneticPr fontId="2" type="noConversion"/>
  </si>
  <si>
    <t>CNY_Treasury_Live_Curve_2009-9-11_Calibrated_Curve_7</t>
    <phoneticPr fontId="2" type="noConversion"/>
  </si>
  <si>
    <t>CNY_Treasury_Live_Curve_2009-9-14_Calibrated_Curve_7</t>
    <phoneticPr fontId="2" type="noConversion"/>
  </si>
  <si>
    <t>CNY_Treasury_Live_Curve_2009-9-15_Calibrated_Curve_7</t>
    <phoneticPr fontId="2" type="noConversion"/>
  </si>
  <si>
    <t>CNY_Treasury_Live_Curve_2009-9-16_Calibrated_Curve_7</t>
    <phoneticPr fontId="2" type="noConversion"/>
  </si>
  <si>
    <t>CNY_Treasury_Live_Curve_2009-9-17_Calibrated_Curve_7</t>
    <phoneticPr fontId="2" type="noConversion"/>
  </si>
  <si>
    <t>CNY_Treasury_Live_Curve_2009-9-18_Calibrated_Curve_7</t>
    <phoneticPr fontId="2" type="noConversion"/>
  </si>
  <si>
    <t>CNY_Treasury_Live_Curve_2009-9-2_Calibrated_Curve_7</t>
    <phoneticPr fontId="2" type="noConversion"/>
  </si>
  <si>
    <t>CNY_Treasury_Live_Curve_2009-9-21_Calibrated_Curve_7</t>
    <phoneticPr fontId="2" type="noConversion"/>
  </si>
  <si>
    <t>CNY_Treasury_Live_Curve_2009-9-22_Calibrated_Curve_7</t>
    <phoneticPr fontId="2" type="noConversion"/>
  </si>
  <si>
    <t>CNY_Treasury_Live_Curve_2009-9-23_Calibrated_Curve_7</t>
    <phoneticPr fontId="2" type="noConversion"/>
  </si>
  <si>
    <t>CNY_Treasury_Live_Curve_2009-9-24_Calibrated_Curve_7</t>
    <phoneticPr fontId="2" type="noConversion"/>
  </si>
  <si>
    <t>CNY_Treasury_Live_Curve_2009-9-25_Calibrated_Curve_7</t>
    <phoneticPr fontId="2" type="noConversion"/>
  </si>
  <si>
    <t>CNY_Treasury_Live_Curve_2009-9-27_Calibrated_Curve_7</t>
    <phoneticPr fontId="2" type="noConversion"/>
  </si>
  <si>
    <t>CNY_Treasury_Live_Curve_2009-9-28_Calibrated_Curve_7</t>
    <phoneticPr fontId="2" type="noConversion"/>
  </si>
  <si>
    <t>CNY_Treasury_Live_Curve_2009-9-29_Calibrated_Curve_7</t>
    <phoneticPr fontId="2" type="noConversion"/>
  </si>
  <si>
    <t>CNY_Treasury_Live_Curve_2009-9-3_Calibrated_Curve_7</t>
    <phoneticPr fontId="2" type="noConversion"/>
  </si>
  <si>
    <t>CNY_Treasury_Live_Curve_2009-9-30_Calibrated_Curve_7</t>
    <phoneticPr fontId="2" type="noConversion"/>
  </si>
  <si>
    <t>CNY_Treasury_Live_Curve_2009-9-4_Calibrated_Curve_7</t>
    <phoneticPr fontId="2" type="noConversion"/>
  </si>
  <si>
    <t>CNY_Treasury_Live_Curve_2009-9-7_Calibrated_Curve_7</t>
    <phoneticPr fontId="2" type="noConversion"/>
  </si>
  <si>
    <t>CNY_Treasury_Live_Curve_2009-9-8_Calibrated_Curve_7</t>
    <phoneticPr fontId="2" type="noConversion"/>
  </si>
  <si>
    <t>CNY_Treasury_Live_Curve_2009-9-9_Calibrated_Curve_7</t>
    <phoneticPr fontId="2" type="noConversion"/>
  </si>
  <si>
    <t>CNY_Treasury_Live_Curve_2010-1-11_Calibrated_Curve_7</t>
    <phoneticPr fontId="2" type="noConversion"/>
  </si>
  <si>
    <t>CNY_Treasury_Live_Curve_2010-1-12_Calibrated_Curve_7</t>
    <phoneticPr fontId="2" type="noConversion"/>
  </si>
  <si>
    <t>CNY_Treasury_Live_Curve_2010-1-13_Calibrated_Curve_7</t>
    <phoneticPr fontId="2" type="noConversion"/>
  </si>
  <si>
    <t>CNY_Treasury_Live_Curve_2010-1-14_Calibrated_Curve_7</t>
    <phoneticPr fontId="2" type="noConversion"/>
  </si>
  <si>
    <t>CNY_Treasury_Live_Curve_2010-1-15_Calibrated_Curve_7</t>
    <phoneticPr fontId="2" type="noConversion"/>
  </si>
  <si>
    <t>CNY_Treasury_Live_Curve_2010-1-18_Calibrated_Curve_7</t>
    <phoneticPr fontId="2" type="noConversion"/>
  </si>
  <si>
    <t>CNY_Treasury_Live_Curve_2010-1-19_Calibrated_Curve_7</t>
    <phoneticPr fontId="2" type="noConversion"/>
  </si>
  <si>
    <t>CNY_Treasury_Live_Curve_2010-1-20_Calibrated_Curve_7</t>
    <phoneticPr fontId="2" type="noConversion"/>
  </si>
  <si>
    <t>CNY_Treasury_Live_Curve_2010-1-21_Calibrated_Curve_7</t>
    <phoneticPr fontId="2" type="noConversion"/>
  </si>
  <si>
    <t>CNY_Treasury_Live_Curve_2010-1-22_Calibrated_Curve_7</t>
    <phoneticPr fontId="2" type="noConversion"/>
  </si>
  <si>
    <t>CNY_Treasury_Live_Curve_2010-1-25_Calibrated_Curve_7</t>
    <phoneticPr fontId="2" type="noConversion"/>
  </si>
  <si>
    <t>CNY_Treasury_Live_Curve_2010-1-26_Calibrated_Curve_7</t>
    <phoneticPr fontId="2" type="noConversion"/>
  </si>
  <si>
    <t>CNY_Treasury_Live_Curve_2010-1-27_Calibrated_Curve_7</t>
    <phoneticPr fontId="2" type="noConversion"/>
  </si>
  <si>
    <t>CNY_Treasury_Live_Curve_2010-1-28_Calibrated_Curve_7</t>
    <phoneticPr fontId="2" type="noConversion"/>
  </si>
  <si>
    <t>CNY_Treasury_Live_Curve_2010-1-29_Calibrated_Curve_7</t>
    <phoneticPr fontId="2" type="noConversion"/>
  </si>
  <si>
    <t>CNY_Treasury_Live_Curve_2010-1-4_Calibrated_Curve_7</t>
    <phoneticPr fontId="2" type="noConversion"/>
  </si>
  <si>
    <t>CNY_Treasury_Live_Curve_2010-1-5_Calibrated_Curve_7</t>
    <phoneticPr fontId="2" type="noConversion"/>
  </si>
  <si>
    <t>CNY_Treasury_Live_Curve_2010-1-6_Calibrated_Curve_7</t>
    <phoneticPr fontId="2" type="noConversion"/>
  </si>
  <si>
    <t>CNY_Treasury_Live_Curve_2010-1-7_Calibrated_Curve_7</t>
    <phoneticPr fontId="2" type="noConversion"/>
  </si>
  <si>
    <t>CNY_Treasury_Live_Curve_2010-1-8_Calibrated_Curve_7</t>
    <phoneticPr fontId="2" type="noConversion"/>
  </si>
  <si>
    <t>CNY_Treasury_Live_Curve_2010-10-11_Calibrated_Curve_7</t>
    <phoneticPr fontId="2" type="noConversion"/>
  </si>
  <si>
    <t>CNY_Treasury_Live_Curve_2010-10-12_Calibrated_Curve_7</t>
    <phoneticPr fontId="2" type="noConversion"/>
  </si>
  <si>
    <t>CNY_Treasury_Live_Curve_2010-10-13_Calibrated_Curve_7</t>
    <phoneticPr fontId="2" type="noConversion"/>
  </si>
  <si>
    <t>CNY_Treasury_Live_Curve_2010-10-14_Calibrated_Curve_7</t>
    <phoneticPr fontId="2" type="noConversion"/>
  </si>
  <si>
    <t>CNY_Treasury_Live_Curve_2010-10-15_Calibrated_Curve_7</t>
    <phoneticPr fontId="2" type="noConversion"/>
  </si>
  <si>
    <t>CNY_Treasury_Live_Curve_2010-10-18_Calibrated_Curve_7</t>
    <phoneticPr fontId="2" type="noConversion"/>
  </si>
  <si>
    <t>CNY_Treasury_Live_Curve_2010-10-19_Calibrated_Curve_7</t>
    <phoneticPr fontId="2" type="noConversion"/>
  </si>
  <si>
    <t>CNY_Treasury_Live_Curve_2010-10-20_Calibrated_Curve_7</t>
    <phoneticPr fontId="2" type="noConversion"/>
  </si>
  <si>
    <t>CNY_Treasury_Live_Curve_2010-10-21_Calibrated_Curve_7</t>
    <phoneticPr fontId="2" type="noConversion"/>
  </si>
  <si>
    <t>CNY_Treasury_Live_Curve_2010-10-22_Calibrated_Curve_7</t>
    <phoneticPr fontId="2" type="noConversion"/>
  </si>
  <si>
    <t>CNY_Treasury_Live_Curve_2010-10-25_Calibrated_Curve_7</t>
    <phoneticPr fontId="2" type="noConversion"/>
  </si>
  <si>
    <t>CNY_Treasury_Live_Curve_2010-10-26_Calibrated_Curve_7</t>
    <phoneticPr fontId="2" type="noConversion"/>
  </si>
  <si>
    <t>CNY_Treasury_Live_Curve_2010-10-27_Calibrated_Curve_7</t>
    <phoneticPr fontId="2" type="noConversion"/>
  </si>
  <si>
    <t>CNY_Treasury_Live_Curve_2010-10-28_Calibrated_Curve_7</t>
    <phoneticPr fontId="2" type="noConversion"/>
  </si>
  <si>
    <t>CNY_Treasury_Live_Curve_2010-10-29_Calibrated_Curve_7</t>
    <phoneticPr fontId="2" type="noConversion"/>
  </si>
  <si>
    <t>CNY_Treasury_Live_Curve_2010-10-8_Calibrated_Curve_7</t>
    <phoneticPr fontId="2" type="noConversion"/>
  </si>
  <si>
    <t>CNY_Treasury_Live_Curve_2010-10-9_Calibrated_Curve_7</t>
    <phoneticPr fontId="2" type="noConversion"/>
  </si>
  <si>
    <t>CNY_Treasury_Live_Curve_2010-11-1_Calibrated_Curve_7</t>
    <phoneticPr fontId="2" type="noConversion"/>
  </si>
  <si>
    <t>CNY_Treasury_Live_Curve_2010-11-10_Calibrated_Curve_7</t>
    <phoneticPr fontId="2" type="noConversion"/>
  </si>
  <si>
    <t>CNY_Treasury_Live_Curve_2010-11-11_Calibrated_Curve_7</t>
    <phoneticPr fontId="2" type="noConversion"/>
  </si>
  <si>
    <t>CNY_Treasury_Live_Curve_2010-11-12_Calibrated_Curve_7</t>
    <phoneticPr fontId="2" type="noConversion"/>
  </si>
  <si>
    <t>CNY_Treasury_Live_Curve_2010-11-15_Calibrated_Curve_7</t>
    <phoneticPr fontId="2" type="noConversion"/>
  </si>
  <si>
    <t>CNY_Treasury_Live_Curve_2010-11-16_Calibrated_Curve_7</t>
    <phoneticPr fontId="2" type="noConversion"/>
  </si>
  <si>
    <t>CNY_Treasury_Live_Curve_2010-11-17_Calibrated_Curve_7</t>
    <phoneticPr fontId="2" type="noConversion"/>
  </si>
  <si>
    <t>CNY_Treasury_Live_Curve_2010-11-18_Calibrated_Curve_7</t>
    <phoneticPr fontId="2" type="noConversion"/>
  </si>
  <si>
    <t>CNY_Treasury_Live_Curve_2010-11-19_Calibrated_Curve_7</t>
    <phoneticPr fontId="2" type="noConversion"/>
  </si>
  <si>
    <t>CNY_Treasury_Live_Curve_2010-11-2_Calibrated_Curve_7</t>
    <phoneticPr fontId="2" type="noConversion"/>
  </si>
  <si>
    <t>CNY_Treasury_Live_Curve_2010-11-22_Calibrated_Curve_7</t>
    <phoneticPr fontId="2" type="noConversion"/>
  </si>
  <si>
    <t>CNY_Treasury_Live_Curve_2010-11-23_Calibrated_Curve_7</t>
    <phoneticPr fontId="2" type="noConversion"/>
  </si>
  <si>
    <t>CNY_Treasury_Live_Curve_2010-11-24_Calibrated_Curve_7</t>
    <phoneticPr fontId="2" type="noConversion"/>
  </si>
  <si>
    <t>CNY_Treasury_Live_Curve_2010-11-25_Calibrated_Curve_7</t>
    <phoneticPr fontId="2" type="noConversion"/>
  </si>
  <si>
    <t>CNY_Treasury_Live_Curve_2010-11-26_Calibrated_Curve_7</t>
    <phoneticPr fontId="2" type="noConversion"/>
  </si>
  <si>
    <t>CNY_Treasury_Live_Curve_2010-11-29_Calibrated_Curve_7</t>
    <phoneticPr fontId="2" type="noConversion"/>
  </si>
  <si>
    <t>CNY_Treasury_Live_Curve_2010-11-3_Calibrated_Curve_7</t>
    <phoneticPr fontId="2" type="noConversion"/>
  </si>
  <si>
    <t>CNY_Treasury_Live_Curve_2010-11-30_Calibrated_Curve_7</t>
    <phoneticPr fontId="2" type="noConversion"/>
  </si>
  <si>
    <t>CNY_Treasury_Live_Curve_2010-11-4_Calibrated_Curve_7</t>
    <phoneticPr fontId="2" type="noConversion"/>
  </si>
  <si>
    <t>CNY_Treasury_Live_Curve_2010-11-5_Calibrated_Curve_7</t>
    <phoneticPr fontId="2" type="noConversion"/>
  </si>
  <si>
    <t>CNY_Treasury_Live_Curve_2010-11-8_Calibrated_Curve_7</t>
    <phoneticPr fontId="2" type="noConversion"/>
  </si>
  <si>
    <t>CNY_Treasury_Live_Curve_2010-11-9_Calibrated_Curve_7</t>
    <phoneticPr fontId="2" type="noConversion"/>
  </si>
  <si>
    <t>CNY_Treasury_Live_Curve_2010-12-1_Calibrated_Curve_7</t>
    <phoneticPr fontId="2" type="noConversion"/>
  </si>
  <si>
    <t>CNY_Treasury_Live_Curve_2010-12-10_Calibrated_Curve_7</t>
    <phoneticPr fontId="2" type="noConversion"/>
  </si>
  <si>
    <t>CNY_Treasury_Live_Curve_2010-12-13_Calibrated_Curve_7</t>
    <phoneticPr fontId="2" type="noConversion"/>
  </si>
  <si>
    <t>CNY_Treasury_Live_Curve_2010-12-14_Calibrated_Curve_7</t>
    <phoneticPr fontId="2" type="noConversion"/>
  </si>
  <si>
    <t>CNY_Treasury_Live_Curve_2010-12-15_Calibrated_Curve_7</t>
    <phoneticPr fontId="2" type="noConversion"/>
  </si>
  <si>
    <t>CNY_Treasury_Live_Curve_2010-12-16_Calibrated_Curve_7</t>
    <phoneticPr fontId="2" type="noConversion"/>
  </si>
  <si>
    <t>CNY_Treasury_Live_Curve_2010-12-17_Calibrated_Curve_7</t>
    <phoneticPr fontId="2" type="noConversion"/>
  </si>
  <si>
    <t>CNY_Treasury_Live_Curve_2010-12-2_Calibrated_Curve_7</t>
    <phoneticPr fontId="2" type="noConversion"/>
  </si>
  <si>
    <t>CNY_Treasury_Live_Curve_2010-12-20_Calibrated_Curve_7</t>
    <phoneticPr fontId="2" type="noConversion"/>
  </si>
  <si>
    <t>CNY_Treasury_Live_Curve_2010-12-21_Calibrated_Curve_7</t>
    <phoneticPr fontId="2" type="noConversion"/>
  </si>
  <si>
    <t>CNY_Treasury_Live_Curve_2010-12-22_Calibrated_Curve_7</t>
    <phoneticPr fontId="2" type="noConversion"/>
  </si>
  <si>
    <t>CNY_Treasury_Live_Curve_2010-12-23_Calibrated_Curve_7</t>
    <phoneticPr fontId="2" type="noConversion"/>
  </si>
  <si>
    <t>CNY_Treasury_Live_Curve_2010-12-24_Calibrated_Curve_7</t>
    <phoneticPr fontId="2" type="noConversion"/>
  </si>
  <si>
    <t>CNY_Treasury_Live_Curve_2010-12-27_Calibrated_Curve_7</t>
    <phoneticPr fontId="2" type="noConversion"/>
  </si>
  <si>
    <t>CNY_Treasury_Live_Curve_2010-12-28_Calibrated_Curve_7</t>
    <phoneticPr fontId="2" type="noConversion"/>
  </si>
  <si>
    <t>CNY_Treasury_Live_Curve_2010-12-29_Calibrated_Curve_7</t>
    <phoneticPr fontId="2" type="noConversion"/>
  </si>
  <si>
    <t>CNY_Treasury_Live_Curve_2010-12-3_Calibrated_Curve_7</t>
    <phoneticPr fontId="2" type="noConversion"/>
  </si>
  <si>
    <t>CNY_Treasury_Live_Curve_2010-12-30_Calibrated_Curve_7</t>
    <phoneticPr fontId="2" type="noConversion"/>
  </si>
  <si>
    <t>CNY_Treasury_Live_Curve_2010-12-31_Calibrated_Curve_7</t>
    <phoneticPr fontId="2" type="noConversion"/>
  </si>
  <si>
    <t>CNY_Treasury_Live_Curve_2010-12-6_Calibrated_Curve_7</t>
    <phoneticPr fontId="2" type="noConversion"/>
  </si>
  <si>
    <t>CNY_Treasury_Live_Curve_2010-12-7_Calibrated_Curve_7</t>
    <phoneticPr fontId="2" type="noConversion"/>
  </si>
  <si>
    <t>CNY_Treasury_Live_Curve_2010-12-8_Calibrated_Curve_7</t>
    <phoneticPr fontId="2" type="noConversion"/>
  </si>
  <si>
    <t>CNY_Treasury_Live_Curve_2010-12-9_Calibrated_Curve_7</t>
    <phoneticPr fontId="2" type="noConversion"/>
  </si>
  <si>
    <t>CNY_Treasury_Live_Curve_2010-2-1_Calibrated_Curve_7</t>
    <phoneticPr fontId="2" type="noConversion"/>
  </si>
  <si>
    <t>CNY_Treasury_Live_Curve_2010-2-10_Calibrated_Curve_7</t>
    <phoneticPr fontId="2" type="noConversion"/>
  </si>
  <si>
    <t>CNY_Treasury_Live_Curve_2010-2-11_Calibrated_Curve_7</t>
    <phoneticPr fontId="2" type="noConversion"/>
  </si>
  <si>
    <t>CNY_Treasury_Live_Curve_2010-2-2_Calibrated_Curve_7</t>
    <phoneticPr fontId="2" type="noConversion"/>
  </si>
  <si>
    <t>CNY_Treasury_Live_Curve_2010-2-20_Calibrated_Curve_7</t>
    <phoneticPr fontId="2" type="noConversion"/>
  </si>
  <si>
    <t>CNY_Treasury_Live_Curve_2010-2-21_Calibrated_Curve_7</t>
    <phoneticPr fontId="2" type="noConversion"/>
  </si>
  <si>
    <t>CNY_Treasury_Live_Curve_2010-2-22_Calibrated_Curve_7</t>
    <phoneticPr fontId="2" type="noConversion"/>
  </si>
  <si>
    <t>CNY_Treasury_Live_Curve_2010-2-23_Calibrated_Curve_7</t>
    <phoneticPr fontId="2" type="noConversion"/>
  </si>
  <si>
    <t>CNY_Treasury_Live_Curve_2010-2-24_Calibrated_Curve_7</t>
    <phoneticPr fontId="2" type="noConversion"/>
  </si>
  <si>
    <t>CNY_Treasury_Live_Curve_2010-2-25_Calibrated_Curve_7</t>
    <phoneticPr fontId="2" type="noConversion"/>
  </si>
  <si>
    <t>CNY_Treasury_Live_Curve_2010-2-26_Calibrated_Curve_7</t>
    <phoneticPr fontId="2" type="noConversion"/>
  </si>
  <si>
    <t>CNY_Treasury_Live_Curve_2010-2-3_Calibrated_Curve_7</t>
    <phoneticPr fontId="2" type="noConversion"/>
  </si>
  <si>
    <t>CNY_Treasury_Live_Curve_2010-2-4_Calibrated_Curve_7</t>
    <phoneticPr fontId="2" type="noConversion"/>
  </si>
  <si>
    <t>CNY_Treasury_Live_Curve_2010-2-5_Calibrated_Curve_7</t>
    <phoneticPr fontId="2" type="noConversion"/>
  </si>
  <si>
    <t>CNY_Treasury_Live_Curve_2010-2-8_Calibrated_Curve_7</t>
    <phoneticPr fontId="2" type="noConversion"/>
  </si>
  <si>
    <t>CNY_Treasury_Live_Curve_2010-2-9_Calibrated_Curve_7</t>
    <phoneticPr fontId="2" type="noConversion"/>
  </si>
  <si>
    <t>CNY_Treasury_Live_Curve_2010-3-1_Calibrated_Curve_7</t>
    <phoneticPr fontId="2" type="noConversion"/>
  </si>
  <si>
    <t>CNY_Treasury_Live_Curve_2010-3-10_Calibrated_Curve_7</t>
    <phoneticPr fontId="2" type="noConversion"/>
  </si>
  <si>
    <t>CNY_Treasury_Live_Curve_2010-3-11_Calibrated_Curve_7</t>
    <phoneticPr fontId="2" type="noConversion"/>
  </si>
  <si>
    <t>CNY_Treasury_Live_Curve_2010-3-12_Calibrated_Curve_7</t>
    <phoneticPr fontId="2" type="noConversion"/>
  </si>
  <si>
    <t>CNY_Treasury_Live_Curve_2010-3-15_Calibrated_Curve_7</t>
    <phoneticPr fontId="2" type="noConversion"/>
  </si>
  <si>
    <t>CNY_Treasury_Live_Curve_2010-3-16_Calibrated_Curve_7</t>
    <phoneticPr fontId="2" type="noConversion"/>
  </si>
  <si>
    <t>CNY_Treasury_Live_Curve_2010-3-17_Calibrated_Curve_7</t>
    <phoneticPr fontId="2" type="noConversion"/>
  </si>
  <si>
    <t>CNY_Treasury_Live_Curve_2010-3-18_Calibrated_Curve_7</t>
    <phoneticPr fontId="2" type="noConversion"/>
  </si>
  <si>
    <t>CNY_Treasury_Live_Curve_2010-3-19_Calibrated_Curve_7</t>
    <phoneticPr fontId="2" type="noConversion"/>
  </si>
  <si>
    <t>CNY_Treasury_Live_Curve_2010-3-2_Calibrated_Curve_7</t>
    <phoneticPr fontId="2" type="noConversion"/>
  </si>
  <si>
    <t>CNY_Treasury_Live_Curve_2010-3-22_Calibrated_Curve_7</t>
    <phoneticPr fontId="2" type="noConversion"/>
  </si>
  <si>
    <t>CNY_Treasury_Live_Curve_2010-3-23_Calibrated_Curve_7</t>
    <phoneticPr fontId="2" type="noConversion"/>
  </si>
  <si>
    <t>CNY_Treasury_Live_Curve_2010-3-24_Calibrated_Curve_7</t>
    <phoneticPr fontId="2" type="noConversion"/>
  </si>
  <si>
    <t>CNY_Treasury_Live_Curve_2010-3-25_Calibrated_Curve_7</t>
    <phoneticPr fontId="2" type="noConversion"/>
  </si>
  <si>
    <t>CNY_Treasury_Live_Curve_2010-3-26_Calibrated_Curve_7</t>
    <phoneticPr fontId="2" type="noConversion"/>
  </si>
  <si>
    <t>CNY_Treasury_Live_Curve_2010-3-29_Calibrated_Curve_7</t>
    <phoneticPr fontId="2" type="noConversion"/>
  </si>
  <si>
    <t>CNY_Treasury_Live_Curve_2010-3-3_Calibrated_Curve_7</t>
    <phoneticPr fontId="2" type="noConversion"/>
  </si>
  <si>
    <t>CNY_Treasury_Live_Curve_2010-3-30_Calibrated_Curve_7</t>
    <phoneticPr fontId="2" type="noConversion"/>
  </si>
  <si>
    <t>CNY_Treasury_Live_Curve_2010-3-31_Calibrated_Curve_7</t>
    <phoneticPr fontId="2" type="noConversion"/>
  </si>
  <si>
    <t>CNY_Treasury_Live_Curve_2010-3-4_Calibrated_Curve_7</t>
    <phoneticPr fontId="2" type="noConversion"/>
  </si>
  <si>
    <t>CNY_Treasury_Live_Curve_2010-3-5_Calibrated_Curve_7</t>
    <phoneticPr fontId="2" type="noConversion"/>
  </si>
  <si>
    <t>CNY_Treasury_Live_Curve_2010-3-8_Calibrated_Curve_7</t>
    <phoneticPr fontId="2" type="noConversion"/>
  </si>
  <si>
    <t>CNY_Treasury_Live_Curve_2010-3-9_Calibrated_Curve_7</t>
    <phoneticPr fontId="2" type="noConversion"/>
  </si>
  <si>
    <t>CNY_Treasury_Live_Curve_2010-4-1_Calibrated_Curve_7</t>
    <phoneticPr fontId="2" type="noConversion"/>
  </si>
  <si>
    <t>CNY_Treasury_Live_Curve_2010-4-12_Calibrated_Curve_7</t>
    <phoneticPr fontId="2" type="noConversion"/>
  </si>
  <si>
    <t>CNY_Treasury_Live_Curve_2010-4-13_Calibrated_Curve_7</t>
    <phoneticPr fontId="2" type="noConversion"/>
  </si>
  <si>
    <t>CNY_Treasury_Live_Curve_2010-4-14_Calibrated_Curve_7</t>
    <phoneticPr fontId="2" type="noConversion"/>
  </si>
  <si>
    <t>CNY_Treasury_Live_Curve_2010-4-15_Calibrated_Curve_7</t>
    <phoneticPr fontId="2" type="noConversion"/>
  </si>
  <si>
    <t>CNY_Treasury_Live_Curve_2010-4-16_Calibrated_Curve_7</t>
    <phoneticPr fontId="2" type="noConversion"/>
  </si>
  <si>
    <t>CNY_Treasury_Live_Curve_2010-4-19_Calibrated_Curve_7</t>
    <phoneticPr fontId="2" type="noConversion"/>
  </si>
  <si>
    <t>CNY_Treasury_Live_Curve_2010-4-2_Calibrated_Curve_7</t>
    <phoneticPr fontId="2" type="noConversion"/>
  </si>
  <si>
    <t>CNY_Treasury_Live_Curve_2010-4-20_Calibrated_Curve_7</t>
    <phoneticPr fontId="2" type="noConversion"/>
  </si>
  <si>
    <t>CNY_Treasury_Live_Curve_2010-4-21_Calibrated_Curve_7</t>
    <phoneticPr fontId="2" type="noConversion"/>
  </si>
  <si>
    <t>CNY_Treasury_Live_Curve_2010-4-22_Calibrated_Curve_7</t>
    <phoneticPr fontId="2" type="noConversion"/>
  </si>
  <si>
    <t>CNY_Treasury_Live_Curve_2010-4-23_Calibrated_Curve_7</t>
    <phoneticPr fontId="2" type="noConversion"/>
  </si>
  <si>
    <t>CNY_Treasury_Live_Curve_2010-4-26_Calibrated_Curve_7</t>
    <phoneticPr fontId="2" type="noConversion"/>
  </si>
  <si>
    <t>CNY_Treasury_Live_Curve_2010-4-27_Calibrated_Curve_7</t>
    <phoneticPr fontId="2" type="noConversion"/>
  </si>
  <si>
    <t>CNY_Treasury_Live_Curve_2010-4-28_Calibrated_Curve_7</t>
    <phoneticPr fontId="2" type="noConversion"/>
  </si>
  <si>
    <t>CNY_Treasury_Live_Curve_2010-4-29_Calibrated_Curve_7</t>
    <phoneticPr fontId="2" type="noConversion"/>
  </si>
  <si>
    <t>CNY_Treasury_Live_Curve_2010-4-30_Calibrated_Curve_7</t>
    <phoneticPr fontId="2" type="noConversion"/>
  </si>
  <si>
    <t>CNY_Treasury_Live_Curve_2010-4-6_Calibrated_Curve_7</t>
    <phoneticPr fontId="2" type="noConversion"/>
  </si>
  <si>
    <t>CNY_Treasury_Live_Curve_2010-4-7_Calibrated_Curve_7</t>
    <phoneticPr fontId="2" type="noConversion"/>
  </si>
  <si>
    <t>CNY_Treasury_Live_Curve_2010-4-8_Calibrated_Curve_7</t>
    <phoneticPr fontId="2" type="noConversion"/>
  </si>
  <si>
    <t>CNY_Treasury_Live_Curve_2010-4-9_Calibrated_Curve_7</t>
    <phoneticPr fontId="2" type="noConversion"/>
  </si>
  <si>
    <t>CNY_Treasury_Live_Curve_2010-5-10_Calibrated_Curve_7</t>
    <phoneticPr fontId="2" type="noConversion"/>
  </si>
  <si>
    <t>CNY_Treasury_Live_Curve_2010-5-11_Calibrated_Curve_7</t>
    <phoneticPr fontId="2" type="noConversion"/>
  </si>
  <si>
    <t>CNY_Treasury_Live_Curve_2010-5-12_Calibrated_Curve_7</t>
    <phoneticPr fontId="2" type="noConversion"/>
  </si>
  <si>
    <t>CNY_Treasury_Live_Curve_2010-5-13_Calibrated_Curve_7</t>
    <phoneticPr fontId="2" type="noConversion"/>
  </si>
  <si>
    <t>CNY_Treasury_Live_Curve_2010-5-14_Calibrated_Curve_7</t>
    <phoneticPr fontId="2" type="noConversion"/>
  </si>
  <si>
    <t>CNY_Treasury_Live_Curve_2010-5-17_Calibrated_Curve_7</t>
    <phoneticPr fontId="2" type="noConversion"/>
  </si>
  <si>
    <t>CNY_Treasury_Live_Curve_2010-5-18_Calibrated_Curve_7</t>
    <phoneticPr fontId="2" type="noConversion"/>
  </si>
  <si>
    <t>CNY_Treasury_Live_Curve_2010-5-19_Calibrated_Curve_7</t>
    <phoneticPr fontId="2" type="noConversion"/>
  </si>
  <si>
    <t>CNY_Treasury_Live_Curve_2010-5-20_Calibrated_Curve_7</t>
    <phoneticPr fontId="2" type="noConversion"/>
  </si>
  <si>
    <t>CNY_Treasury_Live_Curve_2010-5-21_Calibrated_Curve_7</t>
    <phoneticPr fontId="2" type="noConversion"/>
  </si>
  <si>
    <t>CNY_Treasury_Live_Curve_2010-5-24_Calibrated_Curve_7</t>
    <phoneticPr fontId="2" type="noConversion"/>
  </si>
  <si>
    <t>CNY_Treasury_Live_Curve_2010-5-25_Calibrated_Curve_7</t>
    <phoneticPr fontId="2" type="noConversion"/>
  </si>
  <si>
    <t>CNY_Treasury_Live_Curve_2010-5-26_Calibrated_Curve_7</t>
    <phoneticPr fontId="2" type="noConversion"/>
  </si>
  <si>
    <t>CNY_Treasury_Live_Curve_2010-5-27_Calibrated_Curve_7</t>
    <phoneticPr fontId="2" type="noConversion"/>
  </si>
  <si>
    <t>CNY_Treasury_Live_Curve_2010-5-28_Calibrated_Curve_7</t>
    <phoneticPr fontId="2" type="noConversion"/>
  </si>
  <si>
    <t>CNY_Treasury_Live_Curve_2010-5-31_Calibrated_Curve_7</t>
    <phoneticPr fontId="2" type="noConversion"/>
  </si>
  <si>
    <t>CNY_Treasury_Live_Curve_2010-5-4_Calibrated_Curve_7</t>
    <phoneticPr fontId="2" type="noConversion"/>
  </si>
  <si>
    <t>CNY_Treasury_Live_Curve_2010-5-5_Calibrated_Curve_7</t>
    <phoneticPr fontId="2" type="noConversion"/>
  </si>
  <si>
    <t>CNY_Treasury_Live_Curve_2010-5-6_Calibrated_Curve_7</t>
    <phoneticPr fontId="2" type="noConversion"/>
  </si>
  <si>
    <t>CNY_Treasury_Live_Curve_2010-5-7_Calibrated_Curve_7</t>
    <phoneticPr fontId="2" type="noConversion"/>
  </si>
  <si>
    <t>CNY_Treasury_Live_Curve_2010-6-1_Calibrated_Curve_7</t>
    <phoneticPr fontId="2" type="noConversion"/>
  </si>
  <si>
    <t>CNY_Treasury_Live_Curve_2010-6-10_Calibrated_Curve_7</t>
    <phoneticPr fontId="2" type="noConversion"/>
  </si>
  <si>
    <t>CNY_Treasury_Live_Curve_2010-6-11_Calibrated_Curve_7</t>
    <phoneticPr fontId="2" type="noConversion"/>
  </si>
  <si>
    <t>CNY_Treasury_Live_Curve_2010-6-12_Calibrated_Curve_7</t>
    <phoneticPr fontId="2" type="noConversion"/>
  </si>
  <si>
    <t>CNY_Treasury_Live_Curve_2010-6-13_Calibrated_Curve_7</t>
    <phoneticPr fontId="2" type="noConversion"/>
  </si>
  <si>
    <t>CNY_Treasury_Live_Curve_2010-6-17_Calibrated_Curve_7</t>
    <phoneticPr fontId="2" type="noConversion"/>
  </si>
  <si>
    <t>CNY_Treasury_Live_Curve_2010-6-18_Calibrated_Curve_7</t>
    <phoneticPr fontId="2" type="noConversion"/>
  </si>
  <si>
    <t>CNY_Treasury_Live_Curve_2010-6-2_Calibrated_Curve_7</t>
    <phoneticPr fontId="2" type="noConversion"/>
  </si>
  <si>
    <t>CNY_Treasury_Live_Curve_2010-6-21_Calibrated_Curve_7</t>
    <phoneticPr fontId="2" type="noConversion"/>
  </si>
  <si>
    <t>CNY_Treasury_Live_Curve_2010-6-22_Calibrated_Curve_7</t>
    <phoneticPr fontId="2" type="noConversion"/>
  </si>
  <si>
    <t>CNY_Treasury_Live_Curve_2010-6-23_Calibrated_Curve_7</t>
    <phoneticPr fontId="2" type="noConversion"/>
  </si>
  <si>
    <t>CNY_Treasury_Live_Curve_2010-6-24_Calibrated_Curve_7</t>
    <phoneticPr fontId="2" type="noConversion"/>
  </si>
  <si>
    <t>CNY_Treasury_Live_Curve_2010-6-25_Calibrated_Curve_7</t>
    <phoneticPr fontId="2" type="noConversion"/>
  </si>
  <si>
    <t>CNY_Treasury_Live_Curve_2010-6-28_Calibrated_Curve_7</t>
    <phoneticPr fontId="2" type="noConversion"/>
  </si>
  <si>
    <t>CNY_Treasury_Live_Curve_2010-6-29_Calibrated_Curve_7</t>
    <phoneticPr fontId="2" type="noConversion"/>
  </si>
  <si>
    <t>CNY_Treasury_Live_Curve_2010-6-3_Calibrated_Curve_7</t>
    <phoneticPr fontId="2" type="noConversion"/>
  </si>
  <si>
    <t>CNY_Treasury_Live_Curve_2010-6-30_Calibrated_Curve_7</t>
    <phoneticPr fontId="2" type="noConversion"/>
  </si>
  <si>
    <t>CNY_Treasury_Live_Curve_2010-6-4_Calibrated_Curve_7</t>
    <phoneticPr fontId="2" type="noConversion"/>
  </si>
  <si>
    <t>CNY_Treasury_Live_Curve_2010-6-7_Calibrated_Curve_7</t>
    <phoneticPr fontId="2" type="noConversion"/>
  </si>
  <si>
    <t>CNY_Treasury_Live_Curve_2010-6-8_Calibrated_Curve_7</t>
    <phoneticPr fontId="2" type="noConversion"/>
  </si>
  <si>
    <t>CNY_Treasury_Live_Curve_2010-6-9_Calibrated_Curve_7</t>
    <phoneticPr fontId="2" type="noConversion"/>
  </si>
  <si>
    <t>CNY_Treasury_Live_Curve_2010-7-1_Calibrated_Curve_7</t>
    <phoneticPr fontId="2" type="noConversion"/>
  </si>
  <si>
    <t>CNY_Treasury_Live_Curve_2010-7-12_Calibrated_Curve_7</t>
    <phoneticPr fontId="2" type="noConversion"/>
  </si>
  <si>
    <t>CNY_Treasury_Live_Curve_2010-7-13_Calibrated_Curve_7</t>
    <phoneticPr fontId="2" type="noConversion"/>
  </si>
  <si>
    <t>CNY_Treasury_Live_Curve_2010-7-14_Calibrated_Curve_7</t>
    <phoneticPr fontId="2" type="noConversion"/>
  </si>
  <si>
    <t>CNY_Treasury_Live_Curve_2010-7-15_Calibrated_Curve_7</t>
    <phoneticPr fontId="2" type="noConversion"/>
  </si>
  <si>
    <t>CNY_Treasury_Live_Curve_2010-7-16_Calibrated_Curve_7</t>
    <phoneticPr fontId="2" type="noConversion"/>
  </si>
  <si>
    <t>CNY_Treasury_Live_Curve_2010-7-19_Calibrated_Curve_7</t>
    <phoneticPr fontId="2" type="noConversion"/>
  </si>
  <si>
    <t>CNY_Treasury_Live_Curve_2010-7-2_Calibrated_Curve_7</t>
    <phoneticPr fontId="2" type="noConversion"/>
  </si>
  <si>
    <t>CNY_Treasury_Live_Curve_2010-7-20_Calibrated_Curve_7</t>
    <phoneticPr fontId="2" type="noConversion"/>
  </si>
  <si>
    <t>CNY_Treasury_Live_Curve_2010-7-21_Calibrated_Curve_7</t>
    <phoneticPr fontId="2" type="noConversion"/>
  </si>
  <si>
    <t>CNY_Treasury_Live_Curve_2010-7-22_Calibrated_Curve_7</t>
    <phoneticPr fontId="2" type="noConversion"/>
  </si>
  <si>
    <t>CNY_Treasury_Live_Curve_2010-7-23_Calibrated_Curve_7</t>
    <phoneticPr fontId="2" type="noConversion"/>
  </si>
  <si>
    <t>CNY_Treasury_Live_Curve_2010-7-26_Calibrated_Curve_7</t>
    <phoneticPr fontId="2" type="noConversion"/>
  </si>
  <si>
    <t>CNY_Treasury_Live_Curve_2010-7-27_Calibrated_Curve_7</t>
    <phoneticPr fontId="2" type="noConversion"/>
  </si>
  <si>
    <t>CNY_Treasury_Live_Curve_2010-7-28_Calibrated_Curve_7</t>
    <phoneticPr fontId="2" type="noConversion"/>
  </si>
  <si>
    <t>CNY_Treasury_Live_Curve_2010-7-29_Calibrated_Curve_7</t>
    <phoneticPr fontId="2" type="noConversion"/>
  </si>
  <si>
    <t>CNY_Treasury_Live_Curve_2010-7-30_Calibrated_Curve_7</t>
    <phoneticPr fontId="2" type="noConversion"/>
  </si>
  <si>
    <t>CNY_Treasury_Live_Curve_2010-7-5_Calibrated_Curve_7</t>
    <phoneticPr fontId="2" type="noConversion"/>
  </si>
  <si>
    <t>CNY_Treasury_Live_Curve_2010-7-6_Calibrated_Curve_7</t>
    <phoneticPr fontId="2" type="noConversion"/>
  </si>
  <si>
    <t>CNY_Treasury_Live_Curve_2010-7-7_Calibrated_Curve_7</t>
    <phoneticPr fontId="2" type="noConversion"/>
  </si>
  <si>
    <t>CNY_Treasury_Live_Curve_2010-7-8_Calibrated_Curve_7</t>
    <phoneticPr fontId="2" type="noConversion"/>
  </si>
  <si>
    <t>CNY_Treasury_Live_Curve_2010-7-9_Calibrated_Curve_7</t>
    <phoneticPr fontId="2" type="noConversion"/>
  </si>
  <si>
    <t>CNY_Treasury_Live_Curve_2010-8-10_Calibrated_Curve_7</t>
    <phoneticPr fontId="2" type="noConversion"/>
  </si>
  <si>
    <t>CNY_Treasury_Live_Curve_2010-8-11_Calibrated_Curve_7</t>
    <phoneticPr fontId="2" type="noConversion"/>
  </si>
  <si>
    <t>CNY_Treasury_Live_Curve_2010-8-12_Calibrated_Curve_7</t>
    <phoneticPr fontId="2" type="noConversion"/>
  </si>
  <si>
    <t>CNY_Treasury_Live_Curve_2010-8-13_Calibrated_Curve_7</t>
    <phoneticPr fontId="2" type="noConversion"/>
  </si>
  <si>
    <t>CNY_Treasury_Live_Curve_2010-8-16_Calibrated_Curve_7</t>
    <phoneticPr fontId="2" type="noConversion"/>
  </si>
  <si>
    <t>CNY_Treasury_Live_Curve_2010-8-17_Calibrated_Curve_7</t>
    <phoneticPr fontId="2" type="noConversion"/>
  </si>
  <si>
    <t>CNY_Treasury_Live_Curve_2010-8-18_Calibrated_Curve_7</t>
    <phoneticPr fontId="2" type="noConversion"/>
  </si>
  <si>
    <t>CNY_Treasury_Live_Curve_2010-8-19_Calibrated_Curve_7</t>
    <phoneticPr fontId="2" type="noConversion"/>
  </si>
  <si>
    <t>CNY_Treasury_Live_Curve_2010-8-2_Calibrated_Curve_7</t>
    <phoneticPr fontId="2" type="noConversion"/>
  </si>
  <si>
    <t>CNY_Treasury_Live_Curve_2010-8-20_Calibrated_Curve_7</t>
    <phoneticPr fontId="2" type="noConversion"/>
  </si>
  <si>
    <t>CNY_Treasury_Live_Curve_2010-8-23_Calibrated_Curve_7</t>
    <phoneticPr fontId="2" type="noConversion"/>
  </si>
  <si>
    <t>CNY_Treasury_Live_Curve_2010-8-24_Calibrated_Curve_7</t>
    <phoneticPr fontId="2" type="noConversion"/>
  </si>
  <si>
    <t>CNY_Treasury_Live_Curve_2010-8-25_Calibrated_Curve_7</t>
    <phoneticPr fontId="2" type="noConversion"/>
  </si>
  <si>
    <t>CNY_Treasury_Live_Curve_2010-8-26_Calibrated_Curve_7</t>
    <phoneticPr fontId="2" type="noConversion"/>
  </si>
  <si>
    <t>CNY_Treasury_Live_Curve_2010-8-27_Calibrated_Curve_7</t>
    <phoneticPr fontId="2" type="noConversion"/>
  </si>
  <si>
    <t>CNY_Treasury_Live_Curve_2010-8-3_Calibrated_Curve_7</t>
    <phoneticPr fontId="2" type="noConversion"/>
  </si>
  <si>
    <t>CNY_Treasury_Live_Curve_2010-8-30_Calibrated_Curve_7</t>
    <phoneticPr fontId="2" type="noConversion"/>
  </si>
  <si>
    <t>CNY_Treasury_Live_Curve_2010-8-31_Calibrated_Curve_7</t>
    <phoneticPr fontId="2" type="noConversion"/>
  </si>
  <si>
    <t>CNY_Treasury_Live_Curve_2010-8-4_Calibrated_Curve_7</t>
    <phoneticPr fontId="2" type="noConversion"/>
  </si>
  <si>
    <t>CNY_Treasury_Live_Curve_2010-8-5_Calibrated_Curve_7</t>
    <phoneticPr fontId="2" type="noConversion"/>
  </si>
  <si>
    <t>CNY_Treasury_Live_Curve_2010-8-6_Calibrated_Curve_7</t>
    <phoneticPr fontId="2" type="noConversion"/>
  </si>
  <si>
    <t>CNY_Treasury_Live_Curve_2010-8-9_Calibrated_Curve_7</t>
    <phoneticPr fontId="2" type="noConversion"/>
  </si>
  <si>
    <t>CNY_Treasury_Live_Curve_2010-9-1_Calibrated_Curve_7</t>
    <phoneticPr fontId="2" type="noConversion"/>
  </si>
  <si>
    <t>CNY_Treasury_Live_Curve_2010-9-10_Calibrated_Curve_7</t>
    <phoneticPr fontId="2" type="noConversion"/>
  </si>
  <si>
    <t>CNY_Treasury_Live_Curve_2010-9-13_Calibrated_Curve_7</t>
    <phoneticPr fontId="2" type="noConversion"/>
  </si>
  <si>
    <t>CNY_Treasury_Live_Curve_2010-9-14_Calibrated_Curve_7</t>
    <phoneticPr fontId="2" type="noConversion"/>
  </si>
  <si>
    <t>CNY_Treasury_Live_Curve_2010-9-15_Calibrated_Curve_7</t>
    <phoneticPr fontId="2" type="noConversion"/>
  </si>
  <si>
    <t>CNY_Treasury_Live_Curve_2010-9-16_Calibrated_Curve_7</t>
    <phoneticPr fontId="2" type="noConversion"/>
  </si>
  <si>
    <t>CNY_Treasury_Live_Curve_2010-9-17_Calibrated_Curve_7</t>
    <phoneticPr fontId="2" type="noConversion"/>
  </si>
  <si>
    <t>CNY_Treasury_Live_Curve_2010-9-19_Calibrated_Curve_7</t>
    <phoneticPr fontId="2" type="noConversion"/>
  </si>
  <si>
    <t>CNY_Treasury_Live_Curve_2010-9-2_Calibrated_Curve_7</t>
    <phoneticPr fontId="2" type="noConversion"/>
  </si>
  <si>
    <t>CNY_Treasury_Live_Curve_2010-9-20_Calibrated_Curve_7</t>
    <phoneticPr fontId="2" type="noConversion"/>
  </si>
  <si>
    <t>CNY_Treasury_Live_Curve_2010-9-21_Calibrated_Curve_7</t>
    <phoneticPr fontId="2" type="noConversion"/>
  </si>
  <si>
    <t>CNY_Treasury_Live_Curve_2010-9-25_Calibrated_Curve_7</t>
    <phoneticPr fontId="2" type="noConversion"/>
  </si>
  <si>
    <t>CNY_Treasury_Live_Curve_2010-9-26_Calibrated_Curve_7</t>
    <phoneticPr fontId="2" type="noConversion"/>
  </si>
  <si>
    <t>CNY_Treasury_Live_Curve_2010-9-27_Calibrated_Curve_7</t>
    <phoneticPr fontId="2" type="noConversion"/>
  </si>
  <si>
    <t>CNY_Treasury_Live_Curve_2010-9-28_Calibrated_Curve_7</t>
    <phoneticPr fontId="2" type="noConversion"/>
  </si>
  <si>
    <t>CNY_Treasury_Live_Curve_2010-9-29_Calibrated_Curve_7</t>
    <phoneticPr fontId="2" type="noConversion"/>
  </si>
  <si>
    <t>CNY_Treasury_Live_Curve_2010-9-3_Calibrated_Curve_7</t>
    <phoneticPr fontId="2" type="noConversion"/>
  </si>
  <si>
    <t>CNY_Treasury_Live_Curve_2010-9-30_Calibrated_Curve_7</t>
    <phoneticPr fontId="2" type="noConversion"/>
  </si>
  <si>
    <t>CNY_Treasury_Live_Curve_2010-9-6_Calibrated_Curve_7</t>
    <phoneticPr fontId="2" type="noConversion"/>
  </si>
  <si>
    <t>CNY_Treasury_Live_Curve_2010-9-7_Calibrated_Curve_7</t>
    <phoneticPr fontId="2" type="noConversion"/>
  </si>
  <si>
    <t>CNY_Treasury_Live_Curve_2010-9-8_Calibrated_Curve_7</t>
    <phoneticPr fontId="2" type="noConversion"/>
  </si>
  <si>
    <t>CNY_Treasury_Live_Curve_2010-9-9_Calibrated_Curve_7</t>
    <phoneticPr fontId="2" type="noConversion"/>
  </si>
  <si>
    <t>CNY_Treasury_Live_Curve_2011-1-10_Calibrated_Curve_7</t>
    <phoneticPr fontId="2" type="noConversion"/>
  </si>
  <si>
    <t>CNY_Treasury_Live_Curve_2011-1-11_Calibrated_Curve_7</t>
    <phoneticPr fontId="2" type="noConversion"/>
  </si>
  <si>
    <t>CNY_Treasury_Live_Curve_2011-1-12_Calibrated_Curve_7</t>
    <phoneticPr fontId="2" type="noConversion"/>
  </si>
  <si>
    <t>CNY_Treasury_Live_Curve_2011-1-13_Calibrated_Curve_7</t>
    <phoneticPr fontId="2" type="noConversion"/>
  </si>
  <si>
    <t>CNY_Treasury_Live_Curve_2011-1-14_Calibrated_Curve_7</t>
    <phoneticPr fontId="2" type="noConversion"/>
  </si>
  <si>
    <t>CNY_Treasury_Live_Curve_2011-1-17_Calibrated_Curve_7</t>
    <phoneticPr fontId="2" type="noConversion"/>
  </si>
  <si>
    <t>CNY_Treasury_Live_Curve_2011-1-18_Calibrated_Curve_7</t>
    <phoneticPr fontId="2" type="noConversion"/>
  </si>
  <si>
    <t>CNY_Treasury_Live_Curve_2011-1-19_Calibrated_Curve_7</t>
    <phoneticPr fontId="2" type="noConversion"/>
  </si>
  <si>
    <t>CNY_Treasury_Live_Curve_2011-1-20_Calibrated_Curve_7</t>
    <phoneticPr fontId="2" type="noConversion"/>
  </si>
  <si>
    <t>CNY_Treasury_Live_Curve_2011-1-21_Calibrated_Curve_7</t>
    <phoneticPr fontId="2" type="noConversion"/>
  </si>
  <si>
    <t>CNY_Treasury_Live_Curve_2011-1-24_Calibrated_Curve_7</t>
    <phoneticPr fontId="2" type="noConversion"/>
  </si>
  <si>
    <t>CNY_Treasury_Live_Curve_2011-1-25_Calibrated_Curve_7</t>
    <phoneticPr fontId="2" type="noConversion"/>
  </si>
  <si>
    <t>CNY_Treasury_Live_Curve_2011-1-26_Calibrated_Curve_7</t>
    <phoneticPr fontId="2" type="noConversion"/>
  </si>
  <si>
    <t>CNY_Treasury_Live_Curve_2011-1-27_Calibrated_Curve_7</t>
    <phoneticPr fontId="2" type="noConversion"/>
  </si>
  <si>
    <t>CNY_Treasury_Live_Curve_2011-1-28_Calibrated_Curve_7</t>
    <phoneticPr fontId="2" type="noConversion"/>
  </si>
  <si>
    <t>CNY_Treasury_Live_Curve_2011-1-30_Calibrated_Curve_7</t>
    <phoneticPr fontId="2" type="noConversion"/>
  </si>
  <si>
    <t>CNY_Treasury_Live_Curve_2011-1-31_Calibrated_Curve_7</t>
    <phoneticPr fontId="2" type="noConversion"/>
  </si>
  <si>
    <t>CNY_Treasury_Live_Curve_2011-1-4_Calibrated_Curve_7</t>
    <phoneticPr fontId="2" type="noConversion"/>
  </si>
  <si>
    <t>CNY_Treasury_Live_Curve_2011-1-5_Calibrated_Curve_7</t>
    <phoneticPr fontId="2" type="noConversion"/>
  </si>
  <si>
    <t>CNY_Treasury_Live_Curve_2011-1-6_Calibrated_Curve_7</t>
    <phoneticPr fontId="2" type="noConversion"/>
  </si>
  <si>
    <t>CNY_Treasury_Live_Curve_2011-1-7_Calibrated_Curve_7</t>
    <phoneticPr fontId="2" type="noConversion"/>
  </si>
  <si>
    <t>CNY_Treasury_Live_Curve_2011-10-10_Calibrated_Curve_7</t>
    <phoneticPr fontId="2" type="noConversion"/>
  </si>
  <si>
    <t>CNY_Treasury_Live_Curve_2011-10-11_Calibrated_Curve_7</t>
    <phoneticPr fontId="2" type="noConversion"/>
  </si>
  <si>
    <t>CNY_Treasury_Live_Curve_2011-10-12_Calibrated_Curve_7</t>
    <phoneticPr fontId="2" type="noConversion"/>
  </si>
  <si>
    <t>CNY_Treasury_Live_Curve_2011-10-13_Calibrated_Curve_7</t>
    <phoneticPr fontId="2" type="noConversion"/>
  </si>
  <si>
    <t>CNY_Treasury_Live_Curve_2011-10-14_Calibrated_Curve_7</t>
    <phoneticPr fontId="2" type="noConversion"/>
  </si>
  <si>
    <t>CNY_Treasury_Live_Curve_2011-10-17_Calibrated_Curve_7</t>
    <phoneticPr fontId="2" type="noConversion"/>
  </si>
  <si>
    <t>CNY_Treasury_Live_Curve_2011-10-18_Calibrated_Curve_7</t>
    <phoneticPr fontId="2" type="noConversion"/>
  </si>
  <si>
    <t>CNY_Treasury_Live_Curve_2011-10-19_Calibrated_Curve_7</t>
    <phoneticPr fontId="2" type="noConversion"/>
  </si>
  <si>
    <t>CNY_Treasury_Live_Curve_2011-10-20_Calibrated_Curve_7</t>
    <phoneticPr fontId="2" type="noConversion"/>
  </si>
  <si>
    <t>CNY_Treasury_Live_Curve_2011-10-21_Calibrated_Curve_7</t>
    <phoneticPr fontId="2" type="noConversion"/>
  </si>
  <si>
    <t>CNY_Treasury_Live_Curve_2011-10-24_Calibrated_Curve_7</t>
    <phoneticPr fontId="2" type="noConversion"/>
  </si>
  <si>
    <t>CNY_Treasury_Live_Curve_2011-10-25_Calibrated_Curve_7</t>
    <phoneticPr fontId="2" type="noConversion"/>
  </si>
  <si>
    <t>CNY_Treasury_Live_Curve_2011-10-26_Calibrated_Curve_7</t>
    <phoneticPr fontId="2" type="noConversion"/>
  </si>
  <si>
    <t>CNY_Treasury_Live_Curve_2011-10-27_Calibrated_Curve_7</t>
    <phoneticPr fontId="2" type="noConversion"/>
  </si>
  <si>
    <t>CNY_Treasury_Live_Curve_2011-10-28_Calibrated_Curve_7</t>
    <phoneticPr fontId="2" type="noConversion"/>
  </si>
  <si>
    <t>CNY_Treasury_Live_Curve_2011-10-31_Calibrated_Curve_7</t>
    <phoneticPr fontId="2" type="noConversion"/>
  </si>
  <si>
    <t>CNY_Treasury_Live_Curve_2011-10-8_Calibrated_Curve_7</t>
    <phoneticPr fontId="2" type="noConversion"/>
  </si>
  <si>
    <t>CNY_Treasury_Live_Curve_2011-10-9_Calibrated_Curve_7</t>
    <phoneticPr fontId="2" type="noConversion"/>
  </si>
  <si>
    <t>CNY_Treasury_Live_Curve_2011-11-1_Calibrated_Curve_7</t>
    <phoneticPr fontId="2" type="noConversion"/>
  </si>
  <si>
    <t>CNY_Treasury_Live_Curve_2011-11-10_Calibrated_Curve_7</t>
    <phoneticPr fontId="2" type="noConversion"/>
  </si>
  <si>
    <t>CNY_Treasury_Live_Curve_2011-11-11_Calibrated_Curve_7</t>
    <phoneticPr fontId="2" type="noConversion"/>
  </si>
  <si>
    <t>CNY_Treasury_Live_Curve_2011-11-14_Calibrated_Curve_7</t>
    <phoneticPr fontId="2" type="noConversion"/>
  </si>
  <si>
    <t>CNY_Treasury_Live_Curve_2011-11-15_Calibrated_Curve_7</t>
    <phoneticPr fontId="2" type="noConversion"/>
  </si>
  <si>
    <t>CNY_Treasury_Live_Curve_2011-11-16_Calibrated_Curve_7</t>
    <phoneticPr fontId="2" type="noConversion"/>
  </si>
  <si>
    <t>CNY_Treasury_Live_Curve_2011-11-17_Calibrated_Curve_7</t>
    <phoneticPr fontId="2" type="noConversion"/>
  </si>
  <si>
    <t>CNY_Treasury_Live_Curve_2011-11-18_Calibrated_Curve_7</t>
    <phoneticPr fontId="2" type="noConversion"/>
  </si>
  <si>
    <t>CNY_Treasury_Live_Curve_2011-11-2_Calibrated_Curve_7</t>
    <phoneticPr fontId="2" type="noConversion"/>
  </si>
  <si>
    <t>CNY_Treasury_Live_Curve_2011-11-21_Calibrated_Curve_7</t>
    <phoneticPr fontId="2" type="noConversion"/>
  </si>
  <si>
    <t>CNY_Treasury_Live_Curve_2011-11-22_Calibrated_Curve_7</t>
    <phoneticPr fontId="2" type="noConversion"/>
  </si>
  <si>
    <t>CNY_Treasury_Live_Curve_2011-11-23_Calibrated_Curve_7</t>
    <phoneticPr fontId="2" type="noConversion"/>
  </si>
  <si>
    <t>CNY_Treasury_Live_Curve_2011-11-24_Calibrated_Curve_7</t>
    <phoneticPr fontId="2" type="noConversion"/>
  </si>
  <si>
    <t>CNY_Treasury_Live_Curve_2011-11-25_Calibrated_Curve_7</t>
    <phoneticPr fontId="2" type="noConversion"/>
  </si>
  <si>
    <t>CNY_Treasury_Live_Curve_2011-11-28_Calibrated_Curve_7</t>
    <phoneticPr fontId="2" type="noConversion"/>
  </si>
  <si>
    <t>CNY_Treasury_Live_Curve_2011-11-29_Calibrated_Curve_7</t>
    <phoneticPr fontId="2" type="noConversion"/>
  </si>
  <si>
    <t>CNY_Treasury_Live_Curve_2011-11-3_Calibrated_Curve_7</t>
    <phoneticPr fontId="2" type="noConversion"/>
  </si>
  <si>
    <t>CNY_Treasury_Live_Curve_2011-11-30_Calibrated_Curve_7</t>
    <phoneticPr fontId="2" type="noConversion"/>
  </si>
  <si>
    <t>CNY_Treasury_Live_Curve_2011-11-4_Calibrated_Curve_7</t>
    <phoneticPr fontId="2" type="noConversion"/>
  </si>
  <si>
    <t>CNY_Treasury_Live_Curve_2011-11-7_Calibrated_Curve_7</t>
    <phoneticPr fontId="2" type="noConversion"/>
  </si>
  <si>
    <t>CNY_Treasury_Live_Curve_2011-11-8_Calibrated_Curve_7</t>
    <phoneticPr fontId="2" type="noConversion"/>
  </si>
  <si>
    <t>CNY_Treasury_Live_Curve_2011-11-9_Calibrated_Curve_7</t>
    <phoneticPr fontId="2" type="noConversion"/>
  </si>
  <si>
    <t>CNY_Treasury_Live_Curve_2011-12-1_Calibrated_Curve_7</t>
    <phoneticPr fontId="2" type="noConversion"/>
  </si>
  <si>
    <t>CNY_Treasury_Live_Curve_2011-12-12_Calibrated_Curve_7</t>
    <phoneticPr fontId="2" type="noConversion"/>
  </si>
  <si>
    <t>CNY_Treasury_Live_Curve_2011-12-13_Calibrated_Curve_7</t>
    <phoneticPr fontId="2" type="noConversion"/>
  </si>
  <si>
    <t>CNY_Treasury_Live_Curve_2011-12-14_Calibrated_Curve_7</t>
    <phoneticPr fontId="2" type="noConversion"/>
  </si>
  <si>
    <t>CNY_Treasury_Live_Curve_2011-12-15_Calibrated_Curve_7</t>
    <phoneticPr fontId="2" type="noConversion"/>
  </si>
  <si>
    <t>CNY_Treasury_Live_Curve_2011-12-16_Calibrated_Curve_7</t>
    <phoneticPr fontId="2" type="noConversion"/>
  </si>
  <si>
    <t>CNY_Treasury_Live_Curve_2011-12-19_Calibrated_Curve_7</t>
    <phoneticPr fontId="2" type="noConversion"/>
  </si>
  <si>
    <t>CNY_Treasury_Live_Curve_2011-12-2_Calibrated_Curve_7</t>
    <phoneticPr fontId="2" type="noConversion"/>
  </si>
  <si>
    <t>CNY_Treasury_Live_Curve_2011-12-20_Calibrated_Curve_7</t>
    <phoneticPr fontId="2" type="noConversion"/>
  </si>
  <si>
    <t>CNY_Treasury_Live_Curve_2011-12-21_Calibrated_Curve_7</t>
    <phoneticPr fontId="2" type="noConversion"/>
  </si>
  <si>
    <t>CNY_Treasury_Live_Curve_2011-12-22_Calibrated_Curve_7</t>
    <phoneticPr fontId="2" type="noConversion"/>
  </si>
  <si>
    <t>CNY_Treasury_Live_Curve_2011-12-23_Calibrated_Curve_7</t>
    <phoneticPr fontId="2" type="noConversion"/>
  </si>
  <si>
    <t>CNY_Treasury_Live_Curve_2011-12-26_Calibrated_Curve_7</t>
    <phoneticPr fontId="2" type="noConversion"/>
  </si>
  <si>
    <t>CNY_Treasury_Live_Curve_2011-12-27_Calibrated_Curve_7</t>
    <phoneticPr fontId="2" type="noConversion"/>
  </si>
  <si>
    <t>CNY_Treasury_Live_Curve_2011-12-28_Calibrated_Curve_7</t>
    <phoneticPr fontId="2" type="noConversion"/>
  </si>
  <si>
    <t>CNY_Treasury_Live_Curve_2011-12-29_Calibrated_Curve_7</t>
    <phoneticPr fontId="2" type="noConversion"/>
  </si>
  <si>
    <t>CNY_Treasury_Live_Curve_2011-12-30_Calibrated_Curve_7</t>
    <phoneticPr fontId="2" type="noConversion"/>
  </si>
  <si>
    <t>CNY_Treasury_Live_Curve_2011-12-31_Calibrated_Curve_7</t>
    <phoneticPr fontId="2" type="noConversion"/>
  </si>
  <si>
    <t>CNY_Treasury_Live_Curve_2011-12-5_Calibrated_Curve_7</t>
    <phoneticPr fontId="2" type="noConversion"/>
  </si>
  <si>
    <t>CNY_Treasury_Live_Curve_2011-12-6_Calibrated_Curve_7</t>
    <phoneticPr fontId="2" type="noConversion"/>
  </si>
  <si>
    <t>CNY_Treasury_Live_Curve_2011-12-7_Calibrated_Curve_7</t>
    <phoneticPr fontId="2" type="noConversion"/>
  </si>
  <si>
    <t>CNY_Treasury_Live_Curve_2011-12-8_Calibrated_Curve_7</t>
    <phoneticPr fontId="2" type="noConversion"/>
  </si>
  <si>
    <t>CNY_Treasury_Live_Curve_2011-12-9_Calibrated_Curve_7</t>
    <phoneticPr fontId="2" type="noConversion"/>
  </si>
  <si>
    <t>CNY_Treasury_Live_Curve_2011-2-1_Calibrated_Curve_7</t>
    <phoneticPr fontId="2" type="noConversion"/>
  </si>
  <si>
    <t>CNY_Treasury_Live_Curve_2011-2-10_Calibrated_Curve_7</t>
    <phoneticPr fontId="2" type="noConversion"/>
  </si>
  <si>
    <t>CNY_Treasury_Live_Curve_2011-2-11_Calibrated_Curve_7</t>
    <phoneticPr fontId="2" type="noConversion"/>
  </si>
  <si>
    <t>CNY_Treasury_Live_Curve_2011-2-12_Calibrated_Curve_7</t>
    <phoneticPr fontId="2" type="noConversion"/>
  </si>
  <si>
    <t>CNY_Treasury_Live_Curve_2011-2-14_Calibrated_Curve_7</t>
    <phoneticPr fontId="2" type="noConversion"/>
  </si>
  <si>
    <t>CNY_Treasury_Live_Curve_2011-2-15_Calibrated_Curve_7</t>
    <phoneticPr fontId="2" type="noConversion"/>
  </si>
  <si>
    <t>CNY_Treasury_Live_Curve_2011-2-16_Calibrated_Curve_7</t>
    <phoneticPr fontId="2" type="noConversion"/>
  </si>
  <si>
    <t>CNY_Treasury_Live_Curve_2011-2-17_Calibrated_Curve_7</t>
    <phoneticPr fontId="2" type="noConversion"/>
  </si>
  <si>
    <t>CNY_Treasury_Live_Curve_2011-2-18_Calibrated_Curve_7</t>
    <phoneticPr fontId="2" type="noConversion"/>
  </si>
  <si>
    <t>CNY_Treasury_Live_Curve_2011-2-21_Calibrated_Curve_7</t>
    <phoneticPr fontId="2" type="noConversion"/>
  </si>
  <si>
    <t>CNY_Treasury_Live_Curve_2011-2-22_Calibrated_Curve_7</t>
    <phoneticPr fontId="2" type="noConversion"/>
  </si>
  <si>
    <t>CNY_Treasury_Live_Curve_2011-2-23_Calibrated_Curve_7</t>
    <phoneticPr fontId="2" type="noConversion"/>
  </si>
  <si>
    <t>CNY_Treasury_Live_Curve_2011-2-24_Calibrated_Curve_7</t>
    <phoneticPr fontId="2" type="noConversion"/>
  </si>
  <si>
    <t>CNY_Treasury_Live_Curve_2011-2-25_Calibrated_Curve_7</t>
    <phoneticPr fontId="2" type="noConversion"/>
  </si>
  <si>
    <t>CNY_Treasury_Live_Curve_2011-2-28_Calibrated_Curve_7</t>
    <phoneticPr fontId="2" type="noConversion"/>
  </si>
  <si>
    <t>CNY_Treasury_Live_Curve_2011-2-9_Calibrated_Curve_7</t>
    <phoneticPr fontId="2" type="noConversion"/>
  </si>
  <si>
    <t>CNY_Treasury_Live_Curve_2011-3-1_Calibrated_Curve_7</t>
    <phoneticPr fontId="2" type="noConversion"/>
  </si>
  <si>
    <t>CNY_Treasury_Live_Curve_2011-3-10_Calibrated_Curve_7</t>
    <phoneticPr fontId="2" type="noConversion"/>
  </si>
  <si>
    <t>CNY_Treasury_Live_Curve_2011-3-11_Calibrated_Curve_7</t>
    <phoneticPr fontId="2" type="noConversion"/>
  </si>
  <si>
    <t>CNY_Treasury_Live_Curve_2011-3-14_Calibrated_Curve_7</t>
    <phoneticPr fontId="2" type="noConversion"/>
  </si>
  <si>
    <t>CNY_Treasury_Live_Curve_2011-3-15_Calibrated_Curve_7</t>
    <phoneticPr fontId="2" type="noConversion"/>
  </si>
  <si>
    <t>CNY_Treasury_Live_Curve_2011-3-16_Calibrated_Curve_7</t>
    <phoneticPr fontId="2" type="noConversion"/>
  </si>
  <si>
    <t>CNY_Treasury_Live_Curve_2011-3-17_Calibrated_Curve_7</t>
    <phoneticPr fontId="2" type="noConversion"/>
  </si>
  <si>
    <t>CNY_Treasury_Live_Curve_2011-3-18_Calibrated_Curve_7</t>
    <phoneticPr fontId="2" type="noConversion"/>
  </si>
  <si>
    <t>CNY_Treasury_Live_Curve_2011-3-2_Calibrated_Curve_7</t>
    <phoneticPr fontId="2" type="noConversion"/>
  </si>
  <si>
    <t>CNY_Treasury_Live_Curve_2011-3-21_Calibrated_Curve_7</t>
    <phoneticPr fontId="2" type="noConversion"/>
  </si>
  <si>
    <t>CNY_Treasury_Live_Curve_2011-3-22_Calibrated_Curve_7</t>
    <phoneticPr fontId="2" type="noConversion"/>
  </si>
  <si>
    <t>CNY_Treasury_Live_Curve_2011-3-23_Calibrated_Curve_7</t>
    <phoneticPr fontId="2" type="noConversion"/>
  </si>
  <si>
    <t>CNY_Treasury_Live_Curve_2011-3-24_Calibrated_Curve_7</t>
    <phoneticPr fontId="2" type="noConversion"/>
  </si>
  <si>
    <t>CNY_Treasury_Live_Curve_2011-3-25_Calibrated_Curve_7</t>
    <phoneticPr fontId="2" type="noConversion"/>
  </si>
  <si>
    <t>CNY_Treasury_Live_Curve_2011-3-28_Calibrated_Curve_7</t>
    <phoneticPr fontId="2" type="noConversion"/>
  </si>
  <si>
    <t>CNY_Treasury_Live_Curve_2011-3-29_Calibrated_Curve_7</t>
    <phoneticPr fontId="2" type="noConversion"/>
  </si>
  <si>
    <t>CNY_Treasury_Live_Curve_2011-3-3_Calibrated_Curve_7</t>
    <phoneticPr fontId="2" type="noConversion"/>
  </si>
  <si>
    <t>CNY_Treasury_Live_Curve_2011-3-30_Calibrated_Curve_7</t>
    <phoneticPr fontId="2" type="noConversion"/>
  </si>
  <si>
    <t>CNY_Treasury_Live_Curve_2011-3-31_Calibrated_Curve_7</t>
    <phoneticPr fontId="2" type="noConversion"/>
  </si>
  <si>
    <t>CNY_Treasury_Live_Curve_2011-3-4_Calibrated_Curve_7</t>
    <phoneticPr fontId="2" type="noConversion"/>
  </si>
  <si>
    <t>CNY_Treasury_Live_Curve_2011-3-7_Calibrated_Curve_7</t>
    <phoneticPr fontId="2" type="noConversion"/>
  </si>
  <si>
    <t>CNY_Treasury_Live_Curve_2011-3-8_Calibrated_Curve_7</t>
    <phoneticPr fontId="2" type="noConversion"/>
  </si>
  <si>
    <t>CNY_Treasury_Live_Curve_2011-3-9_Calibrated_Curve_7</t>
    <phoneticPr fontId="2" type="noConversion"/>
  </si>
  <si>
    <t>CNY_Treasury_Live_Curve_2011-4-1_Calibrated_Curve_7</t>
    <phoneticPr fontId="2" type="noConversion"/>
  </si>
  <si>
    <t>CNY_Treasury_Live_Curve_2011-4-11_Calibrated_Curve_7</t>
    <phoneticPr fontId="2" type="noConversion"/>
  </si>
  <si>
    <t>CNY_Treasury_Live_Curve_2011-4-12_Calibrated_Curve_7</t>
    <phoneticPr fontId="2" type="noConversion"/>
  </si>
  <si>
    <t>CNY_Treasury_Live_Curve_2011-4-13_Calibrated_Curve_7</t>
    <phoneticPr fontId="2" type="noConversion"/>
  </si>
  <si>
    <t>CNY_Treasury_Live_Curve_2011-4-14_Calibrated_Curve_7</t>
    <phoneticPr fontId="2" type="noConversion"/>
  </si>
  <si>
    <t>CNY_Treasury_Live_Curve_2011-4-15_Calibrated_Curve_7</t>
    <phoneticPr fontId="2" type="noConversion"/>
  </si>
  <si>
    <t>CNY_Treasury_Live_Curve_2011-4-18_Calibrated_Curve_7</t>
    <phoneticPr fontId="2" type="noConversion"/>
  </si>
  <si>
    <t>CNY_Treasury_Live_Curve_2011-4-19_Calibrated_Curve_7</t>
    <phoneticPr fontId="2" type="noConversion"/>
  </si>
  <si>
    <t>CNY_Treasury_Live_Curve_2011-4-2_Calibrated_Curve_7</t>
    <phoneticPr fontId="2" type="noConversion"/>
  </si>
  <si>
    <t>CNY_Treasury_Live_Curve_2011-4-20_Calibrated_Curve_7</t>
    <phoneticPr fontId="2" type="noConversion"/>
  </si>
  <si>
    <t>CNY_Treasury_Live_Curve_2011-4-21_Calibrated_Curve_7</t>
    <phoneticPr fontId="2" type="noConversion"/>
  </si>
  <si>
    <t>CNY_Treasury_Live_Curve_2011-4-22_Calibrated_Curve_7</t>
    <phoneticPr fontId="2" type="noConversion"/>
  </si>
  <si>
    <t>CNY_Treasury_Live_Curve_2011-4-25_Calibrated_Curve_7</t>
    <phoneticPr fontId="2" type="noConversion"/>
  </si>
  <si>
    <t>CNY_Treasury_Live_Curve_2011-4-26_Calibrated_Curve_7</t>
    <phoneticPr fontId="2" type="noConversion"/>
  </si>
  <si>
    <t>CNY_Treasury_Live_Curve_2011-4-27_Calibrated_Curve_7</t>
    <phoneticPr fontId="2" type="noConversion"/>
  </si>
  <si>
    <t>CNY_Treasury_Live_Curve_2011-4-28_Calibrated_Curve_7</t>
    <phoneticPr fontId="2" type="noConversion"/>
  </si>
  <si>
    <t>CNY_Treasury_Live_Curve_2011-4-29_Calibrated_Curve_7</t>
    <phoneticPr fontId="2" type="noConversion"/>
  </si>
  <si>
    <t>CNY_Treasury_Live_Curve_2011-4-6_Calibrated_Curve_7</t>
    <phoneticPr fontId="2" type="noConversion"/>
  </si>
  <si>
    <t>CNY_Treasury_Live_Curve_2011-4-7_Calibrated_Curve_7</t>
    <phoneticPr fontId="2" type="noConversion"/>
  </si>
  <si>
    <t>CNY_Treasury_Live_Curve_2011-4-8_Calibrated_Curve_7</t>
    <phoneticPr fontId="2" type="noConversion"/>
  </si>
  <si>
    <t>CNY_Treasury_Live_Curve_2011-5-10_Calibrated_Curve_7</t>
    <phoneticPr fontId="2" type="noConversion"/>
  </si>
  <si>
    <t>CNY_Treasury_Live_Curve_2011-5-11_Calibrated_Curve_7</t>
    <phoneticPr fontId="2" type="noConversion"/>
  </si>
  <si>
    <t>CNY_Treasury_Live_Curve_2011-5-12_Calibrated_Curve_7</t>
    <phoneticPr fontId="2" type="noConversion"/>
  </si>
  <si>
    <t>CNY_Treasury_Live_Curve_2011-5-13_Calibrated_Curve_7</t>
    <phoneticPr fontId="2" type="noConversion"/>
  </si>
  <si>
    <t>CNY_Treasury_Live_Curve_2011-5-16_Calibrated_Curve_7</t>
    <phoneticPr fontId="2" type="noConversion"/>
  </si>
  <si>
    <t>CNY_Treasury_Live_Curve_2011-5-17_Calibrated_Curve_7</t>
    <phoneticPr fontId="2" type="noConversion"/>
  </si>
  <si>
    <t>CNY_Treasury_Live_Curve_2011-5-18_Calibrated_Curve_7</t>
    <phoneticPr fontId="2" type="noConversion"/>
  </si>
  <si>
    <t>CNY_Treasury_Live_Curve_2011-5-19_Calibrated_Curve_7</t>
    <phoneticPr fontId="2" type="noConversion"/>
  </si>
  <si>
    <t>CNY_Treasury_Live_Curve_2011-5-20_Calibrated_Curve_7</t>
    <phoneticPr fontId="2" type="noConversion"/>
  </si>
  <si>
    <t>CNY_Treasury_Live_Curve_2011-5-23_Calibrated_Curve_7</t>
    <phoneticPr fontId="2" type="noConversion"/>
  </si>
  <si>
    <t>CNY_Treasury_Live_Curve_2011-5-24_Calibrated_Curve_7</t>
    <phoneticPr fontId="2" type="noConversion"/>
  </si>
  <si>
    <t>CNY_Treasury_Live_Curve_2011-5-25_Calibrated_Curve_7</t>
    <phoneticPr fontId="2" type="noConversion"/>
  </si>
  <si>
    <t>CNY_Treasury_Live_Curve_2011-5-26_Calibrated_Curve_7</t>
    <phoneticPr fontId="2" type="noConversion"/>
  </si>
  <si>
    <t>CNY_Treasury_Live_Curve_2011-5-27_Calibrated_Curve_7</t>
    <phoneticPr fontId="2" type="noConversion"/>
  </si>
  <si>
    <t>CNY_Treasury_Live_Curve_2011-5-3_Calibrated_Curve_7</t>
    <phoneticPr fontId="2" type="noConversion"/>
  </si>
  <si>
    <t>CNY_Treasury_Live_Curve_2011-5-30_Calibrated_Curve_7</t>
    <phoneticPr fontId="2" type="noConversion"/>
  </si>
  <si>
    <t>CNY_Treasury_Live_Curve_2011-5-31_Calibrated_Curve_7</t>
    <phoneticPr fontId="2" type="noConversion"/>
  </si>
  <si>
    <t>CNY_Treasury_Live_Curve_2011-5-4_Calibrated_Curve_7</t>
    <phoneticPr fontId="2" type="noConversion"/>
  </si>
  <si>
    <t>CNY_Treasury_Live_Curve_2011-5-5_Calibrated_Curve_7</t>
    <phoneticPr fontId="2" type="noConversion"/>
  </si>
  <si>
    <t>CNY_Treasury_Live_Curve_2011-5-6_Calibrated_Curve_7</t>
    <phoneticPr fontId="2" type="noConversion"/>
  </si>
  <si>
    <t>CNY_Treasury_Live_Curve_2011-5-9_Calibrated_Curve_7</t>
    <phoneticPr fontId="2" type="noConversion"/>
  </si>
  <si>
    <t>CNY_Treasury_Live_Curve_2011-6-1_Calibrated_Curve_7</t>
    <phoneticPr fontId="2" type="noConversion"/>
  </si>
  <si>
    <t>CNY_Treasury_Live_Curve_2011-6-10_Calibrated_Curve_7</t>
    <phoneticPr fontId="2" type="noConversion"/>
  </si>
  <si>
    <t>CNY_Treasury_Live_Curve_2011-6-13_Calibrated_Curve_7</t>
    <phoneticPr fontId="2" type="noConversion"/>
  </si>
  <si>
    <t>CNY_Treasury_Live_Curve_2011-6-14_Calibrated_Curve_7</t>
    <phoneticPr fontId="2" type="noConversion"/>
  </si>
  <si>
    <t>CNY_Treasury_Live_Curve_2011-6-15_Calibrated_Curve_7</t>
    <phoneticPr fontId="2" type="noConversion"/>
  </si>
  <si>
    <t>CNY_Treasury_Live_Curve_2011-6-16_Calibrated_Curve_7</t>
    <phoneticPr fontId="2" type="noConversion"/>
  </si>
  <si>
    <t>CNY_Treasury_Live_Curve_2011-6-17_Calibrated_Curve_7</t>
    <phoneticPr fontId="2" type="noConversion"/>
  </si>
  <si>
    <t>CNY_Treasury_Live_Curve_2011-6-2_Calibrated_Curve_7</t>
    <phoneticPr fontId="2" type="noConversion"/>
  </si>
  <si>
    <t>CNY_Treasury_Live_Curve_2011-6-20_Calibrated_Curve_7</t>
    <phoneticPr fontId="2" type="noConversion"/>
  </si>
  <si>
    <t>CNY_Treasury_Live_Curve_2011-6-21_Calibrated_Curve_7</t>
    <phoneticPr fontId="2" type="noConversion"/>
  </si>
  <si>
    <t>CNY_Treasury_Live_Curve_2011-6-22_Calibrated_Curve_7</t>
    <phoneticPr fontId="2" type="noConversion"/>
  </si>
  <si>
    <t>CNY_Treasury_Live_Curve_2011-6-23_Calibrated_Curve_7</t>
    <phoneticPr fontId="2" type="noConversion"/>
  </si>
  <si>
    <t>CNY_Treasury_Live_Curve_2011-6-24_Calibrated_Curve_7</t>
    <phoneticPr fontId="2" type="noConversion"/>
  </si>
  <si>
    <t>CNY_Treasury_Live_Curve_2011-6-27_Calibrated_Curve_7</t>
    <phoneticPr fontId="2" type="noConversion"/>
  </si>
  <si>
    <t>CNY_Treasury_Live_Curve_2011-6-28_Calibrated_Curve_7</t>
    <phoneticPr fontId="2" type="noConversion"/>
  </si>
  <si>
    <t>CNY_Treasury_Live_Curve_2011-6-29_Calibrated_Curve_7</t>
    <phoneticPr fontId="2" type="noConversion"/>
  </si>
  <si>
    <t>CNY_Treasury_Live_Curve_2011-6-3_Calibrated_Curve_7</t>
    <phoneticPr fontId="2" type="noConversion"/>
  </si>
  <si>
    <t>CNY_Treasury_Live_Curve_2011-6-30_Calibrated_Curve_7</t>
    <phoneticPr fontId="2" type="noConversion"/>
  </si>
  <si>
    <t>CNY_Treasury_Live_Curve_2011-6-7_Calibrated_Curve_7</t>
    <phoneticPr fontId="2" type="noConversion"/>
  </si>
  <si>
    <t>CNY_Treasury_Live_Curve_2011-6-8_Calibrated_Curve_7</t>
    <phoneticPr fontId="2" type="noConversion"/>
  </si>
  <si>
    <t>CNY_Treasury_Live_Curve_2011-6-9_Calibrated_Curve_7</t>
    <phoneticPr fontId="2" type="noConversion"/>
  </si>
  <si>
    <t>CNY_Treasury_Live_Curve_2011-7-1_Calibrated_Curve_7</t>
    <phoneticPr fontId="2" type="noConversion"/>
  </si>
  <si>
    <t>CNY_Treasury_Live_Curve_2011-7-11_Calibrated_Curve_7</t>
    <phoneticPr fontId="2" type="noConversion"/>
  </si>
  <si>
    <t>CNY_Treasury_Live_Curve_2011-7-12_Calibrated_Curve_7</t>
    <phoneticPr fontId="2" type="noConversion"/>
  </si>
  <si>
    <t>CNY_Treasury_Live_Curve_2011-7-13_Calibrated_Curve_7</t>
    <phoneticPr fontId="2" type="noConversion"/>
  </si>
  <si>
    <t>CNY_Treasury_Live_Curve_2011-7-14_Calibrated_Curve_7</t>
    <phoneticPr fontId="2" type="noConversion"/>
  </si>
  <si>
    <t>CNY_Treasury_Live_Curve_2011-7-15_Calibrated_Curve_7</t>
    <phoneticPr fontId="2" type="noConversion"/>
  </si>
  <si>
    <t>CNY_Treasury_Live_Curve_2011-7-18_Calibrated_Curve_7</t>
    <phoneticPr fontId="2" type="noConversion"/>
  </si>
  <si>
    <t>CNY_Treasury_Live_Curve_2011-7-19_Calibrated_Curve_7</t>
    <phoneticPr fontId="2" type="noConversion"/>
  </si>
  <si>
    <t>CNY_Treasury_Live_Curve_2011-7-20_Calibrated_Curve_7</t>
    <phoneticPr fontId="2" type="noConversion"/>
  </si>
  <si>
    <t>CNY_Treasury_Live_Curve_2011-7-21_Calibrated_Curve_7</t>
    <phoneticPr fontId="2" type="noConversion"/>
  </si>
  <si>
    <t>CNY_Treasury_Live_Curve_2011-7-22_Calibrated_Curve_7</t>
    <phoneticPr fontId="2" type="noConversion"/>
  </si>
  <si>
    <t>CNY_Treasury_Live_Curve_2011-7-25_Calibrated_Curve_7</t>
    <phoneticPr fontId="2" type="noConversion"/>
  </si>
  <si>
    <t>CNY_Treasury_Live_Curve_2011-7-26_Calibrated_Curve_7</t>
    <phoneticPr fontId="2" type="noConversion"/>
  </si>
  <si>
    <t>CNY_Treasury_Live_Curve_2011-7-27_Calibrated_Curve_7</t>
    <phoneticPr fontId="2" type="noConversion"/>
  </si>
  <si>
    <t>CNY_Treasury_Live_Curve_2011-7-28_Calibrated_Curve_7</t>
    <phoneticPr fontId="2" type="noConversion"/>
  </si>
  <si>
    <t>CNY_Treasury_Live_Curve_2011-7-29_Calibrated_Curve_7</t>
    <phoneticPr fontId="2" type="noConversion"/>
  </si>
  <si>
    <t>CNY_Treasury_Live_Curve_2011-7-4_Calibrated_Curve_7</t>
    <phoneticPr fontId="2" type="noConversion"/>
  </si>
  <si>
    <t>CNY_Treasury_Live_Curve_2011-7-5_Calibrated_Curve_7</t>
    <phoneticPr fontId="2" type="noConversion"/>
  </si>
  <si>
    <t>CNY_Treasury_Live_Curve_2011-7-6_Calibrated_Curve_7</t>
    <phoneticPr fontId="2" type="noConversion"/>
  </si>
  <si>
    <t>CNY_Treasury_Live_Curve_2011-7-7_Calibrated_Curve_7</t>
    <phoneticPr fontId="2" type="noConversion"/>
  </si>
  <si>
    <t>CNY_Treasury_Live_Curve_2011-7-8_Calibrated_Curve_7</t>
    <phoneticPr fontId="2" type="noConversion"/>
  </si>
  <si>
    <t>CNY_Treasury_Live_Curve_2011-8-1_Calibrated_Curve_7</t>
    <phoneticPr fontId="2" type="noConversion"/>
  </si>
  <si>
    <t>CNY_Treasury_Live_Curve_2011-8-10_Calibrated_Curve_7</t>
    <phoneticPr fontId="2" type="noConversion"/>
  </si>
  <si>
    <t>CNY_Treasury_Live_Curve_2011-8-11_Calibrated_Curve_7</t>
    <phoneticPr fontId="2" type="noConversion"/>
  </si>
  <si>
    <t>CNY_Treasury_Live_Curve_2011-8-12_Calibrated_Curve_7</t>
    <phoneticPr fontId="2" type="noConversion"/>
  </si>
  <si>
    <t>CNY_Treasury_Live_Curve_2011-8-15_Calibrated_Curve_7</t>
    <phoneticPr fontId="2" type="noConversion"/>
  </si>
  <si>
    <t>CNY_Treasury_Live_Curve_2011-8-16_Calibrated_Curve_7</t>
    <phoneticPr fontId="2" type="noConversion"/>
  </si>
  <si>
    <t>CNY_Treasury_Live_Curve_2011-8-17_Calibrated_Curve_7</t>
    <phoneticPr fontId="2" type="noConversion"/>
  </si>
  <si>
    <t>CNY_Treasury_Live_Curve_2011-8-18_Calibrated_Curve_7</t>
    <phoneticPr fontId="2" type="noConversion"/>
  </si>
  <si>
    <t>CNY_Treasury_Live_Curve_2011-8-19_Calibrated_Curve_7</t>
    <phoneticPr fontId="2" type="noConversion"/>
  </si>
  <si>
    <t>CNY_Treasury_Live_Curve_2011-8-2_Calibrated_Curve_7</t>
    <phoneticPr fontId="2" type="noConversion"/>
  </si>
  <si>
    <t>CNY_Treasury_Live_Curve_2011-8-22_Calibrated_Curve_7</t>
    <phoneticPr fontId="2" type="noConversion"/>
  </si>
  <si>
    <t>CNY_Treasury_Live_Curve_2011-8-23_Calibrated_Curve_7</t>
    <phoneticPr fontId="2" type="noConversion"/>
  </si>
  <si>
    <t>CNY_Treasury_Live_Curve_2011-8-24_Calibrated_Curve_7</t>
    <phoneticPr fontId="2" type="noConversion"/>
  </si>
  <si>
    <t>CNY_Treasury_Live_Curve_2011-8-25_Calibrated_Curve_7</t>
    <phoneticPr fontId="2" type="noConversion"/>
  </si>
  <si>
    <t>CNY_Treasury_Live_Curve_2011-8-26_Calibrated_Curve_7</t>
    <phoneticPr fontId="2" type="noConversion"/>
  </si>
  <si>
    <t>CNY_Treasury_Live_Curve_2011-8-29_Calibrated_Curve_7</t>
    <phoneticPr fontId="2" type="noConversion"/>
  </si>
  <si>
    <t>CNY_Treasury_Live_Curve_2011-8-3_Calibrated_Curve_7</t>
    <phoneticPr fontId="2" type="noConversion"/>
  </si>
  <si>
    <t>CNY_Treasury_Live_Curve_2011-8-30_Calibrated_Curve_7</t>
    <phoneticPr fontId="2" type="noConversion"/>
  </si>
  <si>
    <t>CNY_Treasury_Live_Curve_2011-8-31_Calibrated_Curve_7</t>
    <phoneticPr fontId="2" type="noConversion"/>
  </si>
  <si>
    <t>CNY_Treasury_Live_Curve_2011-8-4_Calibrated_Curve_7</t>
    <phoneticPr fontId="2" type="noConversion"/>
  </si>
  <si>
    <t>CNY_Treasury_Live_Curve_2011-8-5_Calibrated_Curve_7</t>
    <phoneticPr fontId="2" type="noConversion"/>
  </si>
  <si>
    <t>CNY_Treasury_Live_Curve_2011-8-8_Calibrated_Curve_7</t>
    <phoneticPr fontId="2" type="noConversion"/>
  </si>
  <si>
    <t>CNY_Treasury_Live_Curve_2011-8-9_Calibrated_Curve_7</t>
    <phoneticPr fontId="2" type="noConversion"/>
  </si>
  <si>
    <t>CNY_Treasury_Live_Curve_2011-9-1_Calibrated_Curve_7</t>
    <phoneticPr fontId="2" type="noConversion"/>
  </si>
  <si>
    <t>CNY_Treasury_Live_Curve_2011-9-13_Calibrated_Curve_7</t>
    <phoneticPr fontId="2" type="noConversion"/>
  </si>
  <si>
    <t>CNY_Treasury_Live_Curve_2011-9-14_Calibrated_Curve_7</t>
    <phoneticPr fontId="2" type="noConversion"/>
  </si>
  <si>
    <t>CNY_Treasury_Live_Curve_2011-9-15_Calibrated_Curve_7</t>
    <phoneticPr fontId="2" type="noConversion"/>
  </si>
  <si>
    <t>CNY_Treasury_Live_Curve_2011-9-16_Calibrated_Curve_7</t>
    <phoneticPr fontId="2" type="noConversion"/>
  </si>
  <si>
    <t>CNY_Treasury_Live_Curve_2011-9-19_Calibrated_Curve_7</t>
    <phoneticPr fontId="2" type="noConversion"/>
  </si>
  <si>
    <t>CNY_Treasury_Live_Curve_2011-9-2_Calibrated_Curve_7</t>
    <phoneticPr fontId="2" type="noConversion"/>
  </si>
  <si>
    <t>CNY_Treasury_Live_Curve_2011-9-20_Calibrated_Curve_7</t>
    <phoneticPr fontId="2" type="noConversion"/>
  </si>
  <si>
    <t>CNY_Treasury_Live_Curve_2011-9-21_Calibrated_Curve_7</t>
    <phoneticPr fontId="2" type="noConversion"/>
  </si>
  <si>
    <t>CNY_Treasury_Live_Curve_2011-9-22_Calibrated_Curve_7</t>
    <phoneticPr fontId="2" type="noConversion"/>
  </si>
  <si>
    <t>CNY_Treasury_Live_Curve_2011-9-23_Calibrated_Curve_7</t>
    <phoneticPr fontId="2" type="noConversion"/>
  </si>
  <si>
    <t>CNY_Treasury_Live_Curve_2011-9-26_Calibrated_Curve_7</t>
    <phoneticPr fontId="2" type="noConversion"/>
  </si>
  <si>
    <t>CNY_Treasury_Live_Curve_2011-9-27_Calibrated_Curve_7</t>
    <phoneticPr fontId="2" type="noConversion"/>
  </si>
  <si>
    <t>CNY_Treasury_Live_Curve_2011-9-28_Calibrated_Curve_7</t>
    <phoneticPr fontId="2" type="noConversion"/>
  </si>
  <si>
    <t>CNY_Treasury_Live_Curve_2011-9-29_Calibrated_Curve_7</t>
    <phoneticPr fontId="2" type="noConversion"/>
  </si>
  <si>
    <t>CNY_Treasury_Live_Curve_2011-9-30_Calibrated_Curve_7</t>
    <phoneticPr fontId="2" type="noConversion"/>
  </si>
  <si>
    <t>CNY_Treasury_Live_Curve_2011-9-5_Calibrated_Curve_7</t>
    <phoneticPr fontId="2" type="noConversion"/>
  </si>
  <si>
    <t>CNY_Treasury_Live_Curve_2011-9-6_Calibrated_Curve_7</t>
    <phoneticPr fontId="2" type="noConversion"/>
  </si>
  <si>
    <t>CNY_Treasury_Live_Curve_2011-9-7_Calibrated_Curve_7</t>
    <phoneticPr fontId="2" type="noConversion"/>
  </si>
  <si>
    <t>CNY_Treasury_Live_Curve_2011-9-8_Calibrated_Curve_7</t>
    <phoneticPr fontId="2" type="noConversion"/>
  </si>
  <si>
    <t>CNY_Treasury_Live_Curve_2011-9-9_Calibrated_Curve_7</t>
    <phoneticPr fontId="2" type="noConversion"/>
  </si>
  <si>
    <t>CNY_Treasury_Live_Curve_2012-1-10_Calibrated_Curve_7</t>
    <phoneticPr fontId="2" type="noConversion"/>
  </si>
  <si>
    <t>CNY_Treasury_Live_Curve_2012-1-11_Calibrated_Curve_7</t>
    <phoneticPr fontId="2" type="noConversion"/>
  </si>
  <si>
    <t>CNY_Treasury_Live_Curve_2012-1-12_Calibrated_Curve_7</t>
    <phoneticPr fontId="2" type="noConversion"/>
  </si>
  <si>
    <t>CNY_Treasury_Live_Curve_2012-1-13_Calibrated_Curve_7</t>
    <phoneticPr fontId="2" type="noConversion"/>
  </si>
  <si>
    <t>CNY_Treasury_Live_Curve_2012-1-16_Calibrated_Curve_7</t>
    <phoneticPr fontId="2" type="noConversion"/>
  </si>
  <si>
    <t>CNY_Treasury_Live_Curve_2012-1-17_Calibrated_Curve_7</t>
    <phoneticPr fontId="2" type="noConversion"/>
  </si>
  <si>
    <t>CNY_Treasury_Live_Curve_2012-1-18_Calibrated_Curve_7</t>
    <phoneticPr fontId="2" type="noConversion"/>
  </si>
  <si>
    <t>CNY_Treasury_Live_Curve_2012-1-19_Calibrated_Curve_7</t>
    <phoneticPr fontId="2" type="noConversion"/>
  </si>
  <si>
    <t>CNY_Treasury_Live_Curve_2012-1-20_Calibrated_Curve_7</t>
    <phoneticPr fontId="2" type="noConversion"/>
  </si>
  <si>
    <t>CNY_Treasury_Live_Curve_2012-1-21_Calibrated_Curve_7</t>
    <phoneticPr fontId="2" type="noConversion"/>
  </si>
  <si>
    <t>CNY_Treasury_Live_Curve_2012-1-29_Calibrated_Curve_7</t>
    <phoneticPr fontId="2" type="noConversion"/>
  </si>
  <si>
    <t>CNY_Treasury_Live_Curve_2012-1-30_Calibrated_Curve_7</t>
    <phoneticPr fontId="2" type="noConversion"/>
  </si>
  <si>
    <t>CNY_Treasury_Live_Curve_2012-1-31_Calibrated_Curve_7</t>
    <phoneticPr fontId="2" type="noConversion"/>
  </si>
  <si>
    <t>CNY_Treasury_Live_Curve_2012-1-4_Calibrated_Curve_7</t>
    <phoneticPr fontId="2" type="noConversion"/>
  </si>
  <si>
    <t>CNY_Treasury_Live_Curve_2012-1-5_Calibrated_Curve_7</t>
    <phoneticPr fontId="2" type="noConversion"/>
  </si>
  <si>
    <t>CNY_Treasury_Live_Curve_2012-1-6_Calibrated_Curve_7</t>
    <phoneticPr fontId="2" type="noConversion"/>
  </si>
  <si>
    <t>CNY_Treasury_Live_Curve_2012-1-9_Calibrated_Curve_7</t>
    <phoneticPr fontId="2" type="noConversion"/>
  </si>
  <si>
    <t>CNY_Treasury_Live_Curve_2012-2-1_Calibrated_Curve_7</t>
    <phoneticPr fontId="2" type="noConversion"/>
  </si>
  <si>
    <t>CNY_Treasury_Live_Curve_2012-2-10_Calibrated_Curve_7</t>
    <phoneticPr fontId="2" type="noConversion"/>
  </si>
  <si>
    <t>CNY_Treasury_Live_Curve_2012-2-13_Calibrated_Curve_7</t>
    <phoneticPr fontId="2" type="noConversion"/>
  </si>
  <si>
    <t>CNY_Treasury_Live_Curve_2012-2-14_Calibrated_Curve_7</t>
    <phoneticPr fontId="2" type="noConversion"/>
  </si>
  <si>
    <t>CNY_Treasury_Live_Curve_2012-2-15_Calibrated_Curve_7</t>
    <phoneticPr fontId="2" type="noConversion"/>
  </si>
  <si>
    <t>CNY_Treasury_Live_Curve_2012-2-16_Calibrated_Curve_7</t>
    <phoneticPr fontId="2" type="noConversion"/>
  </si>
  <si>
    <t>CNY_Treasury_Live_Curve_2012-2-17_Calibrated_Curve_7</t>
    <phoneticPr fontId="2" type="noConversion"/>
  </si>
  <si>
    <t>CNY_Treasury_Live_Curve_2012-2-2_Calibrated_Curve_7</t>
    <phoneticPr fontId="2" type="noConversion"/>
  </si>
  <si>
    <t>CNY_Treasury_Live_Curve_2012-2-20_Calibrated_Curve_7</t>
    <phoneticPr fontId="2" type="noConversion"/>
  </si>
  <si>
    <t>CNY_Treasury_Live_Curve_2012-2-21_Calibrated_Curve_7</t>
    <phoneticPr fontId="2" type="noConversion"/>
  </si>
  <si>
    <t>CNY_Treasury_Live_Curve_2012-2-22_Calibrated_Curve_7</t>
    <phoneticPr fontId="2" type="noConversion"/>
  </si>
  <si>
    <t>CNY_Treasury_Live_Curve_2012-2-23_Calibrated_Curve_7</t>
    <phoneticPr fontId="2" type="noConversion"/>
  </si>
  <si>
    <t>CNY_Treasury_Live_Curve_2012-2-24_Calibrated_Curve_7</t>
    <phoneticPr fontId="2" type="noConversion"/>
  </si>
  <si>
    <t>CNY_Treasury_Live_Curve_2012-2-27_Calibrated_Curve_7</t>
    <phoneticPr fontId="2" type="noConversion"/>
  </si>
  <si>
    <t>CNY_Treasury_Live_Curve_2012-2-28_Calibrated_Curve_7</t>
    <phoneticPr fontId="2" type="noConversion"/>
  </si>
  <si>
    <t>CNY_Treasury_Live_Curve_2012-2-29_Calibrated_Curve_7</t>
    <phoneticPr fontId="2" type="noConversion"/>
  </si>
  <si>
    <t>CNY_Treasury_Live_Curve_2012-2-3_Calibrated_Curve_7</t>
    <phoneticPr fontId="2" type="noConversion"/>
  </si>
  <si>
    <t>CNY_Treasury_Live_Curve_2012-2-6_Calibrated_Curve_7</t>
    <phoneticPr fontId="2" type="noConversion"/>
  </si>
  <si>
    <t>CNY_Treasury_Live_Curve_2012-2-7_Calibrated_Curve_7</t>
    <phoneticPr fontId="2" type="noConversion"/>
  </si>
  <si>
    <t>CNY_Treasury_Live_Curve_2012-2-8_Calibrated_Curve_7</t>
    <phoneticPr fontId="2" type="noConversion"/>
  </si>
  <si>
    <t>CNY_Treasury_Live_Curve_2012-2-9_Calibrated_Curve_7</t>
    <phoneticPr fontId="2" type="noConversion"/>
  </si>
  <si>
    <t>CNY_Treasury_Live_Curve_2012-3-1_Calibrated_Curve_7</t>
    <phoneticPr fontId="2" type="noConversion"/>
  </si>
  <si>
    <t>CNY_Treasury_Live_Curve_2012-3-12_Calibrated_Curve_7</t>
    <phoneticPr fontId="2" type="noConversion"/>
  </si>
  <si>
    <t>CNY_Treasury_Live_Curve_2012-3-13_Calibrated_Curve_7</t>
    <phoneticPr fontId="2" type="noConversion"/>
  </si>
  <si>
    <t>CNY_Treasury_Live_Curve_2012-3-14_Calibrated_Curve_7</t>
    <phoneticPr fontId="2" type="noConversion"/>
  </si>
  <si>
    <t>CNY_Treasury_Live_Curve_2012-3-15_Calibrated_Curve_7</t>
    <phoneticPr fontId="2" type="noConversion"/>
  </si>
  <si>
    <t>CNY_Treasury_Live_Curve_2012-3-16_Calibrated_Curve_7</t>
    <phoneticPr fontId="2" type="noConversion"/>
  </si>
  <si>
    <t>CNY_Treasury_Live_Curve_2012-3-19_Calibrated_Curve_7</t>
    <phoneticPr fontId="2" type="noConversion"/>
  </si>
  <si>
    <t>CNY_Treasury_Live_Curve_2012-3-2_Calibrated_Curve_7</t>
    <phoneticPr fontId="2" type="noConversion"/>
  </si>
  <si>
    <t>CNY_Treasury_Live_Curve_2012-3-20_Calibrated_Curve_7</t>
    <phoneticPr fontId="2" type="noConversion"/>
  </si>
  <si>
    <t>CNY_Treasury_Live_Curve_2012-3-21_Calibrated_Curve_7</t>
    <phoneticPr fontId="2" type="noConversion"/>
  </si>
  <si>
    <t>CNY_Treasury_Live_Curve_2012-3-22_Calibrated_Curve_7</t>
    <phoneticPr fontId="2" type="noConversion"/>
  </si>
  <si>
    <t>CNY_Treasury_Live_Curve_2012-3-23_Calibrated_Curve_7</t>
    <phoneticPr fontId="2" type="noConversion"/>
  </si>
  <si>
    <t>CNY_Treasury_Live_Curve_2012-3-26_Calibrated_Curve_7</t>
    <phoneticPr fontId="2" type="noConversion"/>
  </si>
  <si>
    <t>CNY_Treasury_Live_Curve_2012-3-27_Calibrated_Curve_7</t>
    <phoneticPr fontId="2" type="noConversion"/>
  </si>
  <si>
    <t>CNY_Treasury_Live_Curve_2012-3-28_Calibrated_Curve_7</t>
    <phoneticPr fontId="2" type="noConversion"/>
  </si>
  <si>
    <t>CNY_Treasury_Live_Curve_2012-3-29_Calibrated_Curve_7</t>
    <phoneticPr fontId="2" type="noConversion"/>
  </si>
  <si>
    <t>CNY_Treasury_Live_Curve_2012-3-30_Calibrated_Curve_7</t>
    <phoneticPr fontId="2" type="noConversion"/>
  </si>
  <si>
    <t>CNY_Treasury_Live_Curve_2012-3-31_Calibrated_Curve_7</t>
    <phoneticPr fontId="2" type="noConversion"/>
  </si>
  <si>
    <t>CNY_Treasury_Live_Curve_2012-3-5_Calibrated_Curve_7</t>
    <phoneticPr fontId="2" type="noConversion"/>
  </si>
  <si>
    <t>CNY_Treasury_Live_Curve_2012-3-6_Calibrated_Curve_7</t>
    <phoneticPr fontId="2" type="noConversion"/>
  </si>
  <si>
    <t>CNY_Treasury_Live_Curve_2012-3-7_Calibrated_Curve_7</t>
    <phoneticPr fontId="2" type="noConversion"/>
  </si>
  <si>
    <t>CNY_Treasury_Live_Curve_2012-3-8_Calibrated_Curve_7</t>
    <phoneticPr fontId="2" type="noConversion"/>
  </si>
  <si>
    <t>CNY_Treasury_Live_Curve_2012-3-9_Calibrated_Curve_7</t>
    <phoneticPr fontId="2" type="noConversion"/>
  </si>
  <si>
    <t>CNY_Treasury_Live_Curve_2012-4-1_Calibrated_Curve_7</t>
    <phoneticPr fontId="2" type="noConversion"/>
  </si>
  <si>
    <t>CNY_Treasury_Live_Curve_2012-4-10_Calibrated_Curve_7</t>
    <phoneticPr fontId="2" type="noConversion"/>
  </si>
  <si>
    <t>CNY_Treasury_Live_Curve_2012-4-11_Calibrated_Curve_7</t>
    <phoneticPr fontId="2" type="noConversion"/>
  </si>
  <si>
    <t>CNY_Treasury_Live_Curve_2012-4-12_Calibrated_Curve_7</t>
    <phoneticPr fontId="2" type="noConversion"/>
  </si>
  <si>
    <t>CNY_Treasury_Live_Curve_2012-4-13_Calibrated_Curve_7</t>
    <phoneticPr fontId="2" type="noConversion"/>
  </si>
  <si>
    <t>CNY_Treasury_Live_Curve_2012-4-16_Calibrated_Curve_7</t>
    <phoneticPr fontId="2" type="noConversion"/>
  </si>
  <si>
    <t>CNY_Treasury_Live_Curve_2012-4-17_Calibrated_Curve_7</t>
    <phoneticPr fontId="2" type="noConversion"/>
  </si>
  <si>
    <t>CNY_Treasury_Live_Curve_2012-4-18_Calibrated_Curve_7</t>
    <phoneticPr fontId="2" type="noConversion"/>
  </si>
  <si>
    <t>CNY_Treasury_Live_Curve_2012-4-19_Calibrated_Curve_7</t>
    <phoneticPr fontId="2" type="noConversion"/>
  </si>
  <si>
    <t>CNY_Treasury_Live_Curve_2012-4-20_Calibrated_Curve_7</t>
    <phoneticPr fontId="2" type="noConversion"/>
  </si>
  <si>
    <t>CNY_Treasury_Live_Curve_2012-4-23_Calibrated_Curve_7</t>
    <phoneticPr fontId="2" type="noConversion"/>
  </si>
  <si>
    <t>CNY_Treasury_Live_Curve_2012-4-24_Calibrated_Curve_7</t>
    <phoneticPr fontId="2" type="noConversion"/>
  </si>
  <si>
    <t>CNY_Treasury_Live_Curve_2012-4-25_Calibrated_Curve_7</t>
    <phoneticPr fontId="2" type="noConversion"/>
  </si>
  <si>
    <t>CNY_Treasury_Live_Curve_2012-4-26_Calibrated_Curve_7</t>
    <phoneticPr fontId="2" type="noConversion"/>
  </si>
  <si>
    <t>CNY_Treasury_Live_Curve_2012-4-27_Calibrated_Curve_7</t>
    <phoneticPr fontId="2" type="noConversion"/>
  </si>
  <si>
    <t>CNY_Treasury_Live_Curve_2012-4-28_Calibrated_Curve_7</t>
    <phoneticPr fontId="2" type="noConversion"/>
  </si>
  <si>
    <t>CNY_Treasury_Live_Curve_2012-4-5_Calibrated_Curve_7</t>
    <phoneticPr fontId="2" type="noConversion"/>
  </si>
  <si>
    <t>CNY_Treasury_Live_Curve_2012-4-6_Calibrated_Curve_7</t>
    <phoneticPr fontId="2" type="noConversion"/>
  </si>
  <si>
    <t>CNY_Treasury_Live_Curve_2012-4-9_Calibrated_Curve_7</t>
    <phoneticPr fontId="2" type="noConversion"/>
  </si>
  <si>
    <t>CNY_Treasury_Live_Curve_2012-5-10_Calibrated_Curve_7</t>
    <phoneticPr fontId="2" type="noConversion"/>
  </si>
  <si>
    <t>CNY_Treasury_Live_Curve_2012-5-11_Calibrated_Curve_7</t>
    <phoneticPr fontId="2" type="noConversion"/>
  </si>
  <si>
    <t>CNY_Treasury_Live_Curve_2012-5-14_Calibrated_Curve_7</t>
    <phoneticPr fontId="2" type="noConversion"/>
  </si>
  <si>
    <t>CNY_Treasury_Live_Curve_2012-5-15_Calibrated_Curve_7</t>
    <phoneticPr fontId="2" type="noConversion"/>
  </si>
  <si>
    <t>CNY_Treasury_Live_Curve_2012-5-16_Calibrated_Curve_7</t>
    <phoneticPr fontId="2" type="noConversion"/>
  </si>
  <si>
    <t>CNY_Treasury_Live_Curve_2012-5-17_Calibrated_Curve_7</t>
    <phoneticPr fontId="2" type="noConversion"/>
  </si>
  <si>
    <t>CNY_Treasury_Live_Curve_2012-5-18_Calibrated_Curve_7</t>
    <phoneticPr fontId="2" type="noConversion"/>
  </si>
  <si>
    <t>CNY_Treasury_Live_Curve_2012-5-2_Calibrated_Curve_7</t>
    <phoneticPr fontId="2" type="noConversion"/>
  </si>
  <si>
    <t>CNY_Treasury_Live_Curve_2012-5-21_Calibrated_Curve_7</t>
    <phoneticPr fontId="2" type="noConversion"/>
  </si>
  <si>
    <t>CNY_Treasury_Live_Curve_2012-5-22_Calibrated_Curve_7</t>
    <phoneticPr fontId="2" type="noConversion"/>
  </si>
  <si>
    <t>CNY_Treasury_Live_Curve_2012-5-23_Calibrated_Curve_7</t>
    <phoneticPr fontId="2" type="noConversion"/>
  </si>
  <si>
    <t>CNY_Treasury_Live_Curve_2012-5-24_Calibrated_Curve_7</t>
    <phoneticPr fontId="2" type="noConversion"/>
  </si>
  <si>
    <t>CNY_Treasury_Live_Curve_2012-5-25_Calibrated_Curve_7</t>
    <phoneticPr fontId="2" type="noConversion"/>
  </si>
  <si>
    <t>CNY_Treasury_Live_Curve_2012-5-28_Calibrated_Curve_7</t>
    <phoneticPr fontId="2" type="noConversion"/>
  </si>
  <si>
    <t>CNY_Treasury_Live_Curve_2012-5-29_Calibrated_Curve_7</t>
    <phoneticPr fontId="2" type="noConversion"/>
  </si>
  <si>
    <t>CNY_Treasury_Live_Curve_2012-5-3_Calibrated_Curve_7</t>
    <phoneticPr fontId="2" type="noConversion"/>
  </si>
  <si>
    <t>CNY_Treasury_Live_Curve_2012-5-30_Calibrated_Curve_7</t>
    <phoneticPr fontId="2" type="noConversion"/>
  </si>
  <si>
    <t>CNY_Treasury_Live_Curve_2012-5-31_Calibrated_Curve_7</t>
    <phoneticPr fontId="2" type="noConversion"/>
  </si>
  <si>
    <t>CNY_Treasury_Live_Curve_2012-5-4_Calibrated_Curve_7</t>
    <phoneticPr fontId="2" type="noConversion"/>
  </si>
  <si>
    <t>CNY_Treasury_Live_Curve_2012-5-7_Calibrated_Curve_7</t>
    <phoneticPr fontId="2" type="noConversion"/>
  </si>
  <si>
    <t>CNY_Treasury_Live_Curve_2012-5-8_Calibrated_Curve_7</t>
    <phoneticPr fontId="2" type="noConversion"/>
  </si>
  <si>
    <t>CNY_Treasury_Live_Curve_2012-5-9_Calibrated_Curve_7</t>
    <phoneticPr fontId="2" type="noConversion"/>
  </si>
  <si>
    <t>CNY_Treasury_Live_Curve_2012-6-1_Calibrated_Curve_7</t>
    <phoneticPr fontId="2" type="noConversion"/>
  </si>
  <si>
    <t>CNY_Treasury_Live_Curve_2012-6-11_Calibrated_Curve_7</t>
    <phoneticPr fontId="2" type="noConversion"/>
  </si>
  <si>
    <t>CNY_Treasury_Live_Curve_2012-6-12_Calibrated_Curve_7</t>
    <phoneticPr fontId="2" type="noConversion"/>
  </si>
  <si>
    <t>CNY_Treasury_Live_Curve_2012-6-13_Calibrated_Curve_7</t>
    <phoneticPr fontId="2" type="noConversion"/>
  </si>
  <si>
    <t>CNY_Treasury_Live_Curve_2012-6-14_Calibrated_Curve_7</t>
    <phoneticPr fontId="2" type="noConversion"/>
  </si>
  <si>
    <t>CNY_Treasury_Live_Curve_2012-6-15_Calibrated_Curve_7</t>
    <phoneticPr fontId="2" type="noConversion"/>
  </si>
  <si>
    <t>CNY_Treasury_Live_Curve_2012-6-18_Calibrated_Curve_7</t>
    <phoneticPr fontId="2" type="noConversion"/>
  </si>
  <si>
    <t>CNY_Treasury_Live_Curve_2012-6-19_Calibrated_Curve_7</t>
    <phoneticPr fontId="2" type="noConversion"/>
  </si>
  <si>
    <t>CNY_Treasury_Live_Curve_2012-6-20_Calibrated_Curve_7</t>
    <phoneticPr fontId="2" type="noConversion"/>
  </si>
  <si>
    <t>CNY_Treasury_Live_Curve_2012-6-21_Calibrated_Curve_7</t>
    <phoneticPr fontId="2" type="noConversion"/>
  </si>
  <si>
    <t>CNY_Treasury_Live_Curve_2012-6-25_Calibrated_Curve_7</t>
    <phoneticPr fontId="2" type="noConversion"/>
  </si>
  <si>
    <t>CNY_Treasury_Live_Curve_2012-6-26_Calibrated_Curve_7</t>
    <phoneticPr fontId="2" type="noConversion"/>
  </si>
  <si>
    <t>CNY_Treasury_Live_Curve_2012-6-27_Calibrated_Curve_7</t>
    <phoneticPr fontId="2" type="noConversion"/>
  </si>
  <si>
    <t>CNY_Treasury_Live_Curve_2012-6-28_Calibrated_Curve_7</t>
    <phoneticPr fontId="2" type="noConversion"/>
  </si>
  <si>
    <t>CNY_Treasury_Live_Curve_2012-6-29_Calibrated_Curve_7</t>
    <phoneticPr fontId="2" type="noConversion"/>
  </si>
  <si>
    <t>CNY_Treasury_Live_Curve_2012-6-4_Calibrated_Curve_7</t>
    <phoneticPr fontId="2" type="noConversion"/>
  </si>
  <si>
    <t>CNY_Treasury_Live_Curve_2012-6-5_Calibrated_Curve_7</t>
    <phoneticPr fontId="2" type="noConversion"/>
  </si>
  <si>
    <t>CNY_Treasury_Live_Curve_2012-6-6_Calibrated_Curve_7</t>
    <phoneticPr fontId="2" type="noConversion"/>
  </si>
  <si>
    <t>CNY_Treasury_Live_Curve_2012-6-7_Calibrated_Curve_7</t>
    <phoneticPr fontId="2" type="noConversion"/>
  </si>
  <si>
    <t>CNY_Treasury_Live_Curve_2012-6-8_Calibrated_Curve_7</t>
    <phoneticPr fontId="2" type="noConversion"/>
  </si>
  <si>
    <t>CNY_Treasury_Live_Curve_2012-7-10_Calibrated_Curve_7</t>
    <phoneticPr fontId="2" type="noConversion"/>
  </si>
  <si>
    <t>CNY_Treasury_Live_Curve_2012-7-11_Calibrated_Curve_7</t>
    <phoneticPr fontId="2" type="noConversion"/>
  </si>
  <si>
    <t>CNY_Treasury_Live_Curve_2012-7-12_Calibrated_Curve_7</t>
    <phoneticPr fontId="2" type="noConversion"/>
  </si>
  <si>
    <t>CNY_Treasury_Live_Curve_2012-7-13_Calibrated_Curve_7</t>
    <phoneticPr fontId="2" type="noConversion"/>
  </si>
  <si>
    <t>CNY_Treasury_Live_Curve_2012-7-16_Calibrated_Curve_7</t>
    <phoneticPr fontId="2" type="noConversion"/>
  </si>
  <si>
    <t>CNY_Treasury_Live_Curve_2012-7-17_Calibrated_Curve_7</t>
    <phoneticPr fontId="2" type="noConversion"/>
  </si>
  <si>
    <t>CNY_Treasury_Live_Curve_2012-7-18_Calibrated_Curve_7</t>
    <phoneticPr fontId="2" type="noConversion"/>
  </si>
  <si>
    <t>CNY_Treasury_Live_Curve_2012-7-19_Calibrated_Curve_7</t>
    <phoneticPr fontId="2" type="noConversion"/>
  </si>
  <si>
    <t>CNY_Treasury_Live_Curve_2012-7-2_Calibrated_Curve_7</t>
    <phoneticPr fontId="2" type="noConversion"/>
  </si>
  <si>
    <t>CNY_Treasury_Live_Curve_2012-7-20_Calibrated_Curve_7</t>
    <phoneticPr fontId="2" type="noConversion"/>
  </si>
  <si>
    <t>CNY_Treasury_Live_Curve_2012-7-23_Calibrated_Curve_7</t>
    <phoneticPr fontId="2" type="noConversion"/>
  </si>
  <si>
    <t>CNY_Treasury_Live_Curve_2012-7-24_Calibrated_Curve_7</t>
    <phoneticPr fontId="2" type="noConversion"/>
  </si>
  <si>
    <t>CNY_Treasury_Live_Curve_2012-7-25_Calibrated_Curve_7</t>
    <phoneticPr fontId="2" type="noConversion"/>
  </si>
  <si>
    <t>CNY_Treasury_Live_Curve_2012-7-26_Calibrated_Curve_7</t>
    <phoneticPr fontId="2" type="noConversion"/>
  </si>
  <si>
    <t>CNY_Treasury_Live_Curve_2012-7-27_Calibrated_Curve_7</t>
    <phoneticPr fontId="2" type="noConversion"/>
  </si>
  <si>
    <t>CNY_Treasury_Live_Curve_2012-7-3_Calibrated_Curve_7</t>
    <phoneticPr fontId="2" type="noConversion"/>
  </si>
  <si>
    <t>CNY_Treasury_Live_Curve_2012-7-30_Calibrated_Curve_7</t>
    <phoneticPr fontId="2" type="noConversion"/>
  </si>
  <si>
    <t>CNY_Treasury_Live_Curve_2012-7-31_Calibrated_Curve_7</t>
    <phoneticPr fontId="2" type="noConversion"/>
  </si>
  <si>
    <t>CNY_Treasury_Live_Curve_2012-7-4_Calibrated_Curve_7</t>
    <phoneticPr fontId="2" type="noConversion"/>
  </si>
  <si>
    <t>CNY_Treasury_Live_Curve_2012-7-5_Calibrated_Curve_7</t>
    <phoneticPr fontId="2" type="noConversion"/>
  </si>
  <si>
    <t>CNY_Treasury_Live_Curve_2012-7-6_Calibrated_Curve_7</t>
    <phoneticPr fontId="2" type="noConversion"/>
  </si>
  <si>
    <t>CNY_Treasury_Live_Curve_2012-7-9_Calibrated_Curve_7</t>
    <phoneticPr fontId="2" type="noConversion"/>
  </si>
  <si>
    <t>CNY_Treasury_Live_Curve_2012-8-1_Calibrated_Curve_7</t>
    <phoneticPr fontId="2" type="noConversion"/>
  </si>
  <si>
    <t>CNY_Treasury_Live_Curve_2012-8-10_Calibrated_Curve_7</t>
    <phoneticPr fontId="2" type="noConversion"/>
  </si>
  <si>
    <t>CNY_Treasury_Live_Curve_2012-8-13_Calibrated_Curve_7</t>
    <phoneticPr fontId="2" type="noConversion"/>
  </si>
  <si>
    <t>CNY_Treasury_Live_Curve_2012-8-14_Calibrated_Curve_7</t>
    <phoneticPr fontId="2" type="noConversion"/>
  </si>
  <si>
    <t>CNY_Treasury_Live_Curve_2012-8-15_Calibrated_Curve_7</t>
    <phoneticPr fontId="2" type="noConversion"/>
  </si>
  <si>
    <t>CNY_Treasury_Live_Curve_2012-8-16_Calibrated_Curve_7</t>
    <phoneticPr fontId="2" type="noConversion"/>
  </si>
  <si>
    <t>CNY_Treasury_Live_Curve_2012-8-2_Calibrated_Curve_7</t>
    <phoneticPr fontId="2" type="noConversion"/>
  </si>
  <si>
    <t>CNY_Treasury_Live_Curve_2012-8-3_Calibrated_Curve_7</t>
    <phoneticPr fontId="2" type="noConversion"/>
  </si>
  <si>
    <t>CNY_Treasury_Live_Curve_2012-8-6_Calibrated_Curve_7</t>
    <phoneticPr fontId="2" type="noConversion"/>
  </si>
  <si>
    <t>CNY_Treasury_Live_Curve_2012-8-7_Calibrated_Curve_7</t>
    <phoneticPr fontId="2" type="noConversion"/>
  </si>
  <si>
    <t>CNY_Treasury_Live_Curve_2012-8-8_Calibrated_Curve_7</t>
    <phoneticPr fontId="2" type="noConversion"/>
  </si>
  <si>
    <t>CNY_Treasury_Live_Curve_2012-8-9_Calibrated_Curve_7</t>
    <phoneticPr fontId="2" type="noConversion"/>
  </si>
  <si>
    <t>F:\Data\Curve\Standalone Curves\</t>
    <phoneticPr fontId="2" type="noConversion"/>
  </si>
  <si>
    <t>F:\Data\Curve\Bumped Curves\</t>
    <phoneticPr fontId="2" type="noConversion"/>
  </si>
  <si>
    <t>CNY_Treasury_Live_Curve_2012-1-10_Calibrated_Curve_1</t>
    <phoneticPr fontId="2" type="noConversion"/>
  </si>
  <si>
    <t>CNY_Treasury_Live_Curve_2012-1-10_Calibrated_Curve_2</t>
    <phoneticPr fontId="2" type="noConversion"/>
  </si>
  <si>
    <t>CNY_Treasury_Live_Curve_2012-1-10_Calibrated_Curve_3</t>
    <phoneticPr fontId="2" type="noConversion"/>
  </si>
  <si>
    <t>CNY_Treasury_Live_Curve_2012-1-10_Calibrated_Curve_4</t>
    <phoneticPr fontId="2" type="noConversion"/>
  </si>
  <si>
    <t>CNY_Treasury_Live_Curve_2012-1-10_Calibrated_Curve_5</t>
    <phoneticPr fontId="2" type="noConversion"/>
  </si>
  <si>
    <t>CNY_Treasury_Live_Curve_2012-1-10_Calibrated_Curve_6</t>
    <phoneticPr fontId="2" type="noConversion"/>
  </si>
  <si>
    <t>CNY_Treasury_Live_Curve_2012-1-10_Calibrated_Curve_7</t>
    <phoneticPr fontId="2" type="noConversion"/>
  </si>
  <si>
    <t>CNY_Treasury_Live_Curve_2012-1-11_Calibrated_Curve_1</t>
    <phoneticPr fontId="2" type="noConversion"/>
  </si>
  <si>
    <t>CNY_Treasury_Live_Curve_2012-1-11_Calibrated_Curve_2</t>
    <phoneticPr fontId="2" type="noConversion"/>
  </si>
  <si>
    <t>CNY_Treasury_Live_Curve_2012-1-11_Calibrated_Curve_3</t>
    <phoneticPr fontId="2" type="noConversion"/>
  </si>
  <si>
    <t>CNY_Treasury_Live_Curve_2012-1-11_Calibrated_Curve_4</t>
    <phoneticPr fontId="2" type="noConversion"/>
  </si>
  <si>
    <t>CNY_Treasury_Live_Curve_2012-1-11_Calibrated_Curve_5</t>
    <phoneticPr fontId="2" type="noConversion"/>
  </si>
  <si>
    <t>CNY_Treasury_Live_Curve_2012-1-11_Calibrated_Curve_6</t>
    <phoneticPr fontId="2" type="noConversion"/>
  </si>
  <si>
    <t>CNY_Treasury_Live_Curve_2012-1-11_Calibrated_Curve_7</t>
    <phoneticPr fontId="2" type="noConversion"/>
  </si>
  <si>
    <t>CNY_Treasury_Live_Curve_2012-1-12_Calibrated_Curve_1</t>
    <phoneticPr fontId="2" type="noConversion"/>
  </si>
  <si>
    <t>CNY_Treasury_Live_Curve_2012-1-12_Calibrated_Curve_2</t>
    <phoneticPr fontId="2" type="noConversion"/>
  </si>
  <si>
    <t>CNY_Treasury_Live_Curve_2012-1-12_Calibrated_Curve_3</t>
    <phoneticPr fontId="2" type="noConversion"/>
  </si>
  <si>
    <t>CNY_Treasury_Live_Curve_2012-1-12_Calibrated_Curve_4</t>
    <phoneticPr fontId="2" type="noConversion"/>
  </si>
  <si>
    <t>CNY_Treasury_Live_Curve_2012-1-12_Calibrated_Curve_5</t>
    <phoneticPr fontId="2" type="noConversion"/>
  </si>
  <si>
    <t>CNY_Treasury_Live_Curve_2012-1-12_Calibrated_Curve_6</t>
    <phoneticPr fontId="2" type="noConversion"/>
  </si>
  <si>
    <t>CNY_Treasury_Live_Curve_2012-1-12_Calibrated_Curve_7</t>
    <phoneticPr fontId="2" type="noConversion"/>
  </si>
  <si>
    <t>CNY_Treasury_Live_Curve_2012-1-13_Calibrated_Curve_1</t>
    <phoneticPr fontId="2" type="noConversion"/>
  </si>
  <si>
    <t>CNY_Treasury_Live_Curve_2012-1-13_Calibrated_Curve_2</t>
    <phoneticPr fontId="2" type="noConversion"/>
  </si>
  <si>
    <t>CNY_Treasury_Live_Curve_2012-1-13_Calibrated_Curve_3</t>
    <phoneticPr fontId="2" type="noConversion"/>
  </si>
  <si>
    <t>CNY_Treasury_Live_Curve_2012-1-13_Calibrated_Curve_4</t>
    <phoneticPr fontId="2" type="noConversion"/>
  </si>
  <si>
    <t>CNY_Treasury_Live_Curve_2012-1-13_Calibrated_Curve_5</t>
    <phoneticPr fontId="2" type="noConversion"/>
  </si>
  <si>
    <t>CNY_Treasury_Live_Curve_2012-1-13_Calibrated_Curve_6</t>
    <phoneticPr fontId="2" type="noConversion"/>
  </si>
  <si>
    <t>CNY_Treasury_Live_Curve_2012-1-13_Calibrated_Curve_7</t>
    <phoneticPr fontId="2" type="noConversion"/>
  </si>
  <si>
    <t>CNY_Treasury_Live_Curve_2012-1-16_Calibrated_Curve_1</t>
    <phoneticPr fontId="2" type="noConversion"/>
  </si>
  <si>
    <t>CNY_Treasury_Live_Curve_2012-1-16_Calibrated_Curve_2</t>
    <phoneticPr fontId="2" type="noConversion"/>
  </si>
  <si>
    <t>CNY_Treasury_Live_Curve_2012-1-16_Calibrated_Curve_3</t>
    <phoneticPr fontId="2" type="noConversion"/>
  </si>
  <si>
    <t>CNY_Treasury_Live_Curve_2012-1-16_Calibrated_Curve_4</t>
    <phoneticPr fontId="2" type="noConversion"/>
  </si>
  <si>
    <t>CNY_Treasury_Live_Curve_2012-1-16_Calibrated_Curve_5</t>
    <phoneticPr fontId="2" type="noConversion"/>
  </si>
  <si>
    <t>CNY_Treasury_Live_Curve_2012-1-16_Calibrated_Curve_6</t>
    <phoneticPr fontId="2" type="noConversion"/>
  </si>
  <si>
    <t>CNY_Treasury_Live_Curve_2012-1-16_Calibrated_Curve_7</t>
    <phoneticPr fontId="2" type="noConversion"/>
  </si>
  <si>
    <t>CNY_Treasury_Live_Curve_2012-1-17_Calibrated_Curve_1</t>
    <phoneticPr fontId="2" type="noConversion"/>
  </si>
  <si>
    <t>CNY_Treasury_Live_Curve_2012-1-17_Calibrated_Curve_2</t>
    <phoneticPr fontId="2" type="noConversion"/>
  </si>
  <si>
    <t>CNY_Treasury_Live_Curve_2012-1-17_Calibrated_Curve_3</t>
    <phoneticPr fontId="2" type="noConversion"/>
  </si>
  <si>
    <t>CNY_Treasury_Live_Curve_2012-1-17_Calibrated_Curve_4</t>
    <phoneticPr fontId="2" type="noConversion"/>
  </si>
  <si>
    <t>CNY_Treasury_Live_Curve_2012-1-17_Calibrated_Curve_5</t>
    <phoneticPr fontId="2" type="noConversion"/>
  </si>
  <si>
    <t>CNY_Treasury_Live_Curve_2012-1-17_Calibrated_Curve_6</t>
    <phoneticPr fontId="2" type="noConversion"/>
  </si>
  <si>
    <t>CNY_Treasury_Live_Curve_2012-1-17_Calibrated_Curve_7</t>
    <phoneticPr fontId="2" type="noConversion"/>
  </si>
  <si>
    <t>CNY_Treasury_Live_Curve_2012-1-18_Calibrated_Curve_1</t>
    <phoneticPr fontId="2" type="noConversion"/>
  </si>
  <si>
    <t>CNY_Treasury_Live_Curve_2012-1-18_Calibrated_Curve_2</t>
    <phoneticPr fontId="2" type="noConversion"/>
  </si>
  <si>
    <t>CNY_Treasury_Live_Curve_2012-1-18_Calibrated_Curve_3</t>
    <phoneticPr fontId="2" type="noConversion"/>
  </si>
  <si>
    <t>CNY_Treasury_Live_Curve_2012-1-18_Calibrated_Curve_4</t>
    <phoneticPr fontId="2" type="noConversion"/>
  </si>
  <si>
    <t>CNY_Treasury_Live_Curve_2012-1-18_Calibrated_Curve_5</t>
    <phoneticPr fontId="2" type="noConversion"/>
  </si>
  <si>
    <t>CNY_Treasury_Live_Curve_2012-1-18_Calibrated_Curve_6</t>
    <phoneticPr fontId="2" type="noConversion"/>
  </si>
  <si>
    <t>CNY_Treasury_Live_Curve_2012-1-18_Calibrated_Curve_7</t>
    <phoneticPr fontId="2" type="noConversion"/>
  </si>
  <si>
    <t>CNY_Treasury_Live_Curve_2012-1-19_Calibrated_Curve_1</t>
    <phoneticPr fontId="2" type="noConversion"/>
  </si>
  <si>
    <t>CNY_Treasury_Live_Curve_2012-1-19_Calibrated_Curve_2</t>
    <phoneticPr fontId="2" type="noConversion"/>
  </si>
  <si>
    <t>CNY_Treasury_Live_Curve_2012-1-19_Calibrated_Curve_3</t>
    <phoneticPr fontId="2" type="noConversion"/>
  </si>
  <si>
    <t>CNY_Treasury_Live_Curve_2012-1-19_Calibrated_Curve_4</t>
    <phoneticPr fontId="2" type="noConversion"/>
  </si>
  <si>
    <t>CNY_Treasury_Live_Curve_2012-1-19_Calibrated_Curve_5</t>
    <phoneticPr fontId="2" type="noConversion"/>
  </si>
  <si>
    <t>CNY_Treasury_Live_Curve_2012-1-19_Calibrated_Curve_6</t>
    <phoneticPr fontId="2" type="noConversion"/>
  </si>
  <si>
    <t>CNY_Treasury_Live_Curve_2012-1-19_Calibrated_Curve_7</t>
    <phoneticPr fontId="2" type="noConversion"/>
  </si>
  <si>
    <t>CNY_Treasury_Live_Curve_2012-1-20_Calibrated_Curve_1</t>
    <phoneticPr fontId="2" type="noConversion"/>
  </si>
  <si>
    <t>CNY_Treasury_Live_Curve_2012-1-20_Calibrated_Curve_2</t>
    <phoneticPr fontId="2" type="noConversion"/>
  </si>
  <si>
    <t>CNY_Treasury_Live_Curve_2012-1-20_Calibrated_Curve_3</t>
    <phoneticPr fontId="2" type="noConversion"/>
  </si>
  <si>
    <t>CNY_Treasury_Live_Curve_2012-1-20_Calibrated_Curve_4</t>
    <phoneticPr fontId="2" type="noConversion"/>
  </si>
  <si>
    <t>CNY_Treasury_Live_Curve_2012-1-20_Calibrated_Curve_5</t>
    <phoneticPr fontId="2" type="noConversion"/>
  </si>
  <si>
    <t>CNY_Treasury_Live_Curve_2012-1-20_Calibrated_Curve_6</t>
    <phoneticPr fontId="2" type="noConversion"/>
  </si>
  <si>
    <t>CNY_Treasury_Live_Curve_2012-1-20_Calibrated_Curve_7</t>
    <phoneticPr fontId="2" type="noConversion"/>
  </si>
  <si>
    <t>CNY_Treasury_Live_Curve_2012-1-21_Calibrated_Curve_1</t>
    <phoneticPr fontId="2" type="noConversion"/>
  </si>
  <si>
    <t>CNY_Treasury_Live_Curve_2012-1-21_Calibrated_Curve_2</t>
    <phoneticPr fontId="2" type="noConversion"/>
  </si>
  <si>
    <t>CNY_Treasury_Live_Curve_2012-1-21_Calibrated_Curve_3</t>
    <phoneticPr fontId="2" type="noConversion"/>
  </si>
  <si>
    <t>CNY_Treasury_Live_Curve_2012-1-21_Calibrated_Curve_4</t>
    <phoneticPr fontId="2" type="noConversion"/>
  </si>
  <si>
    <t>CNY_Treasury_Live_Curve_2012-1-21_Calibrated_Curve_5</t>
    <phoneticPr fontId="2" type="noConversion"/>
  </si>
  <si>
    <t>CNY_Treasury_Live_Curve_2012-1-21_Calibrated_Curve_6</t>
    <phoneticPr fontId="2" type="noConversion"/>
  </si>
  <si>
    <t>CNY_Treasury_Live_Curve_2012-1-21_Calibrated_Curve_7</t>
    <phoneticPr fontId="2" type="noConversion"/>
  </si>
  <si>
    <t>CNY_Treasury_Live_Curve_2012-1-29_Calibrated_Curve_1</t>
    <phoneticPr fontId="2" type="noConversion"/>
  </si>
  <si>
    <t>CNY_Treasury_Live_Curve_2012-1-29_Calibrated_Curve_2</t>
    <phoneticPr fontId="2" type="noConversion"/>
  </si>
  <si>
    <t>CNY_Treasury_Live_Curve_2012-1-29_Calibrated_Curve_3</t>
    <phoneticPr fontId="2" type="noConversion"/>
  </si>
  <si>
    <t>CNY_Treasury_Live_Curve_2012-1-29_Calibrated_Curve_4</t>
    <phoneticPr fontId="2" type="noConversion"/>
  </si>
  <si>
    <t>CNY_Treasury_Live_Curve_2012-1-29_Calibrated_Curve_5</t>
    <phoneticPr fontId="2" type="noConversion"/>
  </si>
  <si>
    <t>CNY_Treasury_Live_Curve_2012-1-29_Calibrated_Curve_6</t>
    <phoneticPr fontId="2" type="noConversion"/>
  </si>
  <si>
    <t>CNY_Treasury_Live_Curve_2012-1-29_Calibrated_Curve_7</t>
    <phoneticPr fontId="2" type="noConversion"/>
  </si>
  <si>
    <t>CNY_Treasury_Live_Curve_2012-1-30_Calibrated_Curve_1</t>
    <phoneticPr fontId="2" type="noConversion"/>
  </si>
  <si>
    <t>CNY_Treasury_Live_Curve_2012-1-30_Calibrated_Curve_2</t>
    <phoneticPr fontId="2" type="noConversion"/>
  </si>
  <si>
    <t>CNY_Treasury_Live_Curve_2012-1-30_Calibrated_Curve_3</t>
    <phoneticPr fontId="2" type="noConversion"/>
  </si>
  <si>
    <t>CNY_Treasury_Live_Curve_2012-1-30_Calibrated_Curve_4</t>
    <phoneticPr fontId="2" type="noConversion"/>
  </si>
  <si>
    <t>CNY_Treasury_Live_Curve_2012-1-30_Calibrated_Curve_5</t>
    <phoneticPr fontId="2" type="noConversion"/>
  </si>
  <si>
    <t>CNY_Treasury_Live_Curve_2012-1-30_Calibrated_Curve_6</t>
    <phoneticPr fontId="2" type="noConversion"/>
  </si>
  <si>
    <t>CNY_Treasury_Live_Curve_2012-1-30_Calibrated_Curve_7</t>
    <phoneticPr fontId="2" type="noConversion"/>
  </si>
  <si>
    <t>CNY_Treasury_Live_Curve_2012-1-31_Calibrated_Curve_1</t>
    <phoneticPr fontId="2" type="noConversion"/>
  </si>
  <si>
    <t>CNY_Treasury_Live_Curve_2012-1-31_Calibrated_Curve_2</t>
    <phoneticPr fontId="2" type="noConversion"/>
  </si>
  <si>
    <t>CNY_Treasury_Live_Curve_2012-1-31_Calibrated_Curve_3</t>
    <phoneticPr fontId="2" type="noConversion"/>
  </si>
  <si>
    <t>CNY_Treasury_Live_Curve_2012-1-31_Calibrated_Curve_4</t>
    <phoneticPr fontId="2" type="noConversion"/>
  </si>
  <si>
    <t>CNY_Treasury_Live_Curve_2012-1-31_Calibrated_Curve_5</t>
    <phoneticPr fontId="2" type="noConversion"/>
  </si>
  <si>
    <t>CNY_Treasury_Live_Curve_2012-1-31_Calibrated_Curve_6</t>
    <phoneticPr fontId="2" type="noConversion"/>
  </si>
  <si>
    <t>CNY_Treasury_Live_Curve_2012-1-31_Calibrated_Curve_7</t>
    <phoneticPr fontId="2" type="noConversion"/>
  </si>
  <si>
    <t>CNY_Treasury_Live_Curve_2012-1-4_Calibrated_Curve_1</t>
    <phoneticPr fontId="2" type="noConversion"/>
  </si>
  <si>
    <t>CNY_Treasury_Live_Curve_2012-1-4_Calibrated_Curve_2</t>
    <phoneticPr fontId="2" type="noConversion"/>
  </si>
  <si>
    <t>CNY_Treasury_Live_Curve_2012-1-4_Calibrated_Curve_3</t>
    <phoneticPr fontId="2" type="noConversion"/>
  </si>
  <si>
    <t>CNY_Treasury_Live_Curve_2012-1-4_Calibrated_Curve_4</t>
    <phoneticPr fontId="2" type="noConversion"/>
  </si>
  <si>
    <t>CNY_Treasury_Live_Curve_2012-1-4_Calibrated_Curve_5</t>
    <phoneticPr fontId="2" type="noConversion"/>
  </si>
  <si>
    <t>CNY_Treasury_Live_Curve_2012-1-4_Calibrated_Curve_6</t>
    <phoneticPr fontId="2" type="noConversion"/>
  </si>
  <si>
    <t>CNY_Treasury_Live_Curve_2012-1-4_Calibrated_Curve_7</t>
    <phoneticPr fontId="2" type="noConversion"/>
  </si>
  <si>
    <t>CNY_Treasury_Live_Curve_2012-1-5_Calibrated_Curve_1</t>
    <phoneticPr fontId="2" type="noConversion"/>
  </si>
  <si>
    <t>CNY_Treasury_Live_Curve_2012-1-5_Calibrated_Curve_2</t>
    <phoneticPr fontId="2" type="noConversion"/>
  </si>
  <si>
    <t>CNY_Treasury_Live_Curve_2012-1-5_Calibrated_Curve_3</t>
    <phoneticPr fontId="2" type="noConversion"/>
  </si>
  <si>
    <t>CNY_Treasury_Live_Curve_2012-1-5_Calibrated_Curve_4</t>
    <phoneticPr fontId="2" type="noConversion"/>
  </si>
  <si>
    <t>CNY_Treasury_Live_Curve_2012-1-5_Calibrated_Curve_5</t>
    <phoneticPr fontId="2" type="noConversion"/>
  </si>
  <si>
    <t>CNY_Treasury_Live_Curve_2012-1-5_Calibrated_Curve_6</t>
    <phoneticPr fontId="2" type="noConversion"/>
  </si>
  <si>
    <t>CNY_Treasury_Live_Curve_2012-1-5_Calibrated_Curve_7</t>
    <phoneticPr fontId="2" type="noConversion"/>
  </si>
  <si>
    <t>CNY_Treasury_Live_Curve_2012-1-6_Calibrated_Curve_1</t>
    <phoneticPr fontId="2" type="noConversion"/>
  </si>
  <si>
    <t>CNY_Treasury_Live_Curve_2012-1-6_Calibrated_Curve_2</t>
    <phoneticPr fontId="2" type="noConversion"/>
  </si>
  <si>
    <t>CNY_Treasury_Live_Curve_2012-1-6_Calibrated_Curve_3</t>
    <phoneticPr fontId="2" type="noConversion"/>
  </si>
  <si>
    <t>CNY_Treasury_Live_Curve_2012-1-6_Calibrated_Curve_4</t>
    <phoneticPr fontId="2" type="noConversion"/>
  </si>
  <si>
    <t>CNY_Treasury_Live_Curve_2012-1-6_Calibrated_Curve_5</t>
    <phoneticPr fontId="2" type="noConversion"/>
  </si>
  <si>
    <t>CNY_Treasury_Live_Curve_2012-1-6_Calibrated_Curve_6</t>
    <phoneticPr fontId="2" type="noConversion"/>
  </si>
  <si>
    <t>CNY_Treasury_Live_Curve_2012-1-6_Calibrated_Curve_7</t>
    <phoneticPr fontId="2" type="noConversion"/>
  </si>
  <si>
    <t>CNY_Treasury_Live_Curve_2012-1-9_Calibrated_Curve_1</t>
    <phoneticPr fontId="2" type="noConversion"/>
  </si>
  <si>
    <t>CNY_Treasury_Live_Curve_2012-1-9_Calibrated_Curve_2</t>
    <phoneticPr fontId="2" type="noConversion"/>
  </si>
  <si>
    <t>CNY_Treasury_Live_Curve_2012-1-9_Calibrated_Curve_3</t>
    <phoneticPr fontId="2" type="noConversion"/>
  </si>
  <si>
    <t>CNY_Treasury_Live_Curve_2012-1-9_Calibrated_Curve_4</t>
    <phoneticPr fontId="2" type="noConversion"/>
  </si>
  <si>
    <t>CNY_Treasury_Live_Curve_2012-1-9_Calibrated_Curve_5</t>
    <phoneticPr fontId="2" type="noConversion"/>
  </si>
  <si>
    <t>CNY_Treasury_Live_Curve_2012-1-9_Calibrated_Curve_6</t>
    <phoneticPr fontId="2" type="noConversion"/>
  </si>
  <si>
    <t>CNY_Treasury_Live_Curve_2012-1-9_Calibrated_Curve_7</t>
    <phoneticPr fontId="2" type="noConversion"/>
  </si>
  <si>
    <t>CNY_Treasury_Live_Curve_2012-2-1_Calibrated_Curve_1</t>
    <phoneticPr fontId="2" type="noConversion"/>
  </si>
  <si>
    <t>CNY_Treasury_Live_Curve_2012-2-1_Calibrated_Curve_2</t>
    <phoneticPr fontId="2" type="noConversion"/>
  </si>
  <si>
    <t>CNY_Treasury_Live_Curve_2012-2-1_Calibrated_Curve_3</t>
    <phoneticPr fontId="2" type="noConversion"/>
  </si>
  <si>
    <t>CNY_Treasury_Live_Curve_2012-2-1_Calibrated_Curve_4</t>
    <phoneticPr fontId="2" type="noConversion"/>
  </si>
  <si>
    <t>CNY_Treasury_Live_Curve_2012-2-1_Calibrated_Curve_5</t>
    <phoneticPr fontId="2" type="noConversion"/>
  </si>
  <si>
    <t>CNY_Treasury_Live_Curve_2012-2-1_Calibrated_Curve_6</t>
    <phoneticPr fontId="2" type="noConversion"/>
  </si>
  <si>
    <t>CNY_Treasury_Live_Curve_2012-2-1_Calibrated_Curve_7</t>
    <phoneticPr fontId="2" type="noConversion"/>
  </si>
  <si>
    <t>CNY_Treasury_Live_Curve_2012-2-10_Calibrated_Curve_1</t>
    <phoneticPr fontId="2" type="noConversion"/>
  </si>
  <si>
    <t>CNY_Treasury_Live_Curve_2012-2-10_Calibrated_Curve_2</t>
    <phoneticPr fontId="2" type="noConversion"/>
  </si>
  <si>
    <t>CNY_Treasury_Live_Curve_2012-2-10_Calibrated_Curve_3</t>
    <phoneticPr fontId="2" type="noConversion"/>
  </si>
  <si>
    <t>CNY_Treasury_Live_Curve_2012-2-10_Calibrated_Curve_4</t>
    <phoneticPr fontId="2" type="noConversion"/>
  </si>
  <si>
    <t>CNY_Treasury_Live_Curve_2012-2-10_Calibrated_Curve_5</t>
    <phoneticPr fontId="2" type="noConversion"/>
  </si>
  <si>
    <t>CNY_Treasury_Live_Curve_2012-2-10_Calibrated_Curve_6</t>
    <phoneticPr fontId="2" type="noConversion"/>
  </si>
  <si>
    <t>CNY_Treasury_Live_Curve_2012-2-10_Calibrated_Curve_7</t>
    <phoneticPr fontId="2" type="noConversion"/>
  </si>
  <si>
    <t>CNY_Treasury_Live_Curve_2012-2-13_Calibrated_Curve_1</t>
    <phoneticPr fontId="2" type="noConversion"/>
  </si>
  <si>
    <t>CNY_Treasury_Live_Curve_2012-2-13_Calibrated_Curve_2</t>
    <phoneticPr fontId="2" type="noConversion"/>
  </si>
  <si>
    <t>CNY_Treasury_Live_Curve_2012-2-13_Calibrated_Curve_3</t>
    <phoneticPr fontId="2" type="noConversion"/>
  </si>
  <si>
    <t>CNY_Treasury_Live_Curve_2012-2-13_Calibrated_Curve_4</t>
    <phoneticPr fontId="2" type="noConversion"/>
  </si>
  <si>
    <t>CNY_Treasury_Live_Curve_2012-2-13_Calibrated_Curve_5</t>
    <phoneticPr fontId="2" type="noConversion"/>
  </si>
  <si>
    <t>CNY_Treasury_Live_Curve_2012-2-13_Calibrated_Curve_6</t>
    <phoneticPr fontId="2" type="noConversion"/>
  </si>
  <si>
    <t>CNY_Treasury_Live_Curve_2012-2-13_Calibrated_Curve_7</t>
    <phoneticPr fontId="2" type="noConversion"/>
  </si>
  <si>
    <t>CNY_Treasury_Live_Curve_2012-2-14_Calibrated_Curve_1</t>
    <phoneticPr fontId="2" type="noConversion"/>
  </si>
  <si>
    <t>CNY_Treasury_Live_Curve_2012-2-14_Calibrated_Curve_2</t>
    <phoneticPr fontId="2" type="noConversion"/>
  </si>
  <si>
    <t>CNY_Treasury_Live_Curve_2012-2-14_Calibrated_Curve_3</t>
    <phoneticPr fontId="2" type="noConversion"/>
  </si>
  <si>
    <t>CNY_Treasury_Live_Curve_2012-2-14_Calibrated_Curve_4</t>
    <phoneticPr fontId="2" type="noConversion"/>
  </si>
  <si>
    <t>CNY_Treasury_Live_Curve_2012-2-14_Calibrated_Curve_5</t>
    <phoneticPr fontId="2" type="noConversion"/>
  </si>
  <si>
    <t>CNY_Treasury_Live_Curve_2012-2-14_Calibrated_Curve_6</t>
    <phoneticPr fontId="2" type="noConversion"/>
  </si>
  <si>
    <t>CNY_Treasury_Live_Curve_2012-2-14_Calibrated_Curve_7</t>
    <phoneticPr fontId="2" type="noConversion"/>
  </si>
  <si>
    <t>CNY_Treasury_Live_Curve_2012-2-15_Calibrated_Curve_1</t>
    <phoneticPr fontId="2" type="noConversion"/>
  </si>
  <si>
    <t>CNY_Treasury_Live_Curve_2012-2-15_Calibrated_Curve_2</t>
    <phoneticPr fontId="2" type="noConversion"/>
  </si>
  <si>
    <t>CNY_Treasury_Live_Curve_2012-2-15_Calibrated_Curve_3</t>
    <phoneticPr fontId="2" type="noConversion"/>
  </si>
  <si>
    <t>CNY_Treasury_Live_Curve_2012-2-15_Calibrated_Curve_4</t>
    <phoneticPr fontId="2" type="noConversion"/>
  </si>
  <si>
    <t>CNY_Treasury_Live_Curve_2012-2-15_Calibrated_Curve_5</t>
    <phoneticPr fontId="2" type="noConversion"/>
  </si>
  <si>
    <t>CNY_Treasury_Live_Curve_2012-2-15_Calibrated_Curve_6</t>
    <phoneticPr fontId="2" type="noConversion"/>
  </si>
  <si>
    <t>CNY_Treasury_Live_Curve_2012-2-15_Calibrated_Curve_7</t>
    <phoneticPr fontId="2" type="noConversion"/>
  </si>
  <si>
    <t>CNY_Treasury_Live_Curve_2012-2-16_Calibrated_Curve_1</t>
    <phoneticPr fontId="2" type="noConversion"/>
  </si>
  <si>
    <t>CNY_Treasury_Live_Curve_2012-2-16_Calibrated_Curve_2</t>
    <phoneticPr fontId="2" type="noConversion"/>
  </si>
  <si>
    <t>CNY_Treasury_Live_Curve_2012-2-16_Calibrated_Curve_3</t>
    <phoneticPr fontId="2" type="noConversion"/>
  </si>
  <si>
    <t>CNY_Treasury_Live_Curve_2012-2-16_Calibrated_Curve_4</t>
    <phoneticPr fontId="2" type="noConversion"/>
  </si>
  <si>
    <t>CNY_Treasury_Live_Curve_2012-2-16_Calibrated_Curve_5</t>
    <phoneticPr fontId="2" type="noConversion"/>
  </si>
  <si>
    <t>CNY_Treasury_Live_Curve_2012-2-16_Calibrated_Curve_6</t>
    <phoneticPr fontId="2" type="noConversion"/>
  </si>
  <si>
    <t>CNY_Treasury_Live_Curve_2012-2-16_Calibrated_Curve_7</t>
    <phoneticPr fontId="2" type="noConversion"/>
  </si>
  <si>
    <t>CNY_Treasury_Live_Curve_2012-2-17_Calibrated_Curve_1</t>
    <phoneticPr fontId="2" type="noConversion"/>
  </si>
  <si>
    <t>CNY_Treasury_Live_Curve_2012-2-17_Calibrated_Curve_2</t>
    <phoneticPr fontId="2" type="noConversion"/>
  </si>
  <si>
    <t>CNY_Treasury_Live_Curve_2012-2-17_Calibrated_Curve_3</t>
    <phoneticPr fontId="2" type="noConversion"/>
  </si>
  <si>
    <t>CNY_Treasury_Live_Curve_2012-2-17_Calibrated_Curve_4</t>
    <phoneticPr fontId="2" type="noConversion"/>
  </si>
  <si>
    <t>CNY_Treasury_Live_Curve_2012-2-17_Calibrated_Curve_5</t>
    <phoneticPr fontId="2" type="noConversion"/>
  </si>
  <si>
    <t>CNY_Treasury_Live_Curve_2012-2-17_Calibrated_Curve_6</t>
    <phoneticPr fontId="2" type="noConversion"/>
  </si>
  <si>
    <t>CNY_Treasury_Live_Curve_2012-2-17_Calibrated_Curve_7</t>
    <phoneticPr fontId="2" type="noConversion"/>
  </si>
  <si>
    <t>CNY_Treasury_Live_Curve_2012-2-2_Calibrated_Curve_1</t>
    <phoneticPr fontId="2" type="noConversion"/>
  </si>
  <si>
    <t>CNY_Treasury_Live_Curve_2012-2-2_Calibrated_Curve_2</t>
    <phoneticPr fontId="2" type="noConversion"/>
  </si>
  <si>
    <t>CNY_Treasury_Live_Curve_2012-2-2_Calibrated_Curve_3</t>
    <phoneticPr fontId="2" type="noConversion"/>
  </si>
  <si>
    <t>CNY_Treasury_Live_Curve_2012-2-2_Calibrated_Curve_4</t>
    <phoneticPr fontId="2" type="noConversion"/>
  </si>
  <si>
    <t>CNY_Treasury_Live_Curve_2012-2-2_Calibrated_Curve_5</t>
    <phoneticPr fontId="2" type="noConversion"/>
  </si>
  <si>
    <t>CNY_Treasury_Live_Curve_2012-2-2_Calibrated_Curve_6</t>
    <phoneticPr fontId="2" type="noConversion"/>
  </si>
  <si>
    <t>CNY_Treasury_Live_Curve_2012-2-2_Calibrated_Curve_7</t>
    <phoneticPr fontId="2" type="noConversion"/>
  </si>
  <si>
    <t>CNY_Treasury_Live_Curve_2012-2-20_Calibrated_Curve_1</t>
    <phoneticPr fontId="2" type="noConversion"/>
  </si>
  <si>
    <t>CNY_Treasury_Live_Curve_2012-2-20_Calibrated_Curve_2</t>
    <phoneticPr fontId="2" type="noConversion"/>
  </si>
  <si>
    <t>CNY_Treasury_Live_Curve_2012-2-20_Calibrated_Curve_3</t>
    <phoneticPr fontId="2" type="noConversion"/>
  </si>
  <si>
    <t>CNY_Treasury_Live_Curve_2012-2-20_Calibrated_Curve_4</t>
    <phoneticPr fontId="2" type="noConversion"/>
  </si>
  <si>
    <t>CNY_Treasury_Live_Curve_2012-2-20_Calibrated_Curve_5</t>
    <phoneticPr fontId="2" type="noConversion"/>
  </si>
  <si>
    <t>CNY_Treasury_Live_Curve_2012-2-20_Calibrated_Curve_6</t>
    <phoneticPr fontId="2" type="noConversion"/>
  </si>
  <si>
    <t>CNY_Treasury_Live_Curve_2012-2-20_Calibrated_Curve_7</t>
    <phoneticPr fontId="2" type="noConversion"/>
  </si>
  <si>
    <t>CNY_Treasury_Live_Curve_2012-2-21_Calibrated_Curve_1</t>
    <phoneticPr fontId="2" type="noConversion"/>
  </si>
  <si>
    <t>CNY_Treasury_Live_Curve_2012-2-21_Calibrated_Curve_2</t>
    <phoneticPr fontId="2" type="noConversion"/>
  </si>
  <si>
    <t>CNY_Treasury_Live_Curve_2012-2-21_Calibrated_Curve_3</t>
    <phoneticPr fontId="2" type="noConversion"/>
  </si>
  <si>
    <t>CNY_Treasury_Live_Curve_2012-2-21_Calibrated_Curve_4</t>
    <phoneticPr fontId="2" type="noConversion"/>
  </si>
  <si>
    <t>CNY_Treasury_Live_Curve_2012-2-21_Calibrated_Curve_5</t>
    <phoneticPr fontId="2" type="noConversion"/>
  </si>
  <si>
    <t>CNY_Treasury_Live_Curve_2012-2-21_Calibrated_Curve_6</t>
    <phoneticPr fontId="2" type="noConversion"/>
  </si>
  <si>
    <t>CNY_Treasury_Live_Curve_2012-2-21_Calibrated_Curve_7</t>
    <phoneticPr fontId="2" type="noConversion"/>
  </si>
  <si>
    <t>CNY_Treasury_Live_Curve_2012-2-22_Calibrated_Curve_1</t>
    <phoneticPr fontId="2" type="noConversion"/>
  </si>
  <si>
    <t>CNY_Treasury_Live_Curve_2012-2-22_Calibrated_Curve_2</t>
    <phoneticPr fontId="2" type="noConversion"/>
  </si>
  <si>
    <t>CNY_Treasury_Live_Curve_2012-2-22_Calibrated_Curve_3</t>
    <phoneticPr fontId="2" type="noConversion"/>
  </si>
  <si>
    <t>CNY_Treasury_Live_Curve_2012-2-22_Calibrated_Curve_4</t>
    <phoneticPr fontId="2" type="noConversion"/>
  </si>
  <si>
    <t>CNY_Treasury_Live_Curve_2012-2-22_Calibrated_Curve_5</t>
    <phoneticPr fontId="2" type="noConversion"/>
  </si>
  <si>
    <t>CNY_Treasury_Live_Curve_2012-2-22_Calibrated_Curve_6</t>
    <phoneticPr fontId="2" type="noConversion"/>
  </si>
  <si>
    <t>CNY_Treasury_Live_Curve_2012-2-22_Calibrated_Curve_7</t>
    <phoneticPr fontId="2" type="noConversion"/>
  </si>
  <si>
    <t>CNY_Treasury_Live_Curve_2012-2-23_Calibrated_Curve_1</t>
    <phoneticPr fontId="2" type="noConversion"/>
  </si>
  <si>
    <t>CNY_Treasury_Live_Curve_2012-2-23_Calibrated_Curve_2</t>
    <phoneticPr fontId="2" type="noConversion"/>
  </si>
  <si>
    <t>CNY_Treasury_Live_Curve_2012-2-23_Calibrated_Curve_3</t>
    <phoneticPr fontId="2" type="noConversion"/>
  </si>
  <si>
    <t>CNY_Treasury_Live_Curve_2012-2-23_Calibrated_Curve_4</t>
    <phoneticPr fontId="2" type="noConversion"/>
  </si>
  <si>
    <t>CNY_Treasury_Live_Curve_2012-2-23_Calibrated_Curve_5</t>
    <phoneticPr fontId="2" type="noConversion"/>
  </si>
  <si>
    <t>CNY_Treasury_Live_Curve_2012-2-23_Calibrated_Curve_6</t>
    <phoneticPr fontId="2" type="noConversion"/>
  </si>
  <si>
    <t>CNY_Treasury_Live_Curve_2012-2-23_Calibrated_Curve_7</t>
    <phoneticPr fontId="2" type="noConversion"/>
  </si>
  <si>
    <t>CNY_Treasury_Live_Curve_2012-2-24_Calibrated_Curve_1</t>
    <phoneticPr fontId="2" type="noConversion"/>
  </si>
  <si>
    <t>CNY_Treasury_Live_Curve_2012-2-24_Calibrated_Curve_2</t>
    <phoneticPr fontId="2" type="noConversion"/>
  </si>
  <si>
    <t>CNY_Treasury_Live_Curve_2012-2-24_Calibrated_Curve_3</t>
    <phoneticPr fontId="2" type="noConversion"/>
  </si>
  <si>
    <t>CNY_Treasury_Live_Curve_2012-2-24_Calibrated_Curve_4</t>
    <phoneticPr fontId="2" type="noConversion"/>
  </si>
  <si>
    <t>CNY_Treasury_Live_Curve_2012-2-24_Calibrated_Curve_5</t>
    <phoneticPr fontId="2" type="noConversion"/>
  </si>
  <si>
    <t>CNY_Treasury_Live_Curve_2012-2-24_Calibrated_Curve_6</t>
    <phoneticPr fontId="2" type="noConversion"/>
  </si>
  <si>
    <t>CNY_Treasury_Live_Curve_2012-2-24_Calibrated_Curve_7</t>
    <phoneticPr fontId="2" type="noConversion"/>
  </si>
  <si>
    <t>CNY_Treasury_Live_Curve_2012-2-27_Calibrated_Curve_1</t>
    <phoneticPr fontId="2" type="noConversion"/>
  </si>
  <si>
    <t>CNY_Treasury_Live_Curve_2012-2-27_Calibrated_Curve_2</t>
    <phoneticPr fontId="2" type="noConversion"/>
  </si>
  <si>
    <t>CNY_Treasury_Live_Curve_2012-2-27_Calibrated_Curve_3</t>
    <phoneticPr fontId="2" type="noConversion"/>
  </si>
  <si>
    <t>CNY_Treasury_Live_Curve_2012-2-27_Calibrated_Curve_4</t>
    <phoneticPr fontId="2" type="noConversion"/>
  </si>
  <si>
    <t>CNY_Treasury_Live_Curve_2012-2-27_Calibrated_Curve_5</t>
    <phoneticPr fontId="2" type="noConversion"/>
  </si>
  <si>
    <t>CNY_Treasury_Live_Curve_2012-2-27_Calibrated_Curve_6</t>
    <phoneticPr fontId="2" type="noConversion"/>
  </si>
  <si>
    <t>CNY_Treasury_Live_Curve_2012-2-27_Calibrated_Curve_7</t>
    <phoneticPr fontId="2" type="noConversion"/>
  </si>
  <si>
    <t>CNY_Treasury_Live_Curve_2012-2-28_Calibrated_Curve_1</t>
    <phoneticPr fontId="2" type="noConversion"/>
  </si>
  <si>
    <t>CNY_Treasury_Live_Curve_2012-2-28_Calibrated_Curve_2</t>
    <phoneticPr fontId="2" type="noConversion"/>
  </si>
  <si>
    <t>CNY_Treasury_Live_Curve_2012-2-28_Calibrated_Curve_3</t>
    <phoneticPr fontId="2" type="noConversion"/>
  </si>
  <si>
    <t>CNY_Treasury_Live_Curve_2012-2-28_Calibrated_Curve_4</t>
    <phoneticPr fontId="2" type="noConversion"/>
  </si>
  <si>
    <t>CNY_Treasury_Live_Curve_2012-2-28_Calibrated_Curve_5</t>
    <phoneticPr fontId="2" type="noConversion"/>
  </si>
  <si>
    <t>CNY_Treasury_Live_Curve_2012-2-28_Calibrated_Curve_6</t>
    <phoneticPr fontId="2" type="noConversion"/>
  </si>
  <si>
    <t>CNY_Treasury_Live_Curve_2012-2-28_Calibrated_Curve_7</t>
    <phoneticPr fontId="2" type="noConversion"/>
  </si>
  <si>
    <t>CNY_Treasury_Live_Curve_2012-2-29_Calibrated_Curve_1</t>
    <phoneticPr fontId="2" type="noConversion"/>
  </si>
  <si>
    <t>CNY_Treasury_Live_Curve_2012-2-29_Calibrated_Curve_2</t>
    <phoneticPr fontId="2" type="noConversion"/>
  </si>
  <si>
    <t>CNY_Treasury_Live_Curve_2012-2-29_Calibrated_Curve_3</t>
    <phoneticPr fontId="2" type="noConversion"/>
  </si>
  <si>
    <t>CNY_Treasury_Live_Curve_2012-2-29_Calibrated_Curve_4</t>
    <phoneticPr fontId="2" type="noConversion"/>
  </si>
  <si>
    <t>CNY_Treasury_Live_Curve_2012-2-29_Calibrated_Curve_5</t>
    <phoneticPr fontId="2" type="noConversion"/>
  </si>
  <si>
    <t>CNY_Treasury_Live_Curve_2012-2-29_Calibrated_Curve_6</t>
    <phoneticPr fontId="2" type="noConversion"/>
  </si>
  <si>
    <t>CNY_Treasury_Live_Curve_2012-2-29_Calibrated_Curve_7</t>
    <phoneticPr fontId="2" type="noConversion"/>
  </si>
  <si>
    <t>CNY_Treasury_Live_Curve_2012-2-3_Calibrated_Curve_1</t>
    <phoneticPr fontId="2" type="noConversion"/>
  </si>
  <si>
    <t>CNY_Treasury_Live_Curve_2012-2-3_Calibrated_Curve_2</t>
    <phoneticPr fontId="2" type="noConversion"/>
  </si>
  <si>
    <t>CNY_Treasury_Live_Curve_2012-2-3_Calibrated_Curve_3</t>
    <phoneticPr fontId="2" type="noConversion"/>
  </si>
  <si>
    <t>CNY_Treasury_Live_Curve_2012-2-3_Calibrated_Curve_4</t>
    <phoneticPr fontId="2" type="noConversion"/>
  </si>
  <si>
    <t>CNY_Treasury_Live_Curve_2012-2-3_Calibrated_Curve_5</t>
    <phoneticPr fontId="2" type="noConversion"/>
  </si>
  <si>
    <t>CNY_Treasury_Live_Curve_2012-2-3_Calibrated_Curve_6</t>
    <phoneticPr fontId="2" type="noConversion"/>
  </si>
  <si>
    <t>CNY_Treasury_Live_Curve_2012-2-3_Calibrated_Curve_7</t>
    <phoneticPr fontId="2" type="noConversion"/>
  </si>
  <si>
    <t>CNY_Treasury_Live_Curve_2012-2-6_Calibrated_Curve_1</t>
    <phoneticPr fontId="2" type="noConversion"/>
  </si>
  <si>
    <t>CNY_Treasury_Live_Curve_2012-2-6_Calibrated_Curve_2</t>
    <phoneticPr fontId="2" type="noConversion"/>
  </si>
  <si>
    <t>CNY_Treasury_Live_Curve_2012-2-6_Calibrated_Curve_3</t>
    <phoneticPr fontId="2" type="noConversion"/>
  </si>
  <si>
    <t>CNY_Treasury_Live_Curve_2012-2-6_Calibrated_Curve_4</t>
    <phoneticPr fontId="2" type="noConversion"/>
  </si>
  <si>
    <t>CNY_Treasury_Live_Curve_2012-2-6_Calibrated_Curve_5</t>
    <phoneticPr fontId="2" type="noConversion"/>
  </si>
  <si>
    <t>CNY_Treasury_Live_Curve_2012-2-6_Calibrated_Curve_6</t>
    <phoneticPr fontId="2" type="noConversion"/>
  </si>
  <si>
    <t>CNY_Treasury_Live_Curve_2012-2-6_Calibrated_Curve_7</t>
    <phoneticPr fontId="2" type="noConversion"/>
  </si>
  <si>
    <t>CNY_Treasury_Live_Curve_2012-2-7_Calibrated_Curve_1</t>
    <phoneticPr fontId="2" type="noConversion"/>
  </si>
  <si>
    <t>CNY_Treasury_Live_Curve_2012-2-7_Calibrated_Curve_2</t>
    <phoneticPr fontId="2" type="noConversion"/>
  </si>
  <si>
    <t>CNY_Treasury_Live_Curve_2012-2-7_Calibrated_Curve_3</t>
    <phoneticPr fontId="2" type="noConversion"/>
  </si>
  <si>
    <t>CNY_Treasury_Live_Curve_2012-2-7_Calibrated_Curve_4</t>
    <phoneticPr fontId="2" type="noConversion"/>
  </si>
  <si>
    <t>CNY_Treasury_Live_Curve_2012-2-7_Calibrated_Curve_5</t>
    <phoneticPr fontId="2" type="noConversion"/>
  </si>
  <si>
    <t>CNY_Treasury_Live_Curve_2012-2-7_Calibrated_Curve_6</t>
    <phoneticPr fontId="2" type="noConversion"/>
  </si>
  <si>
    <t>CNY_Treasury_Live_Curve_2012-2-7_Calibrated_Curve_7</t>
    <phoneticPr fontId="2" type="noConversion"/>
  </si>
  <si>
    <t>CNY_Treasury_Live_Curve_2012-2-8_Calibrated_Curve_1</t>
    <phoneticPr fontId="2" type="noConversion"/>
  </si>
  <si>
    <t>CNY_Treasury_Live_Curve_2012-2-8_Calibrated_Curve_2</t>
    <phoneticPr fontId="2" type="noConversion"/>
  </si>
  <si>
    <t>CNY_Treasury_Live_Curve_2012-2-8_Calibrated_Curve_3</t>
    <phoneticPr fontId="2" type="noConversion"/>
  </si>
  <si>
    <t>CNY_Treasury_Live_Curve_2012-2-8_Calibrated_Curve_4</t>
    <phoneticPr fontId="2" type="noConversion"/>
  </si>
  <si>
    <t>CNY_Treasury_Live_Curve_2012-2-8_Calibrated_Curve_5</t>
    <phoneticPr fontId="2" type="noConversion"/>
  </si>
  <si>
    <t>CNY_Treasury_Live_Curve_2012-2-8_Calibrated_Curve_6</t>
    <phoneticPr fontId="2" type="noConversion"/>
  </si>
  <si>
    <t>CNY_Treasury_Live_Curve_2012-2-8_Calibrated_Curve_7</t>
    <phoneticPr fontId="2" type="noConversion"/>
  </si>
  <si>
    <t>CNY_Treasury_Live_Curve_2012-2-9_Calibrated_Curve_1</t>
    <phoneticPr fontId="2" type="noConversion"/>
  </si>
  <si>
    <t>CNY_Treasury_Live_Curve_2012-2-9_Calibrated_Curve_2</t>
    <phoneticPr fontId="2" type="noConversion"/>
  </si>
  <si>
    <t>CNY_Treasury_Live_Curve_2012-2-9_Calibrated_Curve_3</t>
    <phoneticPr fontId="2" type="noConversion"/>
  </si>
  <si>
    <t>CNY_Treasury_Live_Curve_2012-2-9_Calibrated_Curve_4</t>
    <phoneticPr fontId="2" type="noConversion"/>
  </si>
  <si>
    <t>CNY_Treasury_Live_Curve_2012-2-9_Calibrated_Curve_5</t>
    <phoneticPr fontId="2" type="noConversion"/>
  </si>
  <si>
    <t>CNY_Treasury_Live_Curve_2012-2-9_Calibrated_Curve_6</t>
    <phoneticPr fontId="2" type="noConversion"/>
  </si>
  <si>
    <t>CNY_Treasury_Live_Curve_2012-2-9_Calibrated_Curve_7</t>
    <phoneticPr fontId="2" type="noConversion"/>
  </si>
  <si>
    <t>CNY_Treasury_Live_Curve_2012-3-1_Calibrated_Curve_1</t>
    <phoneticPr fontId="2" type="noConversion"/>
  </si>
  <si>
    <t>CNY_Treasury_Live_Curve_2012-3-1_Calibrated_Curve_2</t>
    <phoneticPr fontId="2" type="noConversion"/>
  </si>
  <si>
    <t>CNY_Treasury_Live_Curve_2012-3-1_Calibrated_Curve_3</t>
    <phoneticPr fontId="2" type="noConversion"/>
  </si>
  <si>
    <t>CNY_Treasury_Live_Curve_2012-3-1_Calibrated_Curve_4</t>
    <phoneticPr fontId="2" type="noConversion"/>
  </si>
  <si>
    <t>CNY_Treasury_Live_Curve_2012-3-1_Calibrated_Curve_5</t>
    <phoneticPr fontId="2" type="noConversion"/>
  </si>
  <si>
    <t>CNY_Treasury_Live_Curve_2012-3-1_Calibrated_Curve_6</t>
    <phoneticPr fontId="2" type="noConversion"/>
  </si>
  <si>
    <t>CNY_Treasury_Live_Curve_2012-3-1_Calibrated_Curve_7</t>
    <phoneticPr fontId="2" type="noConversion"/>
  </si>
  <si>
    <t>CNY_Treasury_Live_Curve_2012-3-12_Calibrated_Curve_1</t>
    <phoneticPr fontId="2" type="noConversion"/>
  </si>
  <si>
    <t>CNY_Treasury_Live_Curve_2012-3-12_Calibrated_Curve_2</t>
    <phoneticPr fontId="2" type="noConversion"/>
  </si>
  <si>
    <t>CNY_Treasury_Live_Curve_2012-3-12_Calibrated_Curve_3</t>
    <phoneticPr fontId="2" type="noConversion"/>
  </si>
  <si>
    <t>CNY_Treasury_Live_Curve_2012-3-12_Calibrated_Curve_4</t>
    <phoneticPr fontId="2" type="noConversion"/>
  </si>
  <si>
    <t>CNY_Treasury_Live_Curve_2012-3-12_Calibrated_Curve_5</t>
    <phoneticPr fontId="2" type="noConversion"/>
  </si>
  <si>
    <t>CNY_Treasury_Live_Curve_2012-3-12_Calibrated_Curve_6</t>
    <phoneticPr fontId="2" type="noConversion"/>
  </si>
  <si>
    <t>CNY_Treasury_Live_Curve_2012-3-12_Calibrated_Curve_7</t>
    <phoneticPr fontId="2" type="noConversion"/>
  </si>
  <si>
    <t>CNY_Treasury_Live_Curve_2012-3-13_Calibrated_Curve_1</t>
    <phoneticPr fontId="2" type="noConversion"/>
  </si>
  <si>
    <t>CNY_Treasury_Live_Curve_2012-3-13_Calibrated_Curve_2</t>
    <phoneticPr fontId="2" type="noConversion"/>
  </si>
  <si>
    <t>CNY_Treasury_Live_Curve_2012-3-13_Calibrated_Curve_3</t>
    <phoneticPr fontId="2" type="noConversion"/>
  </si>
  <si>
    <t>CNY_Treasury_Live_Curve_2012-3-13_Calibrated_Curve_4</t>
    <phoneticPr fontId="2" type="noConversion"/>
  </si>
  <si>
    <t>CNY_Treasury_Live_Curve_2012-3-13_Calibrated_Curve_5</t>
    <phoneticPr fontId="2" type="noConversion"/>
  </si>
  <si>
    <t>CNY_Treasury_Live_Curve_2012-3-13_Calibrated_Curve_6</t>
    <phoneticPr fontId="2" type="noConversion"/>
  </si>
  <si>
    <t>CNY_Treasury_Live_Curve_2012-3-13_Calibrated_Curve_7</t>
    <phoneticPr fontId="2" type="noConversion"/>
  </si>
  <si>
    <t>CNY_Treasury_Live_Curve_2012-3-14_Calibrated_Curve_1</t>
    <phoneticPr fontId="2" type="noConversion"/>
  </si>
  <si>
    <t>CNY_Treasury_Live_Curve_2012-3-14_Calibrated_Curve_2</t>
    <phoneticPr fontId="2" type="noConversion"/>
  </si>
  <si>
    <t>CNY_Treasury_Live_Curve_2012-3-14_Calibrated_Curve_3</t>
    <phoneticPr fontId="2" type="noConversion"/>
  </si>
  <si>
    <t>CNY_Treasury_Live_Curve_2012-3-14_Calibrated_Curve_4</t>
    <phoneticPr fontId="2" type="noConversion"/>
  </si>
  <si>
    <t>CNY_Treasury_Live_Curve_2012-3-14_Calibrated_Curve_5</t>
    <phoneticPr fontId="2" type="noConversion"/>
  </si>
  <si>
    <t>CNY_Treasury_Live_Curve_2012-3-14_Calibrated_Curve_6</t>
    <phoneticPr fontId="2" type="noConversion"/>
  </si>
  <si>
    <t>CNY_Treasury_Live_Curve_2012-3-14_Calibrated_Curve_7</t>
    <phoneticPr fontId="2" type="noConversion"/>
  </si>
  <si>
    <t>CNY_Treasury_Live_Curve_2012-3-15_Calibrated_Curve_1</t>
    <phoneticPr fontId="2" type="noConversion"/>
  </si>
  <si>
    <t>CNY_Treasury_Live_Curve_2012-3-15_Calibrated_Curve_2</t>
    <phoneticPr fontId="2" type="noConversion"/>
  </si>
  <si>
    <t>CNY_Treasury_Live_Curve_2012-3-15_Calibrated_Curve_3</t>
    <phoneticPr fontId="2" type="noConversion"/>
  </si>
  <si>
    <t>CNY_Treasury_Live_Curve_2012-3-15_Calibrated_Curve_4</t>
    <phoneticPr fontId="2" type="noConversion"/>
  </si>
  <si>
    <t>CNY_Treasury_Live_Curve_2012-3-15_Calibrated_Curve_5</t>
    <phoneticPr fontId="2" type="noConversion"/>
  </si>
  <si>
    <t>CNY_Treasury_Live_Curve_2012-3-15_Calibrated_Curve_6</t>
    <phoneticPr fontId="2" type="noConversion"/>
  </si>
  <si>
    <t>CNY_Treasury_Live_Curve_2012-3-15_Calibrated_Curve_7</t>
    <phoneticPr fontId="2" type="noConversion"/>
  </si>
  <si>
    <t>CNY_Treasury_Live_Curve_2012-3-16_Calibrated_Curve_1</t>
    <phoneticPr fontId="2" type="noConversion"/>
  </si>
  <si>
    <t>CNY_Treasury_Live_Curve_2012-3-16_Calibrated_Curve_2</t>
    <phoneticPr fontId="2" type="noConversion"/>
  </si>
  <si>
    <t>CNY_Treasury_Live_Curve_2012-3-16_Calibrated_Curve_3</t>
    <phoneticPr fontId="2" type="noConversion"/>
  </si>
  <si>
    <t>CNY_Treasury_Live_Curve_2012-3-16_Calibrated_Curve_4</t>
    <phoneticPr fontId="2" type="noConversion"/>
  </si>
  <si>
    <t>CNY_Treasury_Live_Curve_2012-3-16_Calibrated_Curve_5</t>
    <phoneticPr fontId="2" type="noConversion"/>
  </si>
  <si>
    <t>CNY_Treasury_Live_Curve_2012-3-16_Calibrated_Curve_6</t>
    <phoneticPr fontId="2" type="noConversion"/>
  </si>
  <si>
    <t>CNY_Treasury_Live_Curve_2012-3-16_Calibrated_Curve_7</t>
    <phoneticPr fontId="2" type="noConversion"/>
  </si>
  <si>
    <t>CNY_Treasury_Live_Curve_2012-3-19_Calibrated_Curve_1</t>
    <phoneticPr fontId="2" type="noConversion"/>
  </si>
  <si>
    <t>CNY_Treasury_Live_Curve_2012-3-19_Calibrated_Curve_2</t>
    <phoneticPr fontId="2" type="noConversion"/>
  </si>
  <si>
    <t>CNY_Treasury_Live_Curve_2012-3-19_Calibrated_Curve_3</t>
    <phoneticPr fontId="2" type="noConversion"/>
  </si>
  <si>
    <t>CNY_Treasury_Live_Curve_2012-3-19_Calibrated_Curve_4</t>
    <phoneticPr fontId="2" type="noConversion"/>
  </si>
  <si>
    <t>CNY_Treasury_Live_Curve_2012-3-19_Calibrated_Curve_5</t>
    <phoneticPr fontId="2" type="noConversion"/>
  </si>
  <si>
    <t>CNY_Treasury_Live_Curve_2012-3-19_Calibrated_Curve_6</t>
    <phoneticPr fontId="2" type="noConversion"/>
  </si>
  <si>
    <t>CNY_Treasury_Live_Curve_2012-3-19_Calibrated_Curve_7</t>
    <phoneticPr fontId="2" type="noConversion"/>
  </si>
  <si>
    <t>CNY_Treasury_Live_Curve_2012-3-2_Calibrated_Curve_1</t>
    <phoneticPr fontId="2" type="noConversion"/>
  </si>
  <si>
    <t>CNY_Treasury_Live_Curve_2012-3-2_Calibrated_Curve_2</t>
    <phoneticPr fontId="2" type="noConversion"/>
  </si>
  <si>
    <t>CNY_Treasury_Live_Curve_2012-3-2_Calibrated_Curve_3</t>
    <phoneticPr fontId="2" type="noConversion"/>
  </si>
  <si>
    <t>CNY_Treasury_Live_Curve_2012-3-2_Calibrated_Curve_4</t>
    <phoneticPr fontId="2" type="noConversion"/>
  </si>
  <si>
    <t>CNY_Treasury_Live_Curve_2012-3-2_Calibrated_Curve_5</t>
    <phoneticPr fontId="2" type="noConversion"/>
  </si>
  <si>
    <t>CNY_Treasury_Live_Curve_2012-3-2_Calibrated_Curve_6</t>
    <phoneticPr fontId="2" type="noConversion"/>
  </si>
  <si>
    <t>CNY_Treasury_Live_Curve_2012-3-2_Calibrated_Curve_7</t>
    <phoneticPr fontId="2" type="noConversion"/>
  </si>
  <si>
    <t>CNY_Treasury_Live_Curve_2012-3-20_Calibrated_Curve_1</t>
    <phoneticPr fontId="2" type="noConversion"/>
  </si>
  <si>
    <t>CNY_Treasury_Live_Curve_2012-3-20_Calibrated_Curve_2</t>
    <phoneticPr fontId="2" type="noConversion"/>
  </si>
  <si>
    <t>CNY_Treasury_Live_Curve_2012-3-20_Calibrated_Curve_3</t>
    <phoneticPr fontId="2" type="noConversion"/>
  </si>
  <si>
    <t>CNY_Treasury_Live_Curve_2012-3-20_Calibrated_Curve_4</t>
    <phoneticPr fontId="2" type="noConversion"/>
  </si>
  <si>
    <t>CNY_Treasury_Live_Curve_2012-3-20_Calibrated_Curve_5</t>
    <phoneticPr fontId="2" type="noConversion"/>
  </si>
  <si>
    <t>CNY_Treasury_Live_Curve_2012-3-20_Calibrated_Curve_6</t>
    <phoneticPr fontId="2" type="noConversion"/>
  </si>
  <si>
    <t>CNY_Treasury_Live_Curve_2012-3-20_Calibrated_Curve_7</t>
    <phoneticPr fontId="2" type="noConversion"/>
  </si>
  <si>
    <t>CNY_Treasury_Live_Curve_2012-3-21_Calibrated_Curve_1</t>
    <phoneticPr fontId="2" type="noConversion"/>
  </si>
  <si>
    <t>CNY_Treasury_Live_Curve_2012-3-21_Calibrated_Curve_2</t>
    <phoneticPr fontId="2" type="noConversion"/>
  </si>
  <si>
    <t>CNY_Treasury_Live_Curve_2012-3-21_Calibrated_Curve_3</t>
    <phoneticPr fontId="2" type="noConversion"/>
  </si>
  <si>
    <t>CNY_Treasury_Live_Curve_2012-3-21_Calibrated_Curve_4</t>
    <phoneticPr fontId="2" type="noConversion"/>
  </si>
  <si>
    <t>CNY_Treasury_Live_Curve_2012-3-21_Calibrated_Curve_5</t>
    <phoneticPr fontId="2" type="noConversion"/>
  </si>
  <si>
    <t>CNY_Treasury_Live_Curve_2012-3-21_Calibrated_Curve_6</t>
    <phoneticPr fontId="2" type="noConversion"/>
  </si>
  <si>
    <t>CNY_Treasury_Live_Curve_2012-3-21_Calibrated_Curve_7</t>
    <phoneticPr fontId="2" type="noConversion"/>
  </si>
  <si>
    <t>CNY_Treasury_Live_Curve_2012-3-22_Calibrated_Curve_1</t>
    <phoneticPr fontId="2" type="noConversion"/>
  </si>
  <si>
    <t>CNY_Treasury_Live_Curve_2012-3-22_Calibrated_Curve_2</t>
    <phoneticPr fontId="2" type="noConversion"/>
  </si>
  <si>
    <t>CNY_Treasury_Live_Curve_2012-3-22_Calibrated_Curve_3</t>
    <phoneticPr fontId="2" type="noConversion"/>
  </si>
  <si>
    <t>CNY_Treasury_Live_Curve_2012-3-22_Calibrated_Curve_4</t>
    <phoneticPr fontId="2" type="noConversion"/>
  </si>
  <si>
    <t>CNY_Treasury_Live_Curve_2012-3-22_Calibrated_Curve_5</t>
    <phoneticPr fontId="2" type="noConversion"/>
  </si>
  <si>
    <t>CNY_Treasury_Live_Curve_2012-3-22_Calibrated_Curve_6</t>
    <phoneticPr fontId="2" type="noConversion"/>
  </si>
  <si>
    <t>CNY_Treasury_Live_Curve_2012-3-22_Calibrated_Curve_7</t>
    <phoneticPr fontId="2" type="noConversion"/>
  </si>
  <si>
    <t>CNY_Treasury_Live_Curve_2012-3-23_Calibrated_Curve_1</t>
    <phoneticPr fontId="2" type="noConversion"/>
  </si>
  <si>
    <t>CNY_Treasury_Live_Curve_2012-3-23_Calibrated_Curve_2</t>
    <phoneticPr fontId="2" type="noConversion"/>
  </si>
  <si>
    <t>CNY_Treasury_Live_Curve_2012-3-23_Calibrated_Curve_3</t>
    <phoneticPr fontId="2" type="noConversion"/>
  </si>
  <si>
    <t>CNY_Treasury_Live_Curve_2012-3-23_Calibrated_Curve_4</t>
    <phoneticPr fontId="2" type="noConversion"/>
  </si>
  <si>
    <t>CNY_Treasury_Live_Curve_2012-3-23_Calibrated_Curve_5</t>
    <phoneticPr fontId="2" type="noConversion"/>
  </si>
  <si>
    <t>CNY_Treasury_Live_Curve_2012-3-23_Calibrated_Curve_6</t>
    <phoneticPr fontId="2" type="noConversion"/>
  </si>
  <si>
    <t>CNY_Treasury_Live_Curve_2012-3-23_Calibrated_Curve_7</t>
    <phoneticPr fontId="2" type="noConversion"/>
  </si>
  <si>
    <t>CNY_Treasury_Live_Curve_2012-3-26_Calibrated_Curve_1</t>
    <phoneticPr fontId="2" type="noConversion"/>
  </si>
  <si>
    <t>CNY_Treasury_Live_Curve_2012-3-26_Calibrated_Curve_2</t>
    <phoneticPr fontId="2" type="noConversion"/>
  </si>
  <si>
    <t>CNY_Treasury_Live_Curve_2012-3-26_Calibrated_Curve_3</t>
    <phoneticPr fontId="2" type="noConversion"/>
  </si>
  <si>
    <t>CNY_Treasury_Live_Curve_2012-3-26_Calibrated_Curve_4</t>
    <phoneticPr fontId="2" type="noConversion"/>
  </si>
  <si>
    <t>CNY_Treasury_Live_Curve_2012-3-26_Calibrated_Curve_5</t>
    <phoneticPr fontId="2" type="noConversion"/>
  </si>
  <si>
    <t>CNY_Treasury_Live_Curve_2012-3-26_Calibrated_Curve_6</t>
    <phoneticPr fontId="2" type="noConversion"/>
  </si>
  <si>
    <t>CNY_Treasury_Live_Curve_2012-3-26_Calibrated_Curve_7</t>
    <phoneticPr fontId="2" type="noConversion"/>
  </si>
  <si>
    <t>CNY_Treasury_Live_Curve_2012-3-27_Calibrated_Curve_1</t>
    <phoneticPr fontId="2" type="noConversion"/>
  </si>
  <si>
    <t>CNY_Treasury_Live_Curve_2012-3-27_Calibrated_Curve_2</t>
    <phoneticPr fontId="2" type="noConversion"/>
  </si>
  <si>
    <t>CNY_Treasury_Live_Curve_2012-3-27_Calibrated_Curve_3</t>
    <phoneticPr fontId="2" type="noConversion"/>
  </si>
  <si>
    <t>CNY_Treasury_Live_Curve_2012-3-27_Calibrated_Curve_4</t>
    <phoneticPr fontId="2" type="noConversion"/>
  </si>
  <si>
    <t>CNY_Treasury_Live_Curve_2012-3-27_Calibrated_Curve_5</t>
    <phoneticPr fontId="2" type="noConversion"/>
  </si>
  <si>
    <t>CNY_Treasury_Live_Curve_2012-3-27_Calibrated_Curve_6</t>
    <phoneticPr fontId="2" type="noConversion"/>
  </si>
  <si>
    <t>CNY_Treasury_Live_Curve_2012-3-27_Calibrated_Curve_7</t>
    <phoneticPr fontId="2" type="noConversion"/>
  </si>
  <si>
    <t>CNY_Treasury_Live_Curve_2012-3-28_Calibrated_Curve_1</t>
    <phoneticPr fontId="2" type="noConversion"/>
  </si>
  <si>
    <t>CNY_Treasury_Live_Curve_2012-3-28_Calibrated_Curve_2</t>
    <phoneticPr fontId="2" type="noConversion"/>
  </si>
  <si>
    <t>CNY_Treasury_Live_Curve_2012-3-28_Calibrated_Curve_3</t>
    <phoneticPr fontId="2" type="noConversion"/>
  </si>
  <si>
    <t>CNY_Treasury_Live_Curve_2012-3-28_Calibrated_Curve_4</t>
    <phoneticPr fontId="2" type="noConversion"/>
  </si>
  <si>
    <t>CNY_Treasury_Live_Curve_2012-3-28_Calibrated_Curve_5</t>
    <phoneticPr fontId="2" type="noConversion"/>
  </si>
  <si>
    <t>CNY_Treasury_Live_Curve_2012-3-28_Calibrated_Curve_6</t>
    <phoneticPr fontId="2" type="noConversion"/>
  </si>
  <si>
    <t>CNY_Treasury_Live_Curve_2012-3-28_Calibrated_Curve_7</t>
    <phoneticPr fontId="2" type="noConversion"/>
  </si>
  <si>
    <t>CNY_Treasury_Live_Curve_2012-3-29_Calibrated_Curve_1</t>
    <phoneticPr fontId="2" type="noConversion"/>
  </si>
  <si>
    <t>CNY_Treasury_Live_Curve_2012-3-29_Calibrated_Curve_2</t>
    <phoneticPr fontId="2" type="noConversion"/>
  </si>
  <si>
    <t>CNY_Treasury_Live_Curve_2012-3-29_Calibrated_Curve_3</t>
    <phoneticPr fontId="2" type="noConversion"/>
  </si>
  <si>
    <t>CNY_Treasury_Live_Curve_2012-3-29_Calibrated_Curve_4</t>
    <phoneticPr fontId="2" type="noConversion"/>
  </si>
  <si>
    <t>CNY_Treasury_Live_Curve_2012-3-29_Calibrated_Curve_5</t>
    <phoneticPr fontId="2" type="noConversion"/>
  </si>
  <si>
    <t>CNY_Treasury_Live_Curve_2012-3-29_Calibrated_Curve_6</t>
    <phoneticPr fontId="2" type="noConversion"/>
  </si>
  <si>
    <t>CNY_Treasury_Live_Curve_2012-3-29_Calibrated_Curve_7</t>
    <phoneticPr fontId="2" type="noConversion"/>
  </si>
  <si>
    <t>CNY_Treasury_Live_Curve_2012-3-30_Calibrated_Curve_1</t>
    <phoneticPr fontId="2" type="noConversion"/>
  </si>
  <si>
    <t>CNY_Treasury_Live_Curve_2012-3-30_Calibrated_Curve_2</t>
    <phoneticPr fontId="2" type="noConversion"/>
  </si>
  <si>
    <t>CNY_Treasury_Live_Curve_2012-3-30_Calibrated_Curve_3</t>
    <phoneticPr fontId="2" type="noConversion"/>
  </si>
  <si>
    <t>CNY_Treasury_Live_Curve_2012-3-30_Calibrated_Curve_4</t>
    <phoneticPr fontId="2" type="noConversion"/>
  </si>
  <si>
    <t>CNY_Treasury_Live_Curve_2012-3-30_Calibrated_Curve_5</t>
    <phoneticPr fontId="2" type="noConversion"/>
  </si>
  <si>
    <t>CNY_Treasury_Live_Curve_2012-3-30_Calibrated_Curve_6</t>
    <phoneticPr fontId="2" type="noConversion"/>
  </si>
  <si>
    <t>CNY_Treasury_Live_Curve_2012-3-30_Calibrated_Curve_7</t>
    <phoneticPr fontId="2" type="noConversion"/>
  </si>
  <si>
    <t>CNY_Treasury_Live_Curve_2012-3-31_Calibrated_Curve_1</t>
    <phoneticPr fontId="2" type="noConversion"/>
  </si>
  <si>
    <t>CNY_Treasury_Live_Curve_2012-3-31_Calibrated_Curve_2</t>
    <phoneticPr fontId="2" type="noConversion"/>
  </si>
  <si>
    <t>CNY_Treasury_Live_Curve_2012-3-31_Calibrated_Curve_3</t>
    <phoneticPr fontId="2" type="noConversion"/>
  </si>
  <si>
    <t>CNY_Treasury_Live_Curve_2012-3-31_Calibrated_Curve_4</t>
    <phoneticPr fontId="2" type="noConversion"/>
  </si>
  <si>
    <t>CNY_Treasury_Live_Curve_2012-3-31_Calibrated_Curve_5</t>
    <phoneticPr fontId="2" type="noConversion"/>
  </si>
  <si>
    <t>CNY_Treasury_Live_Curve_2012-3-31_Calibrated_Curve_6</t>
    <phoneticPr fontId="2" type="noConversion"/>
  </si>
  <si>
    <t>CNY_Treasury_Live_Curve_2012-3-31_Calibrated_Curve_7</t>
    <phoneticPr fontId="2" type="noConversion"/>
  </si>
  <si>
    <t>CNY_Treasury_Live_Curve_2012-3-5_Calibrated_Curve_1</t>
    <phoneticPr fontId="2" type="noConversion"/>
  </si>
  <si>
    <t>CNY_Treasury_Live_Curve_2012-3-5_Calibrated_Curve_2</t>
    <phoneticPr fontId="2" type="noConversion"/>
  </si>
  <si>
    <t>CNY_Treasury_Live_Curve_2012-3-5_Calibrated_Curve_3</t>
    <phoneticPr fontId="2" type="noConversion"/>
  </si>
  <si>
    <t>CNY_Treasury_Live_Curve_2012-3-5_Calibrated_Curve_4</t>
    <phoneticPr fontId="2" type="noConversion"/>
  </si>
  <si>
    <t>CNY_Treasury_Live_Curve_2012-3-5_Calibrated_Curve_5</t>
    <phoneticPr fontId="2" type="noConversion"/>
  </si>
  <si>
    <t>CNY_Treasury_Live_Curve_2012-3-5_Calibrated_Curve_6</t>
    <phoneticPr fontId="2" type="noConversion"/>
  </si>
  <si>
    <t>CNY_Treasury_Live_Curve_2012-3-5_Calibrated_Curve_7</t>
    <phoneticPr fontId="2" type="noConversion"/>
  </si>
  <si>
    <t>CNY_Treasury_Live_Curve_2012-3-6_Calibrated_Curve_1</t>
    <phoneticPr fontId="2" type="noConversion"/>
  </si>
  <si>
    <t>CNY_Treasury_Live_Curve_2012-3-6_Calibrated_Curve_2</t>
    <phoneticPr fontId="2" type="noConversion"/>
  </si>
  <si>
    <t>CNY_Treasury_Live_Curve_2012-3-6_Calibrated_Curve_3</t>
    <phoneticPr fontId="2" type="noConversion"/>
  </si>
  <si>
    <t>CNY_Treasury_Live_Curve_2012-3-6_Calibrated_Curve_4</t>
    <phoneticPr fontId="2" type="noConversion"/>
  </si>
  <si>
    <t>CNY_Treasury_Live_Curve_2012-3-6_Calibrated_Curve_5</t>
    <phoneticPr fontId="2" type="noConversion"/>
  </si>
  <si>
    <t>CNY_Treasury_Live_Curve_2012-3-6_Calibrated_Curve_6</t>
    <phoneticPr fontId="2" type="noConversion"/>
  </si>
  <si>
    <t>CNY_Treasury_Live_Curve_2012-3-6_Calibrated_Curve_7</t>
    <phoneticPr fontId="2" type="noConversion"/>
  </si>
  <si>
    <t>CNY_Treasury_Live_Curve_2012-3-7_Calibrated_Curve_1</t>
    <phoneticPr fontId="2" type="noConversion"/>
  </si>
  <si>
    <t>CNY_Treasury_Live_Curve_2012-3-7_Calibrated_Curve_2</t>
    <phoneticPr fontId="2" type="noConversion"/>
  </si>
  <si>
    <t>CNY_Treasury_Live_Curve_2012-3-7_Calibrated_Curve_3</t>
    <phoneticPr fontId="2" type="noConversion"/>
  </si>
  <si>
    <t>CNY_Treasury_Live_Curve_2012-3-7_Calibrated_Curve_4</t>
    <phoneticPr fontId="2" type="noConversion"/>
  </si>
  <si>
    <t>CNY_Treasury_Live_Curve_2012-3-7_Calibrated_Curve_5</t>
    <phoneticPr fontId="2" type="noConversion"/>
  </si>
  <si>
    <t>CNY_Treasury_Live_Curve_2012-3-7_Calibrated_Curve_6</t>
    <phoneticPr fontId="2" type="noConversion"/>
  </si>
  <si>
    <t>CNY_Treasury_Live_Curve_2012-3-7_Calibrated_Curve_7</t>
    <phoneticPr fontId="2" type="noConversion"/>
  </si>
  <si>
    <t>CNY_Treasury_Live_Curve_2012-3-8_Calibrated_Curve_1</t>
    <phoneticPr fontId="2" type="noConversion"/>
  </si>
  <si>
    <t>CNY_Treasury_Live_Curve_2012-3-8_Calibrated_Curve_2</t>
    <phoneticPr fontId="2" type="noConversion"/>
  </si>
  <si>
    <t>CNY_Treasury_Live_Curve_2012-3-8_Calibrated_Curve_3</t>
    <phoneticPr fontId="2" type="noConversion"/>
  </si>
  <si>
    <t>CNY_Treasury_Live_Curve_2012-3-8_Calibrated_Curve_4</t>
    <phoneticPr fontId="2" type="noConversion"/>
  </si>
  <si>
    <t>CNY_Treasury_Live_Curve_2012-3-8_Calibrated_Curve_5</t>
    <phoneticPr fontId="2" type="noConversion"/>
  </si>
  <si>
    <t>CNY_Treasury_Live_Curve_2012-3-8_Calibrated_Curve_6</t>
    <phoneticPr fontId="2" type="noConversion"/>
  </si>
  <si>
    <t>CNY_Treasury_Live_Curve_2012-3-8_Calibrated_Curve_7</t>
    <phoneticPr fontId="2" type="noConversion"/>
  </si>
  <si>
    <t>CNY_Treasury_Live_Curve_2012-3-9_Calibrated_Curve_1</t>
    <phoneticPr fontId="2" type="noConversion"/>
  </si>
  <si>
    <t>CNY_Treasury_Live_Curve_2012-3-9_Calibrated_Curve_2</t>
    <phoneticPr fontId="2" type="noConversion"/>
  </si>
  <si>
    <t>CNY_Treasury_Live_Curve_2012-3-9_Calibrated_Curve_3</t>
    <phoneticPr fontId="2" type="noConversion"/>
  </si>
  <si>
    <t>CNY_Treasury_Live_Curve_2012-3-9_Calibrated_Curve_4</t>
    <phoneticPr fontId="2" type="noConversion"/>
  </si>
  <si>
    <t>CNY_Treasury_Live_Curve_2012-3-9_Calibrated_Curve_5</t>
    <phoneticPr fontId="2" type="noConversion"/>
  </si>
  <si>
    <t>CNY_Treasury_Live_Curve_2012-3-9_Calibrated_Curve_6</t>
    <phoneticPr fontId="2" type="noConversion"/>
  </si>
  <si>
    <t>CNY_Treasury_Live_Curve_2012-3-9_Calibrated_Curve_7</t>
    <phoneticPr fontId="2" type="noConversion"/>
  </si>
  <si>
    <t>CNY_Treasury_Live_Curve_2012-4-1_Calibrated_Curve_1</t>
    <phoneticPr fontId="2" type="noConversion"/>
  </si>
  <si>
    <t>CNY_Treasury_Live_Curve_2012-4-1_Calibrated_Curve_2</t>
    <phoneticPr fontId="2" type="noConversion"/>
  </si>
  <si>
    <t>CNY_Treasury_Live_Curve_2012-4-1_Calibrated_Curve_3</t>
    <phoneticPr fontId="2" type="noConversion"/>
  </si>
  <si>
    <t>CNY_Treasury_Live_Curve_2012-4-1_Calibrated_Curve_4</t>
    <phoneticPr fontId="2" type="noConversion"/>
  </si>
  <si>
    <t>CNY_Treasury_Live_Curve_2012-4-1_Calibrated_Curve_5</t>
    <phoneticPr fontId="2" type="noConversion"/>
  </si>
  <si>
    <t>CNY_Treasury_Live_Curve_2012-4-1_Calibrated_Curve_6</t>
    <phoneticPr fontId="2" type="noConversion"/>
  </si>
  <si>
    <t>CNY_Treasury_Live_Curve_2012-4-1_Calibrated_Curve_7</t>
    <phoneticPr fontId="2" type="noConversion"/>
  </si>
  <si>
    <t>CNY_Treasury_Live_Curve_2012-4-10_Calibrated_Curve_1</t>
    <phoneticPr fontId="2" type="noConversion"/>
  </si>
  <si>
    <t>CNY_Treasury_Live_Curve_2012-4-10_Calibrated_Curve_2</t>
    <phoneticPr fontId="2" type="noConversion"/>
  </si>
  <si>
    <t>CNY_Treasury_Live_Curve_2012-4-10_Calibrated_Curve_3</t>
    <phoneticPr fontId="2" type="noConversion"/>
  </si>
  <si>
    <t>CNY_Treasury_Live_Curve_2012-4-10_Calibrated_Curve_4</t>
    <phoneticPr fontId="2" type="noConversion"/>
  </si>
  <si>
    <t>CNY_Treasury_Live_Curve_2012-4-10_Calibrated_Curve_5</t>
    <phoneticPr fontId="2" type="noConversion"/>
  </si>
  <si>
    <t>CNY_Treasury_Live_Curve_2012-4-10_Calibrated_Curve_6</t>
    <phoneticPr fontId="2" type="noConversion"/>
  </si>
  <si>
    <t>CNY_Treasury_Live_Curve_2012-4-10_Calibrated_Curve_7</t>
    <phoneticPr fontId="2" type="noConversion"/>
  </si>
  <si>
    <t>CNY_Treasury_Live_Curve_2012-4-11_Calibrated_Curve_1</t>
    <phoneticPr fontId="2" type="noConversion"/>
  </si>
  <si>
    <t>CNY_Treasury_Live_Curve_2012-4-11_Calibrated_Curve_2</t>
    <phoneticPr fontId="2" type="noConversion"/>
  </si>
  <si>
    <t>CNY_Treasury_Live_Curve_2012-4-11_Calibrated_Curve_3</t>
    <phoneticPr fontId="2" type="noConversion"/>
  </si>
  <si>
    <t>CNY_Treasury_Live_Curve_2012-4-11_Calibrated_Curve_4</t>
    <phoneticPr fontId="2" type="noConversion"/>
  </si>
  <si>
    <t>CNY_Treasury_Live_Curve_2012-4-11_Calibrated_Curve_5</t>
    <phoneticPr fontId="2" type="noConversion"/>
  </si>
  <si>
    <t>CNY_Treasury_Live_Curve_2012-4-11_Calibrated_Curve_6</t>
    <phoneticPr fontId="2" type="noConversion"/>
  </si>
  <si>
    <t>CNY_Treasury_Live_Curve_2012-4-11_Calibrated_Curve_7</t>
    <phoneticPr fontId="2" type="noConversion"/>
  </si>
  <si>
    <t>CNY_Treasury_Live_Curve_2012-4-12_Calibrated_Curve_1</t>
    <phoneticPr fontId="2" type="noConversion"/>
  </si>
  <si>
    <t>CNY_Treasury_Live_Curve_2012-4-12_Calibrated_Curve_2</t>
    <phoneticPr fontId="2" type="noConversion"/>
  </si>
  <si>
    <t>CNY_Treasury_Live_Curve_2012-4-12_Calibrated_Curve_3</t>
    <phoneticPr fontId="2" type="noConversion"/>
  </si>
  <si>
    <t>CNY_Treasury_Live_Curve_2012-4-12_Calibrated_Curve_4</t>
    <phoneticPr fontId="2" type="noConversion"/>
  </si>
  <si>
    <t>CNY_Treasury_Live_Curve_2012-4-12_Calibrated_Curve_5</t>
    <phoneticPr fontId="2" type="noConversion"/>
  </si>
  <si>
    <t>CNY_Treasury_Live_Curve_2012-4-12_Calibrated_Curve_6</t>
    <phoneticPr fontId="2" type="noConversion"/>
  </si>
  <si>
    <t>CNY_Treasury_Live_Curve_2012-4-12_Calibrated_Curve_7</t>
    <phoneticPr fontId="2" type="noConversion"/>
  </si>
  <si>
    <t>CNY_Treasury_Live_Curve_2012-4-13_Calibrated_Curve_1</t>
    <phoneticPr fontId="2" type="noConversion"/>
  </si>
  <si>
    <t>CNY_Treasury_Live_Curve_2012-4-13_Calibrated_Curve_2</t>
    <phoneticPr fontId="2" type="noConversion"/>
  </si>
  <si>
    <t>CNY_Treasury_Live_Curve_2012-4-13_Calibrated_Curve_3</t>
    <phoneticPr fontId="2" type="noConversion"/>
  </si>
  <si>
    <t>CNY_Treasury_Live_Curve_2012-4-13_Calibrated_Curve_4</t>
    <phoneticPr fontId="2" type="noConversion"/>
  </si>
  <si>
    <t>CNY_Treasury_Live_Curve_2012-4-13_Calibrated_Curve_5</t>
    <phoneticPr fontId="2" type="noConversion"/>
  </si>
  <si>
    <t>CNY_Treasury_Live_Curve_2012-4-13_Calibrated_Curve_6</t>
    <phoneticPr fontId="2" type="noConversion"/>
  </si>
  <si>
    <t>CNY_Treasury_Live_Curve_2012-4-13_Calibrated_Curve_7</t>
    <phoneticPr fontId="2" type="noConversion"/>
  </si>
  <si>
    <t>CNY_Treasury_Live_Curve_2012-4-16_Calibrated_Curve_1</t>
    <phoneticPr fontId="2" type="noConversion"/>
  </si>
  <si>
    <t>CNY_Treasury_Live_Curve_2012-4-16_Calibrated_Curve_2</t>
    <phoneticPr fontId="2" type="noConversion"/>
  </si>
  <si>
    <t>CNY_Treasury_Live_Curve_2012-4-16_Calibrated_Curve_3</t>
    <phoneticPr fontId="2" type="noConversion"/>
  </si>
  <si>
    <t>CNY_Treasury_Live_Curve_2012-4-16_Calibrated_Curve_4</t>
    <phoneticPr fontId="2" type="noConversion"/>
  </si>
  <si>
    <t>CNY_Treasury_Live_Curve_2012-4-16_Calibrated_Curve_5</t>
    <phoneticPr fontId="2" type="noConversion"/>
  </si>
  <si>
    <t>CNY_Treasury_Live_Curve_2012-4-16_Calibrated_Curve_6</t>
    <phoneticPr fontId="2" type="noConversion"/>
  </si>
  <si>
    <t>CNY_Treasury_Live_Curve_2012-4-16_Calibrated_Curve_7</t>
    <phoneticPr fontId="2" type="noConversion"/>
  </si>
  <si>
    <t>CNY_Treasury_Live_Curve_2012-4-17_Calibrated_Curve_1</t>
    <phoneticPr fontId="2" type="noConversion"/>
  </si>
  <si>
    <t>CNY_Treasury_Live_Curve_2012-4-17_Calibrated_Curve_2</t>
    <phoneticPr fontId="2" type="noConversion"/>
  </si>
  <si>
    <t>CNY_Treasury_Live_Curve_2012-4-17_Calibrated_Curve_3</t>
    <phoneticPr fontId="2" type="noConversion"/>
  </si>
  <si>
    <t>CNY_Treasury_Live_Curve_2012-4-17_Calibrated_Curve_4</t>
    <phoneticPr fontId="2" type="noConversion"/>
  </si>
  <si>
    <t>CNY_Treasury_Live_Curve_2012-4-17_Calibrated_Curve_5</t>
    <phoneticPr fontId="2" type="noConversion"/>
  </si>
  <si>
    <t>CNY_Treasury_Live_Curve_2012-4-17_Calibrated_Curve_6</t>
    <phoneticPr fontId="2" type="noConversion"/>
  </si>
  <si>
    <t>CNY_Treasury_Live_Curve_2012-4-17_Calibrated_Curve_7</t>
    <phoneticPr fontId="2" type="noConversion"/>
  </si>
  <si>
    <t>CNY_Treasury_Live_Curve_2012-4-18_Calibrated_Curve_1</t>
    <phoneticPr fontId="2" type="noConversion"/>
  </si>
  <si>
    <t>CNY_Treasury_Live_Curve_2012-4-18_Calibrated_Curve_2</t>
    <phoneticPr fontId="2" type="noConversion"/>
  </si>
  <si>
    <t>CNY_Treasury_Live_Curve_2012-4-18_Calibrated_Curve_3</t>
    <phoneticPr fontId="2" type="noConversion"/>
  </si>
  <si>
    <t>CNY_Treasury_Live_Curve_2012-4-18_Calibrated_Curve_4</t>
    <phoneticPr fontId="2" type="noConversion"/>
  </si>
  <si>
    <t>CNY_Treasury_Live_Curve_2012-4-18_Calibrated_Curve_5</t>
    <phoneticPr fontId="2" type="noConversion"/>
  </si>
  <si>
    <t>CNY_Treasury_Live_Curve_2012-4-18_Calibrated_Curve_6</t>
    <phoneticPr fontId="2" type="noConversion"/>
  </si>
  <si>
    <t>CNY_Treasury_Live_Curve_2012-4-18_Calibrated_Curve_7</t>
    <phoneticPr fontId="2" type="noConversion"/>
  </si>
  <si>
    <t>CNY_Treasury_Live_Curve_2012-4-19_Calibrated_Curve_1</t>
    <phoneticPr fontId="2" type="noConversion"/>
  </si>
  <si>
    <t>CNY_Treasury_Live_Curve_2012-4-19_Calibrated_Curve_2</t>
    <phoneticPr fontId="2" type="noConversion"/>
  </si>
  <si>
    <t>CNY_Treasury_Live_Curve_2012-4-19_Calibrated_Curve_3</t>
    <phoneticPr fontId="2" type="noConversion"/>
  </si>
  <si>
    <t>CNY_Treasury_Live_Curve_2012-4-19_Calibrated_Curve_4</t>
    <phoneticPr fontId="2" type="noConversion"/>
  </si>
  <si>
    <t>CNY_Treasury_Live_Curve_2012-4-19_Calibrated_Curve_5</t>
    <phoneticPr fontId="2" type="noConversion"/>
  </si>
  <si>
    <t>CNY_Treasury_Live_Curve_2012-4-19_Calibrated_Curve_6</t>
    <phoneticPr fontId="2" type="noConversion"/>
  </si>
  <si>
    <t>CNY_Treasury_Live_Curve_2012-4-19_Calibrated_Curve_7</t>
    <phoneticPr fontId="2" type="noConversion"/>
  </si>
  <si>
    <t>CNY_Treasury_Live_Curve_2012-4-20_Calibrated_Curve_1</t>
    <phoneticPr fontId="2" type="noConversion"/>
  </si>
  <si>
    <t>CNY_Treasury_Live_Curve_2012-4-20_Calibrated_Curve_2</t>
    <phoneticPr fontId="2" type="noConversion"/>
  </si>
  <si>
    <t>CNY_Treasury_Live_Curve_2012-4-20_Calibrated_Curve_3</t>
    <phoneticPr fontId="2" type="noConversion"/>
  </si>
  <si>
    <t>CNY_Treasury_Live_Curve_2012-4-20_Calibrated_Curve_4</t>
    <phoneticPr fontId="2" type="noConversion"/>
  </si>
  <si>
    <t>CNY_Treasury_Live_Curve_2012-4-20_Calibrated_Curve_5</t>
    <phoneticPr fontId="2" type="noConversion"/>
  </si>
  <si>
    <t>CNY_Treasury_Live_Curve_2012-4-20_Calibrated_Curve_6</t>
    <phoneticPr fontId="2" type="noConversion"/>
  </si>
  <si>
    <t>CNY_Treasury_Live_Curve_2012-4-20_Calibrated_Curve_7</t>
    <phoneticPr fontId="2" type="noConversion"/>
  </si>
  <si>
    <t>CNY_Treasury_Live_Curve_2012-4-23_Calibrated_Curve_1</t>
    <phoneticPr fontId="2" type="noConversion"/>
  </si>
  <si>
    <t>CNY_Treasury_Live_Curve_2012-4-23_Calibrated_Curve_2</t>
    <phoneticPr fontId="2" type="noConversion"/>
  </si>
  <si>
    <t>CNY_Treasury_Live_Curve_2012-4-23_Calibrated_Curve_3</t>
    <phoneticPr fontId="2" type="noConversion"/>
  </si>
  <si>
    <t>CNY_Treasury_Live_Curve_2012-4-23_Calibrated_Curve_4</t>
    <phoneticPr fontId="2" type="noConversion"/>
  </si>
  <si>
    <t>CNY_Treasury_Live_Curve_2012-4-23_Calibrated_Curve_5</t>
    <phoneticPr fontId="2" type="noConversion"/>
  </si>
  <si>
    <t>CNY_Treasury_Live_Curve_2012-4-23_Calibrated_Curve_6</t>
    <phoneticPr fontId="2" type="noConversion"/>
  </si>
  <si>
    <t>CNY_Treasury_Live_Curve_2012-4-23_Calibrated_Curve_7</t>
    <phoneticPr fontId="2" type="noConversion"/>
  </si>
  <si>
    <t>CNY_Treasury_Live_Curve_2012-4-24_Calibrated_Curve_1</t>
    <phoneticPr fontId="2" type="noConversion"/>
  </si>
  <si>
    <t>CNY_Treasury_Live_Curve_2012-4-24_Calibrated_Curve_2</t>
    <phoneticPr fontId="2" type="noConversion"/>
  </si>
  <si>
    <t>CNY_Treasury_Live_Curve_2012-4-24_Calibrated_Curve_3</t>
    <phoneticPr fontId="2" type="noConversion"/>
  </si>
  <si>
    <t>CNY_Treasury_Live_Curve_2012-4-24_Calibrated_Curve_4</t>
    <phoneticPr fontId="2" type="noConversion"/>
  </si>
  <si>
    <t>CNY_Treasury_Live_Curve_2012-4-24_Calibrated_Curve_5</t>
    <phoneticPr fontId="2" type="noConversion"/>
  </si>
  <si>
    <t>CNY_Treasury_Live_Curve_2012-4-24_Calibrated_Curve_6</t>
    <phoneticPr fontId="2" type="noConversion"/>
  </si>
  <si>
    <t>CNY_Treasury_Live_Curve_2012-4-24_Calibrated_Curve_7</t>
    <phoneticPr fontId="2" type="noConversion"/>
  </si>
  <si>
    <t>CNY_Treasury_Live_Curve_2012-4-25_Calibrated_Curve_1</t>
    <phoneticPr fontId="2" type="noConversion"/>
  </si>
  <si>
    <t>CNY_Treasury_Live_Curve_2012-4-25_Calibrated_Curve_2</t>
    <phoneticPr fontId="2" type="noConversion"/>
  </si>
  <si>
    <t>CNY_Treasury_Live_Curve_2012-4-25_Calibrated_Curve_3</t>
    <phoneticPr fontId="2" type="noConversion"/>
  </si>
  <si>
    <t>CNY_Treasury_Live_Curve_2012-4-25_Calibrated_Curve_4</t>
    <phoneticPr fontId="2" type="noConversion"/>
  </si>
  <si>
    <t>CNY_Treasury_Live_Curve_2012-4-25_Calibrated_Curve_5</t>
    <phoneticPr fontId="2" type="noConversion"/>
  </si>
  <si>
    <t>CNY_Treasury_Live_Curve_2012-4-25_Calibrated_Curve_6</t>
    <phoneticPr fontId="2" type="noConversion"/>
  </si>
  <si>
    <t>CNY_Treasury_Live_Curve_2012-4-25_Calibrated_Curve_7</t>
    <phoneticPr fontId="2" type="noConversion"/>
  </si>
  <si>
    <t>CNY_Treasury_Live_Curve_2012-4-26_Calibrated_Curve_1</t>
    <phoneticPr fontId="2" type="noConversion"/>
  </si>
  <si>
    <t>CNY_Treasury_Live_Curve_2012-4-26_Calibrated_Curve_2</t>
    <phoneticPr fontId="2" type="noConversion"/>
  </si>
  <si>
    <t>CNY_Treasury_Live_Curve_2012-4-26_Calibrated_Curve_3</t>
    <phoneticPr fontId="2" type="noConversion"/>
  </si>
  <si>
    <t>CNY_Treasury_Live_Curve_2012-4-26_Calibrated_Curve_4</t>
    <phoneticPr fontId="2" type="noConversion"/>
  </si>
  <si>
    <t>CNY_Treasury_Live_Curve_2012-4-26_Calibrated_Curve_5</t>
    <phoneticPr fontId="2" type="noConversion"/>
  </si>
  <si>
    <t>CNY_Treasury_Live_Curve_2012-4-26_Calibrated_Curve_6</t>
    <phoneticPr fontId="2" type="noConversion"/>
  </si>
  <si>
    <t>CNY_Treasury_Live_Curve_2012-4-26_Calibrated_Curve_7</t>
    <phoneticPr fontId="2" type="noConversion"/>
  </si>
  <si>
    <t>CNY_Treasury_Live_Curve_2012-4-27_Calibrated_Curve_1</t>
    <phoneticPr fontId="2" type="noConversion"/>
  </si>
  <si>
    <t>CNY_Treasury_Live_Curve_2012-4-27_Calibrated_Curve_2</t>
    <phoneticPr fontId="2" type="noConversion"/>
  </si>
  <si>
    <t>CNY_Treasury_Live_Curve_2012-4-27_Calibrated_Curve_3</t>
    <phoneticPr fontId="2" type="noConversion"/>
  </si>
  <si>
    <t>CNY_Treasury_Live_Curve_2012-4-27_Calibrated_Curve_4</t>
    <phoneticPr fontId="2" type="noConversion"/>
  </si>
  <si>
    <t>CNY_Treasury_Live_Curve_2012-4-27_Calibrated_Curve_5</t>
    <phoneticPr fontId="2" type="noConversion"/>
  </si>
  <si>
    <t>CNY_Treasury_Live_Curve_2012-4-27_Calibrated_Curve_6</t>
    <phoneticPr fontId="2" type="noConversion"/>
  </si>
  <si>
    <t>CNY_Treasury_Live_Curve_2012-4-27_Calibrated_Curve_7</t>
    <phoneticPr fontId="2" type="noConversion"/>
  </si>
  <si>
    <t>CNY_Treasury_Live_Curve_2012-4-28_Calibrated_Curve_1</t>
    <phoneticPr fontId="2" type="noConversion"/>
  </si>
  <si>
    <t>CNY_Treasury_Live_Curve_2012-4-28_Calibrated_Curve_2</t>
    <phoneticPr fontId="2" type="noConversion"/>
  </si>
  <si>
    <t>CNY_Treasury_Live_Curve_2012-4-28_Calibrated_Curve_3</t>
    <phoneticPr fontId="2" type="noConversion"/>
  </si>
  <si>
    <t>CNY_Treasury_Live_Curve_2012-4-28_Calibrated_Curve_4</t>
    <phoneticPr fontId="2" type="noConversion"/>
  </si>
  <si>
    <t>CNY_Treasury_Live_Curve_2012-4-28_Calibrated_Curve_5</t>
    <phoneticPr fontId="2" type="noConversion"/>
  </si>
  <si>
    <t>CNY_Treasury_Live_Curve_2012-4-28_Calibrated_Curve_6</t>
    <phoneticPr fontId="2" type="noConversion"/>
  </si>
  <si>
    <t>CNY_Treasury_Live_Curve_2012-4-28_Calibrated_Curve_7</t>
    <phoneticPr fontId="2" type="noConversion"/>
  </si>
  <si>
    <t>CNY_Treasury_Live_Curve_2012-4-5_Calibrated_Curve_1</t>
    <phoneticPr fontId="2" type="noConversion"/>
  </si>
  <si>
    <t>CNY_Treasury_Live_Curve_2012-4-5_Calibrated_Curve_2</t>
    <phoneticPr fontId="2" type="noConversion"/>
  </si>
  <si>
    <t>CNY_Treasury_Live_Curve_2012-4-5_Calibrated_Curve_3</t>
    <phoneticPr fontId="2" type="noConversion"/>
  </si>
  <si>
    <t>CNY_Treasury_Live_Curve_2012-4-5_Calibrated_Curve_4</t>
    <phoneticPr fontId="2" type="noConversion"/>
  </si>
  <si>
    <t>CNY_Treasury_Live_Curve_2012-4-5_Calibrated_Curve_5</t>
    <phoneticPr fontId="2" type="noConversion"/>
  </si>
  <si>
    <t>CNY_Treasury_Live_Curve_2012-4-5_Calibrated_Curve_6</t>
    <phoneticPr fontId="2" type="noConversion"/>
  </si>
  <si>
    <t>CNY_Treasury_Live_Curve_2012-4-5_Calibrated_Curve_7</t>
    <phoneticPr fontId="2" type="noConversion"/>
  </si>
  <si>
    <t>CNY_Treasury_Live_Curve_2012-4-6_Calibrated_Curve_1</t>
    <phoneticPr fontId="2" type="noConversion"/>
  </si>
  <si>
    <t>CNY_Treasury_Live_Curve_2012-4-6_Calibrated_Curve_2</t>
    <phoneticPr fontId="2" type="noConversion"/>
  </si>
  <si>
    <t>CNY_Treasury_Live_Curve_2012-4-6_Calibrated_Curve_3</t>
    <phoneticPr fontId="2" type="noConversion"/>
  </si>
  <si>
    <t>CNY_Treasury_Live_Curve_2012-4-6_Calibrated_Curve_4</t>
    <phoneticPr fontId="2" type="noConversion"/>
  </si>
  <si>
    <t>CNY_Treasury_Live_Curve_2012-4-6_Calibrated_Curve_5</t>
    <phoneticPr fontId="2" type="noConversion"/>
  </si>
  <si>
    <t>CNY_Treasury_Live_Curve_2012-4-6_Calibrated_Curve_6</t>
    <phoneticPr fontId="2" type="noConversion"/>
  </si>
  <si>
    <t>CNY_Treasury_Live_Curve_2012-4-6_Calibrated_Curve_7</t>
    <phoneticPr fontId="2" type="noConversion"/>
  </si>
  <si>
    <t>CNY_Treasury_Live_Curve_2012-4-9_Calibrated_Curve_1</t>
    <phoneticPr fontId="2" type="noConversion"/>
  </si>
  <si>
    <t>CNY_Treasury_Live_Curve_2012-4-9_Calibrated_Curve_2</t>
    <phoneticPr fontId="2" type="noConversion"/>
  </si>
  <si>
    <t>CNY_Treasury_Live_Curve_2012-4-9_Calibrated_Curve_3</t>
    <phoneticPr fontId="2" type="noConversion"/>
  </si>
  <si>
    <t>CNY_Treasury_Live_Curve_2012-4-9_Calibrated_Curve_4</t>
    <phoneticPr fontId="2" type="noConversion"/>
  </si>
  <si>
    <t>CNY_Treasury_Live_Curve_2012-4-9_Calibrated_Curve_5</t>
    <phoneticPr fontId="2" type="noConversion"/>
  </si>
  <si>
    <t>CNY_Treasury_Live_Curve_2012-4-9_Calibrated_Curve_6</t>
    <phoneticPr fontId="2" type="noConversion"/>
  </si>
  <si>
    <t>CNY_Treasury_Live_Curve_2012-4-9_Calibrated_Curve_7</t>
    <phoneticPr fontId="2" type="noConversion"/>
  </si>
  <si>
    <t>CNY_Treasury_Live_Curve_2012-5-10_Calibrated_Curve_1</t>
    <phoneticPr fontId="2" type="noConversion"/>
  </si>
  <si>
    <t>CNY_Treasury_Live_Curve_2012-5-10_Calibrated_Curve_2</t>
    <phoneticPr fontId="2" type="noConversion"/>
  </si>
  <si>
    <t>CNY_Treasury_Live_Curve_2012-5-10_Calibrated_Curve_3</t>
    <phoneticPr fontId="2" type="noConversion"/>
  </si>
  <si>
    <t>CNY_Treasury_Live_Curve_2012-5-10_Calibrated_Curve_4</t>
    <phoneticPr fontId="2" type="noConversion"/>
  </si>
  <si>
    <t>CNY_Treasury_Live_Curve_2012-5-10_Calibrated_Curve_5</t>
    <phoneticPr fontId="2" type="noConversion"/>
  </si>
  <si>
    <t>CNY_Treasury_Live_Curve_2012-5-10_Calibrated_Curve_6</t>
    <phoneticPr fontId="2" type="noConversion"/>
  </si>
  <si>
    <t>CNY_Treasury_Live_Curve_2012-5-10_Calibrated_Curve_7</t>
    <phoneticPr fontId="2" type="noConversion"/>
  </si>
  <si>
    <t>CNY_Treasury_Live_Curve_2012-5-11_Calibrated_Curve_1</t>
    <phoneticPr fontId="2" type="noConversion"/>
  </si>
  <si>
    <t>CNY_Treasury_Live_Curve_2012-5-11_Calibrated_Curve_2</t>
    <phoneticPr fontId="2" type="noConversion"/>
  </si>
  <si>
    <t>CNY_Treasury_Live_Curve_2012-5-11_Calibrated_Curve_3</t>
    <phoneticPr fontId="2" type="noConversion"/>
  </si>
  <si>
    <t>CNY_Treasury_Live_Curve_2012-5-11_Calibrated_Curve_4</t>
    <phoneticPr fontId="2" type="noConversion"/>
  </si>
  <si>
    <t>CNY_Treasury_Live_Curve_2012-5-11_Calibrated_Curve_5</t>
    <phoneticPr fontId="2" type="noConversion"/>
  </si>
  <si>
    <t>CNY_Treasury_Live_Curve_2012-5-11_Calibrated_Curve_6</t>
    <phoneticPr fontId="2" type="noConversion"/>
  </si>
  <si>
    <t>CNY_Treasury_Live_Curve_2012-5-11_Calibrated_Curve_7</t>
    <phoneticPr fontId="2" type="noConversion"/>
  </si>
  <si>
    <t>CNY_Treasury_Live_Curve_2012-5-14_Calibrated_Curve_1</t>
    <phoneticPr fontId="2" type="noConversion"/>
  </si>
  <si>
    <t>CNY_Treasury_Live_Curve_2012-5-14_Calibrated_Curve_2</t>
    <phoneticPr fontId="2" type="noConversion"/>
  </si>
  <si>
    <t>CNY_Treasury_Live_Curve_2012-5-14_Calibrated_Curve_3</t>
    <phoneticPr fontId="2" type="noConversion"/>
  </si>
  <si>
    <t>CNY_Treasury_Live_Curve_2012-5-14_Calibrated_Curve_4</t>
    <phoneticPr fontId="2" type="noConversion"/>
  </si>
  <si>
    <t>CNY_Treasury_Live_Curve_2012-5-14_Calibrated_Curve_5</t>
    <phoneticPr fontId="2" type="noConversion"/>
  </si>
  <si>
    <t>CNY_Treasury_Live_Curve_2012-5-14_Calibrated_Curve_6</t>
    <phoneticPr fontId="2" type="noConversion"/>
  </si>
  <si>
    <t>CNY_Treasury_Live_Curve_2012-5-14_Calibrated_Curve_7</t>
    <phoneticPr fontId="2" type="noConversion"/>
  </si>
  <si>
    <t>CNY_Treasury_Live_Curve_2012-5-15_Calibrated_Curve_1</t>
    <phoneticPr fontId="2" type="noConversion"/>
  </si>
  <si>
    <t>CNY_Treasury_Live_Curve_2012-5-15_Calibrated_Curve_2</t>
    <phoneticPr fontId="2" type="noConversion"/>
  </si>
  <si>
    <t>CNY_Treasury_Live_Curve_2012-5-15_Calibrated_Curve_3</t>
    <phoneticPr fontId="2" type="noConversion"/>
  </si>
  <si>
    <t>CNY_Treasury_Live_Curve_2012-5-15_Calibrated_Curve_4</t>
    <phoneticPr fontId="2" type="noConversion"/>
  </si>
  <si>
    <t>CNY_Treasury_Live_Curve_2012-5-15_Calibrated_Curve_5</t>
    <phoneticPr fontId="2" type="noConversion"/>
  </si>
  <si>
    <t>CNY_Treasury_Live_Curve_2012-5-15_Calibrated_Curve_6</t>
    <phoneticPr fontId="2" type="noConversion"/>
  </si>
  <si>
    <t>CNY_Treasury_Live_Curve_2012-5-15_Calibrated_Curve_7</t>
    <phoneticPr fontId="2" type="noConversion"/>
  </si>
  <si>
    <t>CNY_Treasury_Live_Curve_2012-5-16_Calibrated_Curve_1</t>
    <phoneticPr fontId="2" type="noConversion"/>
  </si>
  <si>
    <t>CNY_Treasury_Live_Curve_2012-5-16_Calibrated_Curve_2</t>
    <phoneticPr fontId="2" type="noConversion"/>
  </si>
  <si>
    <t>CNY_Treasury_Live_Curve_2012-5-16_Calibrated_Curve_3</t>
    <phoneticPr fontId="2" type="noConversion"/>
  </si>
  <si>
    <t>CNY_Treasury_Live_Curve_2012-5-16_Calibrated_Curve_4</t>
    <phoneticPr fontId="2" type="noConversion"/>
  </si>
  <si>
    <t>CNY_Treasury_Live_Curve_2012-5-16_Calibrated_Curve_5</t>
    <phoneticPr fontId="2" type="noConversion"/>
  </si>
  <si>
    <t>CNY_Treasury_Live_Curve_2012-5-16_Calibrated_Curve_6</t>
    <phoneticPr fontId="2" type="noConversion"/>
  </si>
  <si>
    <t>CNY_Treasury_Live_Curve_2012-5-16_Calibrated_Curve_7</t>
    <phoneticPr fontId="2" type="noConversion"/>
  </si>
  <si>
    <t>CNY_Treasury_Live_Curve_2012-5-17_Calibrated_Curve_1</t>
    <phoneticPr fontId="2" type="noConversion"/>
  </si>
  <si>
    <t>CNY_Treasury_Live_Curve_2012-5-17_Calibrated_Curve_2</t>
    <phoneticPr fontId="2" type="noConversion"/>
  </si>
  <si>
    <t>CNY_Treasury_Live_Curve_2012-5-17_Calibrated_Curve_3</t>
    <phoneticPr fontId="2" type="noConversion"/>
  </si>
  <si>
    <t>CNY_Treasury_Live_Curve_2012-5-17_Calibrated_Curve_4</t>
    <phoneticPr fontId="2" type="noConversion"/>
  </si>
  <si>
    <t>CNY_Treasury_Live_Curve_2012-5-17_Calibrated_Curve_5</t>
    <phoneticPr fontId="2" type="noConversion"/>
  </si>
  <si>
    <t>CNY_Treasury_Live_Curve_2012-5-17_Calibrated_Curve_6</t>
    <phoneticPr fontId="2" type="noConversion"/>
  </si>
  <si>
    <t>CNY_Treasury_Live_Curve_2012-5-17_Calibrated_Curve_7</t>
    <phoneticPr fontId="2" type="noConversion"/>
  </si>
  <si>
    <t>CNY_Treasury_Live_Curve_2012-5-18_Calibrated_Curve_1</t>
    <phoneticPr fontId="2" type="noConversion"/>
  </si>
  <si>
    <t>CNY_Treasury_Live_Curve_2012-5-18_Calibrated_Curve_2</t>
    <phoneticPr fontId="2" type="noConversion"/>
  </si>
  <si>
    <t>CNY_Treasury_Live_Curve_2012-5-18_Calibrated_Curve_3</t>
    <phoneticPr fontId="2" type="noConversion"/>
  </si>
  <si>
    <t>CNY_Treasury_Live_Curve_2012-5-18_Calibrated_Curve_4</t>
    <phoneticPr fontId="2" type="noConversion"/>
  </si>
  <si>
    <t>CNY_Treasury_Live_Curve_2012-5-18_Calibrated_Curve_5</t>
    <phoneticPr fontId="2" type="noConversion"/>
  </si>
  <si>
    <t>CNY_Treasury_Live_Curve_2012-5-18_Calibrated_Curve_6</t>
    <phoneticPr fontId="2" type="noConversion"/>
  </si>
  <si>
    <t>CNY_Treasury_Live_Curve_2012-5-18_Calibrated_Curve_7</t>
    <phoneticPr fontId="2" type="noConversion"/>
  </si>
  <si>
    <t>CNY_Treasury_Live_Curve_2012-5-2_Calibrated_Curve_1</t>
    <phoneticPr fontId="2" type="noConversion"/>
  </si>
  <si>
    <t>CNY_Treasury_Live_Curve_2012-5-2_Calibrated_Curve_2</t>
    <phoneticPr fontId="2" type="noConversion"/>
  </si>
  <si>
    <t>CNY_Treasury_Live_Curve_2012-5-2_Calibrated_Curve_3</t>
    <phoneticPr fontId="2" type="noConversion"/>
  </si>
  <si>
    <t>CNY_Treasury_Live_Curve_2012-5-2_Calibrated_Curve_4</t>
    <phoneticPr fontId="2" type="noConversion"/>
  </si>
  <si>
    <t>CNY_Treasury_Live_Curve_2012-5-2_Calibrated_Curve_5</t>
    <phoneticPr fontId="2" type="noConversion"/>
  </si>
  <si>
    <t>CNY_Treasury_Live_Curve_2012-5-2_Calibrated_Curve_6</t>
    <phoneticPr fontId="2" type="noConversion"/>
  </si>
  <si>
    <t>CNY_Treasury_Live_Curve_2012-5-2_Calibrated_Curve_7</t>
    <phoneticPr fontId="2" type="noConversion"/>
  </si>
  <si>
    <t>CNY_Treasury_Live_Curve_2012-5-21_Calibrated_Curve_1</t>
    <phoneticPr fontId="2" type="noConversion"/>
  </si>
  <si>
    <t>CNY_Treasury_Live_Curve_2012-5-21_Calibrated_Curve_2</t>
    <phoneticPr fontId="2" type="noConversion"/>
  </si>
  <si>
    <t>CNY_Treasury_Live_Curve_2012-5-21_Calibrated_Curve_3</t>
    <phoneticPr fontId="2" type="noConversion"/>
  </si>
  <si>
    <t>CNY_Treasury_Live_Curve_2012-5-21_Calibrated_Curve_4</t>
    <phoneticPr fontId="2" type="noConversion"/>
  </si>
  <si>
    <t>CNY_Treasury_Live_Curve_2012-5-21_Calibrated_Curve_5</t>
    <phoneticPr fontId="2" type="noConversion"/>
  </si>
  <si>
    <t>CNY_Treasury_Live_Curve_2012-5-21_Calibrated_Curve_6</t>
    <phoneticPr fontId="2" type="noConversion"/>
  </si>
  <si>
    <t>CNY_Treasury_Live_Curve_2012-5-21_Calibrated_Curve_7</t>
    <phoneticPr fontId="2" type="noConversion"/>
  </si>
  <si>
    <t>CNY_Treasury_Live_Curve_2012-5-22_Calibrated_Curve_1</t>
    <phoneticPr fontId="2" type="noConversion"/>
  </si>
  <si>
    <t>CNY_Treasury_Live_Curve_2012-5-22_Calibrated_Curve_2</t>
    <phoneticPr fontId="2" type="noConversion"/>
  </si>
  <si>
    <t>CNY_Treasury_Live_Curve_2012-5-22_Calibrated_Curve_3</t>
    <phoneticPr fontId="2" type="noConversion"/>
  </si>
  <si>
    <t>CNY_Treasury_Live_Curve_2012-5-22_Calibrated_Curve_4</t>
    <phoneticPr fontId="2" type="noConversion"/>
  </si>
  <si>
    <t>CNY_Treasury_Live_Curve_2012-5-22_Calibrated_Curve_5</t>
    <phoneticPr fontId="2" type="noConversion"/>
  </si>
  <si>
    <t>CNY_Treasury_Live_Curve_2012-5-22_Calibrated_Curve_6</t>
    <phoneticPr fontId="2" type="noConversion"/>
  </si>
  <si>
    <t>CNY_Treasury_Live_Curve_2012-5-22_Calibrated_Curve_7</t>
    <phoneticPr fontId="2" type="noConversion"/>
  </si>
  <si>
    <t>CNY_Treasury_Live_Curve_2012-5-23_Calibrated_Curve_1</t>
    <phoneticPr fontId="2" type="noConversion"/>
  </si>
  <si>
    <t>CNY_Treasury_Live_Curve_2012-5-23_Calibrated_Curve_2</t>
    <phoneticPr fontId="2" type="noConversion"/>
  </si>
  <si>
    <t>CNY_Treasury_Live_Curve_2012-5-23_Calibrated_Curve_3</t>
    <phoneticPr fontId="2" type="noConversion"/>
  </si>
  <si>
    <t>CNY_Treasury_Live_Curve_2012-5-23_Calibrated_Curve_4</t>
    <phoneticPr fontId="2" type="noConversion"/>
  </si>
  <si>
    <t>CNY_Treasury_Live_Curve_2012-5-23_Calibrated_Curve_5</t>
    <phoneticPr fontId="2" type="noConversion"/>
  </si>
  <si>
    <t>CNY_Treasury_Live_Curve_2012-5-23_Calibrated_Curve_6</t>
    <phoneticPr fontId="2" type="noConversion"/>
  </si>
  <si>
    <t>CNY_Treasury_Live_Curve_2012-5-23_Calibrated_Curve_7</t>
    <phoneticPr fontId="2" type="noConversion"/>
  </si>
  <si>
    <t>CNY_Treasury_Live_Curve_2012-5-24_Calibrated_Curve_1</t>
    <phoneticPr fontId="2" type="noConversion"/>
  </si>
  <si>
    <t>CNY_Treasury_Live_Curve_2012-5-24_Calibrated_Curve_2</t>
    <phoneticPr fontId="2" type="noConversion"/>
  </si>
  <si>
    <t>CNY_Treasury_Live_Curve_2012-5-24_Calibrated_Curve_3</t>
    <phoneticPr fontId="2" type="noConversion"/>
  </si>
  <si>
    <t>CNY_Treasury_Live_Curve_2012-5-24_Calibrated_Curve_4</t>
    <phoneticPr fontId="2" type="noConversion"/>
  </si>
  <si>
    <t>CNY_Treasury_Live_Curve_2012-5-24_Calibrated_Curve_5</t>
    <phoneticPr fontId="2" type="noConversion"/>
  </si>
  <si>
    <t>CNY_Treasury_Live_Curve_2012-5-24_Calibrated_Curve_6</t>
    <phoneticPr fontId="2" type="noConversion"/>
  </si>
  <si>
    <t>CNY_Treasury_Live_Curve_2012-5-24_Calibrated_Curve_7</t>
    <phoneticPr fontId="2" type="noConversion"/>
  </si>
  <si>
    <t>CNY_Treasury_Live_Curve_2012-5-25_Calibrated_Curve_1</t>
    <phoneticPr fontId="2" type="noConversion"/>
  </si>
  <si>
    <t>CNY_Treasury_Live_Curve_2012-5-25_Calibrated_Curve_2</t>
    <phoneticPr fontId="2" type="noConversion"/>
  </si>
  <si>
    <t>CNY_Treasury_Live_Curve_2012-5-25_Calibrated_Curve_3</t>
    <phoneticPr fontId="2" type="noConversion"/>
  </si>
  <si>
    <t>CNY_Treasury_Live_Curve_2012-5-25_Calibrated_Curve_4</t>
    <phoneticPr fontId="2" type="noConversion"/>
  </si>
  <si>
    <t>CNY_Treasury_Live_Curve_2012-5-25_Calibrated_Curve_5</t>
    <phoneticPr fontId="2" type="noConversion"/>
  </si>
  <si>
    <t>CNY_Treasury_Live_Curve_2012-5-25_Calibrated_Curve_6</t>
    <phoneticPr fontId="2" type="noConversion"/>
  </si>
  <si>
    <t>CNY_Treasury_Live_Curve_2012-5-25_Calibrated_Curve_7</t>
    <phoneticPr fontId="2" type="noConversion"/>
  </si>
  <si>
    <t>CNY_Treasury_Live_Curve_2012-5-28_Calibrated_Curve_1</t>
    <phoneticPr fontId="2" type="noConversion"/>
  </si>
  <si>
    <t>CNY_Treasury_Live_Curve_2012-5-28_Calibrated_Curve_2</t>
    <phoneticPr fontId="2" type="noConversion"/>
  </si>
  <si>
    <t>CNY_Treasury_Live_Curve_2012-5-28_Calibrated_Curve_3</t>
    <phoneticPr fontId="2" type="noConversion"/>
  </si>
  <si>
    <t>CNY_Treasury_Live_Curve_2012-5-28_Calibrated_Curve_4</t>
    <phoneticPr fontId="2" type="noConversion"/>
  </si>
  <si>
    <t>CNY_Treasury_Live_Curve_2012-5-28_Calibrated_Curve_5</t>
    <phoneticPr fontId="2" type="noConversion"/>
  </si>
  <si>
    <t>CNY_Treasury_Live_Curve_2012-5-28_Calibrated_Curve_6</t>
    <phoneticPr fontId="2" type="noConversion"/>
  </si>
  <si>
    <t>CNY_Treasury_Live_Curve_2012-5-28_Calibrated_Curve_7</t>
    <phoneticPr fontId="2" type="noConversion"/>
  </si>
  <si>
    <t>CNY_Treasury_Live_Curve_2012-5-29_Calibrated_Curve_1</t>
    <phoneticPr fontId="2" type="noConversion"/>
  </si>
  <si>
    <t>CNY_Treasury_Live_Curve_2012-5-29_Calibrated_Curve_2</t>
    <phoneticPr fontId="2" type="noConversion"/>
  </si>
  <si>
    <t>CNY_Treasury_Live_Curve_2012-5-29_Calibrated_Curve_3</t>
    <phoneticPr fontId="2" type="noConversion"/>
  </si>
  <si>
    <t>CNY_Treasury_Live_Curve_2012-5-29_Calibrated_Curve_4</t>
    <phoneticPr fontId="2" type="noConversion"/>
  </si>
  <si>
    <t>CNY_Treasury_Live_Curve_2012-5-29_Calibrated_Curve_5</t>
    <phoneticPr fontId="2" type="noConversion"/>
  </si>
  <si>
    <t>CNY_Treasury_Live_Curve_2012-5-29_Calibrated_Curve_6</t>
    <phoneticPr fontId="2" type="noConversion"/>
  </si>
  <si>
    <t>CNY_Treasury_Live_Curve_2012-5-29_Calibrated_Curve_7</t>
    <phoneticPr fontId="2" type="noConversion"/>
  </si>
  <si>
    <t>CNY_Treasury_Live_Curve_2012-5-3_Calibrated_Curve_1</t>
    <phoneticPr fontId="2" type="noConversion"/>
  </si>
  <si>
    <t>CNY_Treasury_Live_Curve_2012-5-3_Calibrated_Curve_2</t>
    <phoneticPr fontId="2" type="noConversion"/>
  </si>
  <si>
    <t>CNY_Treasury_Live_Curve_2012-5-3_Calibrated_Curve_3</t>
    <phoneticPr fontId="2" type="noConversion"/>
  </si>
  <si>
    <t>CNY_Treasury_Live_Curve_2012-5-3_Calibrated_Curve_4</t>
    <phoneticPr fontId="2" type="noConversion"/>
  </si>
  <si>
    <t>CNY_Treasury_Live_Curve_2012-5-3_Calibrated_Curve_5</t>
    <phoneticPr fontId="2" type="noConversion"/>
  </si>
  <si>
    <t>CNY_Treasury_Live_Curve_2012-5-3_Calibrated_Curve_6</t>
    <phoneticPr fontId="2" type="noConversion"/>
  </si>
  <si>
    <t>CNY_Treasury_Live_Curve_2012-5-3_Calibrated_Curve_7</t>
    <phoneticPr fontId="2" type="noConversion"/>
  </si>
  <si>
    <t>CNY_Treasury_Live_Curve_2012-5-30_Calibrated_Curve_1</t>
    <phoneticPr fontId="2" type="noConversion"/>
  </si>
  <si>
    <t>CNY_Treasury_Live_Curve_2012-5-30_Calibrated_Curve_2</t>
    <phoneticPr fontId="2" type="noConversion"/>
  </si>
  <si>
    <t>CNY_Treasury_Live_Curve_2012-5-30_Calibrated_Curve_3</t>
    <phoneticPr fontId="2" type="noConversion"/>
  </si>
  <si>
    <t>CNY_Treasury_Live_Curve_2012-5-30_Calibrated_Curve_4</t>
    <phoneticPr fontId="2" type="noConversion"/>
  </si>
  <si>
    <t>CNY_Treasury_Live_Curve_2012-5-30_Calibrated_Curve_5</t>
    <phoneticPr fontId="2" type="noConversion"/>
  </si>
  <si>
    <t>CNY_Treasury_Live_Curve_2012-5-30_Calibrated_Curve_6</t>
    <phoneticPr fontId="2" type="noConversion"/>
  </si>
  <si>
    <t>CNY_Treasury_Live_Curve_2012-5-30_Calibrated_Curve_7</t>
    <phoneticPr fontId="2" type="noConversion"/>
  </si>
  <si>
    <t>CNY_Treasury_Live_Curve_2012-5-31_Calibrated_Curve_1</t>
    <phoneticPr fontId="2" type="noConversion"/>
  </si>
  <si>
    <t>CNY_Treasury_Live_Curve_2012-5-31_Calibrated_Curve_2</t>
    <phoneticPr fontId="2" type="noConversion"/>
  </si>
  <si>
    <t>CNY_Treasury_Live_Curve_2012-5-31_Calibrated_Curve_3</t>
    <phoneticPr fontId="2" type="noConversion"/>
  </si>
  <si>
    <t>CNY_Treasury_Live_Curve_2012-5-31_Calibrated_Curve_4</t>
    <phoneticPr fontId="2" type="noConversion"/>
  </si>
  <si>
    <t>CNY_Treasury_Live_Curve_2012-5-31_Calibrated_Curve_5</t>
    <phoneticPr fontId="2" type="noConversion"/>
  </si>
  <si>
    <t>CNY_Treasury_Live_Curve_2012-5-31_Calibrated_Curve_6</t>
    <phoneticPr fontId="2" type="noConversion"/>
  </si>
  <si>
    <t>CNY_Treasury_Live_Curve_2012-5-31_Calibrated_Curve_7</t>
    <phoneticPr fontId="2" type="noConversion"/>
  </si>
  <si>
    <t>CNY_Treasury_Live_Curve_2012-5-4_Calibrated_Curve_1</t>
    <phoneticPr fontId="2" type="noConversion"/>
  </si>
  <si>
    <t>CNY_Treasury_Live_Curve_2012-5-4_Calibrated_Curve_2</t>
    <phoneticPr fontId="2" type="noConversion"/>
  </si>
  <si>
    <t>CNY_Treasury_Live_Curve_2012-5-4_Calibrated_Curve_3</t>
    <phoneticPr fontId="2" type="noConversion"/>
  </si>
  <si>
    <t>CNY_Treasury_Live_Curve_2012-5-4_Calibrated_Curve_4</t>
    <phoneticPr fontId="2" type="noConversion"/>
  </si>
  <si>
    <t>CNY_Treasury_Live_Curve_2012-5-4_Calibrated_Curve_5</t>
    <phoneticPr fontId="2" type="noConversion"/>
  </si>
  <si>
    <t>CNY_Treasury_Live_Curve_2012-5-4_Calibrated_Curve_6</t>
    <phoneticPr fontId="2" type="noConversion"/>
  </si>
  <si>
    <t>CNY_Treasury_Live_Curve_2012-5-4_Calibrated_Curve_7</t>
    <phoneticPr fontId="2" type="noConversion"/>
  </si>
  <si>
    <t>CNY_Treasury_Live_Curve_2012-5-7_Calibrated_Curve_1</t>
    <phoneticPr fontId="2" type="noConversion"/>
  </si>
  <si>
    <t>CNY_Treasury_Live_Curve_2012-5-7_Calibrated_Curve_2</t>
    <phoneticPr fontId="2" type="noConversion"/>
  </si>
  <si>
    <t>CNY_Treasury_Live_Curve_2012-5-7_Calibrated_Curve_3</t>
    <phoneticPr fontId="2" type="noConversion"/>
  </si>
  <si>
    <t>CNY_Treasury_Live_Curve_2012-5-7_Calibrated_Curve_4</t>
    <phoneticPr fontId="2" type="noConversion"/>
  </si>
  <si>
    <t>CNY_Treasury_Live_Curve_2012-5-7_Calibrated_Curve_5</t>
    <phoneticPr fontId="2" type="noConversion"/>
  </si>
  <si>
    <t>CNY_Treasury_Live_Curve_2012-5-7_Calibrated_Curve_6</t>
    <phoneticPr fontId="2" type="noConversion"/>
  </si>
  <si>
    <t>CNY_Treasury_Live_Curve_2012-5-7_Calibrated_Curve_7</t>
    <phoneticPr fontId="2" type="noConversion"/>
  </si>
  <si>
    <t>CNY_Treasury_Live_Curve_2012-5-8_Calibrated_Curve_1</t>
    <phoneticPr fontId="2" type="noConversion"/>
  </si>
  <si>
    <t>CNY_Treasury_Live_Curve_2012-5-8_Calibrated_Curve_2</t>
    <phoneticPr fontId="2" type="noConversion"/>
  </si>
  <si>
    <t>CNY_Treasury_Live_Curve_2012-5-8_Calibrated_Curve_3</t>
    <phoneticPr fontId="2" type="noConversion"/>
  </si>
  <si>
    <t>CNY_Treasury_Live_Curve_2012-5-8_Calibrated_Curve_4</t>
    <phoneticPr fontId="2" type="noConversion"/>
  </si>
  <si>
    <t>CNY_Treasury_Live_Curve_2012-5-8_Calibrated_Curve_5</t>
    <phoneticPr fontId="2" type="noConversion"/>
  </si>
  <si>
    <t>CNY_Treasury_Live_Curve_2012-5-8_Calibrated_Curve_6</t>
    <phoneticPr fontId="2" type="noConversion"/>
  </si>
  <si>
    <t>CNY_Treasury_Live_Curve_2012-5-8_Calibrated_Curve_7</t>
    <phoneticPr fontId="2" type="noConversion"/>
  </si>
  <si>
    <t>CNY_Treasury_Live_Curve_2012-5-9_Calibrated_Curve_1</t>
    <phoneticPr fontId="2" type="noConversion"/>
  </si>
  <si>
    <t>CNY_Treasury_Live_Curve_2012-5-9_Calibrated_Curve_2</t>
    <phoneticPr fontId="2" type="noConversion"/>
  </si>
  <si>
    <t>CNY_Treasury_Live_Curve_2012-5-9_Calibrated_Curve_3</t>
    <phoneticPr fontId="2" type="noConversion"/>
  </si>
  <si>
    <t>CNY_Treasury_Live_Curve_2012-5-9_Calibrated_Curve_4</t>
    <phoneticPr fontId="2" type="noConversion"/>
  </si>
  <si>
    <t>CNY_Treasury_Live_Curve_2012-5-9_Calibrated_Curve_5</t>
    <phoneticPr fontId="2" type="noConversion"/>
  </si>
  <si>
    <t>CNY_Treasury_Live_Curve_2012-5-9_Calibrated_Curve_6</t>
    <phoneticPr fontId="2" type="noConversion"/>
  </si>
  <si>
    <t>CNY_Treasury_Live_Curve_2012-5-9_Calibrated_Curve_7</t>
    <phoneticPr fontId="2" type="noConversion"/>
  </si>
  <si>
    <t>CNY_Treasury_Live_Curve_2012-6-1_Calibrated_Curve_1</t>
    <phoneticPr fontId="2" type="noConversion"/>
  </si>
  <si>
    <t>CNY_Treasury_Live_Curve_2012-6-1_Calibrated_Curve_2</t>
    <phoneticPr fontId="2" type="noConversion"/>
  </si>
  <si>
    <t>CNY_Treasury_Live_Curve_2012-6-1_Calibrated_Curve_3</t>
    <phoneticPr fontId="2" type="noConversion"/>
  </si>
  <si>
    <t>CNY_Treasury_Live_Curve_2012-6-1_Calibrated_Curve_4</t>
    <phoneticPr fontId="2" type="noConversion"/>
  </si>
  <si>
    <t>CNY_Treasury_Live_Curve_2012-6-1_Calibrated_Curve_5</t>
    <phoneticPr fontId="2" type="noConversion"/>
  </si>
  <si>
    <t>CNY_Treasury_Live_Curve_2012-6-1_Calibrated_Curve_6</t>
    <phoneticPr fontId="2" type="noConversion"/>
  </si>
  <si>
    <t>CNY_Treasury_Live_Curve_2012-6-1_Calibrated_Curve_7</t>
    <phoneticPr fontId="2" type="noConversion"/>
  </si>
  <si>
    <t>CNY_Treasury_Live_Curve_2012-6-11_Calibrated_Curve_1</t>
    <phoneticPr fontId="2" type="noConversion"/>
  </si>
  <si>
    <t>CNY_Treasury_Live_Curve_2012-6-11_Calibrated_Curve_2</t>
    <phoneticPr fontId="2" type="noConversion"/>
  </si>
  <si>
    <t>CNY_Treasury_Live_Curve_2012-6-11_Calibrated_Curve_3</t>
    <phoneticPr fontId="2" type="noConversion"/>
  </si>
  <si>
    <t>CNY_Treasury_Live_Curve_2012-6-11_Calibrated_Curve_4</t>
    <phoneticPr fontId="2" type="noConversion"/>
  </si>
  <si>
    <t>CNY_Treasury_Live_Curve_2012-6-11_Calibrated_Curve_5</t>
    <phoneticPr fontId="2" type="noConversion"/>
  </si>
  <si>
    <t>CNY_Treasury_Live_Curve_2012-6-11_Calibrated_Curve_6</t>
    <phoneticPr fontId="2" type="noConversion"/>
  </si>
  <si>
    <t>CNY_Treasury_Live_Curve_2012-6-11_Calibrated_Curve_7</t>
    <phoneticPr fontId="2" type="noConversion"/>
  </si>
  <si>
    <t>CNY_Treasury_Live_Curve_2012-6-12_Calibrated_Curve_1</t>
    <phoneticPr fontId="2" type="noConversion"/>
  </si>
  <si>
    <t>CNY_Treasury_Live_Curve_2012-6-12_Calibrated_Curve_2</t>
    <phoneticPr fontId="2" type="noConversion"/>
  </si>
  <si>
    <t>CNY_Treasury_Live_Curve_2012-6-12_Calibrated_Curve_3</t>
    <phoneticPr fontId="2" type="noConversion"/>
  </si>
  <si>
    <t>CNY_Treasury_Live_Curve_2012-6-12_Calibrated_Curve_4</t>
    <phoneticPr fontId="2" type="noConversion"/>
  </si>
  <si>
    <t>CNY_Treasury_Live_Curve_2012-6-12_Calibrated_Curve_5</t>
    <phoneticPr fontId="2" type="noConversion"/>
  </si>
  <si>
    <t>CNY_Treasury_Live_Curve_2012-6-12_Calibrated_Curve_6</t>
    <phoneticPr fontId="2" type="noConversion"/>
  </si>
  <si>
    <t>CNY_Treasury_Live_Curve_2012-6-12_Calibrated_Curve_7</t>
    <phoneticPr fontId="2" type="noConversion"/>
  </si>
  <si>
    <t>CNY_Treasury_Live_Curve_2012-6-13_Calibrated_Curve_1</t>
    <phoneticPr fontId="2" type="noConversion"/>
  </si>
  <si>
    <t>CNY_Treasury_Live_Curve_2012-6-13_Calibrated_Curve_2</t>
    <phoneticPr fontId="2" type="noConversion"/>
  </si>
  <si>
    <t>CNY_Treasury_Live_Curve_2012-6-13_Calibrated_Curve_3</t>
    <phoneticPr fontId="2" type="noConversion"/>
  </si>
  <si>
    <t>CNY_Treasury_Live_Curve_2012-6-13_Calibrated_Curve_4</t>
    <phoneticPr fontId="2" type="noConversion"/>
  </si>
  <si>
    <t>CNY_Treasury_Live_Curve_2012-6-13_Calibrated_Curve_5</t>
    <phoneticPr fontId="2" type="noConversion"/>
  </si>
  <si>
    <t>CNY_Treasury_Live_Curve_2012-6-13_Calibrated_Curve_6</t>
    <phoneticPr fontId="2" type="noConversion"/>
  </si>
  <si>
    <t>CNY_Treasury_Live_Curve_2012-6-13_Calibrated_Curve_7</t>
    <phoneticPr fontId="2" type="noConversion"/>
  </si>
  <si>
    <t>CNY_Treasury_Live_Curve_2012-6-14_Calibrated_Curve_1</t>
    <phoneticPr fontId="2" type="noConversion"/>
  </si>
  <si>
    <t>CNY_Treasury_Live_Curve_2012-6-14_Calibrated_Curve_2</t>
    <phoneticPr fontId="2" type="noConversion"/>
  </si>
  <si>
    <t>CNY_Treasury_Live_Curve_2012-6-14_Calibrated_Curve_3</t>
    <phoneticPr fontId="2" type="noConversion"/>
  </si>
  <si>
    <t>CNY_Treasury_Live_Curve_2012-6-14_Calibrated_Curve_4</t>
    <phoneticPr fontId="2" type="noConversion"/>
  </si>
  <si>
    <t>CNY_Treasury_Live_Curve_2012-6-14_Calibrated_Curve_5</t>
    <phoneticPr fontId="2" type="noConversion"/>
  </si>
  <si>
    <t>CNY_Treasury_Live_Curve_2012-6-14_Calibrated_Curve_6</t>
    <phoneticPr fontId="2" type="noConversion"/>
  </si>
  <si>
    <t>CNY_Treasury_Live_Curve_2012-6-14_Calibrated_Curve_7</t>
    <phoneticPr fontId="2" type="noConversion"/>
  </si>
  <si>
    <t>CNY_Treasury_Live_Curve_2012-6-15_Calibrated_Curve_1</t>
    <phoneticPr fontId="2" type="noConversion"/>
  </si>
  <si>
    <t>CNY_Treasury_Live_Curve_2012-6-15_Calibrated_Curve_2</t>
    <phoneticPr fontId="2" type="noConversion"/>
  </si>
  <si>
    <t>CNY_Treasury_Live_Curve_2012-6-15_Calibrated_Curve_3</t>
    <phoneticPr fontId="2" type="noConversion"/>
  </si>
  <si>
    <t>CNY_Treasury_Live_Curve_2012-6-15_Calibrated_Curve_4</t>
    <phoneticPr fontId="2" type="noConversion"/>
  </si>
  <si>
    <t>CNY_Treasury_Live_Curve_2012-6-15_Calibrated_Curve_5</t>
    <phoneticPr fontId="2" type="noConversion"/>
  </si>
  <si>
    <t>CNY_Treasury_Live_Curve_2012-6-15_Calibrated_Curve_6</t>
    <phoneticPr fontId="2" type="noConversion"/>
  </si>
  <si>
    <t>CNY_Treasury_Live_Curve_2012-6-15_Calibrated_Curve_7</t>
    <phoneticPr fontId="2" type="noConversion"/>
  </si>
  <si>
    <t>CNY_Treasury_Live_Curve_2012-6-18_Calibrated_Curve_1</t>
    <phoneticPr fontId="2" type="noConversion"/>
  </si>
  <si>
    <t>CNY_Treasury_Live_Curve_2012-6-18_Calibrated_Curve_2</t>
    <phoneticPr fontId="2" type="noConversion"/>
  </si>
  <si>
    <t>CNY_Treasury_Live_Curve_2012-6-18_Calibrated_Curve_3</t>
    <phoneticPr fontId="2" type="noConversion"/>
  </si>
  <si>
    <t>CNY_Treasury_Live_Curve_2012-6-18_Calibrated_Curve_4</t>
    <phoneticPr fontId="2" type="noConversion"/>
  </si>
  <si>
    <t>CNY_Treasury_Live_Curve_2012-6-18_Calibrated_Curve_5</t>
    <phoneticPr fontId="2" type="noConversion"/>
  </si>
  <si>
    <t>CNY_Treasury_Live_Curve_2012-6-18_Calibrated_Curve_6</t>
    <phoneticPr fontId="2" type="noConversion"/>
  </si>
  <si>
    <t>CNY_Treasury_Live_Curve_2012-6-18_Calibrated_Curve_7</t>
    <phoneticPr fontId="2" type="noConversion"/>
  </si>
  <si>
    <t>CNY_Treasury_Live_Curve_2012-6-19_Calibrated_Curve_1</t>
    <phoneticPr fontId="2" type="noConversion"/>
  </si>
  <si>
    <t>CNY_Treasury_Live_Curve_2012-6-19_Calibrated_Curve_2</t>
    <phoneticPr fontId="2" type="noConversion"/>
  </si>
  <si>
    <t>CNY_Treasury_Live_Curve_2012-6-19_Calibrated_Curve_3</t>
    <phoneticPr fontId="2" type="noConversion"/>
  </si>
  <si>
    <t>CNY_Treasury_Live_Curve_2012-6-19_Calibrated_Curve_4</t>
    <phoneticPr fontId="2" type="noConversion"/>
  </si>
  <si>
    <t>CNY_Treasury_Live_Curve_2012-6-19_Calibrated_Curve_5</t>
    <phoneticPr fontId="2" type="noConversion"/>
  </si>
  <si>
    <t>CNY_Treasury_Live_Curve_2012-6-19_Calibrated_Curve_6</t>
    <phoneticPr fontId="2" type="noConversion"/>
  </si>
  <si>
    <t>CNY_Treasury_Live_Curve_2012-6-19_Calibrated_Curve_7</t>
    <phoneticPr fontId="2" type="noConversion"/>
  </si>
  <si>
    <t>CNY_Treasury_Live_Curve_2012-6-20_Calibrated_Curve_1</t>
    <phoneticPr fontId="2" type="noConversion"/>
  </si>
  <si>
    <t>CNY_Treasury_Live_Curve_2012-6-20_Calibrated_Curve_2</t>
    <phoneticPr fontId="2" type="noConversion"/>
  </si>
  <si>
    <t>CNY_Treasury_Live_Curve_2012-6-20_Calibrated_Curve_3</t>
    <phoneticPr fontId="2" type="noConversion"/>
  </si>
  <si>
    <t>CNY_Treasury_Live_Curve_2012-6-20_Calibrated_Curve_4</t>
    <phoneticPr fontId="2" type="noConversion"/>
  </si>
  <si>
    <t>CNY_Treasury_Live_Curve_2012-6-20_Calibrated_Curve_5</t>
    <phoneticPr fontId="2" type="noConversion"/>
  </si>
  <si>
    <t>CNY_Treasury_Live_Curve_2012-6-20_Calibrated_Curve_6</t>
    <phoneticPr fontId="2" type="noConversion"/>
  </si>
  <si>
    <t>CNY_Treasury_Live_Curve_2012-6-20_Calibrated_Curve_7</t>
    <phoneticPr fontId="2" type="noConversion"/>
  </si>
  <si>
    <t>CNY_Treasury_Live_Curve_2012-6-21_Calibrated_Curve_1</t>
    <phoneticPr fontId="2" type="noConversion"/>
  </si>
  <si>
    <t>CNY_Treasury_Live_Curve_2012-6-21_Calibrated_Curve_2</t>
    <phoneticPr fontId="2" type="noConversion"/>
  </si>
  <si>
    <t>CNY_Treasury_Live_Curve_2012-6-21_Calibrated_Curve_3</t>
    <phoneticPr fontId="2" type="noConversion"/>
  </si>
  <si>
    <t>CNY_Treasury_Live_Curve_2012-6-21_Calibrated_Curve_4</t>
    <phoneticPr fontId="2" type="noConversion"/>
  </si>
  <si>
    <t>CNY_Treasury_Live_Curve_2012-6-21_Calibrated_Curve_5</t>
    <phoneticPr fontId="2" type="noConversion"/>
  </si>
  <si>
    <t>CNY_Treasury_Live_Curve_2012-6-21_Calibrated_Curve_6</t>
    <phoneticPr fontId="2" type="noConversion"/>
  </si>
  <si>
    <t>CNY_Treasury_Live_Curve_2012-6-21_Calibrated_Curve_7</t>
    <phoneticPr fontId="2" type="noConversion"/>
  </si>
  <si>
    <t>CNY_Treasury_Live_Curve_2012-6-25_Calibrated_Curve_1</t>
    <phoneticPr fontId="2" type="noConversion"/>
  </si>
  <si>
    <t>CNY_Treasury_Live_Curve_2012-6-25_Calibrated_Curve_2</t>
    <phoneticPr fontId="2" type="noConversion"/>
  </si>
  <si>
    <t>CNY_Treasury_Live_Curve_2012-6-25_Calibrated_Curve_3</t>
    <phoneticPr fontId="2" type="noConversion"/>
  </si>
  <si>
    <t>CNY_Treasury_Live_Curve_2012-6-25_Calibrated_Curve_4</t>
    <phoneticPr fontId="2" type="noConversion"/>
  </si>
  <si>
    <t>CNY_Treasury_Live_Curve_2012-6-25_Calibrated_Curve_5</t>
    <phoneticPr fontId="2" type="noConversion"/>
  </si>
  <si>
    <t>CNY_Treasury_Live_Curve_2012-6-25_Calibrated_Curve_6</t>
    <phoneticPr fontId="2" type="noConversion"/>
  </si>
  <si>
    <t>CNY_Treasury_Live_Curve_2012-6-25_Calibrated_Curve_7</t>
    <phoneticPr fontId="2" type="noConversion"/>
  </si>
  <si>
    <t>CNY_Treasury_Live_Curve_2012-6-26_Calibrated_Curve_1</t>
    <phoneticPr fontId="2" type="noConversion"/>
  </si>
  <si>
    <t>CNY_Treasury_Live_Curve_2012-6-26_Calibrated_Curve_2</t>
    <phoneticPr fontId="2" type="noConversion"/>
  </si>
  <si>
    <t>CNY_Treasury_Live_Curve_2012-6-26_Calibrated_Curve_3</t>
    <phoneticPr fontId="2" type="noConversion"/>
  </si>
  <si>
    <t>CNY_Treasury_Live_Curve_2012-6-26_Calibrated_Curve_4</t>
    <phoneticPr fontId="2" type="noConversion"/>
  </si>
  <si>
    <t>CNY_Treasury_Live_Curve_2012-6-26_Calibrated_Curve_5</t>
    <phoneticPr fontId="2" type="noConversion"/>
  </si>
  <si>
    <t>CNY_Treasury_Live_Curve_2012-6-26_Calibrated_Curve_6</t>
    <phoneticPr fontId="2" type="noConversion"/>
  </si>
  <si>
    <t>CNY_Treasury_Live_Curve_2012-6-26_Calibrated_Curve_7</t>
    <phoneticPr fontId="2" type="noConversion"/>
  </si>
  <si>
    <t>CNY_Treasury_Live_Curve_2012-6-27_Calibrated_Curve_1</t>
    <phoneticPr fontId="2" type="noConversion"/>
  </si>
  <si>
    <t>CNY_Treasury_Live_Curve_2012-6-27_Calibrated_Curve_2</t>
    <phoneticPr fontId="2" type="noConversion"/>
  </si>
  <si>
    <t>CNY_Treasury_Live_Curve_2012-6-27_Calibrated_Curve_3</t>
    <phoneticPr fontId="2" type="noConversion"/>
  </si>
  <si>
    <t>CNY_Treasury_Live_Curve_2012-6-27_Calibrated_Curve_4</t>
    <phoneticPr fontId="2" type="noConversion"/>
  </si>
  <si>
    <t>CNY_Treasury_Live_Curve_2012-6-27_Calibrated_Curve_5</t>
    <phoneticPr fontId="2" type="noConversion"/>
  </si>
  <si>
    <t>CNY_Treasury_Live_Curve_2012-6-27_Calibrated_Curve_6</t>
    <phoneticPr fontId="2" type="noConversion"/>
  </si>
  <si>
    <t>CNY_Treasury_Live_Curve_2012-6-27_Calibrated_Curve_7</t>
    <phoneticPr fontId="2" type="noConversion"/>
  </si>
  <si>
    <t>CNY_Treasury_Live_Curve_2012-6-28_Calibrated_Curve_1</t>
    <phoneticPr fontId="2" type="noConversion"/>
  </si>
  <si>
    <t>CNY_Treasury_Live_Curve_2012-6-28_Calibrated_Curve_2</t>
    <phoneticPr fontId="2" type="noConversion"/>
  </si>
  <si>
    <t>CNY_Treasury_Live_Curve_2012-6-28_Calibrated_Curve_3</t>
    <phoneticPr fontId="2" type="noConversion"/>
  </si>
  <si>
    <t>CNY_Treasury_Live_Curve_2012-6-28_Calibrated_Curve_4</t>
    <phoneticPr fontId="2" type="noConversion"/>
  </si>
  <si>
    <t>CNY_Treasury_Live_Curve_2012-6-28_Calibrated_Curve_5</t>
    <phoneticPr fontId="2" type="noConversion"/>
  </si>
  <si>
    <t>CNY_Treasury_Live_Curve_2012-6-28_Calibrated_Curve_6</t>
    <phoneticPr fontId="2" type="noConversion"/>
  </si>
  <si>
    <t>CNY_Treasury_Live_Curve_2012-6-28_Calibrated_Curve_7</t>
    <phoneticPr fontId="2" type="noConversion"/>
  </si>
  <si>
    <t>CNY_Treasury_Live_Curve_2012-6-29_Calibrated_Curve_1</t>
    <phoneticPr fontId="2" type="noConversion"/>
  </si>
  <si>
    <t>CNY_Treasury_Live_Curve_2012-6-29_Calibrated_Curve_2</t>
    <phoneticPr fontId="2" type="noConversion"/>
  </si>
  <si>
    <t>CNY_Treasury_Live_Curve_2012-6-29_Calibrated_Curve_3</t>
    <phoneticPr fontId="2" type="noConversion"/>
  </si>
  <si>
    <t>CNY_Treasury_Live_Curve_2012-6-29_Calibrated_Curve_4</t>
    <phoneticPr fontId="2" type="noConversion"/>
  </si>
  <si>
    <t>CNY_Treasury_Live_Curve_2012-6-29_Calibrated_Curve_5</t>
    <phoneticPr fontId="2" type="noConversion"/>
  </si>
  <si>
    <t>CNY_Treasury_Live_Curve_2012-6-29_Calibrated_Curve_6</t>
    <phoneticPr fontId="2" type="noConversion"/>
  </si>
  <si>
    <t>CNY_Treasury_Live_Curve_2012-6-29_Calibrated_Curve_7</t>
    <phoneticPr fontId="2" type="noConversion"/>
  </si>
  <si>
    <t>CNY_Treasury_Live_Curve_2012-6-4_Calibrated_Curve_1</t>
    <phoneticPr fontId="2" type="noConversion"/>
  </si>
  <si>
    <t>CNY_Treasury_Live_Curve_2012-6-4_Calibrated_Curve_2</t>
    <phoneticPr fontId="2" type="noConversion"/>
  </si>
  <si>
    <t>CNY_Treasury_Live_Curve_2012-6-4_Calibrated_Curve_3</t>
    <phoneticPr fontId="2" type="noConversion"/>
  </si>
  <si>
    <t>CNY_Treasury_Live_Curve_2012-6-4_Calibrated_Curve_4</t>
    <phoneticPr fontId="2" type="noConversion"/>
  </si>
  <si>
    <t>CNY_Treasury_Live_Curve_2012-6-4_Calibrated_Curve_5</t>
    <phoneticPr fontId="2" type="noConversion"/>
  </si>
  <si>
    <t>CNY_Treasury_Live_Curve_2012-6-4_Calibrated_Curve_6</t>
    <phoneticPr fontId="2" type="noConversion"/>
  </si>
  <si>
    <t>CNY_Treasury_Live_Curve_2012-6-4_Calibrated_Curve_7</t>
    <phoneticPr fontId="2" type="noConversion"/>
  </si>
  <si>
    <t>CNY_Treasury_Live_Curve_2012-6-5_Calibrated_Curve_1</t>
    <phoneticPr fontId="2" type="noConversion"/>
  </si>
  <si>
    <t>CNY_Treasury_Live_Curve_2012-6-5_Calibrated_Curve_2</t>
    <phoneticPr fontId="2" type="noConversion"/>
  </si>
  <si>
    <t>CNY_Treasury_Live_Curve_2012-6-5_Calibrated_Curve_3</t>
    <phoneticPr fontId="2" type="noConversion"/>
  </si>
  <si>
    <t>CNY_Treasury_Live_Curve_2012-6-5_Calibrated_Curve_4</t>
    <phoneticPr fontId="2" type="noConversion"/>
  </si>
  <si>
    <t>CNY_Treasury_Live_Curve_2012-6-5_Calibrated_Curve_5</t>
    <phoneticPr fontId="2" type="noConversion"/>
  </si>
  <si>
    <t>CNY_Treasury_Live_Curve_2012-6-5_Calibrated_Curve_6</t>
    <phoneticPr fontId="2" type="noConversion"/>
  </si>
  <si>
    <t>CNY_Treasury_Live_Curve_2012-6-5_Calibrated_Curve_7</t>
    <phoneticPr fontId="2" type="noConversion"/>
  </si>
  <si>
    <t>CNY_Treasury_Live_Curve_2012-6-6_Calibrated_Curve_1</t>
    <phoneticPr fontId="2" type="noConversion"/>
  </si>
  <si>
    <t>CNY_Treasury_Live_Curve_2012-6-6_Calibrated_Curve_2</t>
    <phoneticPr fontId="2" type="noConversion"/>
  </si>
  <si>
    <t>CNY_Treasury_Live_Curve_2012-6-6_Calibrated_Curve_3</t>
    <phoneticPr fontId="2" type="noConversion"/>
  </si>
  <si>
    <t>CNY_Treasury_Live_Curve_2012-6-6_Calibrated_Curve_4</t>
    <phoneticPr fontId="2" type="noConversion"/>
  </si>
  <si>
    <t>CNY_Treasury_Live_Curve_2012-6-6_Calibrated_Curve_5</t>
    <phoneticPr fontId="2" type="noConversion"/>
  </si>
  <si>
    <t>CNY_Treasury_Live_Curve_2012-6-6_Calibrated_Curve_6</t>
    <phoneticPr fontId="2" type="noConversion"/>
  </si>
  <si>
    <t>CNY_Treasury_Live_Curve_2012-6-6_Calibrated_Curve_7</t>
    <phoneticPr fontId="2" type="noConversion"/>
  </si>
  <si>
    <t>CNY_Treasury_Live_Curve_2012-6-7_Calibrated_Curve_1</t>
    <phoneticPr fontId="2" type="noConversion"/>
  </si>
  <si>
    <t>CNY_Treasury_Live_Curve_2012-6-7_Calibrated_Curve_2</t>
    <phoneticPr fontId="2" type="noConversion"/>
  </si>
  <si>
    <t>CNY_Treasury_Live_Curve_2012-6-7_Calibrated_Curve_3</t>
    <phoneticPr fontId="2" type="noConversion"/>
  </si>
  <si>
    <t>CNY_Treasury_Live_Curve_2012-6-7_Calibrated_Curve_4</t>
    <phoneticPr fontId="2" type="noConversion"/>
  </si>
  <si>
    <t>CNY_Treasury_Live_Curve_2012-6-7_Calibrated_Curve_5</t>
    <phoneticPr fontId="2" type="noConversion"/>
  </si>
  <si>
    <t>CNY_Treasury_Live_Curve_2012-6-7_Calibrated_Curve_6</t>
    <phoneticPr fontId="2" type="noConversion"/>
  </si>
  <si>
    <t>CNY_Treasury_Live_Curve_2012-6-7_Calibrated_Curve_7</t>
    <phoneticPr fontId="2" type="noConversion"/>
  </si>
  <si>
    <t>CNY_Treasury_Live_Curve_2012-6-8_Calibrated_Curve_1</t>
    <phoneticPr fontId="2" type="noConversion"/>
  </si>
  <si>
    <t>CNY_Treasury_Live_Curve_2012-6-8_Calibrated_Curve_2</t>
    <phoneticPr fontId="2" type="noConversion"/>
  </si>
  <si>
    <t>CNY_Treasury_Live_Curve_2012-6-8_Calibrated_Curve_3</t>
    <phoneticPr fontId="2" type="noConversion"/>
  </si>
  <si>
    <t>CNY_Treasury_Live_Curve_2012-6-8_Calibrated_Curve_4</t>
    <phoneticPr fontId="2" type="noConversion"/>
  </si>
  <si>
    <t>CNY_Treasury_Live_Curve_2012-6-8_Calibrated_Curve_5</t>
    <phoneticPr fontId="2" type="noConversion"/>
  </si>
  <si>
    <t>CNY_Treasury_Live_Curve_2012-6-8_Calibrated_Curve_6</t>
    <phoneticPr fontId="2" type="noConversion"/>
  </si>
  <si>
    <t>CNY_Treasury_Live_Curve_2012-6-8_Calibrated_Curve_7</t>
    <phoneticPr fontId="2" type="noConversion"/>
  </si>
  <si>
    <t>CNY_Treasury_Live_Curve_2012-7-10_Calibrated_Curve_1</t>
    <phoneticPr fontId="2" type="noConversion"/>
  </si>
  <si>
    <t>CNY_Treasury_Live_Curve_2012-7-10_Calibrated_Curve_2</t>
    <phoneticPr fontId="2" type="noConversion"/>
  </si>
  <si>
    <t>CNY_Treasury_Live_Curve_2012-7-10_Calibrated_Curve_3</t>
    <phoneticPr fontId="2" type="noConversion"/>
  </si>
  <si>
    <t>CNY_Treasury_Live_Curve_2012-7-10_Calibrated_Curve_4</t>
    <phoneticPr fontId="2" type="noConversion"/>
  </si>
  <si>
    <t>CNY_Treasury_Live_Curve_2012-7-10_Calibrated_Curve_5</t>
    <phoneticPr fontId="2" type="noConversion"/>
  </si>
  <si>
    <t>CNY_Treasury_Live_Curve_2012-7-10_Calibrated_Curve_6</t>
    <phoneticPr fontId="2" type="noConversion"/>
  </si>
  <si>
    <t>CNY_Treasury_Live_Curve_2012-7-10_Calibrated_Curve_7</t>
    <phoneticPr fontId="2" type="noConversion"/>
  </si>
  <si>
    <t>CNY_Treasury_Live_Curve_2012-7-11_Calibrated_Curve_1</t>
    <phoneticPr fontId="2" type="noConversion"/>
  </si>
  <si>
    <t>CNY_Treasury_Live_Curve_2012-7-11_Calibrated_Curve_2</t>
    <phoneticPr fontId="2" type="noConversion"/>
  </si>
  <si>
    <t>CNY_Treasury_Live_Curve_2012-7-11_Calibrated_Curve_3</t>
    <phoneticPr fontId="2" type="noConversion"/>
  </si>
  <si>
    <t>CNY_Treasury_Live_Curve_2012-7-11_Calibrated_Curve_4</t>
    <phoneticPr fontId="2" type="noConversion"/>
  </si>
  <si>
    <t>CNY_Treasury_Live_Curve_2012-7-11_Calibrated_Curve_5</t>
    <phoneticPr fontId="2" type="noConversion"/>
  </si>
  <si>
    <t>CNY_Treasury_Live_Curve_2012-7-11_Calibrated_Curve_6</t>
    <phoneticPr fontId="2" type="noConversion"/>
  </si>
  <si>
    <t>CNY_Treasury_Live_Curve_2012-7-11_Calibrated_Curve_7</t>
    <phoneticPr fontId="2" type="noConversion"/>
  </si>
  <si>
    <t>CNY_Treasury_Live_Curve_2012-7-12_Calibrated_Curve_1</t>
    <phoneticPr fontId="2" type="noConversion"/>
  </si>
  <si>
    <t>CNY_Treasury_Live_Curve_2012-7-12_Calibrated_Curve_2</t>
    <phoneticPr fontId="2" type="noConversion"/>
  </si>
  <si>
    <t>CNY_Treasury_Live_Curve_2012-7-12_Calibrated_Curve_3</t>
    <phoneticPr fontId="2" type="noConversion"/>
  </si>
  <si>
    <t>CNY_Treasury_Live_Curve_2012-7-12_Calibrated_Curve_4</t>
    <phoneticPr fontId="2" type="noConversion"/>
  </si>
  <si>
    <t>CNY_Treasury_Live_Curve_2012-7-12_Calibrated_Curve_5</t>
    <phoneticPr fontId="2" type="noConversion"/>
  </si>
  <si>
    <t>CNY_Treasury_Live_Curve_2012-7-12_Calibrated_Curve_6</t>
    <phoneticPr fontId="2" type="noConversion"/>
  </si>
  <si>
    <t>CNY_Treasury_Live_Curve_2012-7-12_Calibrated_Curve_7</t>
    <phoneticPr fontId="2" type="noConversion"/>
  </si>
  <si>
    <t>CNY_Treasury_Live_Curve_2012-7-13_Calibrated_Curve_1</t>
    <phoneticPr fontId="2" type="noConversion"/>
  </si>
  <si>
    <t>CNY_Treasury_Live_Curve_2012-7-13_Calibrated_Curve_2</t>
    <phoneticPr fontId="2" type="noConversion"/>
  </si>
  <si>
    <t>CNY_Treasury_Live_Curve_2012-7-13_Calibrated_Curve_3</t>
    <phoneticPr fontId="2" type="noConversion"/>
  </si>
  <si>
    <t>CNY_Treasury_Live_Curve_2012-7-13_Calibrated_Curve_4</t>
    <phoneticPr fontId="2" type="noConversion"/>
  </si>
  <si>
    <t>CNY_Treasury_Live_Curve_2012-7-13_Calibrated_Curve_5</t>
    <phoneticPr fontId="2" type="noConversion"/>
  </si>
  <si>
    <t>CNY_Treasury_Live_Curve_2012-7-13_Calibrated_Curve_6</t>
    <phoneticPr fontId="2" type="noConversion"/>
  </si>
  <si>
    <t>CNY_Treasury_Live_Curve_2012-7-13_Calibrated_Curve_7</t>
    <phoneticPr fontId="2" type="noConversion"/>
  </si>
  <si>
    <t>CNY_Treasury_Live_Curve_2012-7-16_Calibrated_Curve_1</t>
    <phoneticPr fontId="2" type="noConversion"/>
  </si>
  <si>
    <t>CNY_Treasury_Live_Curve_2012-7-16_Calibrated_Curve_2</t>
    <phoneticPr fontId="2" type="noConversion"/>
  </si>
  <si>
    <t>CNY_Treasury_Live_Curve_2012-7-16_Calibrated_Curve_3</t>
    <phoneticPr fontId="2" type="noConversion"/>
  </si>
  <si>
    <t>CNY_Treasury_Live_Curve_2012-7-16_Calibrated_Curve_4</t>
    <phoneticPr fontId="2" type="noConversion"/>
  </si>
  <si>
    <t>CNY_Treasury_Live_Curve_2012-7-16_Calibrated_Curve_5</t>
    <phoneticPr fontId="2" type="noConversion"/>
  </si>
  <si>
    <t>CNY_Treasury_Live_Curve_2012-7-16_Calibrated_Curve_6</t>
    <phoneticPr fontId="2" type="noConversion"/>
  </si>
  <si>
    <t>CNY_Treasury_Live_Curve_2012-7-16_Calibrated_Curve_7</t>
    <phoneticPr fontId="2" type="noConversion"/>
  </si>
  <si>
    <t>CNY_Treasury_Live_Curve_2012-7-17_Calibrated_Curve_1</t>
    <phoneticPr fontId="2" type="noConversion"/>
  </si>
  <si>
    <t>CNY_Treasury_Live_Curve_2012-7-17_Calibrated_Curve_2</t>
    <phoneticPr fontId="2" type="noConversion"/>
  </si>
  <si>
    <t>CNY_Treasury_Live_Curve_2012-7-17_Calibrated_Curve_3</t>
    <phoneticPr fontId="2" type="noConversion"/>
  </si>
  <si>
    <t>CNY_Treasury_Live_Curve_2012-7-17_Calibrated_Curve_4</t>
    <phoneticPr fontId="2" type="noConversion"/>
  </si>
  <si>
    <t>CNY_Treasury_Live_Curve_2012-7-17_Calibrated_Curve_5</t>
    <phoneticPr fontId="2" type="noConversion"/>
  </si>
  <si>
    <t>CNY_Treasury_Live_Curve_2012-7-17_Calibrated_Curve_6</t>
    <phoneticPr fontId="2" type="noConversion"/>
  </si>
  <si>
    <t>CNY_Treasury_Live_Curve_2012-7-17_Calibrated_Curve_7</t>
    <phoneticPr fontId="2" type="noConversion"/>
  </si>
  <si>
    <t>CNY_Treasury_Live_Curve_2012-7-18_Calibrated_Curve_1</t>
    <phoneticPr fontId="2" type="noConversion"/>
  </si>
  <si>
    <t>CNY_Treasury_Live_Curve_2012-7-18_Calibrated_Curve_2</t>
    <phoneticPr fontId="2" type="noConversion"/>
  </si>
  <si>
    <t>CNY_Treasury_Live_Curve_2012-7-18_Calibrated_Curve_3</t>
    <phoneticPr fontId="2" type="noConversion"/>
  </si>
  <si>
    <t>CNY_Treasury_Live_Curve_2012-7-18_Calibrated_Curve_4</t>
    <phoneticPr fontId="2" type="noConversion"/>
  </si>
  <si>
    <t>CNY_Treasury_Live_Curve_2012-7-18_Calibrated_Curve_5</t>
    <phoneticPr fontId="2" type="noConversion"/>
  </si>
  <si>
    <t>CNY_Treasury_Live_Curve_2012-7-18_Calibrated_Curve_6</t>
    <phoneticPr fontId="2" type="noConversion"/>
  </si>
  <si>
    <t>CNY_Treasury_Live_Curve_2012-7-18_Calibrated_Curve_7</t>
    <phoneticPr fontId="2" type="noConversion"/>
  </si>
  <si>
    <t>CNY_Treasury_Live_Curve_2012-7-19_Calibrated_Curve_1</t>
    <phoneticPr fontId="2" type="noConversion"/>
  </si>
  <si>
    <t>CNY_Treasury_Live_Curve_2012-7-19_Calibrated_Curve_2</t>
    <phoneticPr fontId="2" type="noConversion"/>
  </si>
  <si>
    <t>CNY_Treasury_Live_Curve_2012-7-19_Calibrated_Curve_3</t>
    <phoneticPr fontId="2" type="noConversion"/>
  </si>
  <si>
    <t>CNY_Treasury_Live_Curve_2012-7-19_Calibrated_Curve_4</t>
    <phoneticPr fontId="2" type="noConversion"/>
  </si>
  <si>
    <t>CNY_Treasury_Live_Curve_2012-7-19_Calibrated_Curve_5</t>
    <phoneticPr fontId="2" type="noConversion"/>
  </si>
  <si>
    <t>CNY_Treasury_Live_Curve_2012-7-19_Calibrated_Curve_6</t>
    <phoneticPr fontId="2" type="noConversion"/>
  </si>
  <si>
    <t>CNY_Treasury_Live_Curve_2012-7-19_Calibrated_Curve_7</t>
    <phoneticPr fontId="2" type="noConversion"/>
  </si>
  <si>
    <t>CNY_Treasury_Live_Curve_2012-7-2_Calibrated_Curve_1</t>
    <phoneticPr fontId="2" type="noConversion"/>
  </si>
  <si>
    <t>CNY_Treasury_Live_Curve_2012-7-2_Calibrated_Curve_2</t>
    <phoneticPr fontId="2" type="noConversion"/>
  </si>
  <si>
    <t>CNY_Treasury_Live_Curve_2012-7-2_Calibrated_Curve_3</t>
    <phoneticPr fontId="2" type="noConversion"/>
  </si>
  <si>
    <t>CNY_Treasury_Live_Curve_2012-7-2_Calibrated_Curve_4</t>
    <phoneticPr fontId="2" type="noConversion"/>
  </si>
  <si>
    <t>CNY_Treasury_Live_Curve_2012-7-2_Calibrated_Curve_5</t>
    <phoneticPr fontId="2" type="noConversion"/>
  </si>
  <si>
    <t>CNY_Treasury_Live_Curve_2012-7-2_Calibrated_Curve_6</t>
    <phoneticPr fontId="2" type="noConversion"/>
  </si>
  <si>
    <t>CNY_Treasury_Live_Curve_2012-7-2_Calibrated_Curve_7</t>
    <phoneticPr fontId="2" type="noConversion"/>
  </si>
  <si>
    <t>CNY_Treasury_Live_Curve_2012-7-20_Calibrated_Curve_1</t>
    <phoneticPr fontId="2" type="noConversion"/>
  </si>
  <si>
    <t>CNY_Treasury_Live_Curve_2012-7-20_Calibrated_Curve_2</t>
    <phoneticPr fontId="2" type="noConversion"/>
  </si>
  <si>
    <t>CNY_Treasury_Live_Curve_2012-7-20_Calibrated_Curve_3</t>
    <phoneticPr fontId="2" type="noConversion"/>
  </si>
  <si>
    <t>CNY_Treasury_Live_Curve_2012-7-20_Calibrated_Curve_4</t>
    <phoneticPr fontId="2" type="noConversion"/>
  </si>
  <si>
    <t>CNY_Treasury_Live_Curve_2012-7-20_Calibrated_Curve_5</t>
    <phoneticPr fontId="2" type="noConversion"/>
  </si>
  <si>
    <t>CNY_Treasury_Live_Curve_2012-7-20_Calibrated_Curve_6</t>
    <phoneticPr fontId="2" type="noConversion"/>
  </si>
  <si>
    <t>CNY_Treasury_Live_Curve_2012-7-20_Calibrated_Curve_7</t>
    <phoneticPr fontId="2" type="noConversion"/>
  </si>
  <si>
    <t>CNY_Treasury_Live_Curve_2012-7-23_Calibrated_Curve_1</t>
    <phoneticPr fontId="2" type="noConversion"/>
  </si>
  <si>
    <t>CNY_Treasury_Live_Curve_2012-7-23_Calibrated_Curve_2</t>
    <phoneticPr fontId="2" type="noConversion"/>
  </si>
  <si>
    <t>CNY_Treasury_Live_Curve_2012-7-23_Calibrated_Curve_3</t>
    <phoneticPr fontId="2" type="noConversion"/>
  </si>
  <si>
    <t>CNY_Treasury_Live_Curve_2012-7-23_Calibrated_Curve_4</t>
    <phoneticPr fontId="2" type="noConversion"/>
  </si>
  <si>
    <t>CNY_Treasury_Live_Curve_2012-7-23_Calibrated_Curve_5</t>
    <phoneticPr fontId="2" type="noConversion"/>
  </si>
  <si>
    <t>CNY_Treasury_Live_Curve_2012-7-23_Calibrated_Curve_6</t>
    <phoneticPr fontId="2" type="noConversion"/>
  </si>
  <si>
    <t>CNY_Treasury_Live_Curve_2012-7-23_Calibrated_Curve_7</t>
    <phoneticPr fontId="2" type="noConversion"/>
  </si>
  <si>
    <t>CNY_Treasury_Live_Curve_2012-7-24_Calibrated_Curve_1</t>
    <phoneticPr fontId="2" type="noConversion"/>
  </si>
  <si>
    <t>CNY_Treasury_Live_Curve_2012-7-24_Calibrated_Curve_2</t>
    <phoneticPr fontId="2" type="noConversion"/>
  </si>
  <si>
    <t>CNY_Treasury_Live_Curve_2012-7-24_Calibrated_Curve_3</t>
    <phoneticPr fontId="2" type="noConversion"/>
  </si>
  <si>
    <t>CNY_Treasury_Live_Curve_2012-7-24_Calibrated_Curve_4</t>
    <phoneticPr fontId="2" type="noConversion"/>
  </si>
  <si>
    <t>CNY_Treasury_Live_Curve_2012-7-24_Calibrated_Curve_5</t>
    <phoneticPr fontId="2" type="noConversion"/>
  </si>
  <si>
    <t>CNY_Treasury_Live_Curve_2012-7-24_Calibrated_Curve_6</t>
    <phoneticPr fontId="2" type="noConversion"/>
  </si>
  <si>
    <t>CNY_Treasury_Live_Curve_2012-7-24_Calibrated_Curve_7</t>
    <phoneticPr fontId="2" type="noConversion"/>
  </si>
  <si>
    <t>CNY_Treasury_Live_Curve_2012-7-25_Calibrated_Curve_1</t>
    <phoneticPr fontId="2" type="noConversion"/>
  </si>
  <si>
    <t>CNY_Treasury_Live_Curve_2012-7-25_Calibrated_Curve_2</t>
    <phoneticPr fontId="2" type="noConversion"/>
  </si>
  <si>
    <t>CNY_Treasury_Live_Curve_2012-7-25_Calibrated_Curve_3</t>
    <phoneticPr fontId="2" type="noConversion"/>
  </si>
  <si>
    <t>CNY_Treasury_Live_Curve_2012-7-25_Calibrated_Curve_4</t>
    <phoneticPr fontId="2" type="noConversion"/>
  </si>
  <si>
    <t>CNY_Treasury_Live_Curve_2012-7-25_Calibrated_Curve_5</t>
    <phoneticPr fontId="2" type="noConversion"/>
  </si>
  <si>
    <t>CNY_Treasury_Live_Curve_2012-7-25_Calibrated_Curve_6</t>
    <phoneticPr fontId="2" type="noConversion"/>
  </si>
  <si>
    <t>CNY_Treasury_Live_Curve_2012-7-25_Calibrated_Curve_7</t>
    <phoneticPr fontId="2" type="noConversion"/>
  </si>
  <si>
    <t>CNY_Treasury_Live_Curve_2012-7-26_Calibrated_Curve_1</t>
    <phoneticPr fontId="2" type="noConversion"/>
  </si>
  <si>
    <t>CNY_Treasury_Live_Curve_2012-7-26_Calibrated_Curve_2</t>
    <phoneticPr fontId="2" type="noConversion"/>
  </si>
  <si>
    <t>CNY_Treasury_Live_Curve_2012-7-26_Calibrated_Curve_3</t>
    <phoneticPr fontId="2" type="noConversion"/>
  </si>
  <si>
    <t>CNY_Treasury_Live_Curve_2012-7-26_Calibrated_Curve_4</t>
    <phoneticPr fontId="2" type="noConversion"/>
  </si>
  <si>
    <t>CNY_Treasury_Live_Curve_2012-7-26_Calibrated_Curve_5</t>
    <phoneticPr fontId="2" type="noConversion"/>
  </si>
  <si>
    <t>CNY_Treasury_Live_Curve_2012-7-26_Calibrated_Curve_6</t>
    <phoneticPr fontId="2" type="noConversion"/>
  </si>
  <si>
    <t>CNY_Treasury_Live_Curve_2012-7-26_Calibrated_Curve_7</t>
    <phoneticPr fontId="2" type="noConversion"/>
  </si>
  <si>
    <t>CNY_Treasury_Live_Curve_2012-7-27_Calibrated_Curve_1</t>
    <phoneticPr fontId="2" type="noConversion"/>
  </si>
  <si>
    <t>CNY_Treasury_Live_Curve_2012-7-27_Calibrated_Curve_2</t>
    <phoneticPr fontId="2" type="noConversion"/>
  </si>
  <si>
    <t>CNY_Treasury_Live_Curve_2012-7-27_Calibrated_Curve_3</t>
    <phoneticPr fontId="2" type="noConversion"/>
  </si>
  <si>
    <t>CNY_Treasury_Live_Curve_2012-7-27_Calibrated_Curve_4</t>
    <phoneticPr fontId="2" type="noConversion"/>
  </si>
  <si>
    <t>CNY_Treasury_Live_Curve_2012-7-27_Calibrated_Curve_5</t>
    <phoneticPr fontId="2" type="noConversion"/>
  </si>
  <si>
    <t>CNY_Treasury_Live_Curve_2012-7-27_Calibrated_Curve_6</t>
    <phoneticPr fontId="2" type="noConversion"/>
  </si>
  <si>
    <t>CNY_Treasury_Live_Curve_2012-7-27_Calibrated_Curve_7</t>
    <phoneticPr fontId="2" type="noConversion"/>
  </si>
  <si>
    <t>CNY_Treasury_Live_Curve_2012-7-3_Calibrated_Curve_1</t>
    <phoneticPr fontId="2" type="noConversion"/>
  </si>
  <si>
    <t>CNY_Treasury_Live_Curve_2012-7-3_Calibrated_Curve_2</t>
    <phoneticPr fontId="2" type="noConversion"/>
  </si>
  <si>
    <t>CNY_Treasury_Live_Curve_2012-7-3_Calibrated_Curve_3</t>
    <phoneticPr fontId="2" type="noConversion"/>
  </si>
  <si>
    <t>CNY_Treasury_Live_Curve_2012-7-3_Calibrated_Curve_4</t>
    <phoneticPr fontId="2" type="noConversion"/>
  </si>
  <si>
    <t>CNY_Treasury_Live_Curve_2012-7-3_Calibrated_Curve_5</t>
    <phoneticPr fontId="2" type="noConversion"/>
  </si>
  <si>
    <t>CNY_Treasury_Live_Curve_2012-7-3_Calibrated_Curve_6</t>
    <phoneticPr fontId="2" type="noConversion"/>
  </si>
  <si>
    <t>CNY_Treasury_Live_Curve_2012-7-3_Calibrated_Curve_7</t>
    <phoneticPr fontId="2" type="noConversion"/>
  </si>
  <si>
    <t>CNY_Treasury_Live_Curve_2012-7-30_Calibrated_Curve_1</t>
    <phoneticPr fontId="2" type="noConversion"/>
  </si>
  <si>
    <t>CNY_Treasury_Live_Curve_2012-7-30_Calibrated_Curve_2</t>
    <phoneticPr fontId="2" type="noConversion"/>
  </si>
  <si>
    <t>CNY_Treasury_Live_Curve_2012-7-30_Calibrated_Curve_3</t>
    <phoneticPr fontId="2" type="noConversion"/>
  </si>
  <si>
    <t>CNY_Treasury_Live_Curve_2012-7-30_Calibrated_Curve_4</t>
    <phoneticPr fontId="2" type="noConversion"/>
  </si>
  <si>
    <t>CNY_Treasury_Live_Curve_2012-7-30_Calibrated_Curve_5</t>
    <phoneticPr fontId="2" type="noConversion"/>
  </si>
  <si>
    <t>CNY_Treasury_Live_Curve_2012-7-30_Calibrated_Curve_6</t>
    <phoneticPr fontId="2" type="noConversion"/>
  </si>
  <si>
    <t>CNY_Treasury_Live_Curve_2012-7-30_Calibrated_Curve_7</t>
    <phoneticPr fontId="2" type="noConversion"/>
  </si>
  <si>
    <t>CNY_Treasury_Live_Curve_2012-7-31_Calibrated_Curve_1</t>
    <phoneticPr fontId="2" type="noConversion"/>
  </si>
  <si>
    <t>CNY_Treasury_Live_Curve_2012-7-31_Calibrated_Curve_2</t>
    <phoneticPr fontId="2" type="noConversion"/>
  </si>
  <si>
    <t>CNY_Treasury_Live_Curve_2012-7-31_Calibrated_Curve_3</t>
    <phoneticPr fontId="2" type="noConversion"/>
  </si>
  <si>
    <t>CNY_Treasury_Live_Curve_2012-7-31_Calibrated_Curve_4</t>
    <phoneticPr fontId="2" type="noConversion"/>
  </si>
  <si>
    <t>CNY_Treasury_Live_Curve_2012-7-31_Calibrated_Curve_5</t>
    <phoneticPr fontId="2" type="noConversion"/>
  </si>
  <si>
    <t>CNY_Treasury_Live_Curve_2012-7-31_Calibrated_Curve_6</t>
    <phoneticPr fontId="2" type="noConversion"/>
  </si>
  <si>
    <t>CNY_Treasury_Live_Curve_2012-7-31_Calibrated_Curve_7</t>
    <phoneticPr fontId="2" type="noConversion"/>
  </si>
  <si>
    <t>CNY_Treasury_Live_Curve_2012-7-4_Calibrated_Curve_1</t>
    <phoneticPr fontId="2" type="noConversion"/>
  </si>
  <si>
    <t>CNY_Treasury_Live_Curve_2012-7-4_Calibrated_Curve_2</t>
    <phoneticPr fontId="2" type="noConversion"/>
  </si>
  <si>
    <t>CNY_Treasury_Live_Curve_2012-7-4_Calibrated_Curve_3</t>
    <phoneticPr fontId="2" type="noConversion"/>
  </si>
  <si>
    <t>CNY_Treasury_Live_Curve_2012-7-4_Calibrated_Curve_4</t>
    <phoneticPr fontId="2" type="noConversion"/>
  </si>
  <si>
    <t>CNY_Treasury_Live_Curve_2012-7-4_Calibrated_Curve_5</t>
    <phoneticPr fontId="2" type="noConversion"/>
  </si>
  <si>
    <t>CNY_Treasury_Live_Curve_2012-7-4_Calibrated_Curve_6</t>
    <phoneticPr fontId="2" type="noConversion"/>
  </si>
  <si>
    <t>CNY_Treasury_Live_Curve_2012-7-4_Calibrated_Curve_7</t>
    <phoneticPr fontId="2" type="noConversion"/>
  </si>
  <si>
    <t>CNY_Treasury_Live_Curve_2012-7-5_Calibrated_Curve_1</t>
    <phoneticPr fontId="2" type="noConversion"/>
  </si>
  <si>
    <t>CNY_Treasury_Live_Curve_2012-7-5_Calibrated_Curve_2</t>
    <phoneticPr fontId="2" type="noConversion"/>
  </si>
  <si>
    <t>CNY_Treasury_Live_Curve_2012-7-5_Calibrated_Curve_3</t>
    <phoneticPr fontId="2" type="noConversion"/>
  </si>
  <si>
    <t>CNY_Treasury_Live_Curve_2012-7-5_Calibrated_Curve_4</t>
    <phoneticPr fontId="2" type="noConversion"/>
  </si>
  <si>
    <t>CNY_Treasury_Live_Curve_2012-7-5_Calibrated_Curve_5</t>
    <phoneticPr fontId="2" type="noConversion"/>
  </si>
  <si>
    <t>CNY_Treasury_Live_Curve_2012-7-5_Calibrated_Curve_6</t>
    <phoneticPr fontId="2" type="noConversion"/>
  </si>
  <si>
    <t>CNY_Treasury_Live_Curve_2012-7-5_Calibrated_Curve_7</t>
    <phoneticPr fontId="2" type="noConversion"/>
  </si>
  <si>
    <t>CNY_Treasury_Live_Curve_2012-7-6_Calibrated_Curve_1</t>
    <phoneticPr fontId="2" type="noConversion"/>
  </si>
  <si>
    <t>CNY_Treasury_Live_Curve_2012-7-6_Calibrated_Curve_2</t>
    <phoneticPr fontId="2" type="noConversion"/>
  </si>
  <si>
    <t>CNY_Treasury_Live_Curve_2012-7-6_Calibrated_Curve_3</t>
    <phoneticPr fontId="2" type="noConversion"/>
  </si>
  <si>
    <t>CNY_Treasury_Live_Curve_2012-7-6_Calibrated_Curve_4</t>
    <phoneticPr fontId="2" type="noConversion"/>
  </si>
  <si>
    <t>CNY_Treasury_Live_Curve_2012-7-6_Calibrated_Curve_5</t>
    <phoneticPr fontId="2" type="noConversion"/>
  </si>
  <si>
    <t>CNY_Treasury_Live_Curve_2012-7-6_Calibrated_Curve_6</t>
    <phoneticPr fontId="2" type="noConversion"/>
  </si>
  <si>
    <t>CNY_Treasury_Live_Curve_2012-7-6_Calibrated_Curve_7</t>
    <phoneticPr fontId="2" type="noConversion"/>
  </si>
  <si>
    <t>CNY_Treasury_Live_Curve_2012-7-9_Calibrated_Curve_1</t>
    <phoneticPr fontId="2" type="noConversion"/>
  </si>
  <si>
    <t>CNY_Treasury_Live_Curve_2012-7-9_Calibrated_Curve_2</t>
    <phoneticPr fontId="2" type="noConversion"/>
  </si>
  <si>
    <t>CNY_Treasury_Live_Curve_2012-7-9_Calibrated_Curve_3</t>
    <phoneticPr fontId="2" type="noConversion"/>
  </si>
  <si>
    <t>CNY_Treasury_Live_Curve_2012-7-9_Calibrated_Curve_4</t>
    <phoneticPr fontId="2" type="noConversion"/>
  </si>
  <si>
    <t>CNY_Treasury_Live_Curve_2012-7-9_Calibrated_Curve_5</t>
    <phoneticPr fontId="2" type="noConversion"/>
  </si>
  <si>
    <t>CNY_Treasury_Live_Curve_2012-7-9_Calibrated_Curve_6</t>
    <phoneticPr fontId="2" type="noConversion"/>
  </si>
  <si>
    <t>CNY_Treasury_Live_Curve_2012-7-9_Calibrated_Curve_7</t>
    <phoneticPr fontId="2" type="noConversion"/>
  </si>
  <si>
    <t>CNY_Treasury_Live_Curve_2012-8-1_Calibrated_Curve_1</t>
    <phoneticPr fontId="2" type="noConversion"/>
  </si>
  <si>
    <t>CNY_Treasury_Live_Curve_2012-8-1_Calibrated_Curve_2</t>
    <phoneticPr fontId="2" type="noConversion"/>
  </si>
  <si>
    <t>CNY_Treasury_Live_Curve_2012-8-1_Calibrated_Curve_3</t>
    <phoneticPr fontId="2" type="noConversion"/>
  </si>
  <si>
    <t>CNY_Treasury_Live_Curve_2012-8-1_Calibrated_Curve_4</t>
    <phoneticPr fontId="2" type="noConversion"/>
  </si>
  <si>
    <t>CNY_Treasury_Live_Curve_2012-8-1_Calibrated_Curve_5</t>
    <phoneticPr fontId="2" type="noConversion"/>
  </si>
  <si>
    <t>CNY_Treasury_Live_Curve_2012-8-1_Calibrated_Curve_6</t>
    <phoneticPr fontId="2" type="noConversion"/>
  </si>
  <si>
    <t>CNY_Treasury_Live_Curve_2012-8-1_Calibrated_Curve_7</t>
    <phoneticPr fontId="2" type="noConversion"/>
  </si>
  <si>
    <t>CNY_Treasury_Live_Curve_2012-8-10_Calibrated_Curve_1</t>
    <phoneticPr fontId="2" type="noConversion"/>
  </si>
  <si>
    <t>CNY_Treasury_Live_Curve_2012-8-10_Calibrated_Curve_2</t>
    <phoneticPr fontId="2" type="noConversion"/>
  </si>
  <si>
    <t>CNY_Treasury_Live_Curve_2012-8-10_Calibrated_Curve_3</t>
    <phoneticPr fontId="2" type="noConversion"/>
  </si>
  <si>
    <t>CNY_Treasury_Live_Curve_2012-8-10_Calibrated_Curve_4</t>
    <phoneticPr fontId="2" type="noConversion"/>
  </si>
  <si>
    <t>CNY_Treasury_Live_Curve_2012-8-10_Calibrated_Curve_5</t>
    <phoneticPr fontId="2" type="noConversion"/>
  </si>
  <si>
    <t>CNY_Treasury_Live_Curve_2012-8-10_Calibrated_Curve_6</t>
    <phoneticPr fontId="2" type="noConversion"/>
  </si>
  <si>
    <t>CNY_Treasury_Live_Curve_2012-8-10_Calibrated_Curve_7</t>
    <phoneticPr fontId="2" type="noConversion"/>
  </si>
  <si>
    <t>CNY_Treasury_Live_Curve_2012-8-13_Calibrated_Curve_1</t>
    <phoneticPr fontId="2" type="noConversion"/>
  </si>
  <si>
    <t>CNY_Treasury_Live_Curve_2012-8-13_Calibrated_Curve_2</t>
    <phoneticPr fontId="2" type="noConversion"/>
  </si>
  <si>
    <t>CNY_Treasury_Live_Curve_2012-8-13_Calibrated_Curve_3</t>
    <phoneticPr fontId="2" type="noConversion"/>
  </si>
  <si>
    <t>CNY_Treasury_Live_Curve_2012-8-13_Calibrated_Curve_4</t>
    <phoneticPr fontId="2" type="noConversion"/>
  </si>
  <si>
    <t>CNY_Treasury_Live_Curve_2012-8-13_Calibrated_Curve_5</t>
    <phoneticPr fontId="2" type="noConversion"/>
  </si>
  <si>
    <t>CNY_Treasury_Live_Curve_2012-8-13_Calibrated_Curve_6</t>
    <phoneticPr fontId="2" type="noConversion"/>
  </si>
  <si>
    <t>CNY_Treasury_Live_Curve_2012-8-13_Calibrated_Curve_7</t>
    <phoneticPr fontId="2" type="noConversion"/>
  </si>
  <si>
    <t>CNY_Treasury_Live_Curve_2012-8-14_Calibrated_Curve_1</t>
    <phoneticPr fontId="2" type="noConversion"/>
  </si>
  <si>
    <t>CNY_Treasury_Live_Curve_2012-8-14_Calibrated_Curve_2</t>
    <phoneticPr fontId="2" type="noConversion"/>
  </si>
  <si>
    <t>CNY_Treasury_Live_Curve_2012-8-14_Calibrated_Curve_3</t>
    <phoneticPr fontId="2" type="noConversion"/>
  </si>
  <si>
    <t>CNY_Treasury_Live_Curve_2012-8-14_Calibrated_Curve_4</t>
    <phoneticPr fontId="2" type="noConversion"/>
  </si>
  <si>
    <t>CNY_Treasury_Live_Curve_2012-8-14_Calibrated_Curve_5</t>
    <phoneticPr fontId="2" type="noConversion"/>
  </si>
  <si>
    <t>CNY_Treasury_Live_Curve_2012-8-14_Calibrated_Curve_6</t>
    <phoneticPr fontId="2" type="noConversion"/>
  </si>
  <si>
    <t>CNY_Treasury_Live_Curve_2012-8-14_Calibrated_Curve_7</t>
    <phoneticPr fontId="2" type="noConversion"/>
  </si>
  <si>
    <t>CNY_Treasury_Live_Curve_2012-8-15_Calibrated_Curve_1</t>
    <phoneticPr fontId="2" type="noConversion"/>
  </si>
  <si>
    <t>CNY_Treasury_Live_Curve_2012-8-15_Calibrated_Curve_2</t>
    <phoneticPr fontId="2" type="noConversion"/>
  </si>
  <si>
    <t>CNY_Treasury_Live_Curve_2012-8-15_Calibrated_Curve_3</t>
    <phoneticPr fontId="2" type="noConversion"/>
  </si>
  <si>
    <t>CNY_Treasury_Live_Curve_2012-8-15_Calibrated_Curve_4</t>
    <phoneticPr fontId="2" type="noConversion"/>
  </si>
  <si>
    <t>CNY_Treasury_Live_Curve_2012-8-15_Calibrated_Curve_5</t>
    <phoneticPr fontId="2" type="noConversion"/>
  </si>
  <si>
    <t>CNY_Treasury_Live_Curve_2012-8-15_Calibrated_Curve_6</t>
    <phoneticPr fontId="2" type="noConversion"/>
  </si>
  <si>
    <t>CNY_Treasury_Live_Curve_2012-8-15_Calibrated_Curve_7</t>
    <phoneticPr fontId="2" type="noConversion"/>
  </si>
  <si>
    <t>CNY_Treasury_Live_Curve_2012-8-16_Calibrated_Curve_1</t>
    <phoneticPr fontId="2" type="noConversion"/>
  </si>
  <si>
    <t>CNY_Treasury_Live_Curve_2012-8-16_Calibrated_Curve_2</t>
    <phoneticPr fontId="2" type="noConversion"/>
  </si>
  <si>
    <t>CNY_Treasury_Live_Curve_2012-8-16_Calibrated_Curve_3</t>
    <phoneticPr fontId="2" type="noConversion"/>
  </si>
  <si>
    <t>CNY_Treasury_Live_Curve_2012-8-16_Calibrated_Curve_4</t>
    <phoneticPr fontId="2" type="noConversion"/>
  </si>
  <si>
    <t>CNY_Treasury_Live_Curve_2012-8-16_Calibrated_Curve_5</t>
    <phoneticPr fontId="2" type="noConversion"/>
  </si>
  <si>
    <t>CNY_Treasury_Live_Curve_2012-8-16_Calibrated_Curve_6</t>
    <phoneticPr fontId="2" type="noConversion"/>
  </si>
  <si>
    <t>CNY_Treasury_Live_Curve_2012-8-16_Calibrated_Curve_7</t>
    <phoneticPr fontId="2" type="noConversion"/>
  </si>
  <si>
    <t>CNY_Treasury_Live_Curve_2012-8-2_Calibrated_Curve_1</t>
    <phoneticPr fontId="2" type="noConversion"/>
  </si>
  <si>
    <t>CNY_Treasury_Live_Curve_2012-8-2_Calibrated_Curve_2</t>
    <phoneticPr fontId="2" type="noConversion"/>
  </si>
  <si>
    <t>CNY_Treasury_Live_Curve_2012-8-2_Calibrated_Curve_3</t>
    <phoneticPr fontId="2" type="noConversion"/>
  </si>
  <si>
    <t>CNY_Treasury_Live_Curve_2012-8-2_Calibrated_Curve_4</t>
    <phoneticPr fontId="2" type="noConversion"/>
  </si>
  <si>
    <t>CNY_Treasury_Live_Curve_2012-8-2_Calibrated_Curve_5</t>
    <phoneticPr fontId="2" type="noConversion"/>
  </si>
  <si>
    <t>CNY_Treasury_Live_Curve_2012-8-2_Calibrated_Curve_6</t>
    <phoneticPr fontId="2" type="noConversion"/>
  </si>
  <si>
    <t>CNY_Treasury_Live_Curve_2012-8-2_Calibrated_Curve_7</t>
    <phoneticPr fontId="2" type="noConversion"/>
  </si>
  <si>
    <t>CNY_Treasury_Live_Curve_2012-8-3_Calibrated_Curve_1</t>
    <phoneticPr fontId="2" type="noConversion"/>
  </si>
  <si>
    <t>CNY_Treasury_Live_Curve_2012-8-3_Calibrated_Curve_2</t>
    <phoneticPr fontId="2" type="noConversion"/>
  </si>
  <si>
    <t>CNY_Treasury_Live_Curve_2012-8-3_Calibrated_Curve_3</t>
    <phoneticPr fontId="2" type="noConversion"/>
  </si>
  <si>
    <t>CNY_Treasury_Live_Curve_2012-8-3_Calibrated_Curve_4</t>
    <phoneticPr fontId="2" type="noConversion"/>
  </si>
  <si>
    <t>CNY_Treasury_Live_Curve_2012-8-3_Calibrated_Curve_5</t>
    <phoneticPr fontId="2" type="noConversion"/>
  </si>
  <si>
    <t>CNY_Treasury_Live_Curve_2012-8-3_Calibrated_Curve_6</t>
    <phoneticPr fontId="2" type="noConversion"/>
  </si>
  <si>
    <t>CNY_Treasury_Live_Curve_2012-8-3_Calibrated_Curve_7</t>
    <phoneticPr fontId="2" type="noConversion"/>
  </si>
  <si>
    <t>CNY_Treasury_Live_Curve_2012-8-6_Calibrated_Curve_1</t>
    <phoneticPr fontId="2" type="noConversion"/>
  </si>
  <si>
    <t>CNY_Treasury_Live_Curve_2012-8-6_Calibrated_Curve_2</t>
    <phoneticPr fontId="2" type="noConversion"/>
  </si>
  <si>
    <t>CNY_Treasury_Live_Curve_2012-8-6_Calibrated_Curve_3</t>
    <phoneticPr fontId="2" type="noConversion"/>
  </si>
  <si>
    <t>CNY_Treasury_Live_Curve_2012-8-6_Calibrated_Curve_4</t>
    <phoneticPr fontId="2" type="noConversion"/>
  </si>
  <si>
    <t>CNY_Treasury_Live_Curve_2012-8-6_Calibrated_Curve_5</t>
    <phoneticPr fontId="2" type="noConversion"/>
  </si>
  <si>
    <t>CNY_Treasury_Live_Curve_2012-8-6_Calibrated_Curve_6</t>
    <phoneticPr fontId="2" type="noConversion"/>
  </si>
  <si>
    <t>CNY_Treasury_Live_Curve_2012-8-6_Calibrated_Curve_7</t>
    <phoneticPr fontId="2" type="noConversion"/>
  </si>
  <si>
    <t>CNY_Treasury_Live_Curve_2012-8-7_Calibrated_Curve_1</t>
    <phoneticPr fontId="2" type="noConversion"/>
  </si>
  <si>
    <t>CNY_Treasury_Live_Curve_2012-8-7_Calibrated_Curve_2</t>
    <phoneticPr fontId="2" type="noConversion"/>
  </si>
  <si>
    <t>CNY_Treasury_Live_Curve_2012-8-7_Calibrated_Curve_3</t>
    <phoneticPr fontId="2" type="noConversion"/>
  </si>
  <si>
    <t>CNY_Treasury_Live_Curve_2012-8-7_Calibrated_Curve_4</t>
    <phoneticPr fontId="2" type="noConversion"/>
  </si>
  <si>
    <t>CNY_Treasury_Live_Curve_2012-8-7_Calibrated_Curve_5</t>
    <phoneticPr fontId="2" type="noConversion"/>
  </si>
  <si>
    <t>CNY_Treasury_Live_Curve_2012-8-7_Calibrated_Curve_6</t>
    <phoneticPr fontId="2" type="noConversion"/>
  </si>
  <si>
    <t>CNY_Treasury_Live_Curve_2012-8-7_Calibrated_Curve_7</t>
    <phoneticPr fontId="2" type="noConversion"/>
  </si>
  <si>
    <t>CNY_Treasury_Live_Curve_2012-8-8_Calibrated_Curve_1</t>
    <phoneticPr fontId="2" type="noConversion"/>
  </si>
  <si>
    <t>CNY_Treasury_Live_Curve_2012-8-8_Calibrated_Curve_2</t>
    <phoneticPr fontId="2" type="noConversion"/>
  </si>
  <si>
    <t>CNY_Treasury_Live_Curve_2012-8-8_Calibrated_Curve_3</t>
    <phoneticPr fontId="2" type="noConversion"/>
  </si>
  <si>
    <t>CNY_Treasury_Live_Curve_2012-8-8_Calibrated_Curve_4</t>
    <phoneticPr fontId="2" type="noConversion"/>
  </si>
  <si>
    <t>CNY_Treasury_Live_Curve_2012-8-8_Calibrated_Curve_5</t>
    <phoneticPr fontId="2" type="noConversion"/>
  </si>
  <si>
    <t>CNY_Treasury_Live_Curve_2012-8-8_Calibrated_Curve_6</t>
    <phoneticPr fontId="2" type="noConversion"/>
  </si>
  <si>
    <t>CNY_Treasury_Live_Curve_2012-8-8_Calibrated_Curve_7</t>
    <phoneticPr fontId="2" type="noConversion"/>
  </si>
  <si>
    <t>CNY_Treasury_Live_Curve_2012-8-9_Calibrated_Curve_1</t>
    <phoneticPr fontId="2" type="noConversion"/>
  </si>
  <si>
    <t>CNY_Treasury_Live_Curve_2012-8-9_Calibrated_Curve_2</t>
    <phoneticPr fontId="2" type="noConversion"/>
  </si>
  <si>
    <t>CNY_Treasury_Live_Curve_2012-8-9_Calibrated_Curve_3</t>
    <phoneticPr fontId="2" type="noConversion"/>
  </si>
  <si>
    <t>CNY_Treasury_Live_Curve_2012-8-9_Calibrated_Curve_4</t>
    <phoneticPr fontId="2" type="noConversion"/>
  </si>
  <si>
    <t>CNY_Treasury_Live_Curve_2012-8-9_Calibrated_Curve_5</t>
    <phoneticPr fontId="2" type="noConversion"/>
  </si>
  <si>
    <t>CNY_Treasury_Live_Curve_2012-8-9_Calibrated_Curve_6</t>
    <phoneticPr fontId="2" type="noConversion"/>
  </si>
  <si>
    <t>CNY_Treasury_Live_Curve_2012-8-9_Calibrated_Curve_7</t>
    <phoneticPr fontId="2" type="noConversion"/>
  </si>
  <si>
    <t>F:\data\Curve\Standalone Curves\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</si>
</sst>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yyyy/m/d;@"/>
    <numFmt numFmtId="177" formatCode="0.000"/>
    <numFmt numFmtId="178" formatCode="0.00_);[Red]\(0.00\)"/>
    <numFmt numFmtId="179" formatCode="0.00000_);[Red]\(0.00000\)"/>
  </numFmts>
  <fonts count="8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Times New Roman"/>
      <family val="1"/>
    </font>
    <font>
      <sz val="11"/>
      <color theme="1"/>
      <name val="宋体"/>
      <family val="2"/>
    </font>
    <font>
      <b/>
      <sz val="11"/>
      <color theme="1"/>
      <name val="Times New Roman"/>
      <family val="1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>
      <alignment vertical="center"/>
    </xf>
  </cellStyleXfs>
  <cellXfs count="65">
    <xf numFmtId="0" fontId="0" fillId="0" borderId="0" xfId="0"/>
    <xf numFmtId="176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/>
    </xf>
    <xf numFmtId="14" fontId="3" fillId="0" borderId="0" xfId="0" applyNumberFormat="1" applyFont="1" applyAlignment="1">
      <alignment horizontal="center"/>
    </xf>
    <xf numFmtId="14" fontId="3" fillId="0" borderId="0" xfId="0" applyNumberFormat="1" applyFont="1" applyBorder="1" applyAlignment="1">
      <alignment horizontal="center"/>
    </xf>
    <xf numFmtId="10" fontId="3" fillId="0" borderId="0" xfId="1" applyNumberFormat="1" applyFont="1" applyBorder="1" applyAlignment="1">
      <alignment horizontal="center"/>
    </xf>
    <xf numFmtId="177" fontId="3" fillId="0" borderId="0" xfId="0" applyNumberFormat="1" applyFont="1" applyBorder="1" applyAlignment="1">
      <alignment horizontal="center"/>
    </xf>
    <xf numFmtId="14" fontId="3" fillId="0" borderId="1" xfId="0" applyNumberFormat="1" applyFont="1" applyBorder="1" applyAlignment="1">
      <alignment horizontal="center"/>
    </xf>
    <xf numFmtId="10" fontId="3" fillId="0" borderId="1" xfId="1" applyNumberFormat="1" applyFont="1" applyBorder="1" applyAlignment="1">
      <alignment horizontal="center"/>
    </xf>
    <xf numFmtId="177" fontId="3" fillId="0" borderId="1" xfId="0" applyNumberFormat="1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177" fontId="3" fillId="0" borderId="6" xfId="0" applyNumberFormat="1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177" fontId="3" fillId="0" borderId="8" xfId="0" applyNumberFormat="1" applyFont="1" applyBorder="1" applyAlignment="1">
      <alignment horizontal="center"/>
    </xf>
    <xf numFmtId="10" fontId="3" fillId="0" borderId="2" xfId="1" applyNumberFormat="1" applyFont="1" applyBorder="1" applyAlignment="1">
      <alignment horizontal="center"/>
    </xf>
    <xf numFmtId="10" fontId="3" fillId="0" borderId="3" xfId="1" applyNumberFormat="1" applyFont="1" applyBorder="1" applyAlignment="1">
      <alignment horizontal="center"/>
    </xf>
    <xf numFmtId="177" fontId="3" fillId="0" borderId="3" xfId="0" applyNumberFormat="1" applyFont="1" applyBorder="1" applyAlignment="1">
      <alignment horizontal="center"/>
    </xf>
    <xf numFmtId="177" fontId="3" fillId="0" borderId="4" xfId="0" applyNumberFormat="1" applyFont="1" applyBorder="1" applyAlignment="1">
      <alignment horizontal="center"/>
    </xf>
    <xf numFmtId="10" fontId="3" fillId="0" borderId="5" xfId="1" applyNumberFormat="1" applyFont="1" applyBorder="1" applyAlignment="1">
      <alignment horizontal="center"/>
    </xf>
    <xf numFmtId="10" fontId="3" fillId="0" borderId="7" xfId="1" applyNumberFormat="1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5" fillId="2" borderId="8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14" fontId="5" fillId="3" borderId="7" xfId="0" applyNumberFormat="1" applyFont="1" applyFill="1" applyBorder="1" applyAlignment="1">
      <alignment horizontal="center"/>
    </xf>
    <xf numFmtId="14" fontId="5" fillId="3" borderId="1" xfId="0" applyNumberFormat="1" applyFont="1" applyFill="1" applyBorder="1" applyAlignment="1">
      <alignment horizontal="center"/>
    </xf>
    <xf numFmtId="14" fontId="5" fillId="3" borderId="8" xfId="0" applyNumberFormat="1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14" fontId="3" fillId="4" borderId="0" xfId="0" applyNumberFormat="1" applyFont="1" applyFill="1" applyAlignment="1">
      <alignment horizontal="center"/>
    </xf>
    <xf numFmtId="10" fontId="3" fillId="4" borderId="0" xfId="1" applyNumberFormat="1" applyFont="1" applyFill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4" borderId="0" xfId="0" applyFont="1" applyFill="1" applyBorder="1" applyAlignment="1">
      <alignment horizontal="center"/>
    </xf>
    <xf numFmtId="10" fontId="3" fillId="4" borderId="2" xfId="1" applyNumberFormat="1" applyFont="1" applyFill="1" applyBorder="1" applyAlignment="1">
      <alignment horizontal="center"/>
    </xf>
    <xf numFmtId="10" fontId="3" fillId="4" borderId="3" xfId="1" applyNumberFormat="1" applyFont="1" applyFill="1" applyBorder="1" applyAlignment="1">
      <alignment horizontal="center"/>
    </xf>
    <xf numFmtId="10" fontId="3" fillId="4" borderId="4" xfId="1" applyNumberFormat="1" applyFont="1" applyFill="1" applyBorder="1" applyAlignment="1">
      <alignment horizontal="center"/>
    </xf>
    <xf numFmtId="10" fontId="3" fillId="4" borderId="5" xfId="1" applyNumberFormat="1" applyFont="1" applyFill="1" applyBorder="1" applyAlignment="1">
      <alignment horizontal="center"/>
    </xf>
    <xf numFmtId="10" fontId="3" fillId="4" borderId="0" xfId="1" applyNumberFormat="1" applyFont="1" applyFill="1" applyBorder="1" applyAlignment="1">
      <alignment horizontal="center"/>
    </xf>
    <xf numFmtId="10" fontId="3" fillId="4" borderId="6" xfId="1" applyNumberFormat="1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10" fontId="3" fillId="4" borderId="7" xfId="1" applyNumberFormat="1" applyFont="1" applyFill="1" applyBorder="1" applyAlignment="1">
      <alignment horizontal="center"/>
    </xf>
    <xf numFmtId="10" fontId="3" fillId="4" borderId="1" xfId="1" applyNumberFormat="1" applyFont="1" applyFill="1" applyBorder="1" applyAlignment="1">
      <alignment horizontal="center"/>
    </xf>
    <xf numFmtId="10" fontId="3" fillId="4" borderId="8" xfId="1" applyNumberFormat="1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78" fontId="0" fillId="4" borderId="0" xfId="0" applyNumberFormat="1" applyFill="1" applyAlignment="1">
      <alignment horizontal="center"/>
    </xf>
    <xf numFmtId="10" fontId="0" fillId="4" borderId="0" xfId="1" applyNumberFormat="1" applyFont="1" applyFill="1" applyAlignment="1">
      <alignment horizontal="center"/>
    </xf>
    <xf numFmtId="14" fontId="0" fillId="4" borderId="12" xfId="0" applyNumberFormat="1" applyFill="1" applyBorder="1" applyAlignment="1">
      <alignment horizontal="center"/>
    </xf>
    <xf numFmtId="14" fontId="0" fillId="4" borderId="10" xfId="0" applyNumberForma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7" fillId="2" borderId="11" xfId="0" applyFont="1" applyFill="1" applyBorder="1" applyAlignment="1">
      <alignment horizontal="center"/>
    </xf>
    <xf numFmtId="0" fontId="7" fillId="2" borderId="9" xfId="0" applyFont="1" applyFill="1" applyBorder="1" applyAlignment="1">
      <alignment horizontal="center"/>
    </xf>
    <xf numFmtId="10" fontId="0" fillId="4" borderId="0" xfId="0" applyNumberFormat="1" applyFill="1" applyAlignment="1">
      <alignment horizontal="center"/>
    </xf>
    <xf numFmtId="14" fontId="0" fillId="0" borderId="0" xfId="0" applyNumberFormat="1"/>
    <xf numFmtId="179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986848296230792E-2"/>
          <c:y val="3.5634895230076319E-2"/>
          <c:w val="0.88590103342913673"/>
          <c:h val="0.86493600680140648"/>
        </c:manualLayout>
      </c:layout>
      <c:lineChart>
        <c:grouping val="standard"/>
        <c:varyColors val="0"/>
        <c:ser>
          <c:idx val="0"/>
          <c:order val="0"/>
          <c:tx>
            <c:strRef>
              <c:f>'中大 &amp; 中债'!$C$9</c:f>
              <c:strCache>
                <c:ptCount val="1"/>
                <c:pt idx="0">
                  <c:v>中大期货即期收益率</c:v>
                </c:pt>
              </c:strCache>
            </c:strRef>
          </c:tx>
          <c:marker>
            <c:symbol val="none"/>
          </c:marker>
          <c:cat>
            <c:numRef>
              <c:f>'中大 &amp; 中债'!$B$11:$B$40</c:f>
              <c:numCache>
                <c:formatCode>yyyy-m-d</c:formatCode>
                <c:ptCount val="30"/>
                <c:pt idx="0">
                  <c:v>41492</c:v>
                </c:pt>
                <c:pt idx="1">
                  <c:v>41857</c:v>
                </c:pt>
                <c:pt idx="2">
                  <c:v>42222</c:v>
                </c:pt>
                <c:pt idx="3">
                  <c:v>42588</c:v>
                </c:pt>
                <c:pt idx="4">
                  <c:v>42953</c:v>
                </c:pt>
                <c:pt idx="5">
                  <c:v>43318</c:v>
                </c:pt>
                <c:pt idx="6">
                  <c:v>43683</c:v>
                </c:pt>
                <c:pt idx="7">
                  <c:v>44049</c:v>
                </c:pt>
                <c:pt idx="8">
                  <c:v>44414</c:v>
                </c:pt>
                <c:pt idx="9">
                  <c:v>44779</c:v>
                </c:pt>
                <c:pt idx="10">
                  <c:v>45144</c:v>
                </c:pt>
                <c:pt idx="11">
                  <c:v>45510</c:v>
                </c:pt>
                <c:pt idx="12">
                  <c:v>45875</c:v>
                </c:pt>
                <c:pt idx="13">
                  <c:v>46240</c:v>
                </c:pt>
                <c:pt idx="14">
                  <c:v>46605</c:v>
                </c:pt>
                <c:pt idx="15">
                  <c:v>46971</c:v>
                </c:pt>
                <c:pt idx="16">
                  <c:v>47336</c:v>
                </c:pt>
                <c:pt idx="17">
                  <c:v>47701</c:v>
                </c:pt>
                <c:pt idx="18">
                  <c:v>48066</c:v>
                </c:pt>
                <c:pt idx="19">
                  <c:v>48432</c:v>
                </c:pt>
                <c:pt idx="20">
                  <c:v>48797</c:v>
                </c:pt>
                <c:pt idx="21">
                  <c:v>49162</c:v>
                </c:pt>
                <c:pt idx="22">
                  <c:v>49527</c:v>
                </c:pt>
                <c:pt idx="23">
                  <c:v>49893</c:v>
                </c:pt>
                <c:pt idx="24">
                  <c:v>50258</c:v>
                </c:pt>
                <c:pt idx="25">
                  <c:v>50623</c:v>
                </c:pt>
                <c:pt idx="26">
                  <c:v>50988</c:v>
                </c:pt>
                <c:pt idx="27">
                  <c:v>51354</c:v>
                </c:pt>
                <c:pt idx="28">
                  <c:v>51719</c:v>
                </c:pt>
                <c:pt idx="29">
                  <c:v>52084</c:v>
                </c:pt>
              </c:numCache>
            </c:numRef>
          </c:cat>
          <c:val>
            <c:numRef>
              <c:f>'中大 &amp; 中债'!$C$11:$C$40</c:f>
              <c:numCache>
                <c:formatCode>0.00%</c:formatCode>
                <c:ptCount val="30"/>
                <c:pt idx="0">
                  <c:v>2.4459572654973449E-2</c:v>
                </c:pt>
                <c:pt idx="1">
                  <c:v>2.3672460163727704E-2</c:v>
                </c:pt>
                <c:pt idx="2">
                  <c:v>2.6459344012914388E-2</c:v>
                </c:pt>
                <c:pt idx="3">
                  <c:v>2.6894605927415993E-2</c:v>
                </c:pt>
                <c:pt idx="4">
                  <c:v>2.8913503470972213E-2</c:v>
                </c:pt>
                <c:pt idx="5">
                  <c:v>3.111479467715661E-2</c:v>
                </c:pt>
                <c:pt idx="6">
                  <c:v>3.1763999865638493E-2</c:v>
                </c:pt>
                <c:pt idx="7">
                  <c:v>3.3180168893511608E-2</c:v>
                </c:pt>
                <c:pt idx="8">
                  <c:v>3.4181495753747404E-2</c:v>
                </c:pt>
                <c:pt idx="9">
                  <c:v>3.4104730486345991E-2</c:v>
                </c:pt>
                <c:pt idx="10">
                  <c:v>3.5378194027037457E-2</c:v>
                </c:pt>
                <c:pt idx="11">
                  <c:v>3.6440611512373211E-2</c:v>
                </c:pt>
                <c:pt idx="12">
                  <c:v>3.7340431597214341E-2</c:v>
                </c:pt>
                <c:pt idx="13">
                  <c:v>3.8112327708120786E-2</c:v>
                </c:pt>
                <c:pt idx="14">
                  <c:v>3.878176892869889E-2</c:v>
                </c:pt>
                <c:pt idx="15">
                  <c:v>3.9070465454054348E-2</c:v>
                </c:pt>
                <c:pt idx="16">
                  <c:v>3.931726571348082E-2</c:v>
                </c:pt>
                <c:pt idx="17">
                  <c:v>4.0063962946123466E-2</c:v>
                </c:pt>
                <c:pt idx="18">
                  <c:v>4.073628913191718E-2</c:v>
                </c:pt>
                <c:pt idx="19">
                  <c:v>4.1272640143617201E-2</c:v>
                </c:pt>
                <c:pt idx="20">
                  <c:v>4.175814828116664E-2</c:v>
                </c:pt>
                <c:pt idx="21">
                  <c:v>4.2199715753691081E-2</c:v>
                </c:pt>
                <c:pt idx="22">
                  <c:v>4.2603049513455504E-2</c:v>
                </c:pt>
                <c:pt idx="23">
                  <c:v>4.2972909246812963E-2</c:v>
                </c:pt>
                <c:pt idx="24">
                  <c:v>4.3313296081923136E-2</c:v>
                </c:pt>
                <c:pt idx="25">
                  <c:v>4.3627597913534988E-2</c:v>
                </c:pt>
                <c:pt idx="26">
                  <c:v>4.3918702551165367E-2</c:v>
                </c:pt>
                <c:pt idx="27">
                  <c:v>4.4189086706494907E-2</c:v>
                </c:pt>
                <c:pt idx="28">
                  <c:v>4.4440886632072463E-2</c:v>
                </c:pt>
                <c:pt idx="29">
                  <c:v>4.4675954678620178E-2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'中大 &amp; 中债'!$D$9</c:f>
              <c:strCache>
                <c:ptCount val="1"/>
                <c:pt idx="0">
                  <c:v>中债公司即期收益率</c:v>
                </c:pt>
              </c:strCache>
            </c:strRef>
          </c:tx>
          <c:marker>
            <c:symbol val="none"/>
          </c:marker>
          <c:cat>
            <c:numRef>
              <c:f>'中大 &amp; 中债'!$B$11:$B$40</c:f>
              <c:numCache>
                <c:formatCode>yyyy-m-d</c:formatCode>
                <c:ptCount val="30"/>
                <c:pt idx="0">
                  <c:v>41492</c:v>
                </c:pt>
                <c:pt idx="1">
                  <c:v>41857</c:v>
                </c:pt>
                <c:pt idx="2">
                  <c:v>42222</c:v>
                </c:pt>
                <c:pt idx="3">
                  <c:v>42588</c:v>
                </c:pt>
                <c:pt idx="4">
                  <c:v>42953</c:v>
                </c:pt>
                <c:pt idx="5">
                  <c:v>43318</c:v>
                </c:pt>
                <c:pt idx="6">
                  <c:v>43683</c:v>
                </c:pt>
                <c:pt idx="7">
                  <c:v>44049</c:v>
                </c:pt>
                <c:pt idx="8">
                  <c:v>44414</c:v>
                </c:pt>
                <c:pt idx="9">
                  <c:v>44779</c:v>
                </c:pt>
                <c:pt idx="10">
                  <c:v>45144</c:v>
                </c:pt>
                <c:pt idx="11">
                  <c:v>45510</c:v>
                </c:pt>
                <c:pt idx="12">
                  <c:v>45875</c:v>
                </c:pt>
                <c:pt idx="13">
                  <c:v>46240</c:v>
                </c:pt>
                <c:pt idx="14">
                  <c:v>46605</c:v>
                </c:pt>
                <c:pt idx="15">
                  <c:v>46971</c:v>
                </c:pt>
                <c:pt idx="16">
                  <c:v>47336</c:v>
                </c:pt>
                <c:pt idx="17">
                  <c:v>47701</c:v>
                </c:pt>
                <c:pt idx="18">
                  <c:v>48066</c:v>
                </c:pt>
                <c:pt idx="19">
                  <c:v>48432</c:v>
                </c:pt>
                <c:pt idx="20">
                  <c:v>48797</c:v>
                </c:pt>
                <c:pt idx="21">
                  <c:v>49162</c:v>
                </c:pt>
                <c:pt idx="22">
                  <c:v>49527</c:v>
                </c:pt>
                <c:pt idx="23">
                  <c:v>49893</c:v>
                </c:pt>
                <c:pt idx="24">
                  <c:v>50258</c:v>
                </c:pt>
                <c:pt idx="25">
                  <c:v>50623</c:v>
                </c:pt>
                <c:pt idx="26">
                  <c:v>50988</c:v>
                </c:pt>
                <c:pt idx="27">
                  <c:v>51354</c:v>
                </c:pt>
                <c:pt idx="28">
                  <c:v>51719</c:v>
                </c:pt>
                <c:pt idx="29">
                  <c:v>52084</c:v>
                </c:pt>
              </c:numCache>
            </c:numRef>
          </c:cat>
          <c:val>
            <c:numRef>
              <c:f>'中大 &amp; 中债'!$D$11:$D$40</c:f>
              <c:numCache>
                <c:formatCode>0.00%</c:formatCode>
                <c:ptCount val="30"/>
                <c:pt idx="0">
                  <c:v>2.3727999999999999E-2</c:v>
                </c:pt>
                <c:pt idx="1">
                  <c:v>2.4296999999999999E-2</c:v>
                </c:pt>
                <c:pt idx="2">
                  <c:v>2.6852000000000001E-2</c:v>
                </c:pt>
                <c:pt idx="3">
                  <c:v>2.7078999999999999E-2</c:v>
                </c:pt>
                <c:pt idx="4">
                  <c:v>2.9314E-2</c:v>
                </c:pt>
                <c:pt idx="5">
                  <c:v>3.1174E-2</c:v>
                </c:pt>
                <c:pt idx="6">
                  <c:v>3.1878999999999998E-2</c:v>
                </c:pt>
                <c:pt idx="7">
                  <c:v>3.3242000000000001E-2</c:v>
                </c:pt>
                <c:pt idx="8">
                  <c:v>3.3694000000000002E-2</c:v>
                </c:pt>
                <c:pt idx="9">
                  <c:v>3.3835999999999998E-2</c:v>
                </c:pt>
                <c:pt idx="10">
                  <c:v>3.4294999999999999E-2</c:v>
                </c:pt>
                <c:pt idx="11">
                  <c:v>3.5014999999999998E-2</c:v>
                </c:pt>
                <c:pt idx="12">
                  <c:v>3.5893000000000001E-2</c:v>
                </c:pt>
                <c:pt idx="13">
                  <c:v>3.6823000000000002E-2</c:v>
                </c:pt>
                <c:pt idx="14">
                  <c:v>3.7687999999999999E-2</c:v>
                </c:pt>
                <c:pt idx="15">
                  <c:v>3.8460000000000001E-2</c:v>
                </c:pt>
                <c:pt idx="16">
                  <c:v>3.9209999999999995E-2</c:v>
                </c:pt>
                <c:pt idx="17">
                  <c:v>3.9956999999999999E-2</c:v>
                </c:pt>
                <c:pt idx="18">
                  <c:v>4.0719999999999999E-2</c:v>
                </c:pt>
                <c:pt idx="19">
                  <c:v>4.1521000000000002E-2</c:v>
                </c:pt>
                <c:pt idx="20">
                  <c:v>4.2268999999999994E-2</c:v>
                </c:pt>
                <c:pt idx="21">
                  <c:v>4.2866999999999995E-2</c:v>
                </c:pt>
                <c:pt idx="22">
                  <c:v>4.333E-2</c:v>
                </c:pt>
                <c:pt idx="23">
                  <c:v>4.3676000000000006E-2</c:v>
                </c:pt>
                <c:pt idx="24">
                  <c:v>4.3926E-2</c:v>
                </c:pt>
                <c:pt idx="25">
                  <c:v>4.4103000000000003E-2</c:v>
                </c:pt>
                <c:pt idx="26">
                  <c:v>4.4231999999999994E-2</c:v>
                </c:pt>
                <c:pt idx="27">
                  <c:v>4.4340999999999998E-2</c:v>
                </c:pt>
                <c:pt idx="28">
                  <c:v>4.446E-2</c:v>
                </c:pt>
                <c:pt idx="29">
                  <c:v>4.4618000000000005E-2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245120"/>
        <c:axId val="358246656"/>
      </c:lineChart>
      <c:lineChart>
        <c:grouping val="standard"/>
        <c:varyColors val="0"/>
        <c:ser>
          <c:idx val="2"/>
          <c:order val="2"/>
          <c:tx>
            <c:strRef>
              <c:f>'中大 &amp; 中债'!$E$9</c:f>
              <c:strCache>
                <c:ptCount val="1"/>
                <c:pt idx="0">
                  <c:v>中大期货折现因子</c:v>
                </c:pt>
              </c:strCache>
            </c:strRef>
          </c:tx>
          <c:marker>
            <c:symbol val="none"/>
          </c:marker>
          <c:cat>
            <c:numRef>
              <c:f>'中大 &amp; 中债'!$B$11:$B$40</c:f>
              <c:numCache>
                <c:formatCode>yyyy-m-d</c:formatCode>
                <c:ptCount val="30"/>
                <c:pt idx="0">
                  <c:v>41492</c:v>
                </c:pt>
                <c:pt idx="1">
                  <c:v>41857</c:v>
                </c:pt>
                <c:pt idx="2">
                  <c:v>42222</c:v>
                </c:pt>
                <c:pt idx="3">
                  <c:v>42588</c:v>
                </c:pt>
                <c:pt idx="4">
                  <c:v>42953</c:v>
                </c:pt>
                <c:pt idx="5">
                  <c:v>43318</c:v>
                </c:pt>
                <c:pt idx="6">
                  <c:v>43683</c:v>
                </c:pt>
                <c:pt idx="7">
                  <c:v>44049</c:v>
                </c:pt>
                <c:pt idx="8">
                  <c:v>44414</c:v>
                </c:pt>
                <c:pt idx="9">
                  <c:v>44779</c:v>
                </c:pt>
                <c:pt idx="10">
                  <c:v>45144</c:v>
                </c:pt>
                <c:pt idx="11">
                  <c:v>45510</c:v>
                </c:pt>
                <c:pt idx="12">
                  <c:v>45875</c:v>
                </c:pt>
                <c:pt idx="13">
                  <c:v>46240</c:v>
                </c:pt>
                <c:pt idx="14">
                  <c:v>46605</c:v>
                </c:pt>
                <c:pt idx="15">
                  <c:v>46971</c:v>
                </c:pt>
                <c:pt idx="16">
                  <c:v>47336</c:v>
                </c:pt>
                <c:pt idx="17">
                  <c:v>47701</c:v>
                </c:pt>
                <c:pt idx="18">
                  <c:v>48066</c:v>
                </c:pt>
                <c:pt idx="19">
                  <c:v>48432</c:v>
                </c:pt>
                <c:pt idx="20">
                  <c:v>48797</c:v>
                </c:pt>
                <c:pt idx="21">
                  <c:v>49162</c:v>
                </c:pt>
                <c:pt idx="22">
                  <c:v>49527</c:v>
                </c:pt>
                <c:pt idx="23">
                  <c:v>49893</c:v>
                </c:pt>
                <c:pt idx="24">
                  <c:v>50258</c:v>
                </c:pt>
                <c:pt idx="25">
                  <c:v>50623</c:v>
                </c:pt>
                <c:pt idx="26">
                  <c:v>50988</c:v>
                </c:pt>
                <c:pt idx="27">
                  <c:v>51354</c:v>
                </c:pt>
                <c:pt idx="28">
                  <c:v>51719</c:v>
                </c:pt>
                <c:pt idx="29">
                  <c:v>52084</c:v>
                </c:pt>
              </c:numCache>
            </c:numRef>
          </c:cat>
          <c:val>
            <c:numRef>
              <c:f>'中大 &amp; 中债'!$E$11:$E$40</c:f>
              <c:numCache>
                <c:formatCode>0.000</c:formatCode>
                <c:ptCount val="30"/>
                <c:pt idx="0">
                  <c:v>0.9761244139760592</c:v>
                </c:pt>
                <c:pt idx="1">
                  <c:v>0.95428469973652352</c:v>
                </c:pt>
                <c:pt idx="2">
                  <c:v>0.92464439721575586</c:v>
                </c:pt>
                <c:pt idx="3">
                  <c:v>0.89928326087369181</c:v>
                </c:pt>
                <c:pt idx="4">
                  <c:v>0.86717283609540374</c:v>
                </c:pt>
                <c:pt idx="5">
                  <c:v>0.83206621892259591</c:v>
                </c:pt>
                <c:pt idx="6">
                  <c:v>0.80341032119265909</c:v>
                </c:pt>
                <c:pt idx="7">
                  <c:v>0.77017870589612603</c:v>
                </c:pt>
                <c:pt idx="8">
                  <c:v>0.73897395929025833</c:v>
                </c:pt>
                <c:pt idx="9">
                  <c:v>0.71508019842875059</c:v>
                </c:pt>
                <c:pt idx="10">
                  <c:v>0.68219863278016124</c:v>
                </c:pt>
                <c:pt idx="11">
                  <c:v>0.65082906167690857</c:v>
                </c:pt>
                <c:pt idx="12">
                  <c:v>0.62090195900428247</c:v>
                </c:pt>
                <c:pt idx="13">
                  <c:v>0.59235099567010308</c:v>
                </c:pt>
                <c:pt idx="14">
                  <c:v>0.56511289259588626</c:v>
                </c:pt>
                <c:pt idx="15">
                  <c:v>0.54160166434245249</c:v>
                </c:pt>
                <c:pt idx="16">
                  <c:v>0.51913652359772733</c:v>
                </c:pt>
                <c:pt idx="17">
                  <c:v>0.49308196867077364</c:v>
                </c:pt>
                <c:pt idx="18">
                  <c:v>0.46830277992086505</c:v>
                </c:pt>
                <c:pt idx="19">
                  <c:v>0.44535963709982579</c:v>
                </c:pt>
                <c:pt idx="20">
                  <c:v>0.42354052732978731</c:v>
                </c:pt>
                <c:pt idx="21">
                  <c:v>0.40279038185623778</c:v>
                </c:pt>
                <c:pt idx="22">
                  <c:v>0.38305682985932199</c:v>
                </c:pt>
                <c:pt idx="23">
                  <c:v>0.3642900662763211</c:v>
                </c:pt>
                <c:pt idx="24">
                  <c:v>0.34644272609978866</c:v>
                </c:pt>
                <c:pt idx="25">
                  <c:v>0.32946976483408613</c:v>
                </c:pt>
                <c:pt idx="26">
                  <c:v>0.31332834480860605</c:v>
                </c:pt>
                <c:pt idx="27">
                  <c:v>0.29797772706074976</c:v>
                </c:pt>
                <c:pt idx="28">
                  <c:v>0.28337916851578721</c:v>
                </c:pt>
                <c:pt idx="29">
                  <c:v>0.26949582420409274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'中大 &amp; 中债'!$F$9</c:f>
              <c:strCache>
                <c:ptCount val="1"/>
                <c:pt idx="0">
                  <c:v>中债公司折现因子</c:v>
                </c:pt>
              </c:strCache>
            </c:strRef>
          </c:tx>
          <c:marker>
            <c:symbol val="none"/>
          </c:marker>
          <c:cat>
            <c:numRef>
              <c:f>'中大 &amp; 中债'!$B$11:$B$40</c:f>
              <c:numCache>
                <c:formatCode>yyyy-m-d</c:formatCode>
                <c:ptCount val="30"/>
                <c:pt idx="0">
                  <c:v>41492</c:v>
                </c:pt>
                <c:pt idx="1">
                  <c:v>41857</c:v>
                </c:pt>
                <c:pt idx="2">
                  <c:v>42222</c:v>
                </c:pt>
                <c:pt idx="3">
                  <c:v>42588</c:v>
                </c:pt>
                <c:pt idx="4">
                  <c:v>42953</c:v>
                </c:pt>
                <c:pt idx="5">
                  <c:v>43318</c:v>
                </c:pt>
                <c:pt idx="6">
                  <c:v>43683</c:v>
                </c:pt>
                <c:pt idx="7">
                  <c:v>44049</c:v>
                </c:pt>
                <c:pt idx="8">
                  <c:v>44414</c:v>
                </c:pt>
                <c:pt idx="9">
                  <c:v>44779</c:v>
                </c:pt>
                <c:pt idx="10">
                  <c:v>45144</c:v>
                </c:pt>
                <c:pt idx="11">
                  <c:v>45510</c:v>
                </c:pt>
                <c:pt idx="12">
                  <c:v>45875</c:v>
                </c:pt>
                <c:pt idx="13">
                  <c:v>46240</c:v>
                </c:pt>
                <c:pt idx="14">
                  <c:v>46605</c:v>
                </c:pt>
                <c:pt idx="15">
                  <c:v>46971</c:v>
                </c:pt>
                <c:pt idx="16">
                  <c:v>47336</c:v>
                </c:pt>
                <c:pt idx="17">
                  <c:v>47701</c:v>
                </c:pt>
                <c:pt idx="18">
                  <c:v>48066</c:v>
                </c:pt>
                <c:pt idx="19">
                  <c:v>48432</c:v>
                </c:pt>
                <c:pt idx="20">
                  <c:v>48797</c:v>
                </c:pt>
                <c:pt idx="21">
                  <c:v>49162</c:v>
                </c:pt>
                <c:pt idx="22">
                  <c:v>49527</c:v>
                </c:pt>
                <c:pt idx="23">
                  <c:v>49893</c:v>
                </c:pt>
                <c:pt idx="24">
                  <c:v>50258</c:v>
                </c:pt>
                <c:pt idx="25">
                  <c:v>50623</c:v>
                </c:pt>
                <c:pt idx="26">
                  <c:v>50988</c:v>
                </c:pt>
                <c:pt idx="27">
                  <c:v>51354</c:v>
                </c:pt>
                <c:pt idx="28">
                  <c:v>51719</c:v>
                </c:pt>
                <c:pt idx="29">
                  <c:v>52084</c:v>
                </c:pt>
              </c:numCache>
            </c:numRef>
          </c:cat>
          <c:val>
            <c:numRef>
              <c:f>'中大 &amp; 中债'!$F$11:$F$40</c:f>
              <c:numCache>
                <c:formatCode>0.000</c:formatCode>
                <c:ptCount val="30"/>
                <c:pt idx="0">
                  <c:v>0.97682196833533907</c:v>
                </c:pt>
                <c:pt idx="1">
                  <c:v>0.95312135138074228</c:v>
                </c:pt>
                <c:pt idx="2">
                  <c:v>0.92358408372278999</c:v>
                </c:pt>
                <c:pt idx="3">
                  <c:v>0.89863763243643213</c:v>
                </c:pt>
                <c:pt idx="4">
                  <c:v>0.8654871038802201</c:v>
                </c:pt>
                <c:pt idx="5">
                  <c:v>0.83177961930767941</c:v>
                </c:pt>
                <c:pt idx="6">
                  <c:v>0.80278376529799234</c:v>
                </c:pt>
                <c:pt idx="7">
                  <c:v>0.76981007180093364</c:v>
                </c:pt>
                <c:pt idx="8">
                  <c:v>0.74211642014959189</c:v>
                </c:pt>
                <c:pt idx="9">
                  <c:v>0.71694112009471411</c:v>
                </c:pt>
                <c:pt idx="10">
                  <c:v>0.69009888005651876</c:v>
                </c:pt>
                <c:pt idx="11">
                  <c:v>0.66166821638293649</c:v>
                </c:pt>
                <c:pt idx="12">
                  <c:v>0.63227545298864785</c:v>
                </c:pt>
                <c:pt idx="13">
                  <c:v>0.60274731279925242</c:v>
                </c:pt>
                <c:pt idx="14">
                  <c:v>0.57411392721076659</c:v>
                </c:pt>
                <c:pt idx="15">
                  <c:v>0.54671833065364128</c:v>
                </c:pt>
                <c:pt idx="16">
                  <c:v>0.52004821271232726</c:v>
                </c:pt>
                <c:pt idx="17">
                  <c:v>0.49399563858728418</c:v>
                </c:pt>
                <c:pt idx="18">
                  <c:v>0.46844206530781157</c:v>
                </c:pt>
                <c:pt idx="19">
                  <c:v>0.44324044327541473</c:v>
                </c:pt>
                <c:pt idx="20">
                  <c:v>0.41920240222949534</c:v>
                </c:pt>
                <c:pt idx="21">
                  <c:v>0.39715830508967942</c:v>
                </c:pt>
                <c:pt idx="22">
                  <c:v>0.37696498162474484</c:v>
                </c:pt>
                <c:pt idx="23">
                  <c:v>0.35844562102258143</c:v>
                </c:pt>
                <c:pt idx="24">
                  <c:v>0.34139499018525937</c:v>
                </c:pt>
                <c:pt idx="25">
                  <c:v>0.32559150563365902</c:v>
                </c:pt>
                <c:pt idx="26">
                  <c:v>0.31080003469289452</c:v>
                </c:pt>
                <c:pt idx="27">
                  <c:v>0.29676645227904597</c:v>
                </c:pt>
                <c:pt idx="28">
                  <c:v>0.28322881968106312</c:v>
                </c:pt>
                <c:pt idx="29">
                  <c:v>0.26994472843680417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254848"/>
        <c:axId val="358253312"/>
      </c:lineChart>
      <c:dateAx>
        <c:axId val="358245120"/>
        <c:scaling>
          <c:orientation val="minMax"/>
        </c:scaling>
        <c:delete val="0"/>
        <c:axPos val="b"/>
        <c:numFmt formatCode="yyyy&quot;年&quot;m&quot;月&quot;;@" sourceLinked="0"/>
        <c:majorTickMark val="none"/>
        <c:minorTickMark val="none"/>
        <c:tickLblPos val="nextTo"/>
        <c:crossAx val="358246656"/>
        <c:crosses val="autoZero"/>
        <c:auto val="1"/>
        <c:lblOffset val="100"/>
        <c:baseTimeUnit val="years"/>
        <c:majorUnit val="5"/>
        <c:majorTimeUnit val="years"/>
        <c:minorUnit val="1"/>
        <c:minorTimeUnit val="years"/>
      </c:dateAx>
      <c:valAx>
        <c:axId val="35824665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crossAx val="358245120"/>
        <c:crosses val="autoZero"/>
        <c:crossBetween val="between"/>
      </c:valAx>
      <c:valAx>
        <c:axId val="358253312"/>
        <c:scaling>
          <c:orientation val="minMax"/>
        </c:scaling>
        <c:delete val="0"/>
        <c:axPos val="r"/>
        <c:numFmt formatCode="0.000" sourceLinked="1"/>
        <c:majorTickMark val="out"/>
        <c:minorTickMark val="none"/>
        <c:tickLblPos val="nextTo"/>
        <c:crossAx val="358254848"/>
        <c:crosses val="max"/>
        <c:crossBetween val="between"/>
      </c:valAx>
      <c:dateAx>
        <c:axId val="358254848"/>
        <c:scaling>
          <c:orientation val="minMax"/>
        </c:scaling>
        <c:delete val="1"/>
        <c:axPos val="b"/>
        <c:numFmt formatCode="yyyy-m-d" sourceLinked="1"/>
        <c:majorTickMark val="out"/>
        <c:minorTickMark val="none"/>
        <c:tickLblPos val="nextTo"/>
        <c:crossAx val="358253312"/>
        <c:crosses val="autoZero"/>
        <c:auto val="1"/>
        <c:lblOffset val="100"/>
        <c:baseTimeUnit val="years"/>
      </c:dateAx>
    </c:plotArea>
    <c:legend>
      <c:legendPos val="b"/>
      <c:layout>
        <c:manualLayout>
          <c:xMode val="edge"/>
          <c:yMode val="edge"/>
          <c:x val="0.10604751619870412"/>
          <c:y val="0.77851639354688851"/>
          <c:w val="0.75334773218142559"/>
          <c:h val="4.00175088472128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中国国债（银行间）即期收益率（回溯</a:t>
            </a:r>
            <a:r>
              <a:rPr lang="en-US" altLang="zh-CN"/>
              <a:t>1</a:t>
            </a:r>
            <a:r>
              <a:rPr lang="zh-CN" altLang="en-US"/>
              <a:t>年）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历史收益率比较!$C$44</c:f>
              <c:strCache>
                <c:ptCount val="1"/>
                <c:pt idx="0">
                  <c:v>2012-8-20</c:v>
                </c:pt>
              </c:strCache>
            </c:strRef>
          </c:tx>
          <c:marker>
            <c:symbol val="none"/>
          </c:marker>
          <c:cat>
            <c:numRef>
              <c:f>历史收益率比较!$A$46:$A$75</c:f>
              <c:numCache>
                <c:formatCode>G/通用格式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历史收益率比较!$C$46:$C$75</c:f>
              <c:numCache>
                <c:formatCode>0.00%</c:formatCode>
                <c:ptCount val="30"/>
                <c:pt idx="0">
                  <c:v>2.465574930943748E-2</c:v>
                </c:pt>
                <c:pt idx="1">
                  <c:v>2.6759129289106953E-2</c:v>
                </c:pt>
                <c:pt idx="2">
                  <c:v>2.8003633737023748E-2</c:v>
                </c:pt>
                <c:pt idx="3">
                  <c:v>2.9174270320064588E-2</c:v>
                </c:pt>
                <c:pt idx="4">
                  <c:v>3.0508425101937853E-2</c:v>
                </c:pt>
                <c:pt idx="5">
                  <c:v>3.1602978468950438E-2</c:v>
                </c:pt>
                <c:pt idx="6">
                  <c:v>3.2482441645473203E-2</c:v>
                </c:pt>
                <c:pt idx="7">
                  <c:v>3.3628835672184776E-2</c:v>
                </c:pt>
                <c:pt idx="8">
                  <c:v>3.4030170049038411E-2</c:v>
                </c:pt>
                <c:pt idx="9">
                  <c:v>3.4312958974863861E-2</c:v>
                </c:pt>
                <c:pt idx="10">
                  <c:v>3.5479959736425482E-2</c:v>
                </c:pt>
                <c:pt idx="11">
                  <c:v>3.6453466128587131E-2</c:v>
                </c:pt>
                <c:pt idx="12">
                  <c:v>3.7277917135647209E-2</c:v>
                </c:pt>
                <c:pt idx="13">
                  <c:v>3.798511138110916E-2</c:v>
                </c:pt>
                <c:pt idx="14">
                  <c:v>3.8598403054591168E-2</c:v>
                </c:pt>
                <c:pt idx="15">
                  <c:v>3.8905046545651523E-2</c:v>
                </c:pt>
                <c:pt idx="16">
                  <c:v>3.9175689516365075E-2</c:v>
                </c:pt>
                <c:pt idx="17">
                  <c:v>3.9939384386251886E-2</c:v>
                </c:pt>
                <c:pt idx="18">
                  <c:v>4.0638798928442021E-2</c:v>
                </c:pt>
                <c:pt idx="19">
                  <c:v>4.1268674193820631E-2</c:v>
                </c:pt>
                <c:pt idx="20">
                  <c:v>4.1838889846541383E-2</c:v>
                </c:pt>
                <c:pt idx="21">
                  <c:v>4.2357538677022299E-2</c:v>
                </c:pt>
                <c:pt idx="22">
                  <c:v>4.2831313098677049E-2</c:v>
                </c:pt>
                <c:pt idx="23">
                  <c:v>4.3265795487131609E-2</c:v>
                </c:pt>
                <c:pt idx="24">
                  <c:v>4.3665679160970861E-2</c:v>
                </c:pt>
                <c:pt idx="25">
                  <c:v>4.4034938594099682E-2</c:v>
                </c:pt>
                <c:pt idx="26">
                  <c:v>4.4376961965334694E-2</c:v>
                </c:pt>
                <c:pt idx="27">
                  <c:v>4.4694655421928742E-2</c:v>
                </c:pt>
                <c:pt idx="28">
                  <c:v>4.4990525857404595E-2</c:v>
                </c:pt>
                <c:pt idx="29">
                  <c:v>4.5266747197662438E-2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历史收益率比较!$D$44</c:f>
              <c:strCache>
                <c:ptCount val="1"/>
                <c:pt idx="0">
                  <c:v>2012-8-13</c:v>
                </c:pt>
              </c:strCache>
            </c:strRef>
          </c:tx>
          <c:marker>
            <c:symbol val="none"/>
          </c:marker>
          <c:cat>
            <c:numRef>
              <c:f>历史收益率比较!$A$46:$A$75</c:f>
              <c:numCache>
                <c:formatCode>G/通用格式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历史收益率比较!$D$46:$D$75</c:f>
              <c:numCache>
                <c:formatCode>0.00%</c:formatCode>
                <c:ptCount val="30"/>
                <c:pt idx="0">
                  <c:v>2.4820633478512821E-2</c:v>
                </c:pt>
                <c:pt idx="1">
                  <c:v>2.6018160406353852E-2</c:v>
                </c:pt>
                <c:pt idx="2">
                  <c:v>2.7181069774188105E-2</c:v>
                </c:pt>
                <c:pt idx="3">
                  <c:v>2.8162660726406052E-2</c:v>
                </c:pt>
                <c:pt idx="4">
                  <c:v>2.9901822445899562E-2</c:v>
                </c:pt>
                <c:pt idx="5">
                  <c:v>3.1160337363725699E-2</c:v>
                </c:pt>
                <c:pt idx="6">
                  <c:v>3.2452334000677707E-2</c:v>
                </c:pt>
                <c:pt idx="7">
                  <c:v>3.3627241554970988E-2</c:v>
                </c:pt>
                <c:pt idx="8">
                  <c:v>3.4370342020836775E-2</c:v>
                </c:pt>
                <c:pt idx="9">
                  <c:v>3.4397872519792205E-2</c:v>
                </c:pt>
                <c:pt idx="10">
                  <c:v>3.5552646376293406E-2</c:v>
                </c:pt>
                <c:pt idx="11">
                  <c:v>3.6515942636064613E-2</c:v>
                </c:pt>
                <c:pt idx="12">
                  <c:v>3.7331739335940251E-2</c:v>
                </c:pt>
                <c:pt idx="13">
                  <c:v>3.803150467277594E-2</c:v>
                </c:pt>
                <c:pt idx="14">
                  <c:v>3.8638349788536308E-2</c:v>
                </c:pt>
                <c:pt idx="15">
                  <c:v>3.8941674507784629E-2</c:v>
                </c:pt>
                <c:pt idx="16">
                  <c:v>3.9205132442889257E-2</c:v>
                </c:pt>
                <c:pt idx="17">
                  <c:v>3.9959834097861503E-2</c:v>
                </c:pt>
                <c:pt idx="18">
                  <c:v>4.0664799682976316E-2</c:v>
                </c:pt>
                <c:pt idx="19">
                  <c:v>4.1307641054074473E-2</c:v>
                </c:pt>
                <c:pt idx="20">
                  <c:v>4.1889601600621829E-2</c:v>
                </c:pt>
                <c:pt idx="21">
                  <c:v>4.241893887386694E-2</c:v>
                </c:pt>
                <c:pt idx="22">
                  <c:v>4.2902481686629024E-2</c:v>
                </c:pt>
                <c:pt idx="23">
                  <c:v>4.3345926303003157E-2</c:v>
                </c:pt>
                <c:pt idx="24">
                  <c:v>4.3754061878812367E-2</c:v>
                </c:pt>
                <c:pt idx="25">
                  <c:v>4.4130944113894399E-2</c:v>
                </c:pt>
                <c:pt idx="26">
                  <c:v>4.4480030483897037E-2</c:v>
                </c:pt>
                <c:pt idx="27">
                  <c:v>4.4804286616101363E-2</c:v>
                </c:pt>
                <c:pt idx="28">
                  <c:v>4.5106270746089416E-2</c:v>
                </c:pt>
                <c:pt idx="29">
                  <c:v>4.5388201349559676E-2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历史收益率比较!$E$44</c:f>
              <c:strCache>
                <c:ptCount val="1"/>
                <c:pt idx="0">
                  <c:v>2012-7-20</c:v>
                </c:pt>
              </c:strCache>
            </c:strRef>
          </c:tx>
          <c:marker>
            <c:symbol val="none"/>
          </c:marker>
          <c:cat>
            <c:numRef>
              <c:f>历史收益率比较!$A$46:$A$75</c:f>
              <c:numCache>
                <c:formatCode>G/通用格式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历史收益率比较!$E$46:$E$75</c:f>
              <c:numCache>
                <c:formatCode>0.00%</c:formatCode>
                <c:ptCount val="30"/>
                <c:pt idx="0">
                  <c:v>2.3103588698816679E-2</c:v>
                </c:pt>
                <c:pt idx="1">
                  <c:v>2.4995902034512518E-2</c:v>
                </c:pt>
                <c:pt idx="2">
                  <c:v>2.4526504955926232E-2</c:v>
                </c:pt>
                <c:pt idx="3">
                  <c:v>2.6293351865622983E-2</c:v>
                </c:pt>
                <c:pt idx="4">
                  <c:v>2.8047285270486944E-2</c:v>
                </c:pt>
                <c:pt idx="5">
                  <c:v>3.053219802932583E-2</c:v>
                </c:pt>
                <c:pt idx="6">
                  <c:v>3.1889664190261291E-2</c:v>
                </c:pt>
                <c:pt idx="7">
                  <c:v>3.3209016754762954E-2</c:v>
                </c:pt>
                <c:pt idx="8">
                  <c:v>3.4840863816978596E-2</c:v>
                </c:pt>
                <c:pt idx="9">
                  <c:v>3.3585999125128163E-2</c:v>
                </c:pt>
                <c:pt idx="10">
                  <c:v>3.535286472764998E-2</c:v>
                </c:pt>
                <c:pt idx="11">
                  <c:v>3.6647357834801886E-2</c:v>
                </c:pt>
                <c:pt idx="12">
                  <c:v>3.764871889268151E-2</c:v>
                </c:pt>
                <c:pt idx="13">
                  <c:v>3.8507798208087252E-2</c:v>
                </c:pt>
                <c:pt idx="14">
                  <c:v>3.9252908907737583E-2</c:v>
                </c:pt>
                <c:pt idx="15">
                  <c:v>3.9314326079126216E-2</c:v>
                </c:pt>
                <c:pt idx="16">
                  <c:v>3.9317967415287036E-2</c:v>
                </c:pt>
                <c:pt idx="17">
                  <c:v>4.001395959784193E-2</c:v>
                </c:pt>
                <c:pt idx="18">
                  <c:v>4.0727197834525608E-2</c:v>
                </c:pt>
                <c:pt idx="19">
                  <c:v>4.1337538738185131E-2</c:v>
                </c:pt>
                <c:pt idx="20">
                  <c:v>4.1726262455439089E-2</c:v>
                </c:pt>
                <c:pt idx="21">
                  <c:v>4.2079773571450874E-2</c:v>
                </c:pt>
                <c:pt idx="22">
                  <c:v>4.2402649359845057E-2</c:v>
                </c:pt>
                <c:pt idx="23">
                  <c:v>4.2698706713397927E-2</c:v>
                </c:pt>
                <c:pt idx="24">
                  <c:v>4.2971153741577561E-2</c:v>
                </c:pt>
                <c:pt idx="25">
                  <c:v>4.3222706490028573E-2</c:v>
                </c:pt>
                <c:pt idx="26">
                  <c:v>4.3487655669782743E-2</c:v>
                </c:pt>
                <c:pt idx="27">
                  <c:v>4.3819775593650467E-2</c:v>
                </c:pt>
                <c:pt idx="28">
                  <c:v>4.412908571740104E-2</c:v>
                </c:pt>
                <c:pt idx="29">
                  <c:v>4.4417857860122423E-2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历史收益率比较!$F$44</c:f>
              <c:strCache>
                <c:ptCount val="1"/>
                <c:pt idx="0">
                  <c:v>2012-5-21</c:v>
                </c:pt>
              </c:strCache>
            </c:strRef>
          </c:tx>
          <c:marker>
            <c:symbol val="none"/>
          </c:marker>
          <c:cat>
            <c:numRef>
              <c:f>历史收益率比较!$A$46:$A$75</c:f>
              <c:numCache>
                <c:formatCode>G/通用格式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历史收益率比较!$F$46:$F$75</c:f>
              <c:numCache>
                <c:formatCode>0.00%</c:formatCode>
                <c:ptCount val="30"/>
                <c:pt idx="0">
                  <c:v>2.3969305460415091E-2</c:v>
                </c:pt>
                <c:pt idx="1">
                  <c:v>2.5073329260193455E-2</c:v>
                </c:pt>
                <c:pt idx="2">
                  <c:v>2.857084712312874E-2</c:v>
                </c:pt>
                <c:pt idx="3">
                  <c:v>3.053188553612185E-2</c:v>
                </c:pt>
                <c:pt idx="4">
                  <c:v>3.1356354326572022E-2</c:v>
                </c:pt>
                <c:pt idx="5">
                  <c:v>3.2558856587639795E-2</c:v>
                </c:pt>
                <c:pt idx="6">
                  <c:v>3.4381779704744098E-2</c:v>
                </c:pt>
                <c:pt idx="7">
                  <c:v>3.4388527047751083E-2</c:v>
                </c:pt>
                <c:pt idx="8">
                  <c:v>3.4973227844846244E-2</c:v>
                </c:pt>
                <c:pt idx="9">
                  <c:v>3.5330034524496901E-2</c:v>
                </c:pt>
                <c:pt idx="10">
                  <c:v>3.8049253873547295E-2</c:v>
                </c:pt>
                <c:pt idx="11">
                  <c:v>3.6149836613659447E-2</c:v>
                </c:pt>
                <c:pt idx="12">
                  <c:v>3.6993261270425126E-2</c:v>
                </c:pt>
                <c:pt idx="13">
                  <c:v>3.8188175408929492E-2</c:v>
                </c:pt>
                <c:pt idx="14">
                  <c:v>3.9224881351737073E-2</c:v>
                </c:pt>
                <c:pt idx="15">
                  <c:v>4.004504688686894E-2</c:v>
                </c:pt>
                <c:pt idx="16">
                  <c:v>4.0741696707442099E-2</c:v>
                </c:pt>
                <c:pt idx="17">
                  <c:v>4.1436373800533444E-2</c:v>
                </c:pt>
                <c:pt idx="18">
                  <c:v>4.2066760441827E-2</c:v>
                </c:pt>
                <c:pt idx="19">
                  <c:v>4.2285933043785473E-2</c:v>
                </c:pt>
                <c:pt idx="20">
                  <c:v>4.2484271785506067E-2</c:v>
                </c:pt>
                <c:pt idx="21">
                  <c:v>4.2664612483908737E-2</c:v>
                </c:pt>
                <c:pt idx="22">
                  <c:v>4.2829298628409784E-2</c:v>
                </c:pt>
                <c:pt idx="23">
                  <c:v>4.2980283778031314E-2</c:v>
                </c:pt>
                <c:pt idx="24">
                  <c:v>4.3119209422586513E-2</c:v>
                </c:pt>
                <c:pt idx="25">
                  <c:v>4.3247464903585886E-2</c:v>
                </c:pt>
                <c:pt idx="26">
                  <c:v>4.3366234039139417E-2</c:v>
                </c:pt>
                <c:pt idx="27">
                  <c:v>4.3476531772099314E-2</c:v>
                </c:pt>
                <c:pt idx="28">
                  <c:v>4.3579233246299642E-2</c:v>
                </c:pt>
                <c:pt idx="29">
                  <c:v>4.3675097075309699E-2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历史收益率比较!$G$44</c:f>
              <c:strCache>
                <c:ptCount val="1"/>
                <c:pt idx="0">
                  <c:v>2011-8-22</c:v>
                </c:pt>
              </c:strCache>
            </c:strRef>
          </c:tx>
          <c:marker>
            <c:symbol val="none"/>
          </c:marker>
          <c:cat>
            <c:numRef>
              <c:f>历史收益率比较!$A$46:$A$75</c:f>
              <c:numCache>
                <c:formatCode>G/通用格式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历史收益率比较!$G$46:$G$75</c:f>
              <c:numCache>
                <c:formatCode>0.00%</c:formatCode>
                <c:ptCount val="30"/>
                <c:pt idx="0">
                  <c:v>3.5977958678154121E-2</c:v>
                </c:pt>
                <c:pt idx="1">
                  <c:v>3.6298613654038192E-2</c:v>
                </c:pt>
                <c:pt idx="2">
                  <c:v>3.674579300674452E-2</c:v>
                </c:pt>
                <c:pt idx="3">
                  <c:v>3.7574191171632965E-2</c:v>
                </c:pt>
                <c:pt idx="4">
                  <c:v>3.8513599765811701E-2</c:v>
                </c:pt>
                <c:pt idx="5">
                  <c:v>3.865149413537794E-2</c:v>
                </c:pt>
                <c:pt idx="6">
                  <c:v>4.044926446881747E-2</c:v>
                </c:pt>
                <c:pt idx="7">
                  <c:v>4.01310728762998E-2</c:v>
                </c:pt>
                <c:pt idx="8">
                  <c:v>3.9883657803985617E-2</c:v>
                </c:pt>
                <c:pt idx="9">
                  <c:v>4.004131681812817E-2</c:v>
                </c:pt>
                <c:pt idx="10">
                  <c:v>4.1083228904051028E-2</c:v>
                </c:pt>
                <c:pt idx="11">
                  <c:v>4.1952286267986194E-2</c:v>
                </c:pt>
                <c:pt idx="12">
                  <c:v>4.2688209103582953E-2</c:v>
                </c:pt>
                <c:pt idx="13">
                  <c:v>4.3319413791357064E-2</c:v>
                </c:pt>
                <c:pt idx="14">
                  <c:v>4.3866766928580825E-2</c:v>
                </c:pt>
                <c:pt idx="15">
                  <c:v>4.4345936476180903E-2</c:v>
                </c:pt>
                <c:pt idx="16">
                  <c:v>4.4768915793925501E-2</c:v>
                </c:pt>
                <c:pt idx="17">
                  <c:v>4.5145041227042437E-2</c:v>
                </c:pt>
                <c:pt idx="18">
                  <c:v>4.5481689286048121E-2</c:v>
                </c:pt>
                <c:pt idx="19">
                  <c:v>4.5784765251402737E-2</c:v>
                </c:pt>
                <c:pt idx="20">
                  <c:v>4.6059052544628942E-2</c:v>
                </c:pt>
                <c:pt idx="21">
                  <c:v>4.6308467055960367E-2</c:v>
                </c:pt>
                <c:pt idx="22">
                  <c:v>4.6536245285158762E-2</c:v>
                </c:pt>
                <c:pt idx="23">
                  <c:v>4.674508555548007E-2</c:v>
                </c:pt>
                <c:pt idx="24">
                  <c:v>4.6937255411222178E-2</c:v>
                </c:pt>
                <c:pt idx="25">
                  <c:v>4.7114674283904368E-2</c:v>
                </c:pt>
                <c:pt idx="26">
                  <c:v>4.7220499966339924E-2</c:v>
                </c:pt>
                <c:pt idx="27">
                  <c:v>4.7163706754203449E-2</c:v>
                </c:pt>
                <c:pt idx="28">
                  <c:v>4.7110833084050618E-2</c:v>
                </c:pt>
                <c:pt idx="29">
                  <c:v>4.7061486733916968E-2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642432"/>
        <c:axId val="358645120"/>
      </c:lineChart>
      <c:catAx>
        <c:axId val="358642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期限</a:t>
                </a:r>
              </a:p>
            </c:rich>
          </c:tx>
          <c:layout>
            <c:manualLayout>
              <c:xMode val="edge"/>
              <c:yMode val="edge"/>
              <c:x val="0.47524559430071239"/>
              <c:y val="0.90113396187318695"/>
            </c:manualLayout>
          </c:layout>
          <c:overlay val="0"/>
        </c:title>
        <c:numFmt formatCode="G/通用格式" sourceLinked="1"/>
        <c:majorTickMark val="none"/>
        <c:minorTickMark val="none"/>
        <c:tickLblPos val="nextTo"/>
        <c:crossAx val="358645120"/>
        <c:crosses val="autoZero"/>
        <c:auto val="1"/>
        <c:lblAlgn val="ctr"/>
        <c:lblOffset val="100"/>
        <c:noMultiLvlLbl val="0"/>
      </c:catAx>
      <c:valAx>
        <c:axId val="358645120"/>
        <c:scaling>
          <c:orientation val="minMax"/>
          <c:min val="2.0000000000000004E-2"/>
        </c:scaling>
        <c:delete val="0"/>
        <c:axPos val="l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即期收益率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35864243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3556996981216764"/>
          <c:y val="0.61604624257494134"/>
          <c:w val="0.49689228750252373"/>
          <c:h val="3.6475871680941546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Sheet1!$G$66:$G$115</c:f>
              <c:numCache>
                <c:formatCode>G/通用格式</c:formatCode>
                <c:ptCount val="50"/>
                <c:pt idx="0">
                  <c:v>5.0000000000129566E-2</c:v>
                </c:pt>
                <c:pt idx="1">
                  <c:v>7.5205479452054955E-2</c:v>
                </c:pt>
                <c:pt idx="2">
                  <c:v>0.10041095890410963</c:v>
                </c:pt>
                <c:pt idx="3">
                  <c:v>0.12479452054794526</c:v>
                </c:pt>
                <c:pt idx="4">
                  <c:v>0.15000000000000008</c:v>
                </c:pt>
                <c:pt idx="5">
                  <c:v>0.14160583941605831</c:v>
                </c:pt>
                <c:pt idx="6">
                  <c:v>0.13321167883211676</c:v>
                </c:pt>
                <c:pt idx="7">
                  <c:v>0.12509124087591245</c:v>
                </c:pt>
                <c:pt idx="8">
                  <c:v>0.11669708029197084</c:v>
                </c:pt>
                <c:pt idx="9">
                  <c:v>0.10830291970802924</c:v>
                </c:pt>
                <c:pt idx="10">
                  <c:v>9.9908759124087587E-2</c:v>
                </c:pt>
                <c:pt idx="11">
                  <c:v>9.1788321167883227E-2</c:v>
                </c:pt>
                <c:pt idx="12">
                  <c:v>8.3394160583941584E-2</c:v>
                </c:pt>
                <c:pt idx="13">
                  <c:v>7.4999999999999997E-2</c:v>
                </c:pt>
                <c:pt idx="14">
                  <c:v>6.6605839416058382E-2</c:v>
                </c:pt>
                <c:pt idx="15">
                  <c:v>5.8394160583941597E-2</c:v>
                </c:pt>
                <c:pt idx="16">
                  <c:v>0.05</c:v>
                </c:pt>
                <c:pt idx="17">
                  <c:v>5.000000000000001E-2</c:v>
                </c:pt>
                <c:pt idx="18">
                  <c:v>5.0000000000000017E-2</c:v>
                </c:pt>
                <c:pt idx="19">
                  <c:v>5.0000000000000024E-2</c:v>
                </c:pt>
                <c:pt idx="20">
                  <c:v>4.9999999999999982E-2</c:v>
                </c:pt>
                <c:pt idx="21">
                  <c:v>0.05</c:v>
                </c:pt>
                <c:pt idx="22">
                  <c:v>5.0000000000000024E-2</c:v>
                </c:pt>
                <c:pt idx="23">
                  <c:v>5.0000000000000017E-2</c:v>
                </c:pt>
                <c:pt idx="24">
                  <c:v>5.000000000000001E-2</c:v>
                </c:pt>
                <c:pt idx="25">
                  <c:v>4.9999999999999989E-2</c:v>
                </c:pt>
                <c:pt idx="26">
                  <c:v>0.05</c:v>
                </c:pt>
                <c:pt idx="27">
                  <c:v>4.9999999999999996E-2</c:v>
                </c:pt>
                <c:pt idx="28">
                  <c:v>5.000000000000001E-2</c:v>
                </c:pt>
                <c:pt idx="29">
                  <c:v>5.0000000000000017E-2</c:v>
                </c:pt>
                <c:pt idx="30">
                  <c:v>4.9999999999999996E-2</c:v>
                </c:pt>
                <c:pt idx="31">
                  <c:v>5.000000000000001E-2</c:v>
                </c:pt>
                <c:pt idx="32">
                  <c:v>0.05</c:v>
                </c:pt>
                <c:pt idx="33">
                  <c:v>5.000000000000001E-2</c:v>
                </c:pt>
                <c:pt idx="34">
                  <c:v>0.05</c:v>
                </c:pt>
                <c:pt idx="35">
                  <c:v>0.05</c:v>
                </c:pt>
                <c:pt idx="36">
                  <c:v>5.000000000000001E-2</c:v>
                </c:pt>
                <c:pt idx="37">
                  <c:v>0.05</c:v>
                </c:pt>
                <c:pt idx="38">
                  <c:v>0.05</c:v>
                </c:pt>
                <c:pt idx="39">
                  <c:v>5.0000000000000024E-2</c:v>
                </c:pt>
                <c:pt idx="40">
                  <c:v>0.05</c:v>
                </c:pt>
                <c:pt idx="41">
                  <c:v>5.0000000000000017E-2</c:v>
                </c:pt>
                <c:pt idx="42">
                  <c:v>4.9999999999999989E-2</c:v>
                </c:pt>
                <c:pt idx="43">
                  <c:v>4.9999999999999996E-2</c:v>
                </c:pt>
                <c:pt idx="44">
                  <c:v>0.05</c:v>
                </c:pt>
                <c:pt idx="45">
                  <c:v>0.05</c:v>
                </c:pt>
                <c:pt idx="46">
                  <c:v>4.9999999999999996E-2</c:v>
                </c:pt>
                <c:pt idx="47">
                  <c:v>4.9999999999999982E-2</c:v>
                </c:pt>
                <c:pt idx="48">
                  <c:v>5.000000000000001E-2</c:v>
                </c:pt>
                <c:pt idx="49">
                  <c:v>5.000000000000001E-2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891712"/>
        <c:axId val="405901696"/>
      </c:lineChart>
      <c:catAx>
        <c:axId val="405891712"/>
        <c:scaling>
          <c:orientation val="minMax"/>
        </c:scaling>
        <c:delete val="0"/>
        <c:axPos val="b"/>
        <c:majorTickMark val="out"/>
        <c:minorTickMark val="none"/>
        <c:tickLblPos val="nextTo"/>
        <c:crossAx val="405901696"/>
        <c:crosses val="autoZero"/>
        <c:auto val="1"/>
        <c:lblAlgn val="ctr"/>
        <c:lblOffset val="100"/>
        <c:noMultiLvlLbl val="0"/>
      </c:catAx>
      <c:valAx>
        <c:axId val="405901696"/>
        <c:scaling>
          <c:orientation val="minMax"/>
        </c:scaling>
        <c:delete val="0"/>
        <c:axPos val="l"/>
        <c:majorGridlines/>
        <c:numFmt formatCode="G/通用格式" sourceLinked="1"/>
        <c:majorTickMark val="out"/>
        <c:minorTickMark val="none"/>
        <c:tickLblPos val="nextTo"/>
        <c:crossAx val="4058917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test!$B$1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cat>
            <c:numRef>
              <c:f>test!$A$2:$A$202</c:f>
              <c:numCache>
                <c:formatCode>yyyy-m-d</c:formatCode>
                <c:ptCount val="201"/>
                <c:pt idx="0">
                  <c:v>41138</c:v>
                </c:pt>
                <c:pt idx="1">
                  <c:v>41232</c:v>
                </c:pt>
                <c:pt idx="2">
                  <c:v>41324</c:v>
                </c:pt>
                <c:pt idx="3">
                  <c:v>41414</c:v>
                </c:pt>
                <c:pt idx="4">
                  <c:v>41506</c:v>
                </c:pt>
                <c:pt idx="5">
                  <c:v>41598</c:v>
                </c:pt>
                <c:pt idx="6">
                  <c:v>41690</c:v>
                </c:pt>
                <c:pt idx="7">
                  <c:v>41779</c:v>
                </c:pt>
                <c:pt idx="8">
                  <c:v>41871</c:v>
                </c:pt>
                <c:pt idx="9">
                  <c:v>41963</c:v>
                </c:pt>
                <c:pt idx="10">
                  <c:v>42055</c:v>
                </c:pt>
                <c:pt idx="11">
                  <c:v>42144</c:v>
                </c:pt>
                <c:pt idx="12">
                  <c:v>42236</c:v>
                </c:pt>
                <c:pt idx="13">
                  <c:v>42328</c:v>
                </c:pt>
                <c:pt idx="14">
                  <c:v>42422</c:v>
                </c:pt>
                <c:pt idx="15">
                  <c:v>42513</c:v>
                </c:pt>
                <c:pt idx="16">
                  <c:v>42605</c:v>
                </c:pt>
                <c:pt idx="17">
                  <c:v>42697</c:v>
                </c:pt>
                <c:pt idx="18">
                  <c:v>42789</c:v>
                </c:pt>
                <c:pt idx="19">
                  <c:v>42878</c:v>
                </c:pt>
                <c:pt idx="20">
                  <c:v>42970</c:v>
                </c:pt>
                <c:pt idx="21">
                  <c:v>43062</c:v>
                </c:pt>
                <c:pt idx="22">
                  <c:v>43154</c:v>
                </c:pt>
                <c:pt idx="23">
                  <c:v>43243</c:v>
                </c:pt>
                <c:pt idx="24">
                  <c:v>43335</c:v>
                </c:pt>
                <c:pt idx="25">
                  <c:v>43427</c:v>
                </c:pt>
                <c:pt idx="26">
                  <c:v>43521</c:v>
                </c:pt>
                <c:pt idx="27">
                  <c:v>43612</c:v>
                </c:pt>
                <c:pt idx="28">
                  <c:v>43704</c:v>
                </c:pt>
                <c:pt idx="29">
                  <c:v>43796</c:v>
                </c:pt>
                <c:pt idx="30">
                  <c:v>43888</c:v>
                </c:pt>
                <c:pt idx="31">
                  <c:v>43978</c:v>
                </c:pt>
                <c:pt idx="32">
                  <c:v>44070</c:v>
                </c:pt>
                <c:pt idx="33">
                  <c:v>44162</c:v>
                </c:pt>
                <c:pt idx="34">
                  <c:v>44256</c:v>
                </c:pt>
                <c:pt idx="35">
                  <c:v>44348</c:v>
                </c:pt>
                <c:pt idx="36">
                  <c:v>44440</c:v>
                </c:pt>
                <c:pt idx="37">
                  <c:v>44531</c:v>
                </c:pt>
                <c:pt idx="38">
                  <c:v>44621</c:v>
                </c:pt>
                <c:pt idx="39">
                  <c:v>44713</c:v>
                </c:pt>
                <c:pt idx="40">
                  <c:v>44805</c:v>
                </c:pt>
                <c:pt idx="41">
                  <c:v>44896</c:v>
                </c:pt>
                <c:pt idx="42">
                  <c:v>44986</c:v>
                </c:pt>
                <c:pt idx="43">
                  <c:v>45078</c:v>
                </c:pt>
                <c:pt idx="44">
                  <c:v>45170</c:v>
                </c:pt>
                <c:pt idx="45">
                  <c:v>45261</c:v>
                </c:pt>
                <c:pt idx="46">
                  <c:v>45352</c:v>
                </c:pt>
                <c:pt idx="47">
                  <c:v>45446</c:v>
                </c:pt>
                <c:pt idx="48">
                  <c:v>45538</c:v>
                </c:pt>
                <c:pt idx="49">
                  <c:v>45629</c:v>
                </c:pt>
                <c:pt idx="50">
                  <c:v>45719</c:v>
                </c:pt>
                <c:pt idx="51">
                  <c:v>45811</c:v>
                </c:pt>
                <c:pt idx="52">
                  <c:v>45903</c:v>
                </c:pt>
                <c:pt idx="53">
                  <c:v>45994</c:v>
                </c:pt>
                <c:pt idx="54">
                  <c:v>46084</c:v>
                </c:pt>
                <c:pt idx="55">
                  <c:v>46176</c:v>
                </c:pt>
                <c:pt idx="56">
                  <c:v>46268</c:v>
                </c:pt>
                <c:pt idx="57">
                  <c:v>46359</c:v>
                </c:pt>
                <c:pt idx="58">
                  <c:v>46449</c:v>
                </c:pt>
                <c:pt idx="59">
                  <c:v>46541</c:v>
                </c:pt>
                <c:pt idx="60">
                  <c:v>46633</c:v>
                </c:pt>
                <c:pt idx="61">
                  <c:v>46724</c:v>
                </c:pt>
                <c:pt idx="62">
                  <c:v>46815</c:v>
                </c:pt>
                <c:pt idx="63">
                  <c:v>46909</c:v>
                </c:pt>
                <c:pt idx="64">
                  <c:v>47001</c:v>
                </c:pt>
                <c:pt idx="65">
                  <c:v>47092</c:v>
                </c:pt>
                <c:pt idx="66">
                  <c:v>47182</c:v>
                </c:pt>
                <c:pt idx="67">
                  <c:v>47274</c:v>
                </c:pt>
                <c:pt idx="68">
                  <c:v>47366</c:v>
                </c:pt>
                <c:pt idx="69">
                  <c:v>47457</c:v>
                </c:pt>
                <c:pt idx="70">
                  <c:v>47547</c:v>
                </c:pt>
                <c:pt idx="71">
                  <c:v>47639</c:v>
                </c:pt>
                <c:pt idx="72">
                  <c:v>47731</c:v>
                </c:pt>
                <c:pt idx="73">
                  <c:v>47822</c:v>
                </c:pt>
                <c:pt idx="74">
                  <c:v>47912</c:v>
                </c:pt>
                <c:pt idx="75">
                  <c:v>48004</c:v>
                </c:pt>
                <c:pt idx="76">
                  <c:v>48096</c:v>
                </c:pt>
                <c:pt idx="77">
                  <c:v>48187</c:v>
                </c:pt>
                <c:pt idx="78">
                  <c:v>48278</c:v>
                </c:pt>
                <c:pt idx="79">
                  <c:v>48372</c:v>
                </c:pt>
                <c:pt idx="80">
                  <c:v>48464</c:v>
                </c:pt>
                <c:pt idx="81">
                  <c:v>48555</c:v>
                </c:pt>
                <c:pt idx="82">
                  <c:v>48645</c:v>
                </c:pt>
                <c:pt idx="83">
                  <c:v>48737</c:v>
                </c:pt>
                <c:pt idx="84">
                  <c:v>48829</c:v>
                </c:pt>
                <c:pt idx="85">
                  <c:v>48920</c:v>
                </c:pt>
                <c:pt idx="86">
                  <c:v>49010</c:v>
                </c:pt>
                <c:pt idx="87">
                  <c:v>49102</c:v>
                </c:pt>
                <c:pt idx="88">
                  <c:v>49194</c:v>
                </c:pt>
                <c:pt idx="89">
                  <c:v>49285</c:v>
                </c:pt>
                <c:pt idx="90">
                  <c:v>49375</c:v>
                </c:pt>
                <c:pt idx="91">
                  <c:v>49467</c:v>
                </c:pt>
                <c:pt idx="92">
                  <c:v>49559</c:v>
                </c:pt>
                <c:pt idx="93">
                  <c:v>49650</c:v>
                </c:pt>
                <c:pt idx="94">
                  <c:v>49741</c:v>
                </c:pt>
                <c:pt idx="95">
                  <c:v>49835</c:v>
                </c:pt>
                <c:pt idx="96">
                  <c:v>49927</c:v>
                </c:pt>
                <c:pt idx="97">
                  <c:v>50018</c:v>
                </c:pt>
                <c:pt idx="98">
                  <c:v>50108</c:v>
                </c:pt>
                <c:pt idx="99">
                  <c:v>50200</c:v>
                </c:pt>
                <c:pt idx="100">
                  <c:v>50292</c:v>
                </c:pt>
                <c:pt idx="101">
                  <c:v>50383</c:v>
                </c:pt>
                <c:pt idx="102">
                  <c:v>50473</c:v>
                </c:pt>
                <c:pt idx="103">
                  <c:v>50565</c:v>
                </c:pt>
                <c:pt idx="104">
                  <c:v>50657</c:v>
                </c:pt>
                <c:pt idx="105">
                  <c:v>50748</c:v>
                </c:pt>
                <c:pt idx="106">
                  <c:v>50838</c:v>
                </c:pt>
                <c:pt idx="107">
                  <c:v>50930</c:v>
                </c:pt>
                <c:pt idx="108">
                  <c:v>51022</c:v>
                </c:pt>
                <c:pt idx="109">
                  <c:v>51113</c:v>
                </c:pt>
                <c:pt idx="110">
                  <c:v>51204</c:v>
                </c:pt>
                <c:pt idx="111">
                  <c:v>51298</c:v>
                </c:pt>
                <c:pt idx="112">
                  <c:v>51390</c:v>
                </c:pt>
                <c:pt idx="113">
                  <c:v>51481</c:v>
                </c:pt>
                <c:pt idx="114">
                  <c:v>51571</c:v>
                </c:pt>
                <c:pt idx="115">
                  <c:v>51663</c:v>
                </c:pt>
                <c:pt idx="116">
                  <c:v>51755</c:v>
                </c:pt>
                <c:pt idx="117">
                  <c:v>51846</c:v>
                </c:pt>
                <c:pt idx="118">
                  <c:v>51936</c:v>
                </c:pt>
                <c:pt idx="119">
                  <c:v>52028</c:v>
                </c:pt>
                <c:pt idx="120">
                  <c:v>52120</c:v>
                </c:pt>
                <c:pt idx="121">
                  <c:v>52211</c:v>
                </c:pt>
                <c:pt idx="122">
                  <c:v>52301</c:v>
                </c:pt>
                <c:pt idx="123">
                  <c:v>52393</c:v>
                </c:pt>
                <c:pt idx="124">
                  <c:v>52485</c:v>
                </c:pt>
                <c:pt idx="125">
                  <c:v>52576</c:v>
                </c:pt>
                <c:pt idx="126">
                  <c:v>52667</c:v>
                </c:pt>
                <c:pt idx="127">
                  <c:v>52761</c:v>
                </c:pt>
                <c:pt idx="128">
                  <c:v>52853</c:v>
                </c:pt>
                <c:pt idx="129">
                  <c:v>52944</c:v>
                </c:pt>
                <c:pt idx="130">
                  <c:v>53034</c:v>
                </c:pt>
                <c:pt idx="131">
                  <c:v>53126</c:v>
                </c:pt>
                <c:pt idx="132">
                  <c:v>53218</c:v>
                </c:pt>
                <c:pt idx="133">
                  <c:v>53309</c:v>
                </c:pt>
                <c:pt idx="134">
                  <c:v>53399</c:v>
                </c:pt>
                <c:pt idx="135">
                  <c:v>53491</c:v>
                </c:pt>
                <c:pt idx="136">
                  <c:v>53583</c:v>
                </c:pt>
                <c:pt idx="137">
                  <c:v>53674</c:v>
                </c:pt>
                <c:pt idx="138">
                  <c:v>53764</c:v>
                </c:pt>
                <c:pt idx="139">
                  <c:v>53856</c:v>
                </c:pt>
                <c:pt idx="140">
                  <c:v>53948</c:v>
                </c:pt>
                <c:pt idx="141">
                  <c:v>54039</c:v>
                </c:pt>
                <c:pt idx="142">
                  <c:v>54130</c:v>
                </c:pt>
                <c:pt idx="143">
                  <c:v>54224</c:v>
                </c:pt>
                <c:pt idx="144">
                  <c:v>54316</c:v>
                </c:pt>
                <c:pt idx="145">
                  <c:v>54407</c:v>
                </c:pt>
                <c:pt idx="146">
                  <c:v>54497</c:v>
                </c:pt>
                <c:pt idx="147">
                  <c:v>54589</c:v>
                </c:pt>
                <c:pt idx="148">
                  <c:v>54681</c:v>
                </c:pt>
                <c:pt idx="149">
                  <c:v>54772</c:v>
                </c:pt>
                <c:pt idx="150">
                  <c:v>54862</c:v>
                </c:pt>
                <c:pt idx="151">
                  <c:v>54954</c:v>
                </c:pt>
                <c:pt idx="152">
                  <c:v>55046</c:v>
                </c:pt>
                <c:pt idx="153">
                  <c:v>55137</c:v>
                </c:pt>
                <c:pt idx="154">
                  <c:v>55227</c:v>
                </c:pt>
                <c:pt idx="155">
                  <c:v>55319</c:v>
                </c:pt>
                <c:pt idx="156">
                  <c:v>55411</c:v>
                </c:pt>
                <c:pt idx="157">
                  <c:v>55502</c:v>
                </c:pt>
                <c:pt idx="158">
                  <c:v>55593</c:v>
                </c:pt>
                <c:pt idx="159">
                  <c:v>55687</c:v>
                </c:pt>
                <c:pt idx="160">
                  <c:v>55779</c:v>
                </c:pt>
                <c:pt idx="161">
                  <c:v>55870</c:v>
                </c:pt>
                <c:pt idx="162">
                  <c:v>55960</c:v>
                </c:pt>
                <c:pt idx="163">
                  <c:v>56052</c:v>
                </c:pt>
                <c:pt idx="164">
                  <c:v>56144</c:v>
                </c:pt>
                <c:pt idx="165">
                  <c:v>56235</c:v>
                </c:pt>
                <c:pt idx="166">
                  <c:v>56325</c:v>
                </c:pt>
                <c:pt idx="167">
                  <c:v>56417</c:v>
                </c:pt>
                <c:pt idx="168">
                  <c:v>56509</c:v>
                </c:pt>
                <c:pt idx="169">
                  <c:v>56600</c:v>
                </c:pt>
                <c:pt idx="170">
                  <c:v>56690</c:v>
                </c:pt>
                <c:pt idx="171">
                  <c:v>56782</c:v>
                </c:pt>
                <c:pt idx="172">
                  <c:v>56874</c:v>
                </c:pt>
                <c:pt idx="173">
                  <c:v>56965</c:v>
                </c:pt>
                <c:pt idx="174">
                  <c:v>57056</c:v>
                </c:pt>
                <c:pt idx="175">
                  <c:v>57150</c:v>
                </c:pt>
                <c:pt idx="176">
                  <c:v>57242</c:v>
                </c:pt>
                <c:pt idx="177">
                  <c:v>57333</c:v>
                </c:pt>
                <c:pt idx="178">
                  <c:v>57423</c:v>
                </c:pt>
                <c:pt idx="179">
                  <c:v>57515</c:v>
                </c:pt>
                <c:pt idx="180">
                  <c:v>57607</c:v>
                </c:pt>
                <c:pt idx="181">
                  <c:v>57698</c:v>
                </c:pt>
                <c:pt idx="182">
                  <c:v>57788</c:v>
                </c:pt>
                <c:pt idx="183">
                  <c:v>57880</c:v>
                </c:pt>
                <c:pt idx="184">
                  <c:v>57972</c:v>
                </c:pt>
                <c:pt idx="185">
                  <c:v>58063</c:v>
                </c:pt>
                <c:pt idx="186">
                  <c:v>58153</c:v>
                </c:pt>
                <c:pt idx="187">
                  <c:v>58245</c:v>
                </c:pt>
                <c:pt idx="188">
                  <c:v>58337</c:v>
                </c:pt>
                <c:pt idx="189">
                  <c:v>58428</c:v>
                </c:pt>
                <c:pt idx="190">
                  <c:v>58519</c:v>
                </c:pt>
                <c:pt idx="191">
                  <c:v>58613</c:v>
                </c:pt>
                <c:pt idx="192">
                  <c:v>58705</c:v>
                </c:pt>
                <c:pt idx="193">
                  <c:v>58796</c:v>
                </c:pt>
                <c:pt idx="194">
                  <c:v>58886</c:v>
                </c:pt>
                <c:pt idx="195">
                  <c:v>58978</c:v>
                </c:pt>
                <c:pt idx="196">
                  <c:v>59070</c:v>
                </c:pt>
                <c:pt idx="197">
                  <c:v>59161</c:v>
                </c:pt>
                <c:pt idx="198">
                  <c:v>59251</c:v>
                </c:pt>
                <c:pt idx="199">
                  <c:v>59343</c:v>
                </c:pt>
                <c:pt idx="200">
                  <c:v>59435</c:v>
                </c:pt>
              </c:numCache>
            </c:numRef>
          </c:cat>
          <c:val>
            <c:numRef>
              <c:f>test!$B$2:$B$202</c:f>
              <c:numCache>
                <c:formatCode>G/通用格式</c:formatCode>
                <c:ptCount val="201"/>
                <c:pt idx="0">
                  <c:v>4.9095604781046007E-2</c:v>
                </c:pt>
                <c:pt idx="1">
                  <c:v>4.9095604781046007E-2</c:v>
                </c:pt>
                <c:pt idx="2">
                  <c:v>4.9396874776212463E-2</c:v>
                </c:pt>
                <c:pt idx="3">
                  <c:v>4.9703998427645578E-2</c:v>
                </c:pt>
                <c:pt idx="4">
                  <c:v>4.9989591808261472E-2</c:v>
                </c:pt>
                <c:pt idx="5">
                  <c:v>4.9807738163394767E-2</c:v>
                </c:pt>
                <c:pt idx="6">
                  <c:v>4.9791280181410325E-2</c:v>
                </c:pt>
                <c:pt idx="7">
                  <c:v>4.986878705526112E-2</c:v>
                </c:pt>
                <c:pt idx="8">
                  <c:v>4.9994646322111549E-2</c:v>
                </c:pt>
                <c:pt idx="9">
                  <c:v>4.9890083892058353E-2</c:v>
                </c:pt>
                <c:pt idx="10">
                  <c:v>4.987123605799787E-2</c:v>
                </c:pt>
                <c:pt idx="11">
                  <c:v>4.9914251401490327E-2</c:v>
                </c:pt>
                <c:pt idx="12">
                  <c:v>4.9996339373731269E-2</c:v>
                </c:pt>
                <c:pt idx="13">
                  <c:v>4.9921929297289232E-2</c:v>
                </c:pt>
                <c:pt idx="14">
                  <c:v>4.9906013211564008E-2</c:v>
                </c:pt>
                <c:pt idx="15">
                  <c:v>4.9937311436353153E-2</c:v>
                </c:pt>
                <c:pt idx="16">
                  <c:v>4.9994569235313605E-2</c:v>
                </c:pt>
                <c:pt idx="17">
                  <c:v>4.9937810135054606E-2</c:v>
                </c:pt>
                <c:pt idx="18">
                  <c:v>4.9923529019879648E-2</c:v>
                </c:pt>
                <c:pt idx="19">
                  <c:v>4.9949270328347811E-2</c:v>
                </c:pt>
                <c:pt idx="20">
                  <c:v>4.999554830006428E-2</c:v>
                </c:pt>
                <c:pt idx="21">
                  <c:v>4.994841195727745E-2</c:v>
                </c:pt>
                <c:pt idx="22">
                  <c:v>4.9935892568078281E-2</c:v>
                </c:pt>
                <c:pt idx="23">
                  <c:v>4.9957069967986122E-2</c:v>
                </c:pt>
                <c:pt idx="24">
                  <c:v>4.9996200636936362E-2</c:v>
                </c:pt>
                <c:pt idx="25">
                  <c:v>4.9955617737935651E-2</c:v>
                </c:pt>
                <c:pt idx="26">
                  <c:v>4.9945695634951742E-2</c:v>
                </c:pt>
                <c:pt idx="27">
                  <c:v>4.9963897184124098E-2</c:v>
                </c:pt>
                <c:pt idx="28">
                  <c:v>4.9994453636780685E-2</c:v>
                </c:pt>
                <c:pt idx="29">
                  <c:v>4.9959819456683617E-2</c:v>
                </c:pt>
                <c:pt idx="30">
                  <c:v>4.9951889729051478E-2</c:v>
                </c:pt>
                <c:pt idx="31">
                  <c:v>4.9967805934997014E-2</c:v>
                </c:pt>
                <c:pt idx="32">
                  <c:v>4.999503197717655E-2</c:v>
                </c:pt>
                <c:pt idx="33">
                  <c:v>4.9963853846758867E-2</c:v>
                </c:pt>
                <c:pt idx="34">
                  <c:v>4.995677973729467E-2</c:v>
                </c:pt>
                <c:pt idx="35">
                  <c:v>4.997157842252764E-2</c:v>
                </c:pt>
                <c:pt idx="36">
                  <c:v>4.9991977387831781E-2</c:v>
                </c:pt>
                <c:pt idx="37">
                  <c:v>4.9965065337496263E-2</c:v>
                </c:pt>
                <c:pt idx="38">
                  <c:v>4.9960423161874358E-2</c:v>
                </c:pt>
                <c:pt idx="39">
                  <c:v>4.9973898465538638E-2</c:v>
                </c:pt>
                <c:pt idx="40">
                  <c:v>4.9992612006209414E-2</c:v>
                </c:pt>
                <c:pt idx="41">
                  <c:v>4.9967742580478258E-2</c:v>
                </c:pt>
                <c:pt idx="42">
                  <c:v>4.9963364438895486E-2</c:v>
                </c:pt>
                <c:pt idx="43">
                  <c:v>4.9975781288927677E-2</c:v>
                </c:pt>
                <c:pt idx="44">
                  <c:v>4.999312960056819E-2</c:v>
                </c:pt>
                <c:pt idx="45">
                  <c:v>4.9969936786199785E-2</c:v>
                </c:pt>
                <c:pt idx="46">
                  <c:v>4.9965786072669327E-2</c:v>
                </c:pt>
                <c:pt idx="47">
                  <c:v>4.9978084342686427E-2</c:v>
                </c:pt>
                <c:pt idx="48">
                  <c:v>4.9994314045804712E-2</c:v>
                </c:pt>
                <c:pt idx="49">
                  <c:v>4.9972506836444497E-2</c:v>
                </c:pt>
                <c:pt idx="50">
                  <c:v>4.9967567839578848E-2</c:v>
                </c:pt>
                <c:pt idx="51">
                  <c:v>4.9979347943782428E-2</c:v>
                </c:pt>
                <c:pt idx="52">
                  <c:v>4.9994633539580224E-2</c:v>
                </c:pt>
                <c:pt idx="53">
                  <c:v>4.9974011812553454E-2</c:v>
                </c:pt>
                <c:pt idx="54">
                  <c:v>4.9969298505160686E-2</c:v>
                </c:pt>
                <c:pt idx="55">
                  <c:v>4.9980422955790631E-2</c:v>
                </c:pt>
                <c:pt idx="56">
                  <c:v>4.9994906134179062E-2</c:v>
                </c:pt>
                <c:pt idx="57">
                  <c:v>4.997529953064335E-2</c:v>
                </c:pt>
                <c:pt idx="58">
                  <c:v>4.9970783341287857E-2</c:v>
                </c:pt>
                <c:pt idx="59">
                  <c:v>4.9981347642161396E-2</c:v>
                </c:pt>
                <c:pt idx="60">
                  <c:v>4.9995141189443974E-2</c:v>
                </c:pt>
                <c:pt idx="61">
                  <c:v>4.9976412632679865E-2</c:v>
                </c:pt>
                <c:pt idx="62">
                  <c:v>4.9972069822365968E-2</c:v>
                </c:pt>
                <c:pt idx="63">
                  <c:v>4.9982523010446457E-2</c:v>
                </c:pt>
                <c:pt idx="64">
                  <c:v>4.9994807317381124E-2</c:v>
                </c:pt>
                <c:pt idx="65">
                  <c:v>4.997716527689737E-2</c:v>
                </c:pt>
                <c:pt idx="66">
                  <c:v>4.9973548313188461E-2</c:v>
                </c:pt>
                <c:pt idx="67">
                  <c:v>4.9983210979060284E-2</c:v>
                </c:pt>
                <c:pt idx="68">
                  <c:v>4.9995007382807002E-2</c:v>
                </c:pt>
                <c:pt idx="69">
                  <c:v>4.9978026057426954E-2</c:v>
                </c:pt>
                <c:pt idx="70">
                  <c:v>4.997452435650198E-2</c:v>
                </c:pt>
                <c:pt idx="71">
                  <c:v>4.998381765147792E-2</c:v>
                </c:pt>
                <c:pt idx="72">
                  <c:v>4.9995184095926133E-2</c:v>
                </c:pt>
                <c:pt idx="73">
                  <c:v>4.997878760509035E-2</c:v>
                </c:pt>
                <c:pt idx="74">
                  <c:v>4.9975389228137539E-2</c:v>
                </c:pt>
                <c:pt idx="75">
                  <c:v>4.9984356028596487E-2</c:v>
                </c:pt>
                <c:pt idx="76">
                  <c:v>4.9995341143264801E-2</c:v>
                </c:pt>
                <c:pt idx="77">
                  <c:v>4.9979465381493247E-2</c:v>
                </c:pt>
                <c:pt idx="78">
                  <c:v>4.997616003024323E-2</c:v>
                </c:pt>
                <c:pt idx="79">
                  <c:v>4.9985191177254314E-2</c:v>
                </c:pt>
                <c:pt idx="80">
                  <c:v>4.9995029254991705E-2</c:v>
                </c:pt>
                <c:pt idx="81">
                  <c:v>4.9979896343336369E-2</c:v>
                </c:pt>
                <c:pt idx="82">
                  <c:v>4.9976928907991755E-2</c:v>
                </c:pt>
                <c:pt idx="83">
                  <c:v>4.9985611843315424E-2</c:v>
                </c:pt>
                <c:pt idx="84">
                  <c:v>4.999516781638267E-2</c:v>
                </c:pt>
                <c:pt idx="85">
                  <c:v>4.9980446067483496E-2</c:v>
                </c:pt>
                <c:pt idx="86">
                  <c:v>4.9977547984505051E-2</c:v>
                </c:pt>
                <c:pt idx="87">
                  <c:v>4.9985990843675485E-2</c:v>
                </c:pt>
                <c:pt idx="88">
                  <c:v>4.9995292783464047E-2</c:v>
                </c:pt>
                <c:pt idx="89">
                  <c:v>4.9980942373196668E-2</c:v>
                </c:pt>
                <c:pt idx="90">
                  <c:v>4.9978107462462562E-2</c:v>
                </c:pt>
                <c:pt idx="91">
                  <c:v>4.9986333687639446E-2</c:v>
                </c:pt>
                <c:pt idx="92">
                  <c:v>4.9995405934893537E-2</c:v>
                </c:pt>
                <c:pt idx="93">
                  <c:v>4.9981392175287444E-2</c:v>
                </c:pt>
                <c:pt idx="94">
                  <c:v>4.9978614976524241E-2</c:v>
                </c:pt>
                <c:pt idx="95">
                  <c:v>4.9986852142374714E-2</c:v>
                </c:pt>
                <c:pt idx="96">
                  <c:v>4.9994618629373891E-2</c:v>
                </c:pt>
                <c:pt idx="97">
                  <c:v>4.9981288859722806E-2</c:v>
                </c:pt>
                <c:pt idx="98">
                  <c:v>4.9978747945344348E-2</c:v>
                </c:pt>
                <c:pt idx="99">
                  <c:v>4.9987131183895327E-2</c:v>
                </c:pt>
                <c:pt idx="100">
                  <c:v>4.9994730894718981E-2</c:v>
                </c:pt>
                <c:pt idx="101">
                  <c:v>4.9981672435154917E-2</c:v>
                </c:pt>
                <c:pt idx="102">
                  <c:v>4.9979176176540754E-2</c:v>
                </c:pt>
                <c:pt idx="103">
                  <c:v>4.99873861441026E-2</c:v>
                </c:pt>
                <c:pt idx="104">
                  <c:v>4.9994833544077869E-2</c:v>
                </c:pt>
                <c:pt idx="105">
                  <c:v>4.9982023404095875E-2</c:v>
                </c:pt>
                <c:pt idx="106">
                  <c:v>4.9979568273208687E-2</c:v>
                </c:pt>
                <c:pt idx="107">
                  <c:v>4.998761974478505E-2</c:v>
                </c:pt>
                <c:pt idx="108">
                  <c:v>4.9994927654749374E-2</c:v>
                </c:pt>
                <c:pt idx="109">
                  <c:v>4.9982345387007424E-2</c:v>
                </c:pt>
                <c:pt idx="110">
                  <c:v>4.9979928212640481E-2</c:v>
                </c:pt>
                <c:pt idx="111">
                  <c:v>4.9988204739978948E-2</c:v>
                </c:pt>
                <c:pt idx="112">
                  <c:v>4.9995033540974329E-2</c:v>
                </c:pt>
                <c:pt idx="113">
                  <c:v>4.9982773000378143E-2</c:v>
                </c:pt>
                <c:pt idx="114">
                  <c:v>4.9980688739055368E-2</c:v>
                </c:pt>
                <c:pt idx="115">
                  <c:v>4.9988396209267184E-2</c:v>
                </c:pt>
                <c:pt idx="116">
                  <c:v>4.9995112881137754E-2</c:v>
                </c:pt>
                <c:pt idx="117">
                  <c:v>4.9983043754171168E-2</c:v>
                </c:pt>
                <c:pt idx="118">
                  <c:v>4.9980987420265882E-2</c:v>
                </c:pt>
                <c:pt idx="119">
                  <c:v>4.9988572869777738E-2</c:v>
                </c:pt>
                <c:pt idx="120">
                  <c:v>4.9995186121761764E-2</c:v>
                </c:pt>
                <c:pt idx="121">
                  <c:v>4.9983293819099425E-2</c:v>
                </c:pt>
                <c:pt idx="122">
                  <c:v>4.9981263413505131E-2</c:v>
                </c:pt>
                <c:pt idx="123">
                  <c:v>4.9988736188386798E-2</c:v>
                </c:pt>
                <c:pt idx="124">
                  <c:v>4.9995253862534714E-2</c:v>
                </c:pt>
                <c:pt idx="125">
                  <c:v>4.9983525213884834E-2</c:v>
                </c:pt>
                <c:pt idx="126">
                  <c:v>4.9981518916227499E-2</c:v>
                </c:pt>
                <c:pt idx="127">
                  <c:v>4.998916429468938E-2</c:v>
                </c:pt>
                <c:pt idx="128">
                  <c:v>4.9994971814300043E-2</c:v>
                </c:pt>
                <c:pt idx="129">
                  <c:v>4.9983611218518555E-2</c:v>
                </c:pt>
                <c:pt idx="130">
                  <c:v>4.9981814670508169E-2</c:v>
                </c:pt>
                <c:pt idx="131">
                  <c:v>4.9989301080582638E-2</c:v>
                </c:pt>
                <c:pt idx="132">
                  <c:v>4.999503433449979E-2</c:v>
                </c:pt>
                <c:pt idx="133">
                  <c:v>4.9983811875095319E-2</c:v>
                </c:pt>
                <c:pt idx="134">
                  <c:v>4.9982033964810949E-2</c:v>
                </c:pt>
                <c:pt idx="135">
                  <c:v>4.9989428180296919E-2</c:v>
                </c:pt>
                <c:pt idx="136">
                  <c:v>4.9995092449008384E-2</c:v>
                </c:pt>
                <c:pt idx="137">
                  <c:v>4.9983998461151563E-2</c:v>
                </c:pt>
                <c:pt idx="138">
                  <c:v>4.9982237955260606E-2</c:v>
                </c:pt>
                <c:pt idx="139">
                  <c:v>4.9989546451522253E-2</c:v>
                </c:pt>
                <c:pt idx="140">
                  <c:v>4.9995146545459612E-2</c:v>
                </c:pt>
                <c:pt idx="141">
                  <c:v>4.9984172206709247E-2</c:v>
                </c:pt>
                <c:pt idx="142">
                  <c:v>4.9982427971270796E-2</c:v>
                </c:pt>
                <c:pt idx="143">
                  <c:v>4.9989797965661324E-2</c:v>
                </c:pt>
                <c:pt idx="144">
                  <c:v>4.9994120327597917E-2</c:v>
                </c:pt>
                <c:pt idx="145">
                  <c:v>4.9983675789538148E-2</c:v>
                </c:pt>
                <c:pt idx="146">
                  <c:v>4.9982686757732812E-2</c:v>
                </c:pt>
                <c:pt idx="147">
                  <c:v>4.9989899346556343E-2</c:v>
                </c:pt>
                <c:pt idx="148">
                  <c:v>4.9994177913600425E-2</c:v>
                </c:pt>
                <c:pt idx="149">
                  <c:v>4.9983833325078962E-2</c:v>
                </c:pt>
                <c:pt idx="150">
                  <c:v>4.998285142358791E-2</c:v>
                </c:pt>
                <c:pt idx="151">
                  <c:v>4.9989994044080853E-2</c:v>
                </c:pt>
                <c:pt idx="152">
                  <c:v>4.9994231718392575E-2</c:v>
                </c:pt>
                <c:pt idx="153">
                  <c:v>4.9983980557838682E-2</c:v>
                </c:pt>
                <c:pt idx="154">
                  <c:v>4.9983005362268441E-2</c:v>
                </c:pt>
                <c:pt idx="155">
                  <c:v>4.9990082595976537E-2</c:v>
                </c:pt>
                <c:pt idx="156">
                  <c:v>4.9994282044550961E-2</c:v>
                </c:pt>
                <c:pt idx="157">
                  <c:v>4.9984118307717325E-2</c:v>
                </c:pt>
                <c:pt idx="158">
                  <c:v>4.9983149422851515E-2</c:v>
                </c:pt>
                <c:pt idx="159">
                  <c:v>4.9990534309244265E-2</c:v>
                </c:pt>
                <c:pt idx="160">
                  <c:v>4.9994710953980434E-2</c:v>
                </c:pt>
                <c:pt idx="161">
                  <c:v>4.9984624014483149E-2</c:v>
                </c:pt>
                <c:pt idx="162">
                  <c:v>4.99831864468019E-2</c:v>
                </c:pt>
                <c:pt idx="163">
                  <c:v>4.9990609038633373E-2</c:v>
                </c:pt>
                <c:pt idx="164">
                  <c:v>4.9994752128110269E-2</c:v>
                </c:pt>
                <c:pt idx="165">
                  <c:v>4.9984742015752898E-2</c:v>
                </c:pt>
                <c:pt idx="166">
                  <c:v>4.9983313675726233E-2</c:v>
                </c:pt>
                <c:pt idx="167">
                  <c:v>4.9990679120668763E-2</c:v>
                </c:pt>
                <c:pt idx="168">
                  <c:v>4.9994790749952819E-2</c:v>
                </c:pt>
                <c:pt idx="169">
                  <c:v>4.9984852726273739E-2</c:v>
                </c:pt>
                <c:pt idx="170">
                  <c:v>4.9983433068797142E-2</c:v>
                </c:pt>
                <c:pt idx="171">
                  <c:v>4.9990744899851912E-2</c:v>
                </c:pt>
                <c:pt idx="172">
                  <c:v>4.9994827007822769E-2</c:v>
                </c:pt>
                <c:pt idx="173">
                  <c:v>4.998495668144181E-2</c:v>
                </c:pt>
                <c:pt idx="174">
                  <c:v>4.9983545198787456E-2</c:v>
                </c:pt>
                <c:pt idx="175">
                  <c:v>4.9991053169126144E-2</c:v>
                </c:pt>
                <c:pt idx="176">
                  <c:v>4.9994554287849803E-2</c:v>
                </c:pt>
                <c:pt idx="177">
                  <c:v>4.998494043416931E-2</c:v>
                </c:pt>
                <c:pt idx="178">
                  <c:v>4.9983876675460254E-2</c:v>
                </c:pt>
                <c:pt idx="179">
                  <c:v>4.9991109679726232E-2</c:v>
                </c:pt>
                <c:pt idx="180">
                  <c:v>4.999458821782448E-2</c:v>
                </c:pt>
                <c:pt idx="181">
                  <c:v>4.9985032969012341E-2</c:v>
                </c:pt>
                <c:pt idx="182">
                  <c:v>4.9983974397868162E-2</c:v>
                </c:pt>
                <c:pt idx="183">
                  <c:v>4.9991162839623016E-2</c:v>
                </c:pt>
                <c:pt idx="184">
                  <c:v>4.999462014131878E-2</c:v>
                </c:pt>
                <c:pt idx="185">
                  <c:v>4.9985120046345692E-2</c:v>
                </c:pt>
                <c:pt idx="186">
                  <c:v>4.9984066371840191E-2</c:v>
                </c:pt>
                <c:pt idx="187">
                  <c:v>4.999121288039042E-2</c:v>
                </c:pt>
                <c:pt idx="188">
                  <c:v>4.9994650196451496E-2</c:v>
                </c:pt>
                <c:pt idx="189">
                  <c:v>4.9985202040332417E-2</c:v>
                </c:pt>
                <c:pt idx="190">
                  <c:v>4.9984152989933771E-2</c:v>
                </c:pt>
                <c:pt idx="191">
                  <c:v>4.999152422299491E-2</c:v>
                </c:pt>
                <c:pt idx="192">
                  <c:v>4.9994390998942734E-2</c:v>
                </c:pt>
                <c:pt idx="193">
                  <c:v>4.9985179901163634E-2</c:v>
                </c:pt>
                <c:pt idx="194">
                  <c:v>4.998431023397612E-2</c:v>
                </c:pt>
                <c:pt idx="195">
                  <c:v>4.9991567289137333E-2</c:v>
                </c:pt>
                <c:pt idx="196">
                  <c:v>4.9994419120191841E-2</c:v>
                </c:pt>
                <c:pt idx="197">
                  <c:v>4.9985253199741057E-2</c:v>
                </c:pt>
                <c:pt idx="198">
                  <c:v>4.9984386799877989E-2</c:v>
                </c:pt>
                <c:pt idx="199">
                  <c:v>4.9991607899589299E-2</c:v>
                </c:pt>
                <c:pt idx="200">
                  <c:v>4.9994445641424162E-2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test!$C$1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cat>
            <c:numRef>
              <c:f>test!$A$2:$A$202</c:f>
              <c:numCache>
                <c:formatCode>yyyy-m-d</c:formatCode>
                <c:ptCount val="201"/>
                <c:pt idx="0">
                  <c:v>41138</c:v>
                </c:pt>
                <c:pt idx="1">
                  <c:v>41232</c:v>
                </c:pt>
                <c:pt idx="2">
                  <c:v>41324</c:v>
                </c:pt>
                <c:pt idx="3">
                  <c:v>41414</c:v>
                </c:pt>
                <c:pt idx="4">
                  <c:v>41506</c:v>
                </c:pt>
                <c:pt idx="5">
                  <c:v>41598</c:v>
                </c:pt>
                <c:pt idx="6">
                  <c:v>41690</c:v>
                </c:pt>
                <c:pt idx="7">
                  <c:v>41779</c:v>
                </c:pt>
                <c:pt idx="8">
                  <c:v>41871</c:v>
                </c:pt>
                <c:pt idx="9">
                  <c:v>41963</c:v>
                </c:pt>
                <c:pt idx="10">
                  <c:v>42055</c:v>
                </c:pt>
                <c:pt idx="11">
                  <c:v>42144</c:v>
                </c:pt>
                <c:pt idx="12">
                  <c:v>42236</c:v>
                </c:pt>
                <c:pt idx="13">
                  <c:v>42328</c:v>
                </c:pt>
                <c:pt idx="14">
                  <c:v>42422</c:v>
                </c:pt>
                <c:pt idx="15">
                  <c:v>42513</c:v>
                </c:pt>
                <c:pt idx="16">
                  <c:v>42605</c:v>
                </c:pt>
                <c:pt idx="17">
                  <c:v>42697</c:v>
                </c:pt>
                <c:pt idx="18">
                  <c:v>42789</c:v>
                </c:pt>
                <c:pt idx="19">
                  <c:v>42878</c:v>
                </c:pt>
                <c:pt idx="20">
                  <c:v>42970</c:v>
                </c:pt>
                <c:pt idx="21">
                  <c:v>43062</c:v>
                </c:pt>
                <c:pt idx="22">
                  <c:v>43154</c:v>
                </c:pt>
                <c:pt idx="23">
                  <c:v>43243</c:v>
                </c:pt>
                <c:pt idx="24">
                  <c:v>43335</c:v>
                </c:pt>
                <c:pt idx="25">
                  <c:v>43427</c:v>
                </c:pt>
                <c:pt idx="26">
                  <c:v>43521</c:v>
                </c:pt>
                <c:pt idx="27">
                  <c:v>43612</c:v>
                </c:pt>
                <c:pt idx="28">
                  <c:v>43704</c:v>
                </c:pt>
                <c:pt idx="29">
                  <c:v>43796</c:v>
                </c:pt>
                <c:pt idx="30">
                  <c:v>43888</c:v>
                </c:pt>
                <c:pt idx="31">
                  <c:v>43978</c:v>
                </c:pt>
                <c:pt idx="32">
                  <c:v>44070</c:v>
                </c:pt>
                <c:pt idx="33">
                  <c:v>44162</c:v>
                </c:pt>
                <c:pt idx="34">
                  <c:v>44256</c:v>
                </c:pt>
                <c:pt idx="35">
                  <c:v>44348</c:v>
                </c:pt>
                <c:pt idx="36">
                  <c:v>44440</c:v>
                </c:pt>
                <c:pt idx="37">
                  <c:v>44531</c:v>
                </c:pt>
                <c:pt idx="38">
                  <c:v>44621</c:v>
                </c:pt>
                <c:pt idx="39">
                  <c:v>44713</c:v>
                </c:pt>
                <c:pt idx="40">
                  <c:v>44805</c:v>
                </c:pt>
                <c:pt idx="41">
                  <c:v>44896</c:v>
                </c:pt>
                <c:pt idx="42">
                  <c:v>44986</c:v>
                </c:pt>
                <c:pt idx="43">
                  <c:v>45078</c:v>
                </c:pt>
                <c:pt idx="44">
                  <c:v>45170</c:v>
                </c:pt>
                <c:pt idx="45">
                  <c:v>45261</c:v>
                </c:pt>
                <c:pt idx="46">
                  <c:v>45352</c:v>
                </c:pt>
                <c:pt idx="47">
                  <c:v>45446</c:v>
                </c:pt>
                <c:pt idx="48">
                  <c:v>45538</c:v>
                </c:pt>
                <c:pt idx="49">
                  <c:v>45629</c:v>
                </c:pt>
                <c:pt idx="50">
                  <c:v>45719</c:v>
                </c:pt>
                <c:pt idx="51">
                  <c:v>45811</c:v>
                </c:pt>
                <c:pt idx="52">
                  <c:v>45903</c:v>
                </c:pt>
                <c:pt idx="53">
                  <c:v>45994</c:v>
                </c:pt>
                <c:pt idx="54">
                  <c:v>46084</c:v>
                </c:pt>
                <c:pt idx="55">
                  <c:v>46176</c:v>
                </c:pt>
                <c:pt idx="56">
                  <c:v>46268</c:v>
                </c:pt>
                <c:pt idx="57">
                  <c:v>46359</c:v>
                </c:pt>
                <c:pt idx="58">
                  <c:v>46449</c:v>
                </c:pt>
                <c:pt idx="59">
                  <c:v>46541</c:v>
                </c:pt>
                <c:pt idx="60">
                  <c:v>46633</c:v>
                </c:pt>
                <c:pt idx="61">
                  <c:v>46724</c:v>
                </c:pt>
                <c:pt idx="62">
                  <c:v>46815</c:v>
                </c:pt>
                <c:pt idx="63">
                  <c:v>46909</c:v>
                </c:pt>
                <c:pt idx="64">
                  <c:v>47001</c:v>
                </c:pt>
                <c:pt idx="65">
                  <c:v>47092</c:v>
                </c:pt>
                <c:pt idx="66">
                  <c:v>47182</c:v>
                </c:pt>
                <c:pt idx="67">
                  <c:v>47274</c:v>
                </c:pt>
                <c:pt idx="68">
                  <c:v>47366</c:v>
                </c:pt>
                <c:pt idx="69">
                  <c:v>47457</c:v>
                </c:pt>
                <c:pt idx="70">
                  <c:v>47547</c:v>
                </c:pt>
                <c:pt idx="71">
                  <c:v>47639</c:v>
                </c:pt>
                <c:pt idx="72">
                  <c:v>47731</c:v>
                </c:pt>
                <c:pt idx="73">
                  <c:v>47822</c:v>
                </c:pt>
                <c:pt idx="74">
                  <c:v>47912</c:v>
                </c:pt>
                <c:pt idx="75">
                  <c:v>48004</c:v>
                </c:pt>
                <c:pt idx="76">
                  <c:v>48096</c:v>
                </c:pt>
                <c:pt idx="77">
                  <c:v>48187</c:v>
                </c:pt>
                <c:pt idx="78">
                  <c:v>48278</c:v>
                </c:pt>
                <c:pt idx="79">
                  <c:v>48372</c:v>
                </c:pt>
                <c:pt idx="80">
                  <c:v>48464</c:v>
                </c:pt>
                <c:pt idx="81">
                  <c:v>48555</c:v>
                </c:pt>
                <c:pt idx="82">
                  <c:v>48645</c:v>
                </c:pt>
                <c:pt idx="83">
                  <c:v>48737</c:v>
                </c:pt>
                <c:pt idx="84">
                  <c:v>48829</c:v>
                </c:pt>
                <c:pt idx="85">
                  <c:v>48920</c:v>
                </c:pt>
                <c:pt idx="86">
                  <c:v>49010</c:v>
                </c:pt>
                <c:pt idx="87">
                  <c:v>49102</c:v>
                </c:pt>
                <c:pt idx="88">
                  <c:v>49194</c:v>
                </c:pt>
                <c:pt idx="89">
                  <c:v>49285</c:v>
                </c:pt>
                <c:pt idx="90">
                  <c:v>49375</c:v>
                </c:pt>
                <c:pt idx="91">
                  <c:v>49467</c:v>
                </c:pt>
                <c:pt idx="92">
                  <c:v>49559</c:v>
                </c:pt>
                <c:pt idx="93">
                  <c:v>49650</c:v>
                </c:pt>
                <c:pt idx="94">
                  <c:v>49741</c:v>
                </c:pt>
                <c:pt idx="95">
                  <c:v>49835</c:v>
                </c:pt>
                <c:pt idx="96">
                  <c:v>49927</c:v>
                </c:pt>
                <c:pt idx="97">
                  <c:v>50018</c:v>
                </c:pt>
                <c:pt idx="98">
                  <c:v>50108</c:v>
                </c:pt>
                <c:pt idx="99">
                  <c:v>50200</c:v>
                </c:pt>
                <c:pt idx="100">
                  <c:v>50292</c:v>
                </c:pt>
                <c:pt idx="101">
                  <c:v>50383</c:v>
                </c:pt>
                <c:pt idx="102">
                  <c:v>50473</c:v>
                </c:pt>
                <c:pt idx="103">
                  <c:v>50565</c:v>
                </c:pt>
                <c:pt idx="104">
                  <c:v>50657</c:v>
                </c:pt>
                <c:pt idx="105">
                  <c:v>50748</c:v>
                </c:pt>
                <c:pt idx="106">
                  <c:v>50838</c:v>
                </c:pt>
                <c:pt idx="107">
                  <c:v>50930</c:v>
                </c:pt>
                <c:pt idx="108">
                  <c:v>51022</c:v>
                </c:pt>
                <c:pt idx="109">
                  <c:v>51113</c:v>
                </c:pt>
                <c:pt idx="110">
                  <c:v>51204</c:v>
                </c:pt>
                <c:pt idx="111">
                  <c:v>51298</c:v>
                </c:pt>
                <c:pt idx="112">
                  <c:v>51390</c:v>
                </c:pt>
                <c:pt idx="113">
                  <c:v>51481</c:v>
                </c:pt>
                <c:pt idx="114">
                  <c:v>51571</c:v>
                </c:pt>
                <c:pt idx="115">
                  <c:v>51663</c:v>
                </c:pt>
                <c:pt idx="116">
                  <c:v>51755</c:v>
                </c:pt>
                <c:pt idx="117">
                  <c:v>51846</c:v>
                </c:pt>
                <c:pt idx="118">
                  <c:v>51936</c:v>
                </c:pt>
                <c:pt idx="119">
                  <c:v>52028</c:v>
                </c:pt>
                <c:pt idx="120">
                  <c:v>52120</c:v>
                </c:pt>
                <c:pt idx="121">
                  <c:v>52211</c:v>
                </c:pt>
                <c:pt idx="122">
                  <c:v>52301</c:v>
                </c:pt>
                <c:pt idx="123">
                  <c:v>52393</c:v>
                </c:pt>
                <c:pt idx="124">
                  <c:v>52485</c:v>
                </c:pt>
                <c:pt idx="125">
                  <c:v>52576</c:v>
                </c:pt>
                <c:pt idx="126">
                  <c:v>52667</c:v>
                </c:pt>
                <c:pt idx="127">
                  <c:v>52761</c:v>
                </c:pt>
                <c:pt idx="128">
                  <c:v>52853</c:v>
                </c:pt>
                <c:pt idx="129">
                  <c:v>52944</c:v>
                </c:pt>
                <c:pt idx="130">
                  <c:v>53034</c:v>
                </c:pt>
                <c:pt idx="131">
                  <c:v>53126</c:v>
                </c:pt>
                <c:pt idx="132">
                  <c:v>53218</c:v>
                </c:pt>
                <c:pt idx="133">
                  <c:v>53309</c:v>
                </c:pt>
                <c:pt idx="134">
                  <c:v>53399</c:v>
                </c:pt>
                <c:pt idx="135">
                  <c:v>53491</c:v>
                </c:pt>
                <c:pt idx="136">
                  <c:v>53583</c:v>
                </c:pt>
                <c:pt idx="137">
                  <c:v>53674</c:v>
                </c:pt>
                <c:pt idx="138">
                  <c:v>53764</c:v>
                </c:pt>
                <c:pt idx="139">
                  <c:v>53856</c:v>
                </c:pt>
                <c:pt idx="140">
                  <c:v>53948</c:v>
                </c:pt>
                <c:pt idx="141">
                  <c:v>54039</c:v>
                </c:pt>
                <c:pt idx="142">
                  <c:v>54130</c:v>
                </c:pt>
                <c:pt idx="143">
                  <c:v>54224</c:v>
                </c:pt>
                <c:pt idx="144">
                  <c:v>54316</c:v>
                </c:pt>
                <c:pt idx="145">
                  <c:v>54407</c:v>
                </c:pt>
                <c:pt idx="146">
                  <c:v>54497</c:v>
                </c:pt>
                <c:pt idx="147">
                  <c:v>54589</c:v>
                </c:pt>
                <c:pt idx="148">
                  <c:v>54681</c:v>
                </c:pt>
                <c:pt idx="149">
                  <c:v>54772</c:v>
                </c:pt>
                <c:pt idx="150">
                  <c:v>54862</c:v>
                </c:pt>
                <c:pt idx="151">
                  <c:v>54954</c:v>
                </c:pt>
                <c:pt idx="152">
                  <c:v>55046</c:v>
                </c:pt>
                <c:pt idx="153">
                  <c:v>55137</c:v>
                </c:pt>
                <c:pt idx="154">
                  <c:v>55227</c:v>
                </c:pt>
                <c:pt idx="155">
                  <c:v>55319</c:v>
                </c:pt>
                <c:pt idx="156">
                  <c:v>55411</c:v>
                </c:pt>
                <c:pt idx="157">
                  <c:v>55502</c:v>
                </c:pt>
                <c:pt idx="158">
                  <c:v>55593</c:v>
                </c:pt>
                <c:pt idx="159">
                  <c:v>55687</c:v>
                </c:pt>
                <c:pt idx="160">
                  <c:v>55779</c:v>
                </c:pt>
                <c:pt idx="161">
                  <c:v>55870</c:v>
                </c:pt>
                <c:pt idx="162">
                  <c:v>55960</c:v>
                </c:pt>
                <c:pt idx="163">
                  <c:v>56052</c:v>
                </c:pt>
                <c:pt idx="164">
                  <c:v>56144</c:v>
                </c:pt>
                <c:pt idx="165">
                  <c:v>56235</c:v>
                </c:pt>
                <c:pt idx="166">
                  <c:v>56325</c:v>
                </c:pt>
                <c:pt idx="167">
                  <c:v>56417</c:v>
                </c:pt>
                <c:pt idx="168">
                  <c:v>56509</c:v>
                </c:pt>
                <c:pt idx="169">
                  <c:v>56600</c:v>
                </c:pt>
                <c:pt idx="170">
                  <c:v>56690</c:v>
                </c:pt>
                <c:pt idx="171">
                  <c:v>56782</c:v>
                </c:pt>
                <c:pt idx="172">
                  <c:v>56874</c:v>
                </c:pt>
                <c:pt idx="173">
                  <c:v>56965</c:v>
                </c:pt>
                <c:pt idx="174">
                  <c:v>57056</c:v>
                </c:pt>
                <c:pt idx="175">
                  <c:v>57150</c:v>
                </c:pt>
                <c:pt idx="176">
                  <c:v>57242</c:v>
                </c:pt>
                <c:pt idx="177">
                  <c:v>57333</c:v>
                </c:pt>
                <c:pt idx="178">
                  <c:v>57423</c:v>
                </c:pt>
                <c:pt idx="179">
                  <c:v>57515</c:v>
                </c:pt>
                <c:pt idx="180">
                  <c:v>57607</c:v>
                </c:pt>
                <c:pt idx="181">
                  <c:v>57698</c:v>
                </c:pt>
                <c:pt idx="182">
                  <c:v>57788</c:v>
                </c:pt>
                <c:pt idx="183">
                  <c:v>57880</c:v>
                </c:pt>
                <c:pt idx="184">
                  <c:v>57972</c:v>
                </c:pt>
                <c:pt idx="185">
                  <c:v>58063</c:v>
                </c:pt>
                <c:pt idx="186">
                  <c:v>58153</c:v>
                </c:pt>
                <c:pt idx="187">
                  <c:v>58245</c:v>
                </c:pt>
                <c:pt idx="188">
                  <c:v>58337</c:v>
                </c:pt>
                <c:pt idx="189">
                  <c:v>58428</c:v>
                </c:pt>
                <c:pt idx="190">
                  <c:v>58519</c:v>
                </c:pt>
                <c:pt idx="191">
                  <c:v>58613</c:v>
                </c:pt>
                <c:pt idx="192">
                  <c:v>58705</c:v>
                </c:pt>
                <c:pt idx="193">
                  <c:v>58796</c:v>
                </c:pt>
                <c:pt idx="194">
                  <c:v>58886</c:v>
                </c:pt>
                <c:pt idx="195">
                  <c:v>58978</c:v>
                </c:pt>
                <c:pt idx="196">
                  <c:v>59070</c:v>
                </c:pt>
                <c:pt idx="197">
                  <c:v>59161</c:v>
                </c:pt>
                <c:pt idx="198">
                  <c:v>59251</c:v>
                </c:pt>
                <c:pt idx="199">
                  <c:v>59343</c:v>
                </c:pt>
                <c:pt idx="200">
                  <c:v>59435</c:v>
                </c:pt>
              </c:numCache>
            </c:numRef>
          </c:cat>
          <c:val>
            <c:numRef>
              <c:f>test!$C$2:$C$202</c:f>
              <c:numCache>
                <c:formatCode>G/通用格式</c:formatCode>
                <c:ptCount val="201"/>
                <c:pt idx="0">
                  <c:v>4.9095604781046007E-2</c:v>
                </c:pt>
                <c:pt idx="1">
                  <c:v>4.9351039563654706E-2</c:v>
                </c:pt>
                <c:pt idx="2">
                  <c:v>4.9902309558821162E-2</c:v>
                </c:pt>
                <c:pt idx="3">
                  <c:v>5.0453998427645579E-2</c:v>
                </c:pt>
                <c:pt idx="4">
                  <c:v>5.0989591808261472E-2</c:v>
                </c:pt>
                <c:pt idx="5">
                  <c:v>5.055568336887422E-2</c:v>
                </c:pt>
                <c:pt idx="6">
                  <c:v>5.0287170592369229E-2</c:v>
                </c:pt>
                <c:pt idx="7">
                  <c:v>5.0120841849781668E-2</c:v>
                </c:pt>
                <c:pt idx="8">
                  <c:v>4.9994646322111549E-2</c:v>
                </c:pt>
                <c:pt idx="9">
                  <c:v>4.9890083892058353E-2</c:v>
                </c:pt>
                <c:pt idx="10">
                  <c:v>4.987123605799787E-2</c:v>
                </c:pt>
                <c:pt idx="11">
                  <c:v>4.9914251401490327E-2</c:v>
                </c:pt>
                <c:pt idx="12">
                  <c:v>4.9996339373731269E-2</c:v>
                </c:pt>
                <c:pt idx="13">
                  <c:v>4.9921929297289232E-2</c:v>
                </c:pt>
                <c:pt idx="14">
                  <c:v>4.9906013211564008E-2</c:v>
                </c:pt>
                <c:pt idx="15">
                  <c:v>4.9937311436353153E-2</c:v>
                </c:pt>
                <c:pt idx="16">
                  <c:v>4.9994569235313605E-2</c:v>
                </c:pt>
                <c:pt idx="17">
                  <c:v>4.9937810135054606E-2</c:v>
                </c:pt>
                <c:pt idx="18">
                  <c:v>4.9923529019879648E-2</c:v>
                </c:pt>
                <c:pt idx="19">
                  <c:v>4.9949270328347811E-2</c:v>
                </c:pt>
                <c:pt idx="20">
                  <c:v>4.999554830006428E-2</c:v>
                </c:pt>
                <c:pt idx="21">
                  <c:v>4.994841195727745E-2</c:v>
                </c:pt>
                <c:pt idx="22">
                  <c:v>4.9935892568078281E-2</c:v>
                </c:pt>
                <c:pt idx="23">
                  <c:v>4.9957069967986122E-2</c:v>
                </c:pt>
                <c:pt idx="24">
                  <c:v>4.9996200636936362E-2</c:v>
                </c:pt>
                <c:pt idx="25">
                  <c:v>4.9955617737935651E-2</c:v>
                </c:pt>
                <c:pt idx="26">
                  <c:v>4.9945695634951742E-2</c:v>
                </c:pt>
                <c:pt idx="27">
                  <c:v>4.9963897184124098E-2</c:v>
                </c:pt>
                <c:pt idx="28">
                  <c:v>4.9994453636780685E-2</c:v>
                </c:pt>
                <c:pt idx="29">
                  <c:v>4.9959819456683617E-2</c:v>
                </c:pt>
                <c:pt idx="30">
                  <c:v>4.9951889729051478E-2</c:v>
                </c:pt>
                <c:pt idx="31">
                  <c:v>4.9967805934997014E-2</c:v>
                </c:pt>
                <c:pt idx="32">
                  <c:v>4.999503197717655E-2</c:v>
                </c:pt>
                <c:pt idx="33">
                  <c:v>4.9963853846758867E-2</c:v>
                </c:pt>
                <c:pt idx="34">
                  <c:v>4.995677973729467E-2</c:v>
                </c:pt>
                <c:pt idx="35">
                  <c:v>4.997157842252764E-2</c:v>
                </c:pt>
                <c:pt idx="36">
                  <c:v>4.9991977387831781E-2</c:v>
                </c:pt>
                <c:pt idx="37">
                  <c:v>4.9965065337496263E-2</c:v>
                </c:pt>
                <c:pt idx="38">
                  <c:v>4.9960423161874358E-2</c:v>
                </c:pt>
                <c:pt idx="39">
                  <c:v>4.9973898465538638E-2</c:v>
                </c:pt>
                <c:pt idx="40">
                  <c:v>4.9992612006209414E-2</c:v>
                </c:pt>
                <c:pt idx="41">
                  <c:v>4.9967742580478258E-2</c:v>
                </c:pt>
                <c:pt idx="42">
                  <c:v>4.9963364438895486E-2</c:v>
                </c:pt>
                <c:pt idx="43">
                  <c:v>4.9975781288927677E-2</c:v>
                </c:pt>
                <c:pt idx="44">
                  <c:v>4.999312960056819E-2</c:v>
                </c:pt>
                <c:pt idx="45">
                  <c:v>4.9969936786199785E-2</c:v>
                </c:pt>
                <c:pt idx="46">
                  <c:v>4.9965786072669327E-2</c:v>
                </c:pt>
                <c:pt idx="47">
                  <c:v>4.9978084342686427E-2</c:v>
                </c:pt>
                <c:pt idx="48">
                  <c:v>4.9994314045804712E-2</c:v>
                </c:pt>
                <c:pt idx="49">
                  <c:v>4.9972506836444497E-2</c:v>
                </c:pt>
                <c:pt idx="50">
                  <c:v>4.9967567839578848E-2</c:v>
                </c:pt>
                <c:pt idx="51">
                  <c:v>4.9979347943782428E-2</c:v>
                </c:pt>
                <c:pt idx="52">
                  <c:v>4.9994633539580224E-2</c:v>
                </c:pt>
                <c:pt idx="53">
                  <c:v>4.9974011812553454E-2</c:v>
                </c:pt>
                <c:pt idx="54">
                  <c:v>4.9969298505160686E-2</c:v>
                </c:pt>
                <c:pt idx="55">
                  <c:v>4.9980422955790631E-2</c:v>
                </c:pt>
                <c:pt idx="56">
                  <c:v>4.9994906134179062E-2</c:v>
                </c:pt>
                <c:pt idx="57">
                  <c:v>4.997529953064335E-2</c:v>
                </c:pt>
                <c:pt idx="58">
                  <c:v>4.9970783341287857E-2</c:v>
                </c:pt>
                <c:pt idx="59">
                  <c:v>4.9981347642161396E-2</c:v>
                </c:pt>
                <c:pt idx="60">
                  <c:v>4.9995141189443974E-2</c:v>
                </c:pt>
                <c:pt idx="61">
                  <c:v>4.9976412632679865E-2</c:v>
                </c:pt>
                <c:pt idx="62">
                  <c:v>4.9972069822365968E-2</c:v>
                </c:pt>
                <c:pt idx="63">
                  <c:v>4.9982523010446457E-2</c:v>
                </c:pt>
                <c:pt idx="64">
                  <c:v>4.9994807317381124E-2</c:v>
                </c:pt>
                <c:pt idx="65">
                  <c:v>4.997716527689737E-2</c:v>
                </c:pt>
                <c:pt idx="66">
                  <c:v>4.9973548313188461E-2</c:v>
                </c:pt>
                <c:pt idx="67">
                  <c:v>4.9983210979060284E-2</c:v>
                </c:pt>
                <c:pt idx="68">
                  <c:v>4.9995007382807002E-2</c:v>
                </c:pt>
                <c:pt idx="69">
                  <c:v>4.9978026057426954E-2</c:v>
                </c:pt>
                <c:pt idx="70">
                  <c:v>4.997452435650198E-2</c:v>
                </c:pt>
                <c:pt idx="71">
                  <c:v>4.998381765147792E-2</c:v>
                </c:pt>
                <c:pt idx="72">
                  <c:v>4.9995184095926133E-2</c:v>
                </c:pt>
                <c:pt idx="73">
                  <c:v>4.997878760509035E-2</c:v>
                </c:pt>
                <c:pt idx="74">
                  <c:v>4.9975389228137539E-2</c:v>
                </c:pt>
                <c:pt idx="75">
                  <c:v>4.9984356028596487E-2</c:v>
                </c:pt>
                <c:pt idx="76">
                  <c:v>4.9995341143264801E-2</c:v>
                </c:pt>
                <c:pt idx="77">
                  <c:v>4.9979465381493247E-2</c:v>
                </c:pt>
                <c:pt idx="78">
                  <c:v>4.997616003024323E-2</c:v>
                </c:pt>
                <c:pt idx="79">
                  <c:v>4.9985191177254314E-2</c:v>
                </c:pt>
                <c:pt idx="80">
                  <c:v>4.9995029254991705E-2</c:v>
                </c:pt>
                <c:pt idx="81">
                  <c:v>4.9979896343336369E-2</c:v>
                </c:pt>
                <c:pt idx="82">
                  <c:v>4.9976928907991755E-2</c:v>
                </c:pt>
                <c:pt idx="83">
                  <c:v>4.9985611843315424E-2</c:v>
                </c:pt>
                <c:pt idx="84">
                  <c:v>4.999516781638267E-2</c:v>
                </c:pt>
                <c:pt idx="85">
                  <c:v>4.9980446067483496E-2</c:v>
                </c:pt>
                <c:pt idx="86">
                  <c:v>4.9977547984505051E-2</c:v>
                </c:pt>
                <c:pt idx="87">
                  <c:v>4.9985990843675485E-2</c:v>
                </c:pt>
                <c:pt idx="88">
                  <c:v>4.9995292783464047E-2</c:v>
                </c:pt>
                <c:pt idx="89">
                  <c:v>4.9980942373196668E-2</c:v>
                </c:pt>
                <c:pt idx="90">
                  <c:v>4.9978107462462562E-2</c:v>
                </c:pt>
                <c:pt idx="91">
                  <c:v>4.9986333687639446E-2</c:v>
                </c:pt>
                <c:pt idx="92">
                  <c:v>4.9995405934893537E-2</c:v>
                </c:pt>
                <c:pt idx="93">
                  <c:v>4.9981392175287444E-2</c:v>
                </c:pt>
                <c:pt idx="94">
                  <c:v>4.9978614976524241E-2</c:v>
                </c:pt>
                <c:pt idx="95">
                  <c:v>4.9986852142374714E-2</c:v>
                </c:pt>
                <c:pt idx="96">
                  <c:v>4.9994618629373891E-2</c:v>
                </c:pt>
                <c:pt idx="97">
                  <c:v>4.9981288859722806E-2</c:v>
                </c:pt>
                <c:pt idx="98">
                  <c:v>4.9978747945344348E-2</c:v>
                </c:pt>
                <c:pt idx="99">
                  <c:v>4.9987131183895327E-2</c:v>
                </c:pt>
                <c:pt idx="100">
                  <c:v>4.9994730894718981E-2</c:v>
                </c:pt>
                <c:pt idx="101">
                  <c:v>4.9981672435154917E-2</c:v>
                </c:pt>
                <c:pt idx="102">
                  <c:v>4.9979176176540754E-2</c:v>
                </c:pt>
                <c:pt idx="103">
                  <c:v>4.99873861441026E-2</c:v>
                </c:pt>
                <c:pt idx="104">
                  <c:v>4.9994833544077869E-2</c:v>
                </c:pt>
                <c:pt idx="105">
                  <c:v>4.9982023404095875E-2</c:v>
                </c:pt>
                <c:pt idx="106">
                  <c:v>4.9979568273208687E-2</c:v>
                </c:pt>
                <c:pt idx="107">
                  <c:v>4.998761974478505E-2</c:v>
                </c:pt>
                <c:pt idx="108">
                  <c:v>4.9994927654749374E-2</c:v>
                </c:pt>
                <c:pt idx="109">
                  <c:v>4.9982345387007424E-2</c:v>
                </c:pt>
                <c:pt idx="110">
                  <c:v>4.9979928212640481E-2</c:v>
                </c:pt>
                <c:pt idx="111">
                  <c:v>4.9988204739978948E-2</c:v>
                </c:pt>
                <c:pt idx="112">
                  <c:v>4.9995033540974329E-2</c:v>
                </c:pt>
                <c:pt idx="113">
                  <c:v>4.9982773000378143E-2</c:v>
                </c:pt>
                <c:pt idx="114">
                  <c:v>4.9980688739055368E-2</c:v>
                </c:pt>
                <c:pt idx="115">
                  <c:v>4.9988396209267184E-2</c:v>
                </c:pt>
                <c:pt idx="116">
                  <c:v>4.9995112881137754E-2</c:v>
                </c:pt>
                <c:pt idx="117">
                  <c:v>4.9983043754171168E-2</c:v>
                </c:pt>
                <c:pt idx="118">
                  <c:v>4.9980987420265882E-2</c:v>
                </c:pt>
                <c:pt idx="119">
                  <c:v>4.9988572869777738E-2</c:v>
                </c:pt>
                <c:pt idx="120">
                  <c:v>4.9995186121761764E-2</c:v>
                </c:pt>
                <c:pt idx="121">
                  <c:v>4.9983293819099425E-2</c:v>
                </c:pt>
                <c:pt idx="122">
                  <c:v>4.9981263413505131E-2</c:v>
                </c:pt>
                <c:pt idx="123">
                  <c:v>4.9988736188386798E-2</c:v>
                </c:pt>
                <c:pt idx="124">
                  <c:v>4.9995253862534714E-2</c:v>
                </c:pt>
                <c:pt idx="125">
                  <c:v>4.9983525213884834E-2</c:v>
                </c:pt>
                <c:pt idx="126">
                  <c:v>4.9981518916227499E-2</c:v>
                </c:pt>
                <c:pt idx="127">
                  <c:v>4.998916429468938E-2</c:v>
                </c:pt>
                <c:pt idx="128">
                  <c:v>4.9994971814300043E-2</c:v>
                </c:pt>
                <c:pt idx="129">
                  <c:v>4.9983611218518555E-2</c:v>
                </c:pt>
                <c:pt idx="130">
                  <c:v>4.9981814670508169E-2</c:v>
                </c:pt>
                <c:pt idx="131">
                  <c:v>4.9989301080582638E-2</c:v>
                </c:pt>
                <c:pt idx="132">
                  <c:v>4.999503433449979E-2</c:v>
                </c:pt>
                <c:pt idx="133">
                  <c:v>4.9983811875095319E-2</c:v>
                </c:pt>
                <c:pt idx="134">
                  <c:v>4.9982033964810949E-2</c:v>
                </c:pt>
                <c:pt idx="135">
                  <c:v>4.9989428180296919E-2</c:v>
                </c:pt>
                <c:pt idx="136">
                  <c:v>4.9995092449008384E-2</c:v>
                </c:pt>
                <c:pt idx="137">
                  <c:v>4.9983998461151563E-2</c:v>
                </c:pt>
                <c:pt idx="138">
                  <c:v>4.9982237955260606E-2</c:v>
                </c:pt>
                <c:pt idx="139">
                  <c:v>4.9989546451522253E-2</c:v>
                </c:pt>
                <c:pt idx="140">
                  <c:v>4.9995146545459612E-2</c:v>
                </c:pt>
                <c:pt idx="141">
                  <c:v>4.9984172206709247E-2</c:v>
                </c:pt>
                <c:pt idx="142">
                  <c:v>4.9982427971270796E-2</c:v>
                </c:pt>
                <c:pt idx="143">
                  <c:v>4.9989797965661324E-2</c:v>
                </c:pt>
                <c:pt idx="144">
                  <c:v>4.9994120327597917E-2</c:v>
                </c:pt>
                <c:pt idx="145">
                  <c:v>4.9983675789538148E-2</c:v>
                </c:pt>
                <c:pt idx="146">
                  <c:v>4.9982686757732812E-2</c:v>
                </c:pt>
                <c:pt idx="147">
                  <c:v>4.9989899346556343E-2</c:v>
                </c:pt>
                <c:pt idx="148">
                  <c:v>4.9994177913600425E-2</c:v>
                </c:pt>
                <c:pt idx="149">
                  <c:v>4.9983833325078962E-2</c:v>
                </c:pt>
                <c:pt idx="150">
                  <c:v>4.998285142358791E-2</c:v>
                </c:pt>
                <c:pt idx="151">
                  <c:v>4.9989994044080853E-2</c:v>
                </c:pt>
                <c:pt idx="152">
                  <c:v>4.9994231718392575E-2</c:v>
                </c:pt>
                <c:pt idx="153">
                  <c:v>4.9983980557838682E-2</c:v>
                </c:pt>
                <c:pt idx="154">
                  <c:v>4.9983005362268441E-2</c:v>
                </c:pt>
                <c:pt idx="155">
                  <c:v>4.9990082595976537E-2</c:v>
                </c:pt>
                <c:pt idx="156">
                  <c:v>4.9994282044550961E-2</c:v>
                </c:pt>
                <c:pt idx="157">
                  <c:v>4.9984118307717325E-2</c:v>
                </c:pt>
                <c:pt idx="158">
                  <c:v>4.9983149422851515E-2</c:v>
                </c:pt>
                <c:pt idx="159">
                  <c:v>4.9990534309244265E-2</c:v>
                </c:pt>
                <c:pt idx="160">
                  <c:v>4.9994710953980434E-2</c:v>
                </c:pt>
                <c:pt idx="161">
                  <c:v>4.9984624014483149E-2</c:v>
                </c:pt>
                <c:pt idx="162">
                  <c:v>4.99831864468019E-2</c:v>
                </c:pt>
                <c:pt idx="163">
                  <c:v>4.9990609038633373E-2</c:v>
                </c:pt>
                <c:pt idx="164">
                  <c:v>4.9994752128110269E-2</c:v>
                </c:pt>
                <c:pt idx="165">
                  <c:v>4.9984742015752898E-2</c:v>
                </c:pt>
                <c:pt idx="166">
                  <c:v>4.9983313675726233E-2</c:v>
                </c:pt>
                <c:pt idx="167">
                  <c:v>4.9990679120668763E-2</c:v>
                </c:pt>
                <c:pt idx="168">
                  <c:v>4.9994790749952819E-2</c:v>
                </c:pt>
                <c:pt idx="169">
                  <c:v>4.9984852726273739E-2</c:v>
                </c:pt>
                <c:pt idx="170">
                  <c:v>4.9983433068797142E-2</c:v>
                </c:pt>
                <c:pt idx="171">
                  <c:v>4.9990744899851912E-2</c:v>
                </c:pt>
                <c:pt idx="172">
                  <c:v>4.9994827007822769E-2</c:v>
                </c:pt>
                <c:pt idx="173">
                  <c:v>4.998495668144181E-2</c:v>
                </c:pt>
                <c:pt idx="174">
                  <c:v>4.9983545198787456E-2</c:v>
                </c:pt>
                <c:pt idx="175">
                  <c:v>4.9991053169126144E-2</c:v>
                </c:pt>
                <c:pt idx="176">
                  <c:v>4.9994554287849803E-2</c:v>
                </c:pt>
                <c:pt idx="177">
                  <c:v>4.998494043416931E-2</c:v>
                </c:pt>
                <c:pt idx="178">
                  <c:v>4.9983876675460254E-2</c:v>
                </c:pt>
                <c:pt idx="179">
                  <c:v>4.9991109679726232E-2</c:v>
                </c:pt>
                <c:pt idx="180">
                  <c:v>4.999458821782448E-2</c:v>
                </c:pt>
                <c:pt idx="181">
                  <c:v>4.9985032969012341E-2</c:v>
                </c:pt>
                <c:pt idx="182">
                  <c:v>4.9983974397868162E-2</c:v>
                </c:pt>
                <c:pt idx="183">
                  <c:v>4.9991162839623016E-2</c:v>
                </c:pt>
                <c:pt idx="184">
                  <c:v>4.999462014131878E-2</c:v>
                </c:pt>
                <c:pt idx="185">
                  <c:v>4.9985120046345692E-2</c:v>
                </c:pt>
                <c:pt idx="186">
                  <c:v>4.9984066371840191E-2</c:v>
                </c:pt>
                <c:pt idx="187">
                  <c:v>4.999121288039042E-2</c:v>
                </c:pt>
                <c:pt idx="188">
                  <c:v>4.9994650196451496E-2</c:v>
                </c:pt>
                <c:pt idx="189">
                  <c:v>4.9985202040332417E-2</c:v>
                </c:pt>
                <c:pt idx="190">
                  <c:v>4.9984152989933771E-2</c:v>
                </c:pt>
                <c:pt idx="191">
                  <c:v>4.999152422299491E-2</c:v>
                </c:pt>
                <c:pt idx="192">
                  <c:v>4.9994390998942734E-2</c:v>
                </c:pt>
                <c:pt idx="193">
                  <c:v>4.9985179901163634E-2</c:v>
                </c:pt>
                <c:pt idx="194">
                  <c:v>4.998431023397612E-2</c:v>
                </c:pt>
                <c:pt idx="195">
                  <c:v>4.9991567289137333E-2</c:v>
                </c:pt>
                <c:pt idx="196">
                  <c:v>4.9994419120191841E-2</c:v>
                </c:pt>
                <c:pt idx="197">
                  <c:v>4.9985253199741057E-2</c:v>
                </c:pt>
                <c:pt idx="198">
                  <c:v>4.9984386799877989E-2</c:v>
                </c:pt>
                <c:pt idx="199">
                  <c:v>4.9991607899589299E-2</c:v>
                </c:pt>
                <c:pt idx="200">
                  <c:v>4.9994445641424162E-2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test!$D$1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cat>
            <c:numRef>
              <c:f>test!$A$2:$A$202</c:f>
              <c:numCache>
                <c:formatCode>yyyy-m-d</c:formatCode>
                <c:ptCount val="201"/>
                <c:pt idx="0">
                  <c:v>41138</c:v>
                </c:pt>
                <c:pt idx="1">
                  <c:v>41232</c:v>
                </c:pt>
                <c:pt idx="2">
                  <c:v>41324</c:v>
                </c:pt>
                <c:pt idx="3">
                  <c:v>41414</c:v>
                </c:pt>
                <c:pt idx="4">
                  <c:v>41506</c:v>
                </c:pt>
                <c:pt idx="5">
                  <c:v>41598</c:v>
                </c:pt>
                <c:pt idx="6">
                  <c:v>41690</c:v>
                </c:pt>
                <c:pt idx="7">
                  <c:v>41779</c:v>
                </c:pt>
                <c:pt idx="8">
                  <c:v>41871</c:v>
                </c:pt>
                <c:pt idx="9">
                  <c:v>41963</c:v>
                </c:pt>
                <c:pt idx="10">
                  <c:v>42055</c:v>
                </c:pt>
                <c:pt idx="11">
                  <c:v>42144</c:v>
                </c:pt>
                <c:pt idx="12">
                  <c:v>42236</c:v>
                </c:pt>
                <c:pt idx="13">
                  <c:v>42328</c:v>
                </c:pt>
                <c:pt idx="14">
                  <c:v>42422</c:v>
                </c:pt>
                <c:pt idx="15">
                  <c:v>42513</c:v>
                </c:pt>
                <c:pt idx="16">
                  <c:v>42605</c:v>
                </c:pt>
                <c:pt idx="17">
                  <c:v>42697</c:v>
                </c:pt>
                <c:pt idx="18">
                  <c:v>42789</c:v>
                </c:pt>
                <c:pt idx="19">
                  <c:v>42878</c:v>
                </c:pt>
                <c:pt idx="20">
                  <c:v>42970</c:v>
                </c:pt>
                <c:pt idx="21">
                  <c:v>43062</c:v>
                </c:pt>
                <c:pt idx="22">
                  <c:v>43154</c:v>
                </c:pt>
                <c:pt idx="23">
                  <c:v>43243</c:v>
                </c:pt>
                <c:pt idx="24">
                  <c:v>43335</c:v>
                </c:pt>
                <c:pt idx="25">
                  <c:v>43427</c:v>
                </c:pt>
                <c:pt idx="26">
                  <c:v>43521</c:v>
                </c:pt>
                <c:pt idx="27">
                  <c:v>43612</c:v>
                </c:pt>
                <c:pt idx="28">
                  <c:v>43704</c:v>
                </c:pt>
                <c:pt idx="29">
                  <c:v>43796</c:v>
                </c:pt>
                <c:pt idx="30">
                  <c:v>43888</c:v>
                </c:pt>
                <c:pt idx="31">
                  <c:v>43978</c:v>
                </c:pt>
                <c:pt idx="32">
                  <c:v>44070</c:v>
                </c:pt>
                <c:pt idx="33">
                  <c:v>44162</c:v>
                </c:pt>
                <c:pt idx="34">
                  <c:v>44256</c:v>
                </c:pt>
                <c:pt idx="35">
                  <c:v>44348</c:v>
                </c:pt>
                <c:pt idx="36">
                  <c:v>44440</c:v>
                </c:pt>
                <c:pt idx="37">
                  <c:v>44531</c:v>
                </c:pt>
                <c:pt idx="38">
                  <c:v>44621</c:v>
                </c:pt>
                <c:pt idx="39">
                  <c:v>44713</c:v>
                </c:pt>
                <c:pt idx="40">
                  <c:v>44805</c:v>
                </c:pt>
                <c:pt idx="41">
                  <c:v>44896</c:v>
                </c:pt>
                <c:pt idx="42">
                  <c:v>44986</c:v>
                </c:pt>
                <c:pt idx="43">
                  <c:v>45078</c:v>
                </c:pt>
                <c:pt idx="44">
                  <c:v>45170</c:v>
                </c:pt>
                <c:pt idx="45">
                  <c:v>45261</c:v>
                </c:pt>
                <c:pt idx="46">
                  <c:v>45352</c:v>
                </c:pt>
                <c:pt idx="47">
                  <c:v>45446</c:v>
                </c:pt>
                <c:pt idx="48">
                  <c:v>45538</c:v>
                </c:pt>
                <c:pt idx="49">
                  <c:v>45629</c:v>
                </c:pt>
                <c:pt idx="50">
                  <c:v>45719</c:v>
                </c:pt>
                <c:pt idx="51">
                  <c:v>45811</c:v>
                </c:pt>
                <c:pt idx="52">
                  <c:v>45903</c:v>
                </c:pt>
                <c:pt idx="53">
                  <c:v>45994</c:v>
                </c:pt>
                <c:pt idx="54">
                  <c:v>46084</c:v>
                </c:pt>
                <c:pt idx="55">
                  <c:v>46176</c:v>
                </c:pt>
                <c:pt idx="56">
                  <c:v>46268</c:v>
                </c:pt>
                <c:pt idx="57">
                  <c:v>46359</c:v>
                </c:pt>
                <c:pt idx="58">
                  <c:v>46449</c:v>
                </c:pt>
                <c:pt idx="59">
                  <c:v>46541</c:v>
                </c:pt>
                <c:pt idx="60">
                  <c:v>46633</c:v>
                </c:pt>
                <c:pt idx="61">
                  <c:v>46724</c:v>
                </c:pt>
                <c:pt idx="62">
                  <c:v>46815</c:v>
                </c:pt>
                <c:pt idx="63">
                  <c:v>46909</c:v>
                </c:pt>
                <c:pt idx="64">
                  <c:v>47001</c:v>
                </c:pt>
                <c:pt idx="65">
                  <c:v>47092</c:v>
                </c:pt>
                <c:pt idx="66">
                  <c:v>47182</c:v>
                </c:pt>
                <c:pt idx="67">
                  <c:v>47274</c:v>
                </c:pt>
                <c:pt idx="68">
                  <c:v>47366</c:v>
                </c:pt>
                <c:pt idx="69">
                  <c:v>47457</c:v>
                </c:pt>
                <c:pt idx="70">
                  <c:v>47547</c:v>
                </c:pt>
                <c:pt idx="71">
                  <c:v>47639</c:v>
                </c:pt>
                <c:pt idx="72">
                  <c:v>47731</c:v>
                </c:pt>
                <c:pt idx="73">
                  <c:v>47822</c:v>
                </c:pt>
                <c:pt idx="74">
                  <c:v>47912</c:v>
                </c:pt>
                <c:pt idx="75">
                  <c:v>48004</c:v>
                </c:pt>
                <c:pt idx="76">
                  <c:v>48096</c:v>
                </c:pt>
                <c:pt idx="77">
                  <c:v>48187</c:v>
                </c:pt>
                <c:pt idx="78">
                  <c:v>48278</c:v>
                </c:pt>
                <c:pt idx="79">
                  <c:v>48372</c:v>
                </c:pt>
                <c:pt idx="80">
                  <c:v>48464</c:v>
                </c:pt>
                <c:pt idx="81">
                  <c:v>48555</c:v>
                </c:pt>
                <c:pt idx="82">
                  <c:v>48645</c:v>
                </c:pt>
                <c:pt idx="83">
                  <c:v>48737</c:v>
                </c:pt>
                <c:pt idx="84">
                  <c:v>48829</c:v>
                </c:pt>
                <c:pt idx="85">
                  <c:v>48920</c:v>
                </c:pt>
                <c:pt idx="86">
                  <c:v>49010</c:v>
                </c:pt>
                <c:pt idx="87">
                  <c:v>49102</c:v>
                </c:pt>
                <c:pt idx="88">
                  <c:v>49194</c:v>
                </c:pt>
                <c:pt idx="89">
                  <c:v>49285</c:v>
                </c:pt>
                <c:pt idx="90">
                  <c:v>49375</c:v>
                </c:pt>
                <c:pt idx="91">
                  <c:v>49467</c:v>
                </c:pt>
                <c:pt idx="92">
                  <c:v>49559</c:v>
                </c:pt>
                <c:pt idx="93">
                  <c:v>49650</c:v>
                </c:pt>
                <c:pt idx="94">
                  <c:v>49741</c:v>
                </c:pt>
                <c:pt idx="95">
                  <c:v>49835</c:v>
                </c:pt>
                <c:pt idx="96">
                  <c:v>49927</c:v>
                </c:pt>
                <c:pt idx="97">
                  <c:v>50018</c:v>
                </c:pt>
                <c:pt idx="98">
                  <c:v>50108</c:v>
                </c:pt>
                <c:pt idx="99">
                  <c:v>50200</c:v>
                </c:pt>
                <c:pt idx="100">
                  <c:v>50292</c:v>
                </c:pt>
                <c:pt idx="101">
                  <c:v>50383</c:v>
                </c:pt>
                <c:pt idx="102">
                  <c:v>50473</c:v>
                </c:pt>
                <c:pt idx="103">
                  <c:v>50565</c:v>
                </c:pt>
                <c:pt idx="104">
                  <c:v>50657</c:v>
                </c:pt>
                <c:pt idx="105">
                  <c:v>50748</c:v>
                </c:pt>
                <c:pt idx="106">
                  <c:v>50838</c:v>
                </c:pt>
                <c:pt idx="107">
                  <c:v>50930</c:v>
                </c:pt>
                <c:pt idx="108">
                  <c:v>51022</c:v>
                </c:pt>
                <c:pt idx="109">
                  <c:v>51113</c:v>
                </c:pt>
                <c:pt idx="110">
                  <c:v>51204</c:v>
                </c:pt>
                <c:pt idx="111">
                  <c:v>51298</c:v>
                </c:pt>
                <c:pt idx="112">
                  <c:v>51390</c:v>
                </c:pt>
                <c:pt idx="113">
                  <c:v>51481</c:v>
                </c:pt>
                <c:pt idx="114">
                  <c:v>51571</c:v>
                </c:pt>
                <c:pt idx="115">
                  <c:v>51663</c:v>
                </c:pt>
                <c:pt idx="116">
                  <c:v>51755</c:v>
                </c:pt>
                <c:pt idx="117">
                  <c:v>51846</c:v>
                </c:pt>
                <c:pt idx="118">
                  <c:v>51936</c:v>
                </c:pt>
                <c:pt idx="119">
                  <c:v>52028</c:v>
                </c:pt>
                <c:pt idx="120">
                  <c:v>52120</c:v>
                </c:pt>
                <c:pt idx="121">
                  <c:v>52211</c:v>
                </c:pt>
                <c:pt idx="122">
                  <c:v>52301</c:v>
                </c:pt>
                <c:pt idx="123">
                  <c:v>52393</c:v>
                </c:pt>
                <c:pt idx="124">
                  <c:v>52485</c:v>
                </c:pt>
                <c:pt idx="125">
                  <c:v>52576</c:v>
                </c:pt>
                <c:pt idx="126">
                  <c:v>52667</c:v>
                </c:pt>
                <c:pt idx="127">
                  <c:v>52761</c:v>
                </c:pt>
                <c:pt idx="128">
                  <c:v>52853</c:v>
                </c:pt>
                <c:pt idx="129">
                  <c:v>52944</c:v>
                </c:pt>
                <c:pt idx="130">
                  <c:v>53034</c:v>
                </c:pt>
                <c:pt idx="131">
                  <c:v>53126</c:v>
                </c:pt>
                <c:pt idx="132">
                  <c:v>53218</c:v>
                </c:pt>
                <c:pt idx="133">
                  <c:v>53309</c:v>
                </c:pt>
                <c:pt idx="134">
                  <c:v>53399</c:v>
                </c:pt>
                <c:pt idx="135">
                  <c:v>53491</c:v>
                </c:pt>
                <c:pt idx="136">
                  <c:v>53583</c:v>
                </c:pt>
                <c:pt idx="137">
                  <c:v>53674</c:v>
                </c:pt>
                <c:pt idx="138">
                  <c:v>53764</c:v>
                </c:pt>
                <c:pt idx="139">
                  <c:v>53856</c:v>
                </c:pt>
                <c:pt idx="140">
                  <c:v>53948</c:v>
                </c:pt>
                <c:pt idx="141">
                  <c:v>54039</c:v>
                </c:pt>
                <c:pt idx="142">
                  <c:v>54130</c:v>
                </c:pt>
                <c:pt idx="143">
                  <c:v>54224</c:v>
                </c:pt>
                <c:pt idx="144">
                  <c:v>54316</c:v>
                </c:pt>
                <c:pt idx="145">
                  <c:v>54407</c:v>
                </c:pt>
                <c:pt idx="146">
                  <c:v>54497</c:v>
                </c:pt>
                <c:pt idx="147">
                  <c:v>54589</c:v>
                </c:pt>
                <c:pt idx="148">
                  <c:v>54681</c:v>
                </c:pt>
                <c:pt idx="149">
                  <c:v>54772</c:v>
                </c:pt>
                <c:pt idx="150">
                  <c:v>54862</c:v>
                </c:pt>
                <c:pt idx="151">
                  <c:v>54954</c:v>
                </c:pt>
                <c:pt idx="152">
                  <c:v>55046</c:v>
                </c:pt>
                <c:pt idx="153">
                  <c:v>55137</c:v>
                </c:pt>
                <c:pt idx="154">
                  <c:v>55227</c:v>
                </c:pt>
                <c:pt idx="155">
                  <c:v>55319</c:v>
                </c:pt>
                <c:pt idx="156">
                  <c:v>55411</c:v>
                </c:pt>
                <c:pt idx="157">
                  <c:v>55502</c:v>
                </c:pt>
                <c:pt idx="158">
                  <c:v>55593</c:v>
                </c:pt>
                <c:pt idx="159">
                  <c:v>55687</c:v>
                </c:pt>
                <c:pt idx="160">
                  <c:v>55779</c:v>
                </c:pt>
                <c:pt idx="161">
                  <c:v>55870</c:v>
                </c:pt>
                <c:pt idx="162">
                  <c:v>55960</c:v>
                </c:pt>
                <c:pt idx="163">
                  <c:v>56052</c:v>
                </c:pt>
                <c:pt idx="164">
                  <c:v>56144</c:v>
                </c:pt>
                <c:pt idx="165">
                  <c:v>56235</c:v>
                </c:pt>
                <c:pt idx="166">
                  <c:v>56325</c:v>
                </c:pt>
                <c:pt idx="167">
                  <c:v>56417</c:v>
                </c:pt>
                <c:pt idx="168">
                  <c:v>56509</c:v>
                </c:pt>
                <c:pt idx="169">
                  <c:v>56600</c:v>
                </c:pt>
                <c:pt idx="170">
                  <c:v>56690</c:v>
                </c:pt>
                <c:pt idx="171">
                  <c:v>56782</c:v>
                </c:pt>
                <c:pt idx="172">
                  <c:v>56874</c:v>
                </c:pt>
                <c:pt idx="173">
                  <c:v>56965</c:v>
                </c:pt>
                <c:pt idx="174">
                  <c:v>57056</c:v>
                </c:pt>
                <c:pt idx="175">
                  <c:v>57150</c:v>
                </c:pt>
                <c:pt idx="176">
                  <c:v>57242</c:v>
                </c:pt>
                <c:pt idx="177">
                  <c:v>57333</c:v>
                </c:pt>
                <c:pt idx="178">
                  <c:v>57423</c:v>
                </c:pt>
                <c:pt idx="179">
                  <c:v>57515</c:v>
                </c:pt>
                <c:pt idx="180">
                  <c:v>57607</c:v>
                </c:pt>
                <c:pt idx="181">
                  <c:v>57698</c:v>
                </c:pt>
                <c:pt idx="182">
                  <c:v>57788</c:v>
                </c:pt>
                <c:pt idx="183">
                  <c:v>57880</c:v>
                </c:pt>
                <c:pt idx="184">
                  <c:v>57972</c:v>
                </c:pt>
                <c:pt idx="185">
                  <c:v>58063</c:v>
                </c:pt>
                <c:pt idx="186">
                  <c:v>58153</c:v>
                </c:pt>
                <c:pt idx="187">
                  <c:v>58245</c:v>
                </c:pt>
                <c:pt idx="188">
                  <c:v>58337</c:v>
                </c:pt>
                <c:pt idx="189">
                  <c:v>58428</c:v>
                </c:pt>
                <c:pt idx="190">
                  <c:v>58519</c:v>
                </c:pt>
                <c:pt idx="191">
                  <c:v>58613</c:v>
                </c:pt>
                <c:pt idx="192">
                  <c:v>58705</c:v>
                </c:pt>
                <c:pt idx="193">
                  <c:v>58796</c:v>
                </c:pt>
                <c:pt idx="194">
                  <c:v>58886</c:v>
                </c:pt>
                <c:pt idx="195">
                  <c:v>58978</c:v>
                </c:pt>
                <c:pt idx="196">
                  <c:v>59070</c:v>
                </c:pt>
                <c:pt idx="197">
                  <c:v>59161</c:v>
                </c:pt>
                <c:pt idx="198">
                  <c:v>59251</c:v>
                </c:pt>
                <c:pt idx="199">
                  <c:v>59343</c:v>
                </c:pt>
                <c:pt idx="200">
                  <c:v>59435</c:v>
                </c:pt>
              </c:numCache>
            </c:numRef>
          </c:cat>
          <c:val>
            <c:numRef>
              <c:f>test!$D$2:$D$202</c:f>
              <c:numCache>
                <c:formatCode>G/通用格式</c:formatCode>
                <c:ptCount val="201"/>
                <c:pt idx="0">
                  <c:v>4.9095604781046007E-2</c:v>
                </c:pt>
                <c:pt idx="1">
                  <c:v>4.9095604781046007E-2</c:v>
                </c:pt>
                <c:pt idx="2">
                  <c:v>4.9396874776212463E-2</c:v>
                </c:pt>
                <c:pt idx="3">
                  <c:v>4.9703998427645578E-2</c:v>
                </c:pt>
                <c:pt idx="4">
                  <c:v>4.9989591808261472E-2</c:v>
                </c:pt>
                <c:pt idx="5">
                  <c:v>5.0059792957915315E-2</c:v>
                </c:pt>
                <c:pt idx="6">
                  <c:v>5.0295389770451421E-2</c:v>
                </c:pt>
                <c:pt idx="7">
                  <c:v>5.0616732260740573E-2</c:v>
                </c:pt>
                <c:pt idx="8">
                  <c:v>5.099464632211155E-2</c:v>
                </c:pt>
                <c:pt idx="9">
                  <c:v>5.0806371426180282E-2</c:v>
                </c:pt>
                <c:pt idx="10">
                  <c:v>5.0703811126241727E-2</c:v>
                </c:pt>
                <c:pt idx="11">
                  <c:v>5.0665843758178224E-2</c:v>
                </c:pt>
                <c:pt idx="12">
                  <c:v>5.0664219264541094E-2</c:v>
                </c:pt>
                <c:pt idx="13">
                  <c:v>5.0506096722220985E-2</c:v>
                </c:pt>
                <c:pt idx="14">
                  <c:v>5.0404648334402953E-2</c:v>
                </c:pt>
                <c:pt idx="15">
                  <c:v>5.0353144011421394E-2</c:v>
                </c:pt>
                <c:pt idx="16">
                  <c:v>5.0326689344503781E-2</c:v>
                </c:pt>
                <c:pt idx="17">
                  <c:v>5.018621777836671E-2</c:v>
                </c:pt>
                <c:pt idx="18">
                  <c:v>5.008822419731368E-2</c:v>
                </c:pt>
                <c:pt idx="19">
                  <c:v>5.0032982794225883E-2</c:v>
                </c:pt>
                <c:pt idx="20">
                  <c:v>4.999554830006428E-2</c:v>
                </c:pt>
                <c:pt idx="21">
                  <c:v>4.994841195727745E-2</c:v>
                </c:pt>
                <c:pt idx="22">
                  <c:v>4.9935892568078281E-2</c:v>
                </c:pt>
                <c:pt idx="23">
                  <c:v>4.9957069967986122E-2</c:v>
                </c:pt>
                <c:pt idx="24">
                  <c:v>4.9996200636936362E-2</c:v>
                </c:pt>
                <c:pt idx="25">
                  <c:v>4.9955617737935651E-2</c:v>
                </c:pt>
                <c:pt idx="26">
                  <c:v>4.9945695634951742E-2</c:v>
                </c:pt>
                <c:pt idx="27">
                  <c:v>4.9963897184124098E-2</c:v>
                </c:pt>
                <c:pt idx="28">
                  <c:v>4.9994453636780685E-2</c:v>
                </c:pt>
                <c:pt idx="29">
                  <c:v>4.9959819456683617E-2</c:v>
                </c:pt>
                <c:pt idx="30">
                  <c:v>4.9951889729051478E-2</c:v>
                </c:pt>
                <c:pt idx="31">
                  <c:v>4.9967805934997014E-2</c:v>
                </c:pt>
                <c:pt idx="32">
                  <c:v>4.999503197717655E-2</c:v>
                </c:pt>
                <c:pt idx="33">
                  <c:v>4.9963853846758867E-2</c:v>
                </c:pt>
                <c:pt idx="34">
                  <c:v>4.995677973729467E-2</c:v>
                </c:pt>
                <c:pt idx="35">
                  <c:v>4.997157842252764E-2</c:v>
                </c:pt>
                <c:pt idx="36">
                  <c:v>4.9991977387831781E-2</c:v>
                </c:pt>
                <c:pt idx="37">
                  <c:v>4.9965065337496263E-2</c:v>
                </c:pt>
                <c:pt idx="38">
                  <c:v>4.9960423161874358E-2</c:v>
                </c:pt>
                <c:pt idx="39">
                  <c:v>4.9973898465538638E-2</c:v>
                </c:pt>
                <c:pt idx="40">
                  <c:v>4.9992612006209414E-2</c:v>
                </c:pt>
                <c:pt idx="41">
                  <c:v>4.9967742580478258E-2</c:v>
                </c:pt>
                <c:pt idx="42">
                  <c:v>4.9963364438895486E-2</c:v>
                </c:pt>
                <c:pt idx="43">
                  <c:v>4.9975781288927677E-2</c:v>
                </c:pt>
                <c:pt idx="44">
                  <c:v>4.999312960056819E-2</c:v>
                </c:pt>
                <c:pt idx="45">
                  <c:v>4.9969936786199785E-2</c:v>
                </c:pt>
                <c:pt idx="46">
                  <c:v>4.9965786072669327E-2</c:v>
                </c:pt>
                <c:pt idx="47">
                  <c:v>4.9978084342686427E-2</c:v>
                </c:pt>
                <c:pt idx="48">
                  <c:v>4.9994314045804712E-2</c:v>
                </c:pt>
                <c:pt idx="49">
                  <c:v>4.9972506836444497E-2</c:v>
                </c:pt>
                <c:pt idx="50">
                  <c:v>4.9967567839578848E-2</c:v>
                </c:pt>
                <c:pt idx="51">
                  <c:v>4.9979347943782428E-2</c:v>
                </c:pt>
                <c:pt idx="52">
                  <c:v>4.9994633539580224E-2</c:v>
                </c:pt>
                <c:pt idx="53">
                  <c:v>4.9974011812553454E-2</c:v>
                </c:pt>
                <c:pt idx="54">
                  <c:v>4.9969298505160686E-2</c:v>
                </c:pt>
                <c:pt idx="55">
                  <c:v>4.9980422955790631E-2</c:v>
                </c:pt>
                <c:pt idx="56">
                  <c:v>4.9994906134179062E-2</c:v>
                </c:pt>
                <c:pt idx="57">
                  <c:v>4.997529953064335E-2</c:v>
                </c:pt>
                <c:pt idx="58">
                  <c:v>4.9970783341287857E-2</c:v>
                </c:pt>
                <c:pt idx="59">
                  <c:v>4.9981347642161396E-2</c:v>
                </c:pt>
                <c:pt idx="60">
                  <c:v>4.9995141189443974E-2</c:v>
                </c:pt>
                <c:pt idx="61">
                  <c:v>4.9976412632679865E-2</c:v>
                </c:pt>
                <c:pt idx="62">
                  <c:v>4.9972069822365968E-2</c:v>
                </c:pt>
                <c:pt idx="63">
                  <c:v>4.9982523010446457E-2</c:v>
                </c:pt>
                <c:pt idx="64">
                  <c:v>4.9994807317381124E-2</c:v>
                </c:pt>
                <c:pt idx="65">
                  <c:v>4.997716527689737E-2</c:v>
                </c:pt>
                <c:pt idx="66">
                  <c:v>4.9973548313188461E-2</c:v>
                </c:pt>
                <c:pt idx="67">
                  <c:v>4.9983210979060284E-2</c:v>
                </c:pt>
                <c:pt idx="68">
                  <c:v>4.9995007382807002E-2</c:v>
                </c:pt>
                <c:pt idx="69">
                  <c:v>4.9978026057426954E-2</c:v>
                </c:pt>
                <c:pt idx="70">
                  <c:v>4.997452435650198E-2</c:v>
                </c:pt>
                <c:pt idx="71">
                  <c:v>4.998381765147792E-2</c:v>
                </c:pt>
                <c:pt idx="72">
                  <c:v>4.9995184095926133E-2</c:v>
                </c:pt>
                <c:pt idx="73">
                  <c:v>4.997878760509035E-2</c:v>
                </c:pt>
                <c:pt idx="74">
                  <c:v>4.9975389228137539E-2</c:v>
                </c:pt>
                <c:pt idx="75">
                  <c:v>4.9984356028596487E-2</c:v>
                </c:pt>
                <c:pt idx="76">
                  <c:v>4.9995341143264801E-2</c:v>
                </c:pt>
                <c:pt idx="77">
                  <c:v>4.9979465381493247E-2</c:v>
                </c:pt>
                <c:pt idx="78">
                  <c:v>4.997616003024323E-2</c:v>
                </c:pt>
                <c:pt idx="79">
                  <c:v>4.9985191177254314E-2</c:v>
                </c:pt>
                <c:pt idx="80">
                  <c:v>4.9995029254991705E-2</c:v>
                </c:pt>
                <c:pt idx="81">
                  <c:v>4.9979896343336369E-2</c:v>
                </c:pt>
                <c:pt idx="82">
                  <c:v>4.9976928907991755E-2</c:v>
                </c:pt>
                <c:pt idx="83">
                  <c:v>4.9985611843315424E-2</c:v>
                </c:pt>
                <c:pt idx="84">
                  <c:v>4.999516781638267E-2</c:v>
                </c:pt>
                <c:pt idx="85">
                  <c:v>4.9980446067483496E-2</c:v>
                </c:pt>
                <c:pt idx="86">
                  <c:v>4.9977547984505051E-2</c:v>
                </c:pt>
                <c:pt idx="87">
                  <c:v>4.9985990843675485E-2</c:v>
                </c:pt>
                <c:pt idx="88">
                  <c:v>4.9995292783464047E-2</c:v>
                </c:pt>
                <c:pt idx="89">
                  <c:v>4.9980942373196668E-2</c:v>
                </c:pt>
                <c:pt idx="90">
                  <c:v>4.9978107462462562E-2</c:v>
                </c:pt>
                <c:pt idx="91">
                  <c:v>4.9986333687639446E-2</c:v>
                </c:pt>
                <c:pt idx="92">
                  <c:v>4.9995405934893537E-2</c:v>
                </c:pt>
                <c:pt idx="93">
                  <c:v>4.9981392175287444E-2</c:v>
                </c:pt>
                <c:pt idx="94">
                  <c:v>4.9978614976524241E-2</c:v>
                </c:pt>
                <c:pt idx="95">
                  <c:v>4.9986852142374714E-2</c:v>
                </c:pt>
                <c:pt idx="96">
                  <c:v>4.9994618629373891E-2</c:v>
                </c:pt>
                <c:pt idx="97">
                  <c:v>4.9981288859722806E-2</c:v>
                </c:pt>
                <c:pt idx="98">
                  <c:v>4.9978747945344348E-2</c:v>
                </c:pt>
                <c:pt idx="99">
                  <c:v>4.9987131183895327E-2</c:v>
                </c:pt>
                <c:pt idx="100">
                  <c:v>4.9994730894718981E-2</c:v>
                </c:pt>
                <c:pt idx="101">
                  <c:v>4.9981672435154917E-2</c:v>
                </c:pt>
                <c:pt idx="102">
                  <c:v>4.9979176176540754E-2</c:v>
                </c:pt>
                <c:pt idx="103">
                  <c:v>4.99873861441026E-2</c:v>
                </c:pt>
                <c:pt idx="104">
                  <c:v>4.9994833544077869E-2</c:v>
                </c:pt>
                <c:pt idx="105">
                  <c:v>4.9982023404095875E-2</c:v>
                </c:pt>
                <c:pt idx="106">
                  <c:v>4.9979568273208687E-2</c:v>
                </c:pt>
                <c:pt idx="107">
                  <c:v>4.998761974478505E-2</c:v>
                </c:pt>
                <c:pt idx="108">
                  <c:v>4.9994927654749374E-2</c:v>
                </c:pt>
                <c:pt idx="109">
                  <c:v>4.9982345387007424E-2</c:v>
                </c:pt>
                <c:pt idx="110">
                  <c:v>4.9979928212640481E-2</c:v>
                </c:pt>
                <c:pt idx="111">
                  <c:v>4.9988204739978948E-2</c:v>
                </c:pt>
                <c:pt idx="112">
                  <c:v>4.9995033540974329E-2</c:v>
                </c:pt>
                <c:pt idx="113">
                  <c:v>4.9982773000378143E-2</c:v>
                </c:pt>
                <c:pt idx="114">
                  <c:v>4.9980688739055368E-2</c:v>
                </c:pt>
                <c:pt idx="115">
                  <c:v>4.9988396209267184E-2</c:v>
                </c:pt>
                <c:pt idx="116">
                  <c:v>4.9995112881137754E-2</c:v>
                </c:pt>
                <c:pt idx="117">
                  <c:v>4.9983043754171168E-2</c:v>
                </c:pt>
                <c:pt idx="118">
                  <c:v>4.9980987420265882E-2</c:v>
                </c:pt>
                <c:pt idx="119">
                  <c:v>4.9988572869777738E-2</c:v>
                </c:pt>
                <c:pt idx="120">
                  <c:v>4.9995186121761764E-2</c:v>
                </c:pt>
                <c:pt idx="121">
                  <c:v>4.9983293819099425E-2</c:v>
                </c:pt>
                <c:pt idx="122">
                  <c:v>4.9981263413505131E-2</c:v>
                </c:pt>
                <c:pt idx="123">
                  <c:v>4.9988736188386798E-2</c:v>
                </c:pt>
                <c:pt idx="124">
                  <c:v>4.9995253862534714E-2</c:v>
                </c:pt>
                <c:pt idx="125">
                  <c:v>4.9983525213884834E-2</c:v>
                </c:pt>
                <c:pt idx="126">
                  <c:v>4.9981518916227499E-2</c:v>
                </c:pt>
                <c:pt idx="127">
                  <c:v>4.998916429468938E-2</c:v>
                </c:pt>
                <c:pt idx="128">
                  <c:v>4.9994971814300043E-2</c:v>
                </c:pt>
                <c:pt idx="129">
                  <c:v>4.9983611218518555E-2</c:v>
                </c:pt>
                <c:pt idx="130">
                  <c:v>4.9981814670508169E-2</c:v>
                </c:pt>
                <c:pt idx="131">
                  <c:v>4.9989301080582638E-2</c:v>
                </c:pt>
                <c:pt idx="132">
                  <c:v>4.999503433449979E-2</c:v>
                </c:pt>
                <c:pt idx="133">
                  <c:v>4.9983811875095319E-2</c:v>
                </c:pt>
                <c:pt idx="134">
                  <c:v>4.9982033964810949E-2</c:v>
                </c:pt>
                <c:pt idx="135">
                  <c:v>4.9989428180296919E-2</c:v>
                </c:pt>
                <c:pt idx="136">
                  <c:v>4.9995092449008384E-2</c:v>
                </c:pt>
                <c:pt idx="137">
                  <c:v>4.9983998461151563E-2</c:v>
                </c:pt>
                <c:pt idx="138">
                  <c:v>4.9982237955260606E-2</c:v>
                </c:pt>
                <c:pt idx="139">
                  <c:v>4.9989546451522253E-2</c:v>
                </c:pt>
                <c:pt idx="140">
                  <c:v>4.9995146545459612E-2</c:v>
                </c:pt>
                <c:pt idx="141">
                  <c:v>4.9984172206709247E-2</c:v>
                </c:pt>
                <c:pt idx="142">
                  <c:v>4.9982427971270796E-2</c:v>
                </c:pt>
                <c:pt idx="143">
                  <c:v>4.9989797965661324E-2</c:v>
                </c:pt>
                <c:pt idx="144">
                  <c:v>4.9994120327597917E-2</c:v>
                </c:pt>
                <c:pt idx="145">
                  <c:v>4.9983675789538148E-2</c:v>
                </c:pt>
                <c:pt idx="146">
                  <c:v>4.9982686757732812E-2</c:v>
                </c:pt>
                <c:pt idx="147">
                  <c:v>4.9989899346556343E-2</c:v>
                </c:pt>
                <c:pt idx="148">
                  <c:v>4.9994177913600425E-2</c:v>
                </c:pt>
                <c:pt idx="149">
                  <c:v>4.9983833325078962E-2</c:v>
                </c:pt>
                <c:pt idx="150">
                  <c:v>4.998285142358791E-2</c:v>
                </c:pt>
                <c:pt idx="151">
                  <c:v>4.9989994044080853E-2</c:v>
                </c:pt>
                <c:pt idx="152">
                  <c:v>4.9994231718392575E-2</c:v>
                </c:pt>
                <c:pt idx="153">
                  <c:v>4.9983980557838682E-2</c:v>
                </c:pt>
                <c:pt idx="154">
                  <c:v>4.9983005362268441E-2</c:v>
                </c:pt>
                <c:pt idx="155">
                  <c:v>4.9990082595976537E-2</c:v>
                </c:pt>
                <c:pt idx="156">
                  <c:v>4.9994282044550961E-2</c:v>
                </c:pt>
                <c:pt idx="157">
                  <c:v>4.9984118307717325E-2</c:v>
                </c:pt>
                <c:pt idx="158">
                  <c:v>4.9983149422851515E-2</c:v>
                </c:pt>
                <c:pt idx="159">
                  <c:v>4.9990534309244265E-2</c:v>
                </c:pt>
                <c:pt idx="160">
                  <c:v>4.9994710953980434E-2</c:v>
                </c:pt>
                <c:pt idx="161">
                  <c:v>4.9984624014483149E-2</c:v>
                </c:pt>
                <c:pt idx="162">
                  <c:v>4.99831864468019E-2</c:v>
                </c:pt>
                <c:pt idx="163">
                  <c:v>4.9990609038633373E-2</c:v>
                </c:pt>
                <c:pt idx="164">
                  <c:v>4.9994752128110269E-2</c:v>
                </c:pt>
                <c:pt idx="165">
                  <c:v>4.9984742015752898E-2</c:v>
                </c:pt>
                <c:pt idx="166">
                  <c:v>4.9983313675726233E-2</c:v>
                </c:pt>
                <c:pt idx="167">
                  <c:v>4.9990679120668763E-2</c:v>
                </c:pt>
                <c:pt idx="168">
                  <c:v>4.9994790749952819E-2</c:v>
                </c:pt>
                <c:pt idx="169">
                  <c:v>4.9984852726273739E-2</c:v>
                </c:pt>
                <c:pt idx="170">
                  <c:v>4.9983433068797142E-2</c:v>
                </c:pt>
                <c:pt idx="171">
                  <c:v>4.9990744899851912E-2</c:v>
                </c:pt>
                <c:pt idx="172">
                  <c:v>4.9994827007822769E-2</c:v>
                </c:pt>
                <c:pt idx="173">
                  <c:v>4.998495668144181E-2</c:v>
                </c:pt>
                <c:pt idx="174">
                  <c:v>4.9983545198787456E-2</c:v>
                </c:pt>
                <c:pt idx="175">
                  <c:v>4.9991053169126144E-2</c:v>
                </c:pt>
                <c:pt idx="176">
                  <c:v>4.9994554287849803E-2</c:v>
                </c:pt>
                <c:pt idx="177">
                  <c:v>4.998494043416931E-2</c:v>
                </c:pt>
                <c:pt idx="178">
                  <c:v>4.9983876675460254E-2</c:v>
                </c:pt>
                <c:pt idx="179">
                  <c:v>4.9991109679726232E-2</c:v>
                </c:pt>
                <c:pt idx="180">
                  <c:v>4.999458821782448E-2</c:v>
                </c:pt>
                <c:pt idx="181">
                  <c:v>4.9985032969012341E-2</c:v>
                </c:pt>
                <c:pt idx="182">
                  <c:v>4.9983974397868162E-2</c:v>
                </c:pt>
                <c:pt idx="183">
                  <c:v>4.9991162839623016E-2</c:v>
                </c:pt>
                <c:pt idx="184">
                  <c:v>4.999462014131878E-2</c:v>
                </c:pt>
                <c:pt idx="185">
                  <c:v>4.9985120046345692E-2</c:v>
                </c:pt>
                <c:pt idx="186">
                  <c:v>4.9984066371840191E-2</c:v>
                </c:pt>
                <c:pt idx="187">
                  <c:v>4.999121288039042E-2</c:v>
                </c:pt>
                <c:pt idx="188">
                  <c:v>4.9994650196451496E-2</c:v>
                </c:pt>
                <c:pt idx="189">
                  <c:v>4.9985202040332417E-2</c:v>
                </c:pt>
                <c:pt idx="190">
                  <c:v>4.9984152989933771E-2</c:v>
                </c:pt>
                <c:pt idx="191">
                  <c:v>4.999152422299491E-2</c:v>
                </c:pt>
                <c:pt idx="192">
                  <c:v>4.9994390998942734E-2</c:v>
                </c:pt>
                <c:pt idx="193">
                  <c:v>4.9985179901163634E-2</c:v>
                </c:pt>
                <c:pt idx="194">
                  <c:v>4.998431023397612E-2</c:v>
                </c:pt>
                <c:pt idx="195">
                  <c:v>4.9991567289137333E-2</c:v>
                </c:pt>
                <c:pt idx="196">
                  <c:v>4.9994419120191841E-2</c:v>
                </c:pt>
                <c:pt idx="197">
                  <c:v>4.9985253199741057E-2</c:v>
                </c:pt>
                <c:pt idx="198">
                  <c:v>4.9984386799877989E-2</c:v>
                </c:pt>
                <c:pt idx="199">
                  <c:v>4.9991607899589299E-2</c:v>
                </c:pt>
                <c:pt idx="200">
                  <c:v>4.9994445641424162E-2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test!$E$1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cat>
            <c:numRef>
              <c:f>test!$A$2:$A$202</c:f>
              <c:numCache>
                <c:formatCode>yyyy-m-d</c:formatCode>
                <c:ptCount val="201"/>
                <c:pt idx="0">
                  <c:v>41138</c:v>
                </c:pt>
                <c:pt idx="1">
                  <c:v>41232</c:v>
                </c:pt>
                <c:pt idx="2">
                  <c:v>41324</c:v>
                </c:pt>
                <c:pt idx="3">
                  <c:v>41414</c:v>
                </c:pt>
                <c:pt idx="4">
                  <c:v>41506</c:v>
                </c:pt>
                <c:pt idx="5">
                  <c:v>41598</c:v>
                </c:pt>
                <c:pt idx="6">
                  <c:v>41690</c:v>
                </c:pt>
                <c:pt idx="7">
                  <c:v>41779</c:v>
                </c:pt>
                <c:pt idx="8">
                  <c:v>41871</c:v>
                </c:pt>
                <c:pt idx="9">
                  <c:v>41963</c:v>
                </c:pt>
                <c:pt idx="10">
                  <c:v>42055</c:v>
                </c:pt>
                <c:pt idx="11">
                  <c:v>42144</c:v>
                </c:pt>
                <c:pt idx="12">
                  <c:v>42236</c:v>
                </c:pt>
                <c:pt idx="13">
                  <c:v>42328</c:v>
                </c:pt>
                <c:pt idx="14">
                  <c:v>42422</c:v>
                </c:pt>
                <c:pt idx="15">
                  <c:v>42513</c:v>
                </c:pt>
                <c:pt idx="16">
                  <c:v>42605</c:v>
                </c:pt>
                <c:pt idx="17">
                  <c:v>42697</c:v>
                </c:pt>
                <c:pt idx="18">
                  <c:v>42789</c:v>
                </c:pt>
                <c:pt idx="19">
                  <c:v>42878</c:v>
                </c:pt>
                <c:pt idx="20">
                  <c:v>42970</c:v>
                </c:pt>
                <c:pt idx="21">
                  <c:v>43062</c:v>
                </c:pt>
                <c:pt idx="22">
                  <c:v>43154</c:v>
                </c:pt>
                <c:pt idx="23">
                  <c:v>43243</c:v>
                </c:pt>
                <c:pt idx="24">
                  <c:v>43335</c:v>
                </c:pt>
                <c:pt idx="25">
                  <c:v>43427</c:v>
                </c:pt>
                <c:pt idx="26">
                  <c:v>43521</c:v>
                </c:pt>
                <c:pt idx="27">
                  <c:v>43612</c:v>
                </c:pt>
                <c:pt idx="28">
                  <c:v>43704</c:v>
                </c:pt>
                <c:pt idx="29">
                  <c:v>43796</c:v>
                </c:pt>
                <c:pt idx="30">
                  <c:v>43888</c:v>
                </c:pt>
                <c:pt idx="31">
                  <c:v>43978</c:v>
                </c:pt>
                <c:pt idx="32">
                  <c:v>44070</c:v>
                </c:pt>
                <c:pt idx="33">
                  <c:v>44162</c:v>
                </c:pt>
                <c:pt idx="34">
                  <c:v>44256</c:v>
                </c:pt>
                <c:pt idx="35">
                  <c:v>44348</c:v>
                </c:pt>
                <c:pt idx="36">
                  <c:v>44440</c:v>
                </c:pt>
                <c:pt idx="37">
                  <c:v>44531</c:v>
                </c:pt>
                <c:pt idx="38">
                  <c:v>44621</c:v>
                </c:pt>
                <c:pt idx="39">
                  <c:v>44713</c:v>
                </c:pt>
                <c:pt idx="40">
                  <c:v>44805</c:v>
                </c:pt>
                <c:pt idx="41">
                  <c:v>44896</c:v>
                </c:pt>
                <c:pt idx="42">
                  <c:v>44986</c:v>
                </c:pt>
                <c:pt idx="43">
                  <c:v>45078</c:v>
                </c:pt>
                <c:pt idx="44">
                  <c:v>45170</c:v>
                </c:pt>
                <c:pt idx="45">
                  <c:v>45261</c:v>
                </c:pt>
                <c:pt idx="46">
                  <c:v>45352</c:v>
                </c:pt>
                <c:pt idx="47">
                  <c:v>45446</c:v>
                </c:pt>
                <c:pt idx="48">
                  <c:v>45538</c:v>
                </c:pt>
                <c:pt idx="49">
                  <c:v>45629</c:v>
                </c:pt>
                <c:pt idx="50">
                  <c:v>45719</c:v>
                </c:pt>
                <c:pt idx="51">
                  <c:v>45811</c:v>
                </c:pt>
                <c:pt idx="52">
                  <c:v>45903</c:v>
                </c:pt>
                <c:pt idx="53">
                  <c:v>45994</c:v>
                </c:pt>
                <c:pt idx="54">
                  <c:v>46084</c:v>
                </c:pt>
                <c:pt idx="55">
                  <c:v>46176</c:v>
                </c:pt>
                <c:pt idx="56">
                  <c:v>46268</c:v>
                </c:pt>
                <c:pt idx="57">
                  <c:v>46359</c:v>
                </c:pt>
                <c:pt idx="58">
                  <c:v>46449</c:v>
                </c:pt>
                <c:pt idx="59">
                  <c:v>46541</c:v>
                </c:pt>
                <c:pt idx="60">
                  <c:v>46633</c:v>
                </c:pt>
                <c:pt idx="61">
                  <c:v>46724</c:v>
                </c:pt>
                <c:pt idx="62">
                  <c:v>46815</c:v>
                </c:pt>
                <c:pt idx="63">
                  <c:v>46909</c:v>
                </c:pt>
                <c:pt idx="64">
                  <c:v>47001</c:v>
                </c:pt>
                <c:pt idx="65">
                  <c:v>47092</c:v>
                </c:pt>
                <c:pt idx="66">
                  <c:v>47182</c:v>
                </c:pt>
                <c:pt idx="67">
                  <c:v>47274</c:v>
                </c:pt>
                <c:pt idx="68">
                  <c:v>47366</c:v>
                </c:pt>
                <c:pt idx="69">
                  <c:v>47457</c:v>
                </c:pt>
                <c:pt idx="70">
                  <c:v>47547</c:v>
                </c:pt>
                <c:pt idx="71">
                  <c:v>47639</c:v>
                </c:pt>
                <c:pt idx="72">
                  <c:v>47731</c:v>
                </c:pt>
                <c:pt idx="73">
                  <c:v>47822</c:v>
                </c:pt>
                <c:pt idx="74">
                  <c:v>47912</c:v>
                </c:pt>
                <c:pt idx="75">
                  <c:v>48004</c:v>
                </c:pt>
                <c:pt idx="76">
                  <c:v>48096</c:v>
                </c:pt>
                <c:pt idx="77">
                  <c:v>48187</c:v>
                </c:pt>
                <c:pt idx="78">
                  <c:v>48278</c:v>
                </c:pt>
                <c:pt idx="79">
                  <c:v>48372</c:v>
                </c:pt>
                <c:pt idx="80">
                  <c:v>48464</c:v>
                </c:pt>
                <c:pt idx="81">
                  <c:v>48555</c:v>
                </c:pt>
                <c:pt idx="82">
                  <c:v>48645</c:v>
                </c:pt>
                <c:pt idx="83">
                  <c:v>48737</c:v>
                </c:pt>
                <c:pt idx="84">
                  <c:v>48829</c:v>
                </c:pt>
                <c:pt idx="85">
                  <c:v>48920</c:v>
                </c:pt>
                <c:pt idx="86">
                  <c:v>49010</c:v>
                </c:pt>
                <c:pt idx="87">
                  <c:v>49102</c:v>
                </c:pt>
                <c:pt idx="88">
                  <c:v>49194</c:v>
                </c:pt>
                <c:pt idx="89">
                  <c:v>49285</c:v>
                </c:pt>
                <c:pt idx="90">
                  <c:v>49375</c:v>
                </c:pt>
                <c:pt idx="91">
                  <c:v>49467</c:v>
                </c:pt>
                <c:pt idx="92">
                  <c:v>49559</c:v>
                </c:pt>
                <c:pt idx="93">
                  <c:v>49650</c:v>
                </c:pt>
                <c:pt idx="94">
                  <c:v>49741</c:v>
                </c:pt>
                <c:pt idx="95">
                  <c:v>49835</c:v>
                </c:pt>
                <c:pt idx="96">
                  <c:v>49927</c:v>
                </c:pt>
                <c:pt idx="97">
                  <c:v>50018</c:v>
                </c:pt>
                <c:pt idx="98">
                  <c:v>50108</c:v>
                </c:pt>
                <c:pt idx="99">
                  <c:v>50200</c:v>
                </c:pt>
                <c:pt idx="100">
                  <c:v>50292</c:v>
                </c:pt>
                <c:pt idx="101">
                  <c:v>50383</c:v>
                </c:pt>
                <c:pt idx="102">
                  <c:v>50473</c:v>
                </c:pt>
                <c:pt idx="103">
                  <c:v>50565</c:v>
                </c:pt>
                <c:pt idx="104">
                  <c:v>50657</c:v>
                </c:pt>
                <c:pt idx="105">
                  <c:v>50748</c:v>
                </c:pt>
                <c:pt idx="106">
                  <c:v>50838</c:v>
                </c:pt>
                <c:pt idx="107">
                  <c:v>50930</c:v>
                </c:pt>
                <c:pt idx="108">
                  <c:v>51022</c:v>
                </c:pt>
                <c:pt idx="109">
                  <c:v>51113</c:v>
                </c:pt>
                <c:pt idx="110">
                  <c:v>51204</c:v>
                </c:pt>
                <c:pt idx="111">
                  <c:v>51298</c:v>
                </c:pt>
                <c:pt idx="112">
                  <c:v>51390</c:v>
                </c:pt>
                <c:pt idx="113">
                  <c:v>51481</c:v>
                </c:pt>
                <c:pt idx="114">
                  <c:v>51571</c:v>
                </c:pt>
                <c:pt idx="115">
                  <c:v>51663</c:v>
                </c:pt>
                <c:pt idx="116">
                  <c:v>51755</c:v>
                </c:pt>
                <c:pt idx="117">
                  <c:v>51846</c:v>
                </c:pt>
                <c:pt idx="118">
                  <c:v>51936</c:v>
                </c:pt>
                <c:pt idx="119">
                  <c:v>52028</c:v>
                </c:pt>
                <c:pt idx="120">
                  <c:v>52120</c:v>
                </c:pt>
                <c:pt idx="121">
                  <c:v>52211</c:v>
                </c:pt>
                <c:pt idx="122">
                  <c:v>52301</c:v>
                </c:pt>
                <c:pt idx="123">
                  <c:v>52393</c:v>
                </c:pt>
                <c:pt idx="124">
                  <c:v>52485</c:v>
                </c:pt>
                <c:pt idx="125">
                  <c:v>52576</c:v>
                </c:pt>
                <c:pt idx="126">
                  <c:v>52667</c:v>
                </c:pt>
                <c:pt idx="127">
                  <c:v>52761</c:v>
                </c:pt>
                <c:pt idx="128">
                  <c:v>52853</c:v>
                </c:pt>
                <c:pt idx="129">
                  <c:v>52944</c:v>
                </c:pt>
                <c:pt idx="130">
                  <c:v>53034</c:v>
                </c:pt>
                <c:pt idx="131">
                  <c:v>53126</c:v>
                </c:pt>
                <c:pt idx="132">
                  <c:v>53218</c:v>
                </c:pt>
                <c:pt idx="133">
                  <c:v>53309</c:v>
                </c:pt>
                <c:pt idx="134">
                  <c:v>53399</c:v>
                </c:pt>
                <c:pt idx="135">
                  <c:v>53491</c:v>
                </c:pt>
                <c:pt idx="136">
                  <c:v>53583</c:v>
                </c:pt>
                <c:pt idx="137">
                  <c:v>53674</c:v>
                </c:pt>
                <c:pt idx="138">
                  <c:v>53764</c:v>
                </c:pt>
                <c:pt idx="139">
                  <c:v>53856</c:v>
                </c:pt>
                <c:pt idx="140">
                  <c:v>53948</c:v>
                </c:pt>
                <c:pt idx="141">
                  <c:v>54039</c:v>
                </c:pt>
                <c:pt idx="142">
                  <c:v>54130</c:v>
                </c:pt>
                <c:pt idx="143">
                  <c:v>54224</c:v>
                </c:pt>
                <c:pt idx="144">
                  <c:v>54316</c:v>
                </c:pt>
                <c:pt idx="145">
                  <c:v>54407</c:v>
                </c:pt>
                <c:pt idx="146">
                  <c:v>54497</c:v>
                </c:pt>
                <c:pt idx="147">
                  <c:v>54589</c:v>
                </c:pt>
                <c:pt idx="148">
                  <c:v>54681</c:v>
                </c:pt>
                <c:pt idx="149">
                  <c:v>54772</c:v>
                </c:pt>
                <c:pt idx="150">
                  <c:v>54862</c:v>
                </c:pt>
                <c:pt idx="151">
                  <c:v>54954</c:v>
                </c:pt>
                <c:pt idx="152">
                  <c:v>55046</c:v>
                </c:pt>
                <c:pt idx="153">
                  <c:v>55137</c:v>
                </c:pt>
                <c:pt idx="154">
                  <c:v>55227</c:v>
                </c:pt>
                <c:pt idx="155">
                  <c:v>55319</c:v>
                </c:pt>
                <c:pt idx="156">
                  <c:v>55411</c:v>
                </c:pt>
                <c:pt idx="157">
                  <c:v>55502</c:v>
                </c:pt>
                <c:pt idx="158">
                  <c:v>55593</c:v>
                </c:pt>
                <c:pt idx="159">
                  <c:v>55687</c:v>
                </c:pt>
                <c:pt idx="160">
                  <c:v>55779</c:v>
                </c:pt>
                <c:pt idx="161">
                  <c:v>55870</c:v>
                </c:pt>
                <c:pt idx="162">
                  <c:v>55960</c:v>
                </c:pt>
                <c:pt idx="163">
                  <c:v>56052</c:v>
                </c:pt>
                <c:pt idx="164">
                  <c:v>56144</c:v>
                </c:pt>
                <c:pt idx="165">
                  <c:v>56235</c:v>
                </c:pt>
                <c:pt idx="166">
                  <c:v>56325</c:v>
                </c:pt>
                <c:pt idx="167">
                  <c:v>56417</c:v>
                </c:pt>
                <c:pt idx="168">
                  <c:v>56509</c:v>
                </c:pt>
                <c:pt idx="169">
                  <c:v>56600</c:v>
                </c:pt>
                <c:pt idx="170">
                  <c:v>56690</c:v>
                </c:pt>
                <c:pt idx="171">
                  <c:v>56782</c:v>
                </c:pt>
                <c:pt idx="172">
                  <c:v>56874</c:v>
                </c:pt>
                <c:pt idx="173">
                  <c:v>56965</c:v>
                </c:pt>
                <c:pt idx="174">
                  <c:v>57056</c:v>
                </c:pt>
                <c:pt idx="175">
                  <c:v>57150</c:v>
                </c:pt>
                <c:pt idx="176">
                  <c:v>57242</c:v>
                </c:pt>
                <c:pt idx="177">
                  <c:v>57333</c:v>
                </c:pt>
                <c:pt idx="178">
                  <c:v>57423</c:v>
                </c:pt>
                <c:pt idx="179">
                  <c:v>57515</c:v>
                </c:pt>
                <c:pt idx="180">
                  <c:v>57607</c:v>
                </c:pt>
                <c:pt idx="181">
                  <c:v>57698</c:v>
                </c:pt>
                <c:pt idx="182">
                  <c:v>57788</c:v>
                </c:pt>
                <c:pt idx="183">
                  <c:v>57880</c:v>
                </c:pt>
                <c:pt idx="184">
                  <c:v>57972</c:v>
                </c:pt>
                <c:pt idx="185">
                  <c:v>58063</c:v>
                </c:pt>
                <c:pt idx="186">
                  <c:v>58153</c:v>
                </c:pt>
                <c:pt idx="187">
                  <c:v>58245</c:v>
                </c:pt>
                <c:pt idx="188">
                  <c:v>58337</c:v>
                </c:pt>
                <c:pt idx="189">
                  <c:v>58428</c:v>
                </c:pt>
                <c:pt idx="190">
                  <c:v>58519</c:v>
                </c:pt>
                <c:pt idx="191">
                  <c:v>58613</c:v>
                </c:pt>
                <c:pt idx="192">
                  <c:v>58705</c:v>
                </c:pt>
                <c:pt idx="193">
                  <c:v>58796</c:v>
                </c:pt>
                <c:pt idx="194">
                  <c:v>58886</c:v>
                </c:pt>
                <c:pt idx="195">
                  <c:v>58978</c:v>
                </c:pt>
                <c:pt idx="196">
                  <c:v>59070</c:v>
                </c:pt>
                <c:pt idx="197">
                  <c:v>59161</c:v>
                </c:pt>
                <c:pt idx="198">
                  <c:v>59251</c:v>
                </c:pt>
                <c:pt idx="199">
                  <c:v>59343</c:v>
                </c:pt>
                <c:pt idx="200">
                  <c:v>59435</c:v>
                </c:pt>
              </c:numCache>
            </c:numRef>
          </c:cat>
          <c:val>
            <c:numRef>
              <c:f>test!$E$2:$E$202</c:f>
              <c:numCache>
                <c:formatCode>G/通用格式</c:formatCode>
                <c:ptCount val="201"/>
                <c:pt idx="0">
                  <c:v>4.9095604781046007E-2</c:v>
                </c:pt>
                <c:pt idx="1">
                  <c:v>4.9095604781046007E-2</c:v>
                </c:pt>
                <c:pt idx="2">
                  <c:v>4.9396874776212463E-2</c:v>
                </c:pt>
                <c:pt idx="3">
                  <c:v>4.9703998427645578E-2</c:v>
                </c:pt>
                <c:pt idx="4">
                  <c:v>4.9989591808261472E-2</c:v>
                </c:pt>
                <c:pt idx="5">
                  <c:v>4.9807738163394767E-2</c:v>
                </c:pt>
                <c:pt idx="6">
                  <c:v>4.9791280181410325E-2</c:v>
                </c:pt>
                <c:pt idx="7">
                  <c:v>4.986878705526112E-2</c:v>
                </c:pt>
                <c:pt idx="8">
                  <c:v>4.9994646322111549E-2</c:v>
                </c:pt>
                <c:pt idx="9">
                  <c:v>4.9973796357936424E-2</c:v>
                </c:pt>
                <c:pt idx="10">
                  <c:v>5.0038660989754014E-2</c:v>
                </c:pt>
                <c:pt idx="11">
                  <c:v>5.0162659044802431E-2</c:v>
                </c:pt>
                <c:pt idx="12">
                  <c:v>5.0328459482921445E-2</c:v>
                </c:pt>
                <c:pt idx="13">
                  <c:v>5.0337761872357473E-2</c:v>
                </c:pt>
                <c:pt idx="14">
                  <c:v>5.0407378088725065E-2</c:v>
                </c:pt>
                <c:pt idx="15">
                  <c:v>5.0521478861284906E-2</c:v>
                </c:pt>
                <c:pt idx="16">
                  <c:v>5.0662449126123429E-2</c:v>
                </c:pt>
                <c:pt idx="17">
                  <c:v>5.0689402491742502E-2</c:v>
                </c:pt>
                <c:pt idx="18">
                  <c:v>5.0758833842445616E-2</c:v>
                </c:pt>
                <c:pt idx="19">
                  <c:v>5.086555786246974E-2</c:v>
                </c:pt>
                <c:pt idx="20">
                  <c:v>5.0995548300064281E-2</c:v>
                </c:pt>
                <c:pt idx="21">
                  <c:v>5.0898275717495431E-2</c:v>
                </c:pt>
                <c:pt idx="22">
                  <c:v>5.083562008851425E-2</c:v>
                </c:pt>
                <c:pt idx="23">
                  <c:v>5.080829612602427E-2</c:v>
                </c:pt>
                <c:pt idx="24">
                  <c:v>5.0797290555192491E-2</c:v>
                </c:pt>
                <c:pt idx="25">
                  <c:v>5.0706571416409767E-2</c:v>
                </c:pt>
                <c:pt idx="26">
                  <c:v>5.0645423155387712E-2</c:v>
                </c:pt>
                <c:pt idx="27">
                  <c:v>5.0614033423906114E-2</c:v>
                </c:pt>
                <c:pt idx="28">
                  <c:v>5.0594453636780688E-2</c:v>
                </c:pt>
                <c:pt idx="29">
                  <c:v>5.0509683216901601E-2</c:v>
                </c:pt>
                <c:pt idx="30">
                  <c:v>5.0451617249487449E-2</c:v>
                </c:pt>
                <c:pt idx="31">
                  <c:v>5.0418487133907099E-2</c:v>
                </c:pt>
                <c:pt idx="32">
                  <c:v>5.0395576936304615E-2</c:v>
                </c:pt>
                <c:pt idx="33">
                  <c:v>5.0314262566104918E-2</c:v>
                </c:pt>
                <c:pt idx="34">
                  <c:v>5.0255962298602574E-2</c:v>
                </c:pt>
                <c:pt idx="35">
                  <c:v>5.0220624744053526E-2</c:v>
                </c:pt>
                <c:pt idx="36">
                  <c:v>5.0190887469575653E-2</c:v>
                </c:pt>
                <c:pt idx="37">
                  <c:v>5.0114384138586182E-2</c:v>
                </c:pt>
                <c:pt idx="38">
                  <c:v>5.0060695641438391E-2</c:v>
                </c:pt>
                <c:pt idx="39">
                  <c:v>5.0024034705320651E-2</c:v>
                </c:pt>
                <c:pt idx="40">
                  <c:v>4.9992612006209414E-2</c:v>
                </c:pt>
                <c:pt idx="41">
                  <c:v>4.9967742580478258E-2</c:v>
                </c:pt>
                <c:pt idx="42">
                  <c:v>4.9963364438895486E-2</c:v>
                </c:pt>
                <c:pt idx="43">
                  <c:v>4.9975781288927677E-2</c:v>
                </c:pt>
                <c:pt idx="44">
                  <c:v>4.999312960056819E-2</c:v>
                </c:pt>
                <c:pt idx="45">
                  <c:v>4.9969936786199785E-2</c:v>
                </c:pt>
                <c:pt idx="46">
                  <c:v>4.9965786072669327E-2</c:v>
                </c:pt>
                <c:pt idx="47">
                  <c:v>4.9978084342686427E-2</c:v>
                </c:pt>
                <c:pt idx="48">
                  <c:v>4.9994314045804712E-2</c:v>
                </c:pt>
                <c:pt idx="49">
                  <c:v>4.9972506836444497E-2</c:v>
                </c:pt>
                <c:pt idx="50">
                  <c:v>4.9967567839578848E-2</c:v>
                </c:pt>
                <c:pt idx="51">
                  <c:v>4.9979347943782428E-2</c:v>
                </c:pt>
                <c:pt idx="52">
                  <c:v>4.9994633539580224E-2</c:v>
                </c:pt>
                <c:pt idx="53">
                  <c:v>4.9974011812553454E-2</c:v>
                </c:pt>
                <c:pt idx="54">
                  <c:v>4.9969298505160686E-2</c:v>
                </c:pt>
                <c:pt idx="55">
                  <c:v>4.9980422955790631E-2</c:v>
                </c:pt>
                <c:pt idx="56">
                  <c:v>4.9994906134179062E-2</c:v>
                </c:pt>
                <c:pt idx="57">
                  <c:v>4.997529953064335E-2</c:v>
                </c:pt>
                <c:pt idx="58">
                  <c:v>4.9970783341287857E-2</c:v>
                </c:pt>
                <c:pt idx="59">
                  <c:v>4.9981347642161396E-2</c:v>
                </c:pt>
                <c:pt idx="60">
                  <c:v>4.9995141189443974E-2</c:v>
                </c:pt>
                <c:pt idx="61">
                  <c:v>4.9976412632679865E-2</c:v>
                </c:pt>
                <c:pt idx="62">
                  <c:v>4.9972069822365968E-2</c:v>
                </c:pt>
                <c:pt idx="63">
                  <c:v>4.9982523010446457E-2</c:v>
                </c:pt>
                <c:pt idx="64">
                  <c:v>4.9994807317381124E-2</c:v>
                </c:pt>
                <c:pt idx="65">
                  <c:v>4.997716527689737E-2</c:v>
                </c:pt>
                <c:pt idx="66">
                  <c:v>4.9973548313188461E-2</c:v>
                </c:pt>
                <c:pt idx="67">
                  <c:v>4.9983210979060284E-2</c:v>
                </c:pt>
                <c:pt idx="68">
                  <c:v>4.9995007382807002E-2</c:v>
                </c:pt>
                <c:pt idx="69">
                  <c:v>4.9978026057426954E-2</c:v>
                </c:pt>
                <c:pt idx="70">
                  <c:v>4.997452435650198E-2</c:v>
                </c:pt>
                <c:pt idx="71">
                  <c:v>4.998381765147792E-2</c:v>
                </c:pt>
                <c:pt idx="72">
                  <c:v>4.9995184095926133E-2</c:v>
                </c:pt>
                <c:pt idx="73">
                  <c:v>4.997878760509035E-2</c:v>
                </c:pt>
                <c:pt idx="74">
                  <c:v>4.9975389228137539E-2</c:v>
                </c:pt>
                <c:pt idx="75">
                  <c:v>4.9984356028596487E-2</c:v>
                </c:pt>
                <c:pt idx="76">
                  <c:v>4.9995341143264801E-2</c:v>
                </c:pt>
                <c:pt idx="77">
                  <c:v>4.9979465381493247E-2</c:v>
                </c:pt>
                <c:pt idx="78">
                  <c:v>4.997616003024323E-2</c:v>
                </c:pt>
                <c:pt idx="79">
                  <c:v>4.9985191177254314E-2</c:v>
                </c:pt>
                <c:pt idx="80">
                  <c:v>4.9995029254991705E-2</c:v>
                </c:pt>
                <c:pt idx="81">
                  <c:v>4.9979896343336369E-2</c:v>
                </c:pt>
                <c:pt idx="82">
                  <c:v>4.9976928907991755E-2</c:v>
                </c:pt>
                <c:pt idx="83">
                  <c:v>4.9985611843315424E-2</c:v>
                </c:pt>
                <c:pt idx="84">
                  <c:v>4.999516781638267E-2</c:v>
                </c:pt>
                <c:pt idx="85">
                  <c:v>4.9980446067483496E-2</c:v>
                </c:pt>
                <c:pt idx="86">
                  <c:v>4.9977547984505051E-2</c:v>
                </c:pt>
                <c:pt idx="87">
                  <c:v>4.9985990843675485E-2</c:v>
                </c:pt>
                <c:pt idx="88">
                  <c:v>4.9995292783464047E-2</c:v>
                </c:pt>
                <c:pt idx="89">
                  <c:v>4.9980942373196668E-2</c:v>
                </c:pt>
                <c:pt idx="90">
                  <c:v>4.9978107462462562E-2</c:v>
                </c:pt>
                <c:pt idx="91">
                  <c:v>4.9986333687639446E-2</c:v>
                </c:pt>
                <c:pt idx="92">
                  <c:v>4.9995405934893537E-2</c:v>
                </c:pt>
                <c:pt idx="93">
                  <c:v>4.9981392175287444E-2</c:v>
                </c:pt>
                <c:pt idx="94">
                  <c:v>4.9978614976524241E-2</c:v>
                </c:pt>
                <c:pt idx="95">
                  <c:v>4.9986852142374714E-2</c:v>
                </c:pt>
                <c:pt idx="96">
                  <c:v>4.9994618629373891E-2</c:v>
                </c:pt>
                <c:pt idx="97">
                  <c:v>4.9981288859722806E-2</c:v>
                </c:pt>
                <c:pt idx="98">
                  <c:v>4.9978747945344348E-2</c:v>
                </c:pt>
                <c:pt idx="99">
                  <c:v>4.9987131183895327E-2</c:v>
                </c:pt>
                <c:pt idx="100">
                  <c:v>4.9994730894718981E-2</c:v>
                </c:pt>
                <c:pt idx="101">
                  <c:v>4.9981672435154917E-2</c:v>
                </c:pt>
                <c:pt idx="102">
                  <c:v>4.9979176176540754E-2</c:v>
                </c:pt>
                <c:pt idx="103">
                  <c:v>4.99873861441026E-2</c:v>
                </c:pt>
                <c:pt idx="104">
                  <c:v>4.9994833544077869E-2</c:v>
                </c:pt>
                <c:pt idx="105">
                  <c:v>4.9982023404095875E-2</c:v>
                </c:pt>
                <c:pt idx="106">
                  <c:v>4.9979568273208687E-2</c:v>
                </c:pt>
                <c:pt idx="107">
                  <c:v>4.998761974478505E-2</c:v>
                </c:pt>
                <c:pt idx="108">
                  <c:v>4.9994927654749374E-2</c:v>
                </c:pt>
                <c:pt idx="109">
                  <c:v>4.9982345387007424E-2</c:v>
                </c:pt>
                <c:pt idx="110">
                  <c:v>4.9979928212640481E-2</c:v>
                </c:pt>
                <c:pt idx="111">
                  <c:v>4.9988204739978948E-2</c:v>
                </c:pt>
                <c:pt idx="112">
                  <c:v>4.9995033540974329E-2</c:v>
                </c:pt>
                <c:pt idx="113">
                  <c:v>4.9982773000378143E-2</c:v>
                </c:pt>
                <c:pt idx="114">
                  <c:v>4.9980688739055368E-2</c:v>
                </c:pt>
                <c:pt idx="115">
                  <c:v>4.9988396209267184E-2</c:v>
                </c:pt>
                <c:pt idx="116">
                  <c:v>4.9995112881137754E-2</c:v>
                </c:pt>
                <c:pt idx="117">
                  <c:v>4.9983043754171168E-2</c:v>
                </c:pt>
                <c:pt idx="118">
                  <c:v>4.9980987420265882E-2</c:v>
                </c:pt>
                <c:pt idx="119">
                  <c:v>4.9988572869777738E-2</c:v>
                </c:pt>
                <c:pt idx="120">
                  <c:v>4.9995186121761764E-2</c:v>
                </c:pt>
                <c:pt idx="121">
                  <c:v>4.9983293819099425E-2</c:v>
                </c:pt>
                <c:pt idx="122">
                  <c:v>4.9981263413505131E-2</c:v>
                </c:pt>
                <c:pt idx="123">
                  <c:v>4.9988736188386798E-2</c:v>
                </c:pt>
                <c:pt idx="124">
                  <c:v>4.9995253862534714E-2</c:v>
                </c:pt>
                <c:pt idx="125">
                  <c:v>4.9983525213884834E-2</c:v>
                </c:pt>
                <c:pt idx="126">
                  <c:v>4.9981518916227499E-2</c:v>
                </c:pt>
                <c:pt idx="127">
                  <c:v>4.998916429468938E-2</c:v>
                </c:pt>
                <c:pt idx="128">
                  <c:v>4.9994971814300043E-2</c:v>
                </c:pt>
                <c:pt idx="129">
                  <c:v>4.9983611218518555E-2</c:v>
                </c:pt>
                <c:pt idx="130">
                  <c:v>4.9981814670508169E-2</c:v>
                </c:pt>
                <c:pt idx="131">
                  <c:v>4.9989301080582638E-2</c:v>
                </c:pt>
                <c:pt idx="132">
                  <c:v>4.999503433449979E-2</c:v>
                </c:pt>
                <c:pt idx="133">
                  <c:v>4.9983811875095319E-2</c:v>
                </c:pt>
                <c:pt idx="134">
                  <c:v>4.9982033964810949E-2</c:v>
                </c:pt>
                <c:pt idx="135">
                  <c:v>4.9989428180296919E-2</c:v>
                </c:pt>
                <c:pt idx="136">
                  <c:v>4.9995092449008384E-2</c:v>
                </c:pt>
                <c:pt idx="137">
                  <c:v>4.9983998461151563E-2</c:v>
                </c:pt>
                <c:pt idx="138">
                  <c:v>4.9982237955260606E-2</c:v>
                </c:pt>
                <c:pt idx="139">
                  <c:v>4.9989546451522253E-2</c:v>
                </c:pt>
                <c:pt idx="140">
                  <c:v>4.9995146545459612E-2</c:v>
                </c:pt>
                <c:pt idx="141">
                  <c:v>4.9984172206709247E-2</c:v>
                </c:pt>
                <c:pt idx="142">
                  <c:v>4.9982427971270796E-2</c:v>
                </c:pt>
                <c:pt idx="143">
                  <c:v>4.9989797965661324E-2</c:v>
                </c:pt>
                <c:pt idx="144">
                  <c:v>4.9994120327597917E-2</c:v>
                </c:pt>
                <c:pt idx="145">
                  <c:v>4.9983675789538148E-2</c:v>
                </c:pt>
                <c:pt idx="146">
                  <c:v>4.9982686757732812E-2</c:v>
                </c:pt>
                <c:pt idx="147">
                  <c:v>4.9989899346556343E-2</c:v>
                </c:pt>
                <c:pt idx="148">
                  <c:v>4.9994177913600425E-2</c:v>
                </c:pt>
                <c:pt idx="149">
                  <c:v>4.9983833325078962E-2</c:v>
                </c:pt>
                <c:pt idx="150">
                  <c:v>4.998285142358791E-2</c:v>
                </c:pt>
                <c:pt idx="151">
                  <c:v>4.9989994044080853E-2</c:v>
                </c:pt>
                <c:pt idx="152">
                  <c:v>4.9994231718392575E-2</c:v>
                </c:pt>
                <c:pt idx="153">
                  <c:v>4.9983980557838682E-2</c:v>
                </c:pt>
                <c:pt idx="154">
                  <c:v>4.9983005362268441E-2</c:v>
                </c:pt>
                <c:pt idx="155">
                  <c:v>4.9990082595976537E-2</c:v>
                </c:pt>
                <c:pt idx="156">
                  <c:v>4.9994282044550961E-2</c:v>
                </c:pt>
                <c:pt idx="157">
                  <c:v>4.9984118307717325E-2</c:v>
                </c:pt>
                <c:pt idx="158">
                  <c:v>4.9983149422851515E-2</c:v>
                </c:pt>
                <c:pt idx="159">
                  <c:v>4.9990534309244265E-2</c:v>
                </c:pt>
                <c:pt idx="160">
                  <c:v>4.9994710953980434E-2</c:v>
                </c:pt>
                <c:pt idx="161">
                  <c:v>4.9984624014483149E-2</c:v>
                </c:pt>
                <c:pt idx="162">
                  <c:v>4.99831864468019E-2</c:v>
                </c:pt>
                <c:pt idx="163">
                  <c:v>4.9990609038633373E-2</c:v>
                </c:pt>
                <c:pt idx="164">
                  <c:v>4.9994752128110269E-2</c:v>
                </c:pt>
                <c:pt idx="165">
                  <c:v>4.9984742015752898E-2</c:v>
                </c:pt>
                <c:pt idx="166">
                  <c:v>4.9983313675726233E-2</c:v>
                </c:pt>
                <c:pt idx="167">
                  <c:v>4.9990679120668763E-2</c:v>
                </c:pt>
                <c:pt idx="168">
                  <c:v>4.9994790749952819E-2</c:v>
                </c:pt>
                <c:pt idx="169">
                  <c:v>4.9984852726273739E-2</c:v>
                </c:pt>
                <c:pt idx="170">
                  <c:v>4.9983433068797142E-2</c:v>
                </c:pt>
                <c:pt idx="171">
                  <c:v>4.9990744899851912E-2</c:v>
                </c:pt>
                <c:pt idx="172">
                  <c:v>4.9994827007822769E-2</c:v>
                </c:pt>
                <c:pt idx="173">
                  <c:v>4.998495668144181E-2</c:v>
                </c:pt>
                <c:pt idx="174">
                  <c:v>4.9983545198787456E-2</c:v>
                </c:pt>
                <c:pt idx="175">
                  <c:v>4.9991053169126144E-2</c:v>
                </c:pt>
                <c:pt idx="176">
                  <c:v>4.9994554287849803E-2</c:v>
                </c:pt>
                <c:pt idx="177">
                  <c:v>4.998494043416931E-2</c:v>
                </c:pt>
                <c:pt idx="178">
                  <c:v>4.9983876675460254E-2</c:v>
                </c:pt>
                <c:pt idx="179">
                  <c:v>4.9991109679726232E-2</c:v>
                </c:pt>
                <c:pt idx="180">
                  <c:v>4.999458821782448E-2</c:v>
                </c:pt>
                <c:pt idx="181">
                  <c:v>4.9985032969012341E-2</c:v>
                </c:pt>
                <c:pt idx="182">
                  <c:v>4.9983974397868162E-2</c:v>
                </c:pt>
                <c:pt idx="183">
                  <c:v>4.9991162839623016E-2</c:v>
                </c:pt>
                <c:pt idx="184">
                  <c:v>4.999462014131878E-2</c:v>
                </c:pt>
                <c:pt idx="185">
                  <c:v>4.9985120046345692E-2</c:v>
                </c:pt>
                <c:pt idx="186">
                  <c:v>4.9984066371840191E-2</c:v>
                </c:pt>
                <c:pt idx="187">
                  <c:v>4.999121288039042E-2</c:v>
                </c:pt>
                <c:pt idx="188">
                  <c:v>4.9994650196451496E-2</c:v>
                </c:pt>
                <c:pt idx="189">
                  <c:v>4.9985202040332417E-2</c:v>
                </c:pt>
                <c:pt idx="190">
                  <c:v>4.9984152989933771E-2</c:v>
                </c:pt>
                <c:pt idx="191">
                  <c:v>4.999152422299491E-2</c:v>
                </c:pt>
                <c:pt idx="192">
                  <c:v>4.9994390998942734E-2</c:v>
                </c:pt>
                <c:pt idx="193">
                  <c:v>4.9985179901163634E-2</c:v>
                </c:pt>
                <c:pt idx="194">
                  <c:v>4.998431023397612E-2</c:v>
                </c:pt>
                <c:pt idx="195">
                  <c:v>4.9991567289137333E-2</c:v>
                </c:pt>
                <c:pt idx="196">
                  <c:v>4.9994419120191841E-2</c:v>
                </c:pt>
                <c:pt idx="197">
                  <c:v>4.9985253199741057E-2</c:v>
                </c:pt>
                <c:pt idx="198">
                  <c:v>4.9984386799877989E-2</c:v>
                </c:pt>
                <c:pt idx="199">
                  <c:v>4.9991607899589299E-2</c:v>
                </c:pt>
                <c:pt idx="200">
                  <c:v>4.9994445641424162E-2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test!$F$1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cat>
            <c:numRef>
              <c:f>test!$A$2:$A$202</c:f>
              <c:numCache>
                <c:formatCode>yyyy-m-d</c:formatCode>
                <c:ptCount val="201"/>
                <c:pt idx="0">
                  <c:v>41138</c:v>
                </c:pt>
                <c:pt idx="1">
                  <c:v>41232</c:v>
                </c:pt>
                <c:pt idx="2">
                  <c:v>41324</c:v>
                </c:pt>
                <c:pt idx="3">
                  <c:v>41414</c:v>
                </c:pt>
                <c:pt idx="4">
                  <c:v>41506</c:v>
                </c:pt>
                <c:pt idx="5">
                  <c:v>41598</c:v>
                </c:pt>
                <c:pt idx="6">
                  <c:v>41690</c:v>
                </c:pt>
                <c:pt idx="7">
                  <c:v>41779</c:v>
                </c:pt>
                <c:pt idx="8">
                  <c:v>41871</c:v>
                </c:pt>
                <c:pt idx="9">
                  <c:v>41963</c:v>
                </c:pt>
                <c:pt idx="10">
                  <c:v>42055</c:v>
                </c:pt>
                <c:pt idx="11">
                  <c:v>42144</c:v>
                </c:pt>
                <c:pt idx="12">
                  <c:v>42236</c:v>
                </c:pt>
                <c:pt idx="13">
                  <c:v>42328</c:v>
                </c:pt>
                <c:pt idx="14">
                  <c:v>42422</c:v>
                </c:pt>
                <c:pt idx="15">
                  <c:v>42513</c:v>
                </c:pt>
                <c:pt idx="16">
                  <c:v>42605</c:v>
                </c:pt>
                <c:pt idx="17">
                  <c:v>42697</c:v>
                </c:pt>
                <c:pt idx="18">
                  <c:v>42789</c:v>
                </c:pt>
                <c:pt idx="19">
                  <c:v>42878</c:v>
                </c:pt>
                <c:pt idx="20">
                  <c:v>42970</c:v>
                </c:pt>
                <c:pt idx="21">
                  <c:v>43062</c:v>
                </c:pt>
                <c:pt idx="22">
                  <c:v>43154</c:v>
                </c:pt>
                <c:pt idx="23">
                  <c:v>43243</c:v>
                </c:pt>
                <c:pt idx="24">
                  <c:v>43335</c:v>
                </c:pt>
                <c:pt idx="25">
                  <c:v>43427</c:v>
                </c:pt>
                <c:pt idx="26">
                  <c:v>43521</c:v>
                </c:pt>
                <c:pt idx="27">
                  <c:v>43612</c:v>
                </c:pt>
                <c:pt idx="28">
                  <c:v>43704</c:v>
                </c:pt>
                <c:pt idx="29">
                  <c:v>43796</c:v>
                </c:pt>
                <c:pt idx="30">
                  <c:v>43888</c:v>
                </c:pt>
                <c:pt idx="31">
                  <c:v>43978</c:v>
                </c:pt>
                <c:pt idx="32">
                  <c:v>44070</c:v>
                </c:pt>
                <c:pt idx="33">
                  <c:v>44162</c:v>
                </c:pt>
                <c:pt idx="34">
                  <c:v>44256</c:v>
                </c:pt>
                <c:pt idx="35">
                  <c:v>44348</c:v>
                </c:pt>
                <c:pt idx="36">
                  <c:v>44440</c:v>
                </c:pt>
                <c:pt idx="37">
                  <c:v>44531</c:v>
                </c:pt>
                <c:pt idx="38">
                  <c:v>44621</c:v>
                </c:pt>
                <c:pt idx="39">
                  <c:v>44713</c:v>
                </c:pt>
                <c:pt idx="40">
                  <c:v>44805</c:v>
                </c:pt>
                <c:pt idx="41">
                  <c:v>44896</c:v>
                </c:pt>
                <c:pt idx="42">
                  <c:v>44986</c:v>
                </c:pt>
                <c:pt idx="43">
                  <c:v>45078</c:v>
                </c:pt>
                <c:pt idx="44">
                  <c:v>45170</c:v>
                </c:pt>
                <c:pt idx="45">
                  <c:v>45261</c:v>
                </c:pt>
                <c:pt idx="46">
                  <c:v>45352</c:v>
                </c:pt>
                <c:pt idx="47">
                  <c:v>45446</c:v>
                </c:pt>
                <c:pt idx="48">
                  <c:v>45538</c:v>
                </c:pt>
                <c:pt idx="49">
                  <c:v>45629</c:v>
                </c:pt>
                <c:pt idx="50">
                  <c:v>45719</c:v>
                </c:pt>
                <c:pt idx="51">
                  <c:v>45811</c:v>
                </c:pt>
                <c:pt idx="52">
                  <c:v>45903</c:v>
                </c:pt>
                <c:pt idx="53">
                  <c:v>45994</c:v>
                </c:pt>
                <c:pt idx="54">
                  <c:v>46084</c:v>
                </c:pt>
                <c:pt idx="55">
                  <c:v>46176</c:v>
                </c:pt>
                <c:pt idx="56">
                  <c:v>46268</c:v>
                </c:pt>
                <c:pt idx="57">
                  <c:v>46359</c:v>
                </c:pt>
                <c:pt idx="58">
                  <c:v>46449</c:v>
                </c:pt>
                <c:pt idx="59">
                  <c:v>46541</c:v>
                </c:pt>
                <c:pt idx="60">
                  <c:v>46633</c:v>
                </c:pt>
                <c:pt idx="61">
                  <c:v>46724</c:v>
                </c:pt>
                <c:pt idx="62">
                  <c:v>46815</c:v>
                </c:pt>
                <c:pt idx="63">
                  <c:v>46909</c:v>
                </c:pt>
                <c:pt idx="64">
                  <c:v>47001</c:v>
                </c:pt>
                <c:pt idx="65">
                  <c:v>47092</c:v>
                </c:pt>
                <c:pt idx="66">
                  <c:v>47182</c:v>
                </c:pt>
                <c:pt idx="67">
                  <c:v>47274</c:v>
                </c:pt>
                <c:pt idx="68">
                  <c:v>47366</c:v>
                </c:pt>
                <c:pt idx="69">
                  <c:v>47457</c:v>
                </c:pt>
                <c:pt idx="70">
                  <c:v>47547</c:v>
                </c:pt>
                <c:pt idx="71">
                  <c:v>47639</c:v>
                </c:pt>
                <c:pt idx="72">
                  <c:v>47731</c:v>
                </c:pt>
                <c:pt idx="73">
                  <c:v>47822</c:v>
                </c:pt>
                <c:pt idx="74">
                  <c:v>47912</c:v>
                </c:pt>
                <c:pt idx="75">
                  <c:v>48004</c:v>
                </c:pt>
                <c:pt idx="76">
                  <c:v>48096</c:v>
                </c:pt>
                <c:pt idx="77">
                  <c:v>48187</c:v>
                </c:pt>
                <c:pt idx="78">
                  <c:v>48278</c:v>
                </c:pt>
                <c:pt idx="79">
                  <c:v>48372</c:v>
                </c:pt>
                <c:pt idx="80">
                  <c:v>48464</c:v>
                </c:pt>
                <c:pt idx="81">
                  <c:v>48555</c:v>
                </c:pt>
                <c:pt idx="82">
                  <c:v>48645</c:v>
                </c:pt>
                <c:pt idx="83">
                  <c:v>48737</c:v>
                </c:pt>
                <c:pt idx="84">
                  <c:v>48829</c:v>
                </c:pt>
                <c:pt idx="85">
                  <c:v>48920</c:v>
                </c:pt>
                <c:pt idx="86">
                  <c:v>49010</c:v>
                </c:pt>
                <c:pt idx="87">
                  <c:v>49102</c:v>
                </c:pt>
                <c:pt idx="88">
                  <c:v>49194</c:v>
                </c:pt>
                <c:pt idx="89">
                  <c:v>49285</c:v>
                </c:pt>
                <c:pt idx="90">
                  <c:v>49375</c:v>
                </c:pt>
                <c:pt idx="91">
                  <c:v>49467</c:v>
                </c:pt>
                <c:pt idx="92">
                  <c:v>49559</c:v>
                </c:pt>
                <c:pt idx="93">
                  <c:v>49650</c:v>
                </c:pt>
                <c:pt idx="94">
                  <c:v>49741</c:v>
                </c:pt>
                <c:pt idx="95">
                  <c:v>49835</c:v>
                </c:pt>
                <c:pt idx="96">
                  <c:v>49927</c:v>
                </c:pt>
                <c:pt idx="97">
                  <c:v>50018</c:v>
                </c:pt>
                <c:pt idx="98">
                  <c:v>50108</c:v>
                </c:pt>
                <c:pt idx="99">
                  <c:v>50200</c:v>
                </c:pt>
                <c:pt idx="100">
                  <c:v>50292</c:v>
                </c:pt>
                <c:pt idx="101">
                  <c:v>50383</c:v>
                </c:pt>
                <c:pt idx="102">
                  <c:v>50473</c:v>
                </c:pt>
                <c:pt idx="103">
                  <c:v>50565</c:v>
                </c:pt>
                <c:pt idx="104">
                  <c:v>50657</c:v>
                </c:pt>
                <c:pt idx="105">
                  <c:v>50748</c:v>
                </c:pt>
                <c:pt idx="106">
                  <c:v>50838</c:v>
                </c:pt>
                <c:pt idx="107">
                  <c:v>50930</c:v>
                </c:pt>
                <c:pt idx="108">
                  <c:v>51022</c:v>
                </c:pt>
                <c:pt idx="109">
                  <c:v>51113</c:v>
                </c:pt>
                <c:pt idx="110">
                  <c:v>51204</c:v>
                </c:pt>
                <c:pt idx="111">
                  <c:v>51298</c:v>
                </c:pt>
                <c:pt idx="112">
                  <c:v>51390</c:v>
                </c:pt>
                <c:pt idx="113">
                  <c:v>51481</c:v>
                </c:pt>
                <c:pt idx="114">
                  <c:v>51571</c:v>
                </c:pt>
                <c:pt idx="115">
                  <c:v>51663</c:v>
                </c:pt>
                <c:pt idx="116">
                  <c:v>51755</c:v>
                </c:pt>
                <c:pt idx="117">
                  <c:v>51846</c:v>
                </c:pt>
                <c:pt idx="118">
                  <c:v>51936</c:v>
                </c:pt>
                <c:pt idx="119">
                  <c:v>52028</c:v>
                </c:pt>
                <c:pt idx="120">
                  <c:v>52120</c:v>
                </c:pt>
                <c:pt idx="121">
                  <c:v>52211</c:v>
                </c:pt>
                <c:pt idx="122">
                  <c:v>52301</c:v>
                </c:pt>
                <c:pt idx="123">
                  <c:v>52393</c:v>
                </c:pt>
                <c:pt idx="124">
                  <c:v>52485</c:v>
                </c:pt>
                <c:pt idx="125">
                  <c:v>52576</c:v>
                </c:pt>
                <c:pt idx="126">
                  <c:v>52667</c:v>
                </c:pt>
                <c:pt idx="127">
                  <c:v>52761</c:v>
                </c:pt>
                <c:pt idx="128">
                  <c:v>52853</c:v>
                </c:pt>
                <c:pt idx="129">
                  <c:v>52944</c:v>
                </c:pt>
                <c:pt idx="130">
                  <c:v>53034</c:v>
                </c:pt>
                <c:pt idx="131">
                  <c:v>53126</c:v>
                </c:pt>
                <c:pt idx="132">
                  <c:v>53218</c:v>
                </c:pt>
                <c:pt idx="133">
                  <c:v>53309</c:v>
                </c:pt>
                <c:pt idx="134">
                  <c:v>53399</c:v>
                </c:pt>
                <c:pt idx="135">
                  <c:v>53491</c:v>
                </c:pt>
                <c:pt idx="136">
                  <c:v>53583</c:v>
                </c:pt>
                <c:pt idx="137">
                  <c:v>53674</c:v>
                </c:pt>
                <c:pt idx="138">
                  <c:v>53764</c:v>
                </c:pt>
                <c:pt idx="139">
                  <c:v>53856</c:v>
                </c:pt>
                <c:pt idx="140">
                  <c:v>53948</c:v>
                </c:pt>
                <c:pt idx="141">
                  <c:v>54039</c:v>
                </c:pt>
                <c:pt idx="142">
                  <c:v>54130</c:v>
                </c:pt>
                <c:pt idx="143">
                  <c:v>54224</c:v>
                </c:pt>
                <c:pt idx="144">
                  <c:v>54316</c:v>
                </c:pt>
                <c:pt idx="145">
                  <c:v>54407</c:v>
                </c:pt>
                <c:pt idx="146">
                  <c:v>54497</c:v>
                </c:pt>
                <c:pt idx="147">
                  <c:v>54589</c:v>
                </c:pt>
                <c:pt idx="148">
                  <c:v>54681</c:v>
                </c:pt>
                <c:pt idx="149">
                  <c:v>54772</c:v>
                </c:pt>
                <c:pt idx="150">
                  <c:v>54862</c:v>
                </c:pt>
                <c:pt idx="151">
                  <c:v>54954</c:v>
                </c:pt>
                <c:pt idx="152">
                  <c:v>55046</c:v>
                </c:pt>
                <c:pt idx="153">
                  <c:v>55137</c:v>
                </c:pt>
                <c:pt idx="154">
                  <c:v>55227</c:v>
                </c:pt>
                <c:pt idx="155">
                  <c:v>55319</c:v>
                </c:pt>
                <c:pt idx="156">
                  <c:v>55411</c:v>
                </c:pt>
                <c:pt idx="157">
                  <c:v>55502</c:v>
                </c:pt>
                <c:pt idx="158">
                  <c:v>55593</c:v>
                </c:pt>
                <c:pt idx="159">
                  <c:v>55687</c:v>
                </c:pt>
                <c:pt idx="160">
                  <c:v>55779</c:v>
                </c:pt>
                <c:pt idx="161">
                  <c:v>55870</c:v>
                </c:pt>
                <c:pt idx="162">
                  <c:v>55960</c:v>
                </c:pt>
                <c:pt idx="163">
                  <c:v>56052</c:v>
                </c:pt>
                <c:pt idx="164">
                  <c:v>56144</c:v>
                </c:pt>
                <c:pt idx="165">
                  <c:v>56235</c:v>
                </c:pt>
                <c:pt idx="166">
                  <c:v>56325</c:v>
                </c:pt>
                <c:pt idx="167">
                  <c:v>56417</c:v>
                </c:pt>
                <c:pt idx="168">
                  <c:v>56509</c:v>
                </c:pt>
                <c:pt idx="169">
                  <c:v>56600</c:v>
                </c:pt>
                <c:pt idx="170">
                  <c:v>56690</c:v>
                </c:pt>
                <c:pt idx="171">
                  <c:v>56782</c:v>
                </c:pt>
                <c:pt idx="172">
                  <c:v>56874</c:v>
                </c:pt>
                <c:pt idx="173">
                  <c:v>56965</c:v>
                </c:pt>
                <c:pt idx="174">
                  <c:v>57056</c:v>
                </c:pt>
                <c:pt idx="175">
                  <c:v>57150</c:v>
                </c:pt>
                <c:pt idx="176">
                  <c:v>57242</c:v>
                </c:pt>
                <c:pt idx="177">
                  <c:v>57333</c:v>
                </c:pt>
                <c:pt idx="178">
                  <c:v>57423</c:v>
                </c:pt>
                <c:pt idx="179">
                  <c:v>57515</c:v>
                </c:pt>
                <c:pt idx="180">
                  <c:v>57607</c:v>
                </c:pt>
                <c:pt idx="181">
                  <c:v>57698</c:v>
                </c:pt>
                <c:pt idx="182">
                  <c:v>57788</c:v>
                </c:pt>
                <c:pt idx="183">
                  <c:v>57880</c:v>
                </c:pt>
                <c:pt idx="184">
                  <c:v>57972</c:v>
                </c:pt>
                <c:pt idx="185">
                  <c:v>58063</c:v>
                </c:pt>
                <c:pt idx="186">
                  <c:v>58153</c:v>
                </c:pt>
                <c:pt idx="187">
                  <c:v>58245</c:v>
                </c:pt>
                <c:pt idx="188">
                  <c:v>58337</c:v>
                </c:pt>
                <c:pt idx="189">
                  <c:v>58428</c:v>
                </c:pt>
                <c:pt idx="190">
                  <c:v>58519</c:v>
                </c:pt>
                <c:pt idx="191">
                  <c:v>58613</c:v>
                </c:pt>
                <c:pt idx="192">
                  <c:v>58705</c:v>
                </c:pt>
                <c:pt idx="193">
                  <c:v>58796</c:v>
                </c:pt>
                <c:pt idx="194">
                  <c:v>58886</c:v>
                </c:pt>
                <c:pt idx="195">
                  <c:v>58978</c:v>
                </c:pt>
                <c:pt idx="196">
                  <c:v>59070</c:v>
                </c:pt>
                <c:pt idx="197">
                  <c:v>59161</c:v>
                </c:pt>
                <c:pt idx="198">
                  <c:v>59251</c:v>
                </c:pt>
                <c:pt idx="199">
                  <c:v>59343</c:v>
                </c:pt>
                <c:pt idx="200">
                  <c:v>59435</c:v>
                </c:pt>
              </c:numCache>
            </c:numRef>
          </c:cat>
          <c:val>
            <c:numRef>
              <c:f>test!$F$2:$F$202</c:f>
              <c:numCache>
                <c:formatCode>G/通用格式</c:formatCode>
                <c:ptCount val="201"/>
                <c:pt idx="0">
                  <c:v>4.9095604781046007E-2</c:v>
                </c:pt>
                <c:pt idx="1">
                  <c:v>4.9095604781046007E-2</c:v>
                </c:pt>
                <c:pt idx="2">
                  <c:v>4.9396874776212463E-2</c:v>
                </c:pt>
                <c:pt idx="3">
                  <c:v>4.9703998427645578E-2</c:v>
                </c:pt>
                <c:pt idx="4">
                  <c:v>4.9989591808261472E-2</c:v>
                </c:pt>
                <c:pt idx="5">
                  <c:v>4.9807738163394767E-2</c:v>
                </c:pt>
                <c:pt idx="6">
                  <c:v>4.9791280181410325E-2</c:v>
                </c:pt>
                <c:pt idx="7">
                  <c:v>4.986878705526112E-2</c:v>
                </c:pt>
                <c:pt idx="8">
                  <c:v>4.9994646322111549E-2</c:v>
                </c:pt>
                <c:pt idx="9">
                  <c:v>4.9890083892058353E-2</c:v>
                </c:pt>
                <c:pt idx="10">
                  <c:v>4.987123605799787E-2</c:v>
                </c:pt>
                <c:pt idx="11">
                  <c:v>4.9914251401490327E-2</c:v>
                </c:pt>
                <c:pt idx="12">
                  <c:v>4.9996339373731269E-2</c:v>
                </c:pt>
                <c:pt idx="13">
                  <c:v>4.9921929297289232E-2</c:v>
                </c:pt>
                <c:pt idx="14">
                  <c:v>4.9906013211564008E-2</c:v>
                </c:pt>
                <c:pt idx="15">
                  <c:v>4.9937311436353153E-2</c:v>
                </c:pt>
                <c:pt idx="16">
                  <c:v>4.9994569235313605E-2</c:v>
                </c:pt>
                <c:pt idx="17">
                  <c:v>4.9937810135054606E-2</c:v>
                </c:pt>
                <c:pt idx="18">
                  <c:v>4.9923529019879648E-2</c:v>
                </c:pt>
                <c:pt idx="19">
                  <c:v>4.9949270328347811E-2</c:v>
                </c:pt>
                <c:pt idx="20">
                  <c:v>4.999554830006428E-2</c:v>
                </c:pt>
                <c:pt idx="21">
                  <c:v>4.9998548197059463E-2</c:v>
                </c:pt>
                <c:pt idx="22">
                  <c:v>5.0036165047642314E-2</c:v>
                </c:pt>
                <c:pt idx="23">
                  <c:v>5.0105843809947974E-2</c:v>
                </c:pt>
                <c:pt idx="24">
                  <c:v>5.0195110718680234E-2</c:v>
                </c:pt>
                <c:pt idx="25">
                  <c:v>5.0204664059461536E-2</c:v>
                </c:pt>
                <c:pt idx="26">
                  <c:v>5.0245968114515774E-2</c:v>
                </c:pt>
                <c:pt idx="27">
                  <c:v>5.0313760944342083E-2</c:v>
                </c:pt>
                <c:pt idx="28">
                  <c:v>5.0394453636780683E-2</c:v>
                </c:pt>
                <c:pt idx="29">
                  <c:v>5.0409955696465635E-2</c:v>
                </c:pt>
                <c:pt idx="30">
                  <c:v>5.0452162208615509E-2</c:v>
                </c:pt>
                <c:pt idx="31">
                  <c:v>5.0517124736086931E-2</c:v>
                </c:pt>
                <c:pt idx="32">
                  <c:v>5.0594487018048487E-2</c:v>
                </c:pt>
                <c:pt idx="33">
                  <c:v>5.0613445127412816E-2</c:v>
                </c:pt>
                <c:pt idx="34">
                  <c:v>5.0657597175986765E-2</c:v>
                </c:pt>
                <c:pt idx="35">
                  <c:v>5.0722532101001756E-2</c:v>
                </c:pt>
                <c:pt idx="36">
                  <c:v>5.0793067306087909E-2</c:v>
                </c:pt>
                <c:pt idx="37">
                  <c:v>5.0815746536406345E-2</c:v>
                </c:pt>
                <c:pt idx="38">
                  <c:v>5.0860150682310326E-2</c:v>
                </c:pt>
                <c:pt idx="39">
                  <c:v>5.0923762225756619E-2</c:v>
                </c:pt>
                <c:pt idx="40">
                  <c:v>5.0992612006209415E-2</c:v>
                </c:pt>
                <c:pt idx="41">
                  <c:v>5.0942872397368118E-2</c:v>
                </c:pt>
                <c:pt idx="42">
                  <c:v>5.0913897371390703E-2</c:v>
                </c:pt>
                <c:pt idx="43">
                  <c:v>5.0901170739597261E-2</c:v>
                </c:pt>
                <c:pt idx="44">
                  <c:v>5.0893375569412133E-2</c:v>
                </c:pt>
                <c:pt idx="45">
                  <c:v>5.0845312571933594E-2</c:v>
                </c:pt>
                <c:pt idx="46">
                  <c:v>5.0816291675292995E-2</c:v>
                </c:pt>
                <c:pt idx="47">
                  <c:v>5.0802899866053464E-2</c:v>
                </c:pt>
                <c:pt idx="48">
                  <c:v>5.0793986087346116E-2</c:v>
                </c:pt>
                <c:pt idx="49">
                  <c:v>5.0747308694875759E-2</c:v>
                </c:pt>
                <c:pt idx="50">
                  <c:v>5.0717772813615468E-2</c:v>
                </c:pt>
                <c:pt idx="51">
                  <c:v>5.0704409435993414E-2</c:v>
                </c:pt>
                <c:pt idx="52">
                  <c:v>5.0694551549965577E-2</c:v>
                </c:pt>
                <c:pt idx="53">
                  <c:v>5.0649059639828665E-2</c:v>
                </c:pt>
                <c:pt idx="54">
                  <c:v>5.0619749448041255E-2</c:v>
                </c:pt>
                <c:pt idx="55">
                  <c:v>5.0605730416845567E-2</c:v>
                </c:pt>
                <c:pt idx="56">
                  <c:v>5.0595070113408358E-2</c:v>
                </c:pt>
                <c:pt idx="57">
                  <c:v>5.0550593326762511E-2</c:v>
                </c:pt>
                <c:pt idx="58">
                  <c:v>5.0521480253012369E-2</c:v>
                </c:pt>
                <c:pt idx="59">
                  <c:v>5.0506901072060274E-2</c:v>
                </c:pt>
                <c:pt idx="60">
                  <c:v>5.0495551137517219E-2</c:v>
                </c:pt>
                <c:pt idx="61">
                  <c:v>5.0451952397642968E-2</c:v>
                </c:pt>
                <c:pt idx="62">
                  <c:v>5.042273940421893E-2</c:v>
                </c:pt>
                <c:pt idx="63">
                  <c:v>5.0407502513042796E-2</c:v>
                </c:pt>
                <c:pt idx="64">
                  <c:v>5.0394643338151829E-2</c:v>
                </c:pt>
                <c:pt idx="65">
                  <c:v>5.0352131114557934E-2</c:v>
                </c:pt>
                <c:pt idx="66">
                  <c:v>5.0323917266454382E-2</c:v>
                </c:pt>
                <c:pt idx="67">
                  <c:v>5.0308436450500565E-2</c:v>
                </c:pt>
                <c:pt idx="68">
                  <c:v>5.029508937242165E-2</c:v>
                </c:pt>
                <c:pt idx="69">
                  <c:v>5.025323786393146E-2</c:v>
                </c:pt>
                <c:pt idx="70">
                  <c:v>5.0225139278611844E-2</c:v>
                </c:pt>
                <c:pt idx="71">
                  <c:v>5.0209289091762151E-2</c:v>
                </c:pt>
                <c:pt idx="72">
                  <c:v>5.0195512054384731E-2</c:v>
                </c:pt>
                <c:pt idx="73">
                  <c:v>5.0154245380438806E-2</c:v>
                </c:pt>
                <c:pt idx="74">
                  <c:v>5.0126250119091352E-2</c:v>
                </c:pt>
                <c:pt idx="75">
                  <c:v>5.0110073437724667E-2</c:v>
                </c:pt>
                <c:pt idx="76">
                  <c:v>5.0095915070567341E-2</c:v>
                </c:pt>
                <c:pt idx="77">
                  <c:v>5.0055169125685653E-2</c:v>
                </c:pt>
                <c:pt idx="78">
                  <c:v>5.0026993591325494E-2</c:v>
                </c:pt>
                <c:pt idx="79">
                  <c:v>5.0010334659079947E-2</c:v>
                </c:pt>
                <c:pt idx="80">
                  <c:v>4.9995029254991705E-2</c:v>
                </c:pt>
                <c:pt idx="81">
                  <c:v>4.9979896343336369E-2</c:v>
                </c:pt>
                <c:pt idx="82">
                  <c:v>4.9976928907991755E-2</c:v>
                </c:pt>
                <c:pt idx="83">
                  <c:v>4.9985611843315424E-2</c:v>
                </c:pt>
                <c:pt idx="84">
                  <c:v>4.999516781638267E-2</c:v>
                </c:pt>
                <c:pt idx="85">
                  <c:v>4.9980446067483496E-2</c:v>
                </c:pt>
                <c:pt idx="86">
                  <c:v>4.9977547984505051E-2</c:v>
                </c:pt>
                <c:pt idx="87">
                  <c:v>4.9985990843675485E-2</c:v>
                </c:pt>
                <c:pt idx="88">
                  <c:v>4.9995292783464047E-2</c:v>
                </c:pt>
                <c:pt idx="89">
                  <c:v>4.9980942373196668E-2</c:v>
                </c:pt>
                <c:pt idx="90">
                  <c:v>4.9978107462462562E-2</c:v>
                </c:pt>
                <c:pt idx="91">
                  <c:v>4.9986333687639446E-2</c:v>
                </c:pt>
                <c:pt idx="92">
                  <c:v>4.9995405934893537E-2</c:v>
                </c:pt>
                <c:pt idx="93">
                  <c:v>4.9981392175287444E-2</c:v>
                </c:pt>
                <c:pt idx="94">
                  <c:v>4.9978614976524241E-2</c:v>
                </c:pt>
                <c:pt idx="95">
                  <c:v>4.9986852142374714E-2</c:v>
                </c:pt>
                <c:pt idx="96">
                  <c:v>4.9994618629373891E-2</c:v>
                </c:pt>
                <c:pt idx="97">
                  <c:v>4.9981288859722806E-2</c:v>
                </c:pt>
                <c:pt idx="98">
                  <c:v>4.9978747945344348E-2</c:v>
                </c:pt>
                <c:pt idx="99">
                  <c:v>4.9987131183895327E-2</c:v>
                </c:pt>
                <c:pt idx="100">
                  <c:v>4.9994730894718981E-2</c:v>
                </c:pt>
                <c:pt idx="101">
                  <c:v>4.9981672435154917E-2</c:v>
                </c:pt>
                <c:pt idx="102">
                  <c:v>4.9979176176540754E-2</c:v>
                </c:pt>
                <c:pt idx="103">
                  <c:v>4.99873861441026E-2</c:v>
                </c:pt>
                <c:pt idx="104">
                  <c:v>4.9994833544077869E-2</c:v>
                </c:pt>
                <c:pt idx="105">
                  <c:v>4.9982023404095875E-2</c:v>
                </c:pt>
                <c:pt idx="106">
                  <c:v>4.9979568273208687E-2</c:v>
                </c:pt>
                <c:pt idx="107">
                  <c:v>4.998761974478505E-2</c:v>
                </c:pt>
                <c:pt idx="108">
                  <c:v>4.9994927654749374E-2</c:v>
                </c:pt>
                <c:pt idx="109">
                  <c:v>4.9982345387007424E-2</c:v>
                </c:pt>
                <c:pt idx="110">
                  <c:v>4.9979928212640481E-2</c:v>
                </c:pt>
                <c:pt idx="111">
                  <c:v>4.9988204739978948E-2</c:v>
                </c:pt>
                <c:pt idx="112">
                  <c:v>4.9995033540974329E-2</c:v>
                </c:pt>
                <c:pt idx="113">
                  <c:v>4.9982773000378143E-2</c:v>
                </c:pt>
                <c:pt idx="114">
                  <c:v>4.9980688739055368E-2</c:v>
                </c:pt>
                <c:pt idx="115">
                  <c:v>4.9988396209267184E-2</c:v>
                </c:pt>
                <c:pt idx="116">
                  <c:v>4.9995112881137754E-2</c:v>
                </c:pt>
                <c:pt idx="117">
                  <c:v>4.9983043754171168E-2</c:v>
                </c:pt>
                <c:pt idx="118">
                  <c:v>4.9980987420265882E-2</c:v>
                </c:pt>
                <c:pt idx="119">
                  <c:v>4.9988572869777738E-2</c:v>
                </c:pt>
                <c:pt idx="120">
                  <c:v>4.9995186121761764E-2</c:v>
                </c:pt>
                <c:pt idx="121">
                  <c:v>4.9983293819099425E-2</c:v>
                </c:pt>
                <c:pt idx="122">
                  <c:v>4.9981263413505131E-2</c:v>
                </c:pt>
                <c:pt idx="123">
                  <c:v>4.9988736188386798E-2</c:v>
                </c:pt>
                <c:pt idx="124">
                  <c:v>4.9995253862534714E-2</c:v>
                </c:pt>
                <c:pt idx="125">
                  <c:v>4.9983525213884834E-2</c:v>
                </c:pt>
                <c:pt idx="126">
                  <c:v>4.9981518916227499E-2</c:v>
                </c:pt>
                <c:pt idx="127">
                  <c:v>4.998916429468938E-2</c:v>
                </c:pt>
                <c:pt idx="128">
                  <c:v>4.9994971814300043E-2</c:v>
                </c:pt>
                <c:pt idx="129">
                  <c:v>4.9983611218518555E-2</c:v>
                </c:pt>
                <c:pt idx="130">
                  <c:v>4.9981814670508169E-2</c:v>
                </c:pt>
                <c:pt idx="131">
                  <c:v>4.9989301080582638E-2</c:v>
                </c:pt>
                <c:pt idx="132">
                  <c:v>4.999503433449979E-2</c:v>
                </c:pt>
                <c:pt idx="133">
                  <c:v>4.9983811875095319E-2</c:v>
                </c:pt>
                <c:pt idx="134">
                  <c:v>4.9982033964810949E-2</c:v>
                </c:pt>
                <c:pt idx="135">
                  <c:v>4.9989428180296919E-2</c:v>
                </c:pt>
                <c:pt idx="136">
                  <c:v>4.9995092449008384E-2</c:v>
                </c:pt>
                <c:pt idx="137">
                  <c:v>4.9983998461151563E-2</c:v>
                </c:pt>
                <c:pt idx="138">
                  <c:v>4.9982237955260606E-2</c:v>
                </c:pt>
                <c:pt idx="139">
                  <c:v>4.9989546451522253E-2</c:v>
                </c:pt>
                <c:pt idx="140">
                  <c:v>4.9995146545459612E-2</c:v>
                </c:pt>
                <c:pt idx="141">
                  <c:v>4.9984172206709247E-2</c:v>
                </c:pt>
                <c:pt idx="142">
                  <c:v>4.9982427971270796E-2</c:v>
                </c:pt>
                <c:pt idx="143">
                  <c:v>4.9989797965661324E-2</c:v>
                </c:pt>
                <c:pt idx="144">
                  <c:v>4.9994120327597917E-2</c:v>
                </c:pt>
                <c:pt idx="145">
                  <c:v>4.9983675789538148E-2</c:v>
                </c:pt>
                <c:pt idx="146">
                  <c:v>4.9982686757732812E-2</c:v>
                </c:pt>
                <c:pt idx="147">
                  <c:v>4.9989899346556343E-2</c:v>
                </c:pt>
                <c:pt idx="148">
                  <c:v>4.9994177913600425E-2</c:v>
                </c:pt>
                <c:pt idx="149">
                  <c:v>4.9983833325078962E-2</c:v>
                </c:pt>
                <c:pt idx="150">
                  <c:v>4.998285142358791E-2</c:v>
                </c:pt>
                <c:pt idx="151">
                  <c:v>4.9989994044080853E-2</c:v>
                </c:pt>
                <c:pt idx="152">
                  <c:v>4.9994231718392575E-2</c:v>
                </c:pt>
                <c:pt idx="153">
                  <c:v>4.9983980557838682E-2</c:v>
                </c:pt>
                <c:pt idx="154">
                  <c:v>4.9983005362268441E-2</c:v>
                </c:pt>
                <c:pt idx="155">
                  <c:v>4.9990082595976537E-2</c:v>
                </c:pt>
                <c:pt idx="156">
                  <c:v>4.9994282044550961E-2</c:v>
                </c:pt>
                <c:pt idx="157">
                  <c:v>4.9984118307717325E-2</c:v>
                </c:pt>
                <c:pt idx="158">
                  <c:v>4.9983149422851515E-2</c:v>
                </c:pt>
                <c:pt idx="159">
                  <c:v>4.9990534309244265E-2</c:v>
                </c:pt>
                <c:pt idx="160">
                  <c:v>4.9994710953980434E-2</c:v>
                </c:pt>
                <c:pt idx="161">
                  <c:v>4.9984624014483149E-2</c:v>
                </c:pt>
                <c:pt idx="162">
                  <c:v>4.99831864468019E-2</c:v>
                </c:pt>
                <c:pt idx="163">
                  <c:v>4.9990609038633373E-2</c:v>
                </c:pt>
                <c:pt idx="164">
                  <c:v>4.9994752128110269E-2</c:v>
                </c:pt>
                <c:pt idx="165">
                  <c:v>4.9984742015752898E-2</c:v>
                </c:pt>
                <c:pt idx="166">
                  <c:v>4.9983313675726233E-2</c:v>
                </c:pt>
                <c:pt idx="167">
                  <c:v>4.9990679120668763E-2</c:v>
                </c:pt>
                <c:pt idx="168">
                  <c:v>4.9994790749952819E-2</c:v>
                </c:pt>
                <c:pt idx="169">
                  <c:v>4.9984852726273739E-2</c:v>
                </c:pt>
                <c:pt idx="170">
                  <c:v>4.9983433068797142E-2</c:v>
                </c:pt>
                <c:pt idx="171">
                  <c:v>4.9990744899851912E-2</c:v>
                </c:pt>
                <c:pt idx="172">
                  <c:v>4.9994827007822769E-2</c:v>
                </c:pt>
                <c:pt idx="173">
                  <c:v>4.998495668144181E-2</c:v>
                </c:pt>
                <c:pt idx="174">
                  <c:v>4.9983545198787456E-2</c:v>
                </c:pt>
                <c:pt idx="175">
                  <c:v>4.9991053169126144E-2</c:v>
                </c:pt>
                <c:pt idx="176">
                  <c:v>4.9994554287849803E-2</c:v>
                </c:pt>
                <c:pt idx="177">
                  <c:v>4.998494043416931E-2</c:v>
                </c:pt>
                <c:pt idx="178">
                  <c:v>4.9983876675460254E-2</c:v>
                </c:pt>
                <c:pt idx="179">
                  <c:v>4.9991109679726232E-2</c:v>
                </c:pt>
                <c:pt idx="180">
                  <c:v>4.999458821782448E-2</c:v>
                </c:pt>
                <c:pt idx="181">
                  <c:v>4.9985032969012341E-2</c:v>
                </c:pt>
                <c:pt idx="182">
                  <c:v>4.9983974397868162E-2</c:v>
                </c:pt>
                <c:pt idx="183">
                  <c:v>4.9991162839623016E-2</c:v>
                </c:pt>
                <c:pt idx="184">
                  <c:v>4.999462014131878E-2</c:v>
                </c:pt>
                <c:pt idx="185">
                  <c:v>4.9985120046345692E-2</c:v>
                </c:pt>
                <c:pt idx="186">
                  <c:v>4.9984066371840191E-2</c:v>
                </c:pt>
                <c:pt idx="187">
                  <c:v>4.999121288039042E-2</c:v>
                </c:pt>
                <c:pt idx="188">
                  <c:v>4.9994650196451496E-2</c:v>
                </c:pt>
                <c:pt idx="189">
                  <c:v>4.9985202040332417E-2</c:v>
                </c:pt>
                <c:pt idx="190">
                  <c:v>4.9984152989933771E-2</c:v>
                </c:pt>
                <c:pt idx="191">
                  <c:v>4.999152422299491E-2</c:v>
                </c:pt>
                <c:pt idx="192">
                  <c:v>4.9994390998942734E-2</c:v>
                </c:pt>
                <c:pt idx="193">
                  <c:v>4.9985179901163634E-2</c:v>
                </c:pt>
                <c:pt idx="194">
                  <c:v>4.998431023397612E-2</c:v>
                </c:pt>
                <c:pt idx="195">
                  <c:v>4.9991567289137333E-2</c:v>
                </c:pt>
                <c:pt idx="196">
                  <c:v>4.9994419120191841E-2</c:v>
                </c:pt>
                <c:pt idx="197">
                  <c:v>4.9985253199741057E-2</c:v>
                </c:pt>
                <c:pt idx="198">
                  <c:v>4.9984386799877989E-2</c:v>
                </c:pt>
                <c:pt idx="199">
                  <c:v>4.9991607899589299E-2</c:v>
                </c:pt>
                <c:pt idx="200">
                  <c:v>4.9994445641424162E-2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test!$G$1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cat>
            <c:numRef>
              <c:f>test!$A$2:$A$202</c:f>
              <c:numCache>
                <c:formatCode>yyyy-m-d</c:formatCode>
                <c:ptCount val="201"/>
                <c:pt idx="0">
                  <c:v>41138</c:v>
                </c:pt>
                <c:pt idx="1">
                  <c:v>41232</c:v>
                </c:pt>
                <c:pt idx="2">
                  <c:v>41324</c:v>
                </c:pt>
                <c:pt idx="3">
                  <c:v>41414</c:v>
                </c:pt>
                <c:pt idx="4">
                  <c:v>41506</c:v>
                </c:pt>
                <c:pt idx="5">
                  <c:v>41598</c:v>
                </c:pt>
                <c:pt idx="6">
                  <c:v>41690</c:v>
                </c:pt>
                <c:pt idx="7">
                  <c:v>41779</c:v>
                </c:pt>
                <c:pt idx="8">
                  <c:v>41871</c:v>
                </c:pt>
                <c:pt idx="9">
                  <c:v>41963</c:v>
                </c:pt>
                <c:pt idx="10">
                  <c:v>42055</c:v>
                </c:pt>
                <c:pt idx="11">
                  <c:v>42144</c:v>
                </c:pt>
                <c:pt idx="12">
                  <c:v>42236</c:v>
                </c:pt>
                <c:pt idx="13">
                  <c:v>42328</c:v>
                </c:pt>
                <c:pt idx="14">
                  <c:v>42422</c:v>
                </c:pt>
                <c:pt idx="15">
                  <c:v>42513</c:v>
                </c:pt>
                <c:pt idx="16">
                  <c:v>42605</c:v>
                </c:pt>
                <c:pt idx="17">
                  <c:v>42697</c:v>
                </c:pt>
                <c:pt idx="18">
                  <c:v>42789</c:v>
                </c:pt>
                <c:pt idx="19">
                  <c:v>42878</c:v>
                </c:pt>
                <c:pt idx="20">
                  <c:v>42970</c:v>
                </c:pt>
                <c:pt idx="21">
                  <c:v>43062</c:v>
                </c:pt>
                <c:pt idx="22">
                  <c:v>43154</c:v>
                </c:pt>
                <c:pt idx="23">
                  <c:v>43243</c:v>
                </c:pt>
                <c:pt idx="24">
                  <c:v>43335</c:v>
                </c:pt>
                <c:pt idx="25">
                  <c:v>43427</c:v>
                </c:pt>
                <c:pt idx="26">
                  <c:v>43521</c:v>
                </c:pt>
                <c:pt idx="27">
                  <c:v>43612</c:v>
                </c:pt>
                <c:pt idx="28">
                  <c:v>43704</c:v>
                </c:pt>
                <c:pt idx="29">
                  <c:v>43796</c:v>
                </c:pt>
                <c:pt idx="30">
                  <c:v>43888</c:v>
                </c:pt>
                <c:pt idx="31">
                  <c:v>43978</c:v>
                </c:pt>
                <c:pt idx="32">
                  <c:v>44070</c:v>
                </c:pt>
                <c:pt idx="33">
                  <c:v>44162</c:v>
                </c:pt>
                <c:pt idx="34">
                  <c:v>44256</c:v>
                </c:pt>
                <c:pt idx="35">
                  <c:v>44348</c:v>
                </c:pt>
                <c:pt idx="36">
                  <c:v>44440</c:v>
                </c:pt>
                <c:pt idx="37">
                  <c:v>44531</c:v>
                </c:pt>
                <c:pt idx="38">
                  <c:v>44621</c:v>
                </c:pt>
                <c:pt idx="39">
                  <c:v>44713</c:v>
                </c:pt>
                <c:pt idx="40">
                  <c:v>44805</c:v>
                </c:pt>
                <c:pt idx="41">
                  <c:v>44896</c:v>
                </c:pt>
                <c:pt idx="42">
                  <c:v>44986</c:v>
                </c:pt>
                <c:pt idx="43">
                  <c:v>45078</c:v>
                </c:pt>
                <c:pt idx="44">
                  <c:v>45170</c:v>
                </c:pt>
                <c:pt idx="45">
                  <c:v>45261</c:v>
                </c:pt>
                <c:pt idx="46">
                  <c:v>45352</c:v>
                </c:pt>
                <c:pt idx="47">
                  <c:v>45446</c:v>
                </c:pt>
                <c:pt idx="48">
                  <c:v>45538</c:v>
                </c:pt>
                <c:pt idx="49">
                  <c:v>45629</c:v>
                </c:pt>
                <c:pt idx="50">
                  <c:v>45719</c:v>
                </c:pt>
                <c:pt idx="51">
                  <c:v>45811</c:v>
                </c:pt>
                <c:pt idx="52">
                  <c:v>45903</c:v>
                </c:pt>
                <c:pt idx="53">
                  <c:v>45994</c:v>
                </c:pt>
                <c:pt idx="54">
                  <c:v>46084</c:v>
                </c:pt>
                <c:pt idx="55">
                  <c:v>46176</c:v>
                </c:pt>
                <c:pt idx="56">
                  <c:v>46268</c:v>
                </c:pt>
                <c:pt idx="57">
                  <c:v>46359</c:v>
                </c:pt>
                <c:pt idx="58">
                  <c:v>46449</c:v>
                </c:pt>
                <c:pt idx="59">
                  <c:v>46541</c:v>
                </c:pt>
                <c:pt idx="60">
                  <c:v>46633</c:v>
                </c:pt>
                <c:pt idx="61">
                  <c:v>46724</c:v>
                </c:pt>
                <c:pt idx="62">
                  <c:v>46815</c:v>
                </c:pt>
                <c:pt idx="63">
                  <c:v>46909</c:v>
                </c:pt>
                <c:pt idx="64">
                  <c:v>47001</c:v>
                </c:pt>
                <c:pt idx="65">
                  <c:v>47092</c:v>
                </c:pt>
                <c:pt idx="66">
                  <c:v>47182</c:v>
                </c:pt>
                <c:pt idx="67">
                  <c:v>47274</c:v>
                </c:pt>
                <c:pt idx="68">
                  <c:v>47366</c:v>
                </c:pt>
                <c:pt idx="69">
                  <c:v>47457</c:v>
                </c:pt>
                <c:pt idx="70">
                  <c:v>47547</c:v>
                </c:pt>
                <c:pt idx="71">
                  <c:v>47639</c:v>
                </c:pt>
                <c:pt idx="72">
                  <c:v>47731</c:v>
                </c:pt>
                <c:pt idx="73">
                  <c:v>47822</c:v>
                </c:pt>
                <c:pt idx="74">
                  <c:v>47912</c:v>
                </c:pt>
                <c:pt idx="75">
                  <c:v>48004</c:v>
                </c:pt>
                <c:pt idx="76">
                  <c:v>48096</c:v>
                </c:pt>
                <c:pt idx="77">
                  <c:v>48187</c:v>
                </c:pt>
                <c:pt idx="78">
                  <c:v>48278</c:v>
                </c:pt>
                <c:pt idx="79">
                  <c:v>48372</c:v>
                </c:pt>
                <c:pt idx="80">
                  <c:v>48464</c:v>
                </c:pt>
                <c:pt idx="81">
                  <c:v>48555</c:v>
                </c:pt>
                <c:pt idx="82">
                  <c:v>48645</c:v>
                </c:pt>
                <c:pt idx="83">
                  <c:v>48737</c:v>
                </c:pt>
                <c:pt idx="84">
                  <c:v>48829</c:v>
                </c:pt>
                <c:pt idx="85">
                  <c:v>48920</c:v>
                </c:pt>
                <c:pt idx="86">
                  <c:v>49010</c:v>
                </c:pt>
                <c:pt idx="87">
                  <c:v>49102</c:v>
                </c:pt>
                <c:pt idx="88">
                  <c:v>49194</c:v>
                </c:pt>
                <c:pt idx="89">
                  <c:v>49285</c:v>
                </c:pt>
                <c:pt idx="90">
                  <c:v>49375</c:v>
                </c:pt>
                <c:pt idx="91">
                  <c:v>49467</c:v>
                </c:pt>
                <c:pt idx="92">
                  <c:v>49559</c:v>
                </c:pt>
                <c:pt idx="93">
                  <c:v>49650</c:v>
                </c:pt>
                <c:pt idx="94">
                  <c:v>49741</c:v>
                </c:pt>
                <c:pt idx="95">
                  <c:v>49835</c:v>
                </c:pt>
                <c:pt idx="96">
                  <c:v>49927</c:v>
                </c:pt>
                <c:pt idx="97">
                  <c:v>50018</c:v>
                </c:pt>
                <c:pt idx="98">
                  <c:v>50108</c:v>
                </c:pt>
                <c:pt idx="99">
                  <c:v>50200</c:v>
                </c:pt>
                <c:pt idx="100">
                  <c:v>50292</c:v>
                </c:pt>
                <c:pt idx="101">
                  <c:v>50383</c:v>
                </c:pt>
                <c:pt idx="102">
                  <c:v>50473</c:v>
                </c:pt>
                <c:pt idx="103">
                  <c:v>50565</c:v>
                </c:pt>
                <c:pt idx="104">
                  <c:v>50657</c:v>
                </c:pt>
                <c:pt idx="105">
                  <c:v>50748</c:v>
                </c:pt>
                <c:pt idx="106">
                  <c:v>50838</c:v>
                </c:pt>
                <c:pt idx="107">
                  <c:v>50930</c:v>
                </c:pt>
                <c:pt idx="108">
                  <c:v>51022</c:v>
                </c:pt>
                <c:pt idx="109">
                  <c:v>51113</c:v>
                </c:pt>
                <c:pt idx="110">
                  <c:v>51204</c:v>
                </c:pt>
                <c:pt idx="111">
                  <c:v>51298</c:v>
                </c:pt>
                <c:pt idx="112">
                  <c:v>51390</c:v>
                </c:pt>
                <c:pt idx="113">
                  <c:v>51481</c:v>
                </c:pt>
                <c:pt idx="114">
                  <c:v>51571</c:v>
                </c:pt>
                <c:pt idx="115">
                  <c:v>51663</c:v>
                </c:pt>
                <c:pt idx="116">
                  <c:v>51755</c:v>
                </c:pt>
                <c:pt idx="117">
                  <c:v>51846</c:v>
                </c:pt>
                <c:pt idx="118">
                  <c:v>51936</c:v>
                </c:pt>
                <c:pt idx="119">
                  <c:v>52028</c:v>
                </c:pt>
                <c:pt idx="120">
                  <c:v>52120</c:v>
                </c:pt>
                <c:pt idx="121">
                  <c:v>52211</c:v>
                </c:pt>
                <c:pt idx="122">
                  <c:v>52301</c:v>
                </c:pt>
                <c:pt idx="123">
                  <c:v>52393</c:v>
                </c:pt>
                <c:pt idx="124">
                  <c:v>52485</c:v>
                </c:pt>
                <c:pt idx="125">
                  <c:v>52576</c:v>
                </c:pt>
                <c:pt idx="126">
                  <c:v>52667</c:v>
                </c:pt>
                <c:pt idx="127">
                  <c:v>52761</c:v>
                </c:pt>
                <c:pt idx="128">
                  <c:v>52853</c:v>
                </c:pt>
                <c:pt idx="129">
                  <c:v>52944</c:v>
                </c:pt>
                <c:pt idx="130">
                  <c:v>53034</c:v>
                </c:pt>
                <c:pt idx="131">
                  <c:v>53126</c:v>
                </c:pt>
                <c:pt idx="132">
                  <c:v>53218</c:v>
                </c:pt>
                <c:pt idx="133">
                  <c:v>53309</c:v>
                </c:pt>
                <c:pt idx="134">
                  <c:v>53399</c:v>
                </c:pt>
                <c:pt idx="135">
                  <c:v>53491</c:v>
                </c:pt>
                <c:pt idx="136">
                  <c:v>53583</c:v>
                </c:pt>
                <c:pt idx="137">
                  <c:v>53674</c:v>
                </c:pt>
                <c:pt idx="138">
                  <c:v>53764</c:v>
                </c:pt>
                <c:pt idx="139">
                  <c:v>53856</c:v>
                </c:pt>
                <c:pt idx="140">
                  <c:v>53948</c:v>
                </c:pt>
                <c:pt idx="141">
                  <c:v>54039</c:v>
                </c:pt>
                <c:pt idx="142">
                  <c:v>54130</c:v>
                </c:pt>
                <c:pt idx="143">
                  <c:v>54224</c:v>
                </c:pt>
                <c:pt idx="144">
                  <c:v>54316</c:v>
                </c:pt>
                <c:pt idx="145">
                  <c:v>54407</c:v>
                </c:pt>
                <c:pt idx="146">
                  <c:v>54497</c:v>
                </c:pt>
                <c:pt idx="147">
                  <c:v>54589</c:v>
                </c:pt>
                <c:pt idx="148">
                  <c:v>54681</c:v>
                </c:pt>
                <c:pt idx="149">
                  <c:v>54772</c:v>
                </c:pt>
                <c:pt idx="150">
                  <c:v>54862</c:v>
                </c:pt>
                <c:pt idx="151">
                  <c:v>54954</c:v>
                </c:pt>
                <c:pt idx="152">
                  <c:v>55046</c:v>
                </c:pt>
                <c:pt idx="153">
                  <c:v>55137</c:v>
                </c:pt>
                <c:pt idx="154">
                  <c:v>55227</c:v>
                </c:pt>
                <c:pt idx="155">
                  <c:v>55319</c:v>
                </c:pt>
                <c:pt idx="156">
                  <c:v>55411</c:v>
                </c:pt>
                <c:pt idx="157">
                  <c:v>55502</c:v>
                </c:pt>
                <c:pt idx="158">
                  <c:v>55593</c:v>
                </c:pt>
                <c:pt idx="159">
                  <c:v>55687</c:v>
                </c:pt>
                <c:pt idx="160">
                  <c:v>55779</c:v>
                </c:pt>
                <c:pt idx="161">
                  <c:v>55870</c:v>
                </c:pt>
                <c:pt idx="162">
                  <c:v>55960</c:v>
                </c:pt>
                <c:pt idx="163">
                  <c:v>56052</c:v>
                </c:pt>
                <c:pt idx="164">
                  <c:v>56144</c:v>
                </c:pt>
                <c:pt idx="165">
                  <c:v>56235</c:v>
                </c:pt>
                <c:pt idx="166">
                  <c:v>56325</c:v>
                </c:pt>
                <c:pt idx="167">
                  <c:v>56417</c:v>
                </c:pt>
                <c:pt idx="168">
                  <c:v>56509</c:v>
                </c:pt>
                <c:pt idx="169">
                  <c:v>56600</c:v>
                </c:pt>
                <c:pt idx="170">
                  <c:v>56690</c:v>
                </c:pt>
                <c:pt idx="171">
                  <c:v>56782</c:v>
                </c:pt>
                <c:pt idx="172">
                  <c:v>56874</c:v>
                </c:pt>
                <c:pt idx="173">
                  <c:v>56965</c:v>
                </c:pt>
                <c:pt idx="174">
                  <c:v>57056</c:v>
                </c:pt>
                <c:pt idx="175">
                  <c:v>57150</c:v>
                </c:pt>
                <c:pt idx="176">
                  <c:v>57242</c:v>
                </c:pt>
                <c:pt idx="177">
                  <c:v>57333</c:v>
                </c:pt>
                <c:pt idx="178">
                  <c:v>57423</c:v>
                </c:pt>
                <c:pt idx="179">
                  <c:v>57515</c:v>
                </c:pt>
                <c:pt idx="180">
                  <c:v>57607</c:v>
                </c:pt>
                <c:pt idx="181">
                  <c:v>57698</c:v>
                </c:pt>
                <c:pt idx="182">
                  <c:v>57788</c:v>
                </c:pt>
                <c:pt idx="183">
                  <c:v>57880</c:v>
                </c:pt>
                <c:pt idx="184">
                  <c:v>57972</c:v>
                </c:pt>
                <c:pt idx="185">
                  <c:v>58063</c:v>
                </c:pt>
                <c:pt idx="186">
                  <c:v>58153</c:v>
                </c:pt>
                <c:pt idx="187">
                  <c:v>58245</c:v>
                </c:pt>
                <c:pt idx="188">
                  <c:v>58337</c:v>
                </c:pt>
                <c:pt idx="189">
                  <c:v>58428</c:v>
                </c:pt>
                <c:pt idx="190">
                  <c:v>58519</c:v>
                </c:pt>
                <c:pt idx="191">
                  <c:v>58613</c:v>
                </c:pt>
                <c:pt idx="192">
                  <c:v>58705</c:v>
                </c:pt>
                <c:pt idx="193">
                  <c:v>58796</c:v>
                </c:pt>
                <c:pt idx="194">
                  <c:v>58886</c:v>
                </c:pt>
                <c:pt idx="195">
                  <c:v>58978</c:v>
                </c:pt>
                <c:pt idx="196">
                  <c:v>59070</c:v>
                </c:pt>
                <c:pt idx="197">
                  <c:v>59161</c:v>
                </c:pt>
                <c:pt idx="198">
                  <c:v>59251</c:v>
                </c:pt>
                <c:pt idx="199">
                  <c:v>59343</c:v>
                </c:pt>
                <c:pt idx="200">
                  <c:v>59435</c:v>
                </c:pt>
              </c:numCache>
            </c:numRef>
          </c:cat>
          <c:val>
            <c:numRef>
              <c:f>test!$G$2:$G$202</c:f>
              <c:numCache>
                <c:formatCode>G/通用格式</c:formatCode>
                <c:ptCount val="201"/>
                <c:pt idx="0">
                  <c:v>4.9095604781046007E-2</c:v>
                </c:pt>
                <c:pt idx="1">
                  <c:v>4.9095604781046007E-2</c:v>
                </c:pt>
                <c:pt idx="2">
                  <c:v>4.9396874776212463E-2</c:v>
                </c:pt>
                <c:pt idx="3">
                  <c:v>4.9703998427645578E-2</c:v>
                </c:pt>
                <c:pt idx="4">
                  <c:v>4.9989591808261472E-2</c:v>
                </c:pt>
                <c:pt idx="5">
                  <c:v>4.9807738163394767E-2</c:v>
                </c:pt>
                <c:pt idx="6">
                  <c:v>4.9791280181410325E-2</c:v>
                </c:pt>
                <c:pt idx="7">
                  <c:v>4.986878705526112E-2</c:v>
                </c:pt>
                <c:pt idx="8">
                  <c:v>4.9994646322111549E-2</c:v>
                </c:pt>
                <c:pt idx="9">
                  <c:v>4.9890083892058353E-2</c:v>
                </c:pt>
                <c:pt idx="10">
                  <c:v>4.987123605799787E-2</c:v>
                </c:pt>
                <c:pt idx="11">
                  <c:v>4.9914251401490327E-2</c:v>
                </c:pt>
                <c:pt idx="12">
                  <c:v>4.9996339373731269E-2</c:v>
                </c:pt>
                <c:pt idx="13">
                  <c:v>4.9921929297289232E-2</c:v>
                </c:pt>
                <c:pt idx="14">
                  <c:v>4.9906013211564008E-2</c:v>
                </c:pt>
                <c:pt idx="15">
                  <c:v>4.9937311436353153E-2</c:v>
                </c:pt>
                <c:pt idx="16">
                  <c:v>4.9994569235313605E-2</c:v>
                </c:pt>
                <c:pt idx="17">
                  <c:v>4.9937810135054606E-2</c:v>
                </c:pt>
                <c:pt idx="18">
                  <c:v>4.9923529019879648E-2</c:v>
                </c:pt>
                <c:pt idx="19">
                  <c:v>4.9949270328347811E-2</c:v>
                </c:pt>
                <c:pt idx="20">
                  <c:v>4.999554830006428E-2</c:v>
                </c:pt>
                <c:pt idx="21">
                  <c:v>4.994841195727745E-2</c:v>
                </c:pt>
                <c:pt idx="22">
                  <c:v>4.9935892568078281E-2</c:v>
                </c:pt>
                <c:pt idx="23">
                  <c:v>4.9957069967986122E-2</c:v>
                </c:pt>
                <c:pt idx="24">
                  <c:v>4.9996200636936362E-2</c:v>
                </c:pt>
                <c:pt idx="25">
                  <c:v>4.9955617737935651E-2</c:v>
                </c:pt>
                <c:pt idx="26">
                  <c:v>4.9945695634951742E-2</c:v>
                </c:pt>
                <c:pt idx="27">
                  <c:v>4.9963897184124098E-2</c:v>
                </c:pt>
                <c:pt idx="28">
                  <c:v>4.9994453636780685E-2</c:v>
                </c:pt>
                <c:pt idx="29">
                  <c:v>4.9959819456683617E-2</c:v>
                </c:pt>
                <c:pt idx="30">
                  <c:v>4.9951889729051478E-2</c:v>
                </c:pt>
                <c:pt idx="31">
                  <c:v>4.9967805934997014E-2</c:v>
                </c:pt>
                <c:pt idx="32">
                  <c:v>4.999503197717655E-2</c:v>
                </c:pt>
                <c:pt idx="33">
                  <c:v>4.9963853846758867E-2</c:v>
                </c:pt>
                <c:pt idx="34">
                  <c:v>4.995677973729467E-2</c:v>
                </c:pt>
                <c:pt idx="35">
                  <c:v>4.997157842252764E-2</c:v>
                </c:pt>
                <c:pt idx="36">
                  <c:v>4.9991977387831781E-2</c:v>
                </c:pt>
                <c:pt idx="37">
                  <c:v>4.9965065337496263E-2</c:v>
                </c:pt>
                <c:pt idx="38">
                  <c:v>4.9960423161874358E-2</c:v>
                </c:pt>
                <c:pt idx="39">
                  <c:v>4.9973898465538638E-2</c:v>
                </c:pt>
                <c:pt idx="40">
                  <c:v>4.9992612006209414E-2</c:v>
                </c:pt>
                <c:pt idx="41">
                  <c:v>4.99926127635884E-2</c:v>
                </c:pt>
                <c:pt idx="42">
                  <c:v>5.001283150640027E-2</c:v>
                </c:pt>
                <c:pt idx="43">
                  <c:v>5.0050391838258095E-2</c:v>
                </c:pt>
                <c:pt idx="44">
                  <c:v>5.009288363172424E-2</c:v>
                </c:pt>
                <c:pt idx="45">
                  <c:v>5.0094561000465977E-2</c:v>
                </c:pt>
                <c:pt idx="46">
                  <c:v>5.011528047004566E-2</c:v>
                </c:pt>
                <c:pt idx="47">
                  <c:v>5.0153268819319384E-2</c:v>
                </c:pt>
                <c:pt idx="48">
                  <c:v>5.019464200426331E-2</c:v>
                </c:pt>
                <c:pt idx="49">
                  <c:v>5.0197704978013229E-2</c:v>
                </c:pt>
                <c:pt idx="50">
                  <c:v>5.021736286554223E-2</c:v>
                </c:pt>
                <c:pt idx="51">
                  <c:v>5.0254286451571442E-2</c:v>
                </c:pt>
                <c:pt idx="52">
                  <c:v>5.0294715529194872E-2</c:v>
                </c:pt>
                <c:pt idx="53">
                  <c:v>5.0298963985278243E-2</c:v>
                </c:pt>
                <c:pt idx="54">
                  <c:v>5.0318847562280118E-2</c:v>
                </c:pt>
                <c:pt idx="55">
                  <c:v>5.0355115494735696E-2</c:v>
                </c:pt>
                <c:pt idx="56">
                  <c:v>5.0394742154949768E-2</c:v>
                </c:pt>
                <c:pt idx="57">
                  <c:v>5.0400005734524189E-2</c:v>
                </c:pt>
                <c:pt idx="58">
                  <c:v>5.0420086429563339E-2</c:v>
                </c:pt>
                <c:pt idx="59">
                  <c:v>5.0455794212262518E-2</c:v>
                </c:pt>
                <c:pt idx="60">
                  <c:v>5.049473124137073E-2</c:v>
                </c:pt>
                <c:pt idx="61">
                  <c:v>5.0500872867716762E-2</c:v>
                </c:pt>
                <c:pt idx="62">
                  <c:v>5.0521400240512999E-2</c:v>
                </c:pt>
                <c:pt idx="63">
                  <c:v>5.055754350785012E-2</c:v>
                </c:pt>
                <c:pt idx="64">
                  <c:v>5.0594971296610419E-2</c:v>
                </c:pt>
                <c:pt idx="65">
                  <c:v>5.0602199439236807E-2</c:v>
                </c:pt>
                <c:pt idx="66">
                  <c:v>5.062317935992254E-2</c:v>
                </c:pt>
                <c:pt idx="67">
                  <c:v>5.0657985507619997E-2</c:v>
                </c:pt>
                <c:pt idx="68">
                  <c:v>5.0694925393192355E-2</c:v>
                </c:pt>
                <c:pt idx="69">
                  <c:v>5.0702814250922441E-2</c:v>
                </c:pt>
                <c:pt idx="70">
                  <c:v>5.0723909434392117E-2</c:v>
                </c:pt>
                <c:pt idx="71">
                  <c:v>5.075834621119369E-2</c:v>
                </c:pt>
                <c:pt idx="72">
                  <c:v>5.0794856137467537E-2</c:v>
                </c:pt>
                <c:pt idx="73">
                  <c:v>5.0803329829741894E-2</c:v>
                </c:pt>
                <c:pt idx="74">
                  <c:v>5.0824528337183726E-2</c:v>
                </c:pt>
                <c:pt idx="75">
                  <c:v>5.0858638619468308E-2</c:v>
                </c:pt>
                <c:pt idx="76">
                  <c:v>5.0894767215962262E-2</c:v>
                </c:pt>
                <c:pt idx="77">
                  <c:v>5.0903761637300843E-2</c:v>
                </c:pt>
                <c:pt idx="78">
                  <c:v>5.0925326469160967E-2</c:v>
                </c:pt>
                <c:pt idx="79">
                  <c:v>5.0960047695428681E-2</c:v>
                </c:pt>
                <c:pt idx="80">
                  <c:v>5.0995029254991706E-2</c:v>
                </c:pt>
                <c:pt idx="81">
                  <c:v>5.095500575252674E-2</c:v>
                </c:pt>
                <c:pt idx="82">
                  <c:v>5.0927421249348431E-2</c:v>
                </c:pt>
                <c:pt idx="83">
                  <c:v>5.0910940070886541E-2</c:v>
                </c:pt>
                <c:pt idx="84">
                  <c:v>5.0895331930168229E-2</c:v>
                </c:pt>
                <c:pt idx="85">
                  <c:v>5.0855719590459425E-2</c:v>
                </c:pt>
                <c:pt idx="86">
                  <c:v>5.0828204439647286E-2</c:v>
                </c:pt>
                <c:pt idx="87">
                  <c:v>5.0811483185032161E-2</c:v>
                </c:pt>
                <c:pt idx="88">
                  <c:v>5.0795621011035165E-2</c:v>
                </c:pt>
                <c:pt idx="89">
                  <c:v>5.0756380009958156E-2</c:v>
                </c:pt>
                <c:pt idx="90">
                  <c:v>5.0728928031390355E-2</c:v>
                </c:pt>
                <c:pt idx="91">
                  <c:v>5.0711990142781681E-2</c:v>
                </c:pt>
                <c:pt idx="92">
                  <c:v>5.0695898276250213E-2</c:v>
                </c:pt>
                <c:pt idx="93">
                  <c:v>5.065699392583449E-2</c:v>
                </c:pt>
                <c:pt idx="94">
                  <c:v>5.0629326136261657E-2</c:v>
                </c:pt>
                <c:pt idx="95">
                  <c:v>5.0611852142374715E-2</c:v>
                </c:pt>
                <c:pt idx="96">
                  <c:v>5.0594454515588333E-2</c:v>
                </c:pt>
                <c:pt idx="97">
                  <c:v>5.0556234155127618E-2</c:v>
                </c:pt>
                <c:pt idx="98">
                  <c:v>5.0529076172915466E-2</c:v>
                </c:pt>
                <c:pt idx="99">
                  <c:v>5.0512295297680886E-2</c:v>
                </c:pt>
                <c:pt idx="100">
                  <c:v>5.0494730894718981E-2</c:v>
                </c:pt>
                <c:pt idx="101">
                  <c:v>5.0456781844345287E-2</c:v>
                </c:pt>
                <c:pt idx="102">
                  <c:v>5.042966851789743E-2</c:v>
                </c:pt>
                <c:pt idx="103">
                  <c:v>5.0412714371673717E-2</c:v>
                </c:pt>
                <c:pt idx="104">
                  <c:v>5.0394997657863427E-2</c:v>
                </c:pt>
                <c:pt idx="105">
                  <c:v>5.0357296927071804E-2</c:v>
                </c:pt>
                <c:pt idx="106">
                  <c:v>5.0330224728350921E-2</c:v>
                </c:pt>
                <c:pt idx="107">
                  <c:v>5.0313112086141726E-2</c:v>
                </c:pt>
                <c:pt idx="108">
                  <c:v>5.0295255882320491E-2</c:v>
                </c:pt>
                <c:pt idx="109">
                  <c:v>5.0257783023768911E-2</c:v>
                </c:pt>
                <c:pt idx="110">
                  <c:v>5.0230475258592339E-2</c:v>
                </c:pt>
                <c:pt idx="111">
                  <c:v>5.0213040626193389E-2</c:v>
                </c:pt>
                <c:pt idx="112">
                  <c:v>5.0194705313403212E-2</c:v>
                </c:pt>
                <c:pt idx="113">
                  <c:v>5.0157554181997396E-2</c:v>
                </c:pt>
                <c:pt idx="114">
                  <c:v>5.0130852852840926E-2</c:v>
                </c:pt>
                <c:pt idx="115">
                  <c:v>5.0113396209267184E-2</c:v>
                </c:pt>
                <c:pt idx="116">
                  <c:v>5.0094948767352196E-2</c:v>
                </c:pt>
                <c:pt idx="117">
                  <c:v>5.0057989049575979E-2</c:v>
                </c:pt>
                <c:pt idx="118">
                  <c:v>5.0031315647836999E-2</c:v>
                </c:pt>
                <c:pt idx="119">
                  <c:v>5.0013736983563296E-2</c:v>
                </c:pt>
                <c:pt idx="120">
                  <c:v>4.9995186121761764E-2</c:v>
                </c:pt>
                <c:pt idx="121">
                  <c:v>4.9983293819099425E-2</c:v>
                </c:pt>
                <c:pt idx="122">
                  <c:v>4.9981263413505131E-2</c:v>
                </c:pt>
                <c:pt idx="123">
                  <c:v>4.9988736188386798E-2</c:v>
                </c:pt>
                <c:pt idx="124">
                  <c:v>4.9995253862534714E-2</c:v>
                </c:pt>
                <c:pt idx="125">
                  <c:v>4.9983525213884834E-2</c:v>
                </c:pt>
                <c:pt idx="126">
                  <c:v>4.9981518916227499E-2</c:v>
                </c:pt>
                <c:pt idx="127">
                  <c:v>4.998916429468938E-2</c:v>
                </c:pt>
                <c:pt idx="128">
                  <c:v>4.9994971814300043E-2</c:v>
                </c:pt>
                <c:pt idx="129">
                  <c:v>4.9983611218518555E-2</c:v>
                </c:pt>
                <c:pt idx="130">
                  <c:v>4.9981814670508169E-2</c:v>
                </c:pt>
                <c:pt idx="131">
                  <c:v>4.9989301080582638E-2</c:v>
                </c:pt>
                <c:pt idx="132">
                  <c:v>4.999503433449979E-2</c:v>
                </c:pt>
                <c:pt idx="133">
                  <c:v>4.9983811875095319E-2</c:v>
                </c:pt>
                <c:pt idx="134">
                  <c:v>4.9982033964810949E-2</c:v>
                </c:pt>
                <c:pt idx="135">
                  <c:v>4.9989428180296919E-2</c:v>
                </c:pt>
                <c:pt idx="136">
                  <c:v>4.9995092449008384E-2</c:v>
                </c:pt>
                <c:pt idx="137">
                  <c:v>4.9983998461151563E-2</c:v>
                </c:pt>
                <c:pt idx="138">
                  <c:v>4.9982237955260606E-2</c:v>
                </c:pt>
                <c:pt idx="139">
                  <c:v>4.9989546451522253E-2</c:v>
                </c:pt>
                <c:pt idx="140">
                  <c:v>4.9995146545459612E-2</c:v>
                </c:pt>
                <c:pt idx="141">
                  <c:v>4.9984172206709247E-2</c:v>
                </c:pt>
                <c:pt idx="142">
                  <c:v>4.9982427971270796E-2</c:v>
                </c:pt>
                <c:pt idx="143">
                  <c:v>4.9989797965661324E-2</c:v>
                </c:pt>
                <c:pt idx="144">
                  <c:v>4.9994120327597917E-2</c:v>
                </c:pt>
                <c:pt idx="145">
                  <c:v>4.9983675789538148E-2</c:v>
                </c:pt>
                <c:pt idx="146">
                  <c:v>4.9982686757732812E-2</c:v>
                </c:pt>
                <c:pt idx="147">
                  <c:v>4.9989899346556343E-2</c:v>
                </c:pt>
                <c:pt idx="148">
                  <c:v>4.9994177913600425E-2</c:v>
                </c:pt>
                <c:pt idx="149">
                  <c:v>4.9983833325078962E-2</c:v>
                </c:pt>
                <c:pt idx="150">
                  <c:v>4.998285142358791E-2</c:v>
                </c:pt>
                <c:pt idx="151">
                  <c:v>4.9989994044080853E-2</c:v>
                </c:pt>
                <c:pt idx="152">
                  <c:v>4.9994231718392575E-2</c:v>
                </c:pt>
                <c:pt idx="153">
                  <c:v>4.9983980557838682E-2</c:v>
                </c:pt>
                <c:pt idx="154">
                  <c:v>4.9983005362268441E-2</c:v>
                </c:pt>
                <c:pt idx="155">
                  <c:v>4.9990082595976537E-2</c:v>
                </c:pt>
                <c:pt idx="156">
                  <c:v>4.9994282044550961E-2</c:v>
                </c:pt>
                <c:pt idx="157">
                  <c:v>4.9984118307717325E-2</c:v>
                </c:pt>
                <c:pt idx="158">
                  <c:v>4.9983149422851515E-2</c:v>
                </c:pt>
                <c:pt idx="159">
                  <c:v>4.9990534309244265E-2</c:v>
                </c:pt>
                <c:pt idx="160">
                  <c:v>4.9994710953980434E-2</c:v>
                </c:pt>
                <c:pt idx="161">
                  <c:v>4.9984624014483149E-2</c:v>
                </c:pt>
                <c:pt idx="162">
                  <c:v>4.99831864468019E-2</c:v>
                </c:pt>
                <c:pt idx="163">
                  <c:v>4.9990609038633373E-2</c:v>
                </c:pt>
                <c:pt idx="164">
                  <c:v>4.9994752128110269E-2</c:v>
                </c:pt>
                <c:pt idx="165">
                  <c:v>4.9984742015752898E-2</c:v>
                </c:pt>
                <c:pt idx="166">
                  <c:v>4.9983313675726233E-2</c:v>
                </c:pt>
                <c:pt idx="167">
                  <c:v>4.9990679120668763E-2</c:v>
                </c:pt>
                <c:pt idx="168">
                  <c:v>4.9994790749952819E-2</c:v>
                </c:pt>
                <c:pt idx="169">
                  <c:v>4.9984852726273739E-2</c:v>
                </c:pt>
                <c:pt idx="170">
                  <c:v>4.9983433068797142E-2</c:v>
                </c:pt>
                <c:pt idx="171">
                  <c:v>4.9990744899851912E-2</c:v>
                </c:pt>
                <c:pt idx="172">
                  <c:v>4.9994827007822769E-2</c:v>
                </c:pt>
                <c:pt idx="173">
                  <c:v>4.998495668144181E-2</c:v>
                </c:pt>
                <c:pt idx="174">
                  <c:v>4.9983545198787456E-2</c:v>
                </c:pt>
                <c:pt idx="175">
                  <c:v>4.9991053169126144E-2</c:v>
                </c:pt>
                <c:pt idx="176">
                  <c:v>4.9994554287849803E-2</c:v>
                </c:pt>
                <c:pt idx="177">
                  <c:v>4.998494043416931E-2</c:v>
                </c:pt>
                <c:pt idx="178">
                  <c:v>4.9983876675460254E-2</c:v>
                </c:pt>
                <c:pt idx="179">
                  <c:v>4.9991109679726232E-2</c:v>
                </c:pt>
                <c:pt idx="180">
                  <c:v>4.999458821782448E-2</c:v>
                </c:pt>
                <c:pt idx="181">
                  <c:v>4.9985032969012341E-2</c:v>
                </c:pt>
                <c:pt idx="182">
                  <c:v>4.9983974397868162E-2</c:v>
                </c:pt>
                <c:pt idx="183">
                  <c:v>4.9991162839623016E-2</c:v>
                </c:pt>
                <c:pt idx="184">
                  <c:v>4.999462014131878E-2</c:v>
                </c:pt>
                <c:pt idx="185">
                  <c:v>4.9985120046345692E-2</c:v>
                </c:pt>
                <c:pt idx="186">
                  <c:v>4.9984066371840191E-2</c:v>
                </c:pt>
                <c:pt idx="187">
                  <c:v>4.999121288039042E-2</c:v>
                </c:pt>
                <c:pt idx="188">
                  <c:v>4.9994650196451496E-2</c:v>
                </c:pt>
                <c:pt idx="189">
                  <c:v>4.9985202040332417E-2</c:v>
                </c:pt>
                <c:pt idx="190">
                  <c:v>4.9984152989933771E-2</c:v>
                </c:pt>
                <c:pt idx="191">
                  <c:v>4.999152422299491E-2</c:v>
                </c:pt>
                <c:pt idx="192">
                  <c:v>4.9994390998942734E-2</c:v>
                </c:pt>
                <c:pt idx="193">
                  <c:v>4.9985179901163634E-2</c:v>
                </c:pt>
                <c:pt idx="194">
                  <c:v>4.998431023397612E-2</c:v>
                </c:pt>
                <c:pt idx="195">
                  <c:v>4.9991567289137333E-2</c:v>
                </c:pt>
                <c:pt idx="196">
                  <c:v>4.9994419120191841E-2</c:v>
                </c:pt>
                <c:pt idx="197">
                  <c:v>4.9985253199741057E-2</c:v>
                </c:pt>
                <c:pt idx="198">
                  <c:v>4.9984386799877989E-2</c:v>
                </c:pt>
                <c:pt idx="199">
                  <c:v>4.9991607899589299E-2</c:v>
                </c:pt>
                <c:pt idx="200">
                  <c:v>4.9994445641424162E-2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test!$H$1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cat>
            <c:numRef>
              <c:f>test!$A$2:$A$202</c:f>
              <c:numCache>
                <c:formatCode>yyyy-m-d</c:formatCode>
                <c:ptCount val="201"/>
                <c:pt idx="0">
                  <c:v>41138</c:v>
                </c:pt>
                <c:pt idx="1">
                  <c:v>41232</c:v>
                </c:pt>
                <c:pt idx="2">
                  <c:v>41324</c:v>
                </c:pt>
                <c:pt idx="3">
                  <c:v>41414</c:v>
                </c:pt>
                <c:pt idx="4">
                  <c:v>41506</c:v>
                </c:pt>
                <c:pt idx="5">
                  <c:v>41598</c:v>
                </c:pt>
                <c:pt idx="6">
                  <c:v>41690</c:v>
                </c:pt>
                <c:pt idx="7">
                  <c:v>41779</c:v>
                </c:pt>
                <c:pt idx="8">
                  <c:v>41871</c:v>
                </c:pt>
                <c:pt idx="9">
                  <c:v>41963</c:v>
                </c:pt>
                <c:pt idx="10">
                  <c:v>42055</c:v>
                </c:pt>
                <c:pt idx="11">
                  <c:v>42144</c:v>
                </c:pt>
                <c:pt idx="12">
                  <c:v>42236</c:v>
                </c:pt>
                <c:pt idx="13">
                  <c:v>42328</c:v>
                </c:pt>
                <c:pt idx="14">
                  <c:v>42422</c:v>
                </c:pt>
                <c:pt idx="15">
                  <c:v>42513</c:v>
                </c:pt>
                <c:pt idx="16">
                  <c:v>42605</c:v>
                </c:pt>
                <c:pt idx="17">
                  <c:v>42697</c:v>
                </c:pt>
                <c:pt idx="18">
                  <c:v>42789</c:v>
                </c:pt>
                <c:pt idx="19">
                  <c:v>42878</c:v>
                </c:pt>
                <c:pt idx="20">
                  <c:v>42970</c:v>
                </c:pt>
                <c:pt idx="21">
                  <c:v>43062</c:v>
                </c:pt>
                <c:pt idx="22">
                  <c:v>43154</c:v>
                </c:pt>
                <c:pt idx="23">
                  <c:v>43243</c:v>
                </c:pt>
                <c:pt idx="24">
                  <c:v>43335</c:v>
                </c:pt>
                <c:pt idx="25">
                  <c:v>43427</c:v>
                </c:pt>
                <c:pt idx="26">
                  <c:v>43521</c:v>
                </c:pt>
                <c:pt idx="27">
                  <c:v>43612</c:v>
                </c:pt>
                <c:pt idx="28">
                  <c:v>43704</c:v>
                </c:pt>
                <c:pt idx="29">
                  <c:v>43796</c:v>
                </c:pt>
                <c:pt idx="30">
                  <c:v>43888</c:v>
                </c:pt>
                <c:pt idx="31">
                  <c:v>43978</c:v>
                </c:pt>
                <c:pt idx="32">
                  <c:v>44070</c:v>
                </c:pt>
                <c:pt idx="33">
                  <c:v>44162</c:v>
                </c:pt>
                <c:pt idx="34">
                  <c:v>44256</c:v>
                </c:pt>
                <c:pt idx="35">
                  <c:v>44348</c:v>
                </c:pt>
                <c:pt idx="36">
                  <c:v>44440</c:v>
                </c:pt>
                <c:pt idx="37">
                  <c:v>44531</c:v>
                </c:pt>
                <c:pt idx="38">
                  <c:v>44621</c:v>
                </c:pt>
                <c:pt idx="39">
                  <c:v>44713</c:v>
                </c:pt>
                <c:pt idx="40">
                  <c:v>44805</c:v>
                </c:pt>
                <c:pt idx="41">
                  <c:v>44896</c:v>
                </c:pt>
                <c:pt idx="42">
                  <c:v>44986</c:v>
                </c:pt>
                <c:pt idx="43">
                  <c:v>45078</c:v>
                </c:pt>
                <c:pt idx="44">
                  <c:v>45170</c:v>
                </c:pt>
                <c:pt idx="45">
                  <c:v>45261</c:v>
                </c:pt>
                <c:pt idx="46">
                  <c:v>45352</c:v>
                </c:pt>
                <c:pt idx="47">
                  <c:v>45446</c:v>
                </c:pt>
                <c:pt idx="48">
                  <c:v>45538</c:v>
                </c:pt>
                <c:pt idx="49">
                  <c:v>45629</c:v>
                </c:pt>
                <c:pt idx="50">
                  <c:v>45719</c:v>
                </c:pt>
                <c:pt idx="51">
                  <c:v>45811</c:v>
                </c:pt>
                <c:pt idx="52">
                  <c:v>45903</c:v>
                </c:pt>
                <c:pt idx="53">
                  <c:v>45994</c:v>
                </c:pt>
                <c:pt idx="54">
                  <c:v>46084</c:v>
                </c:pt>
                <c:pt idx="55">
                  <c:v>46176</c:v>
                </c:pt>
                <c:pt idx="56">
                  <c:v>46268</c:v>
                </c:pt>
                <c:pt idx="57">
                  <c:v>46359</c:v>
                </c:pt>
                <c:pt idx="58">
                  <c:v>46449</c:v>
                </c:pt>
                <c:pt idx="59">
                  <c:v>46541</c:v>
                </c:pt>
                <c:pt idx="60">
                  <c:v>46633</c:v>
                </c:pt>
                <c:pt idx="61">
                  <c:v>46724</c:v>
                </c:pt>
                <c:pt idx="62">
                  <c:v>46815</c:v>
                </c:pt>
                <c:pt idx="63">
                  <c:v>46909</c:v>
                </c:pt>
                <c:pt idx="64">
                  <c:v>47001</c:v>
                </c:pt>
                <c:pt idx="65">
                  <c:v>47092</c:v>
                </c:pt>
                <c:pt idx="66">
                  <c:v>47182</c:v>
                </c:pt>
                <c:pt idx="67">
                  <c:v>47274</c:v>
                </c:pt>
                <c:pt idx="68">
                  <c:v>47366</c:v>
                </c:pt>
                <c:pt idx="69">
                  <c:v>47457</c:v>
                </c:pt>
                <c:pt idx="70">
                  <c:v>47547</c:v>
                </c:pt>
                <c:pt idx="71">
                  <c:v>47639</c:v>
                </c:pt>
                <c:pt idx="72">
                  <c:v>47731</c:v>
                </c:pt>
                <c:pt idx="73">
                  <c:v>47822</c:v>
                </c:pt>
                <c:pt idx="74">
                  <c:v>47912</c:v>
                </c:pt>
                <c:pt idx="75">
                  <c:v>48004</c:v>
                </c:pt>
                <c:pt idx="76">
                  <c:v>48096</c:v>
                </c:pt>
                <c:pt idx="77">
                  <c:v>48187</c:v>
                </c:pt>
                <c:pt idx="78">
                  <c:v>48278</c:v>
                </c:pt>
                <c:pt idx="79">
                  <c:v>48372</c:v>
                </c:pt>
                <c:pt idx="80">
                  <c:v>48464</c:v>
                </c:pt>
                <c:pt idx="81">
                  <c:v>48555</c:v>
                </c:pt>
                <c:pt idx="82">
                  <c:v>48645</c:v>
                </c:pt>
                <c:pt idx="83">
                  <c:v>48737</c:v>
                </c:pt>
                <c:pt idx="84">
                  <c:v>48829</c:v>
                </c:pt>
                <c:pt idx="85">
                  <c:v>48920</c:v>
                </c:pt>
                <c:pt idx="86">
                  <c:v>49010</c:v>
                </c:pt>
                <c:pt idx="87">
                  <c:v>49102</c:v>
                </c:pt>
                <c:pt idx="88">
                  <c:v>49194</c:v>
                </c:pt>
                <c:pt idx="89">
                  <c:v>49285</c:v>
                </c:pt>
                <c:pt idx="90">
                  <c:v>49375</c:v>
                </c:pt>
                <c:pt idx="91">
                  <c:v>49467</c:v>
                </c:pt>
                <c:pt idx="92">
                  <c:v>49559</c:v>
                </c:pt>
                <c:pt idx="93">
                  <c:v>49650</c:v>
                </c:pt>
                <c:pt idx="94">
                  <c:v>49741</c:v>
                </c:pt>
                <c:pt idx="95">
                  <c:v>49835</c:v>
                </c:pt>
                <c:pt idx="96">
                  <c:v>49927</c:v>
                </c:pt>
                <c:pt idx="97">
                  <c:v>50018</c:v>
                </c:pt>
                <c:pt idx="98">
                  <c:v>50108</c:v>
                </c:pt>
                <c:pt idx="99">
                  <c:v>50200</c:v>
                </c:pt>
                <c:pt idx="100">
                  <c:v>50292</c:v>
                </c:pt>
                <c:pt idx="101">
                  <c:v>50383</c:v>
                </c:pt>
                <c:pt idx="102">
                  <c:v>50473</c:v>
                </c:pt>
                <c:pt idx="103">
                  <c:v>50565</c:v>
                </c:pt>
                <c:pt idx="104">
                  <c:v>50657</c:v>
                </c:pt>
                <c:pt idx="105">
                  <c:v>50748</c:v>
                </c:pt>
                <c:pt idx="106">
                  <c:v>50838</c:v>
                </c:pt>
                <c:pt idx="107">
                  <c:v>50930</c:v>
                </c:pt>
                <c:pt idx="108">
                  <c:v>51022</c:v>
                </c:pt>
                <c:pt idx="109">
                  <c:v>51113</c:v>
                </c:pt>
                <c:pt idx="110">
                  <c:v>51204</c:v>
                </c:pt>
                <c:pt idx="111">
                  <c:v>51298</c:v>
                </c:pt>
                <c:pt idx="112">
                  <c:v>51390</c:v>
                </c:pt>
                <c:pt idx="113">
                  <c:v>51481</c:v>
                </c:pt>
                <c:pt idx="114">
                  <c:v>51571</c:v>
                </c:pt>
                <c:pt idx="115">
                  <c:v>51663</c:v>
                </c:pt>
                <c:pt idx="116">
                  <c:v>51755</c:v>
                </c:pt>
                <c:pt idx="117">
                  <c:v>51846</c:v>
                </c:pt>
                <c:pt idx="118">
                  <c:v>51936</c:v>
                </c:pt>
                <c:pt idx="119">
                  <c:v>52028</c:v>
                </c:pt>
                <c:pt idx="120">
                  <c:v>52120</c:v>
                </c:pt>
                <c:pt idx="121">
                  <c:v>52211</c:v>
                </c:pt>
                <c:pt idx="122">
                  <c:v>52301</c:v>
                </c:pt>
                <c:pt idx="123">
                  <c:v>52393</c:v>
                </c:pt>
                <c:pt idx="124">
                  <c:v>52485</c:v>
                </c:pt>
                <c:pt idx="125">
                  <c:v>52576</c:v>
                </c:pt>
                <c:pt idx="126">
                  <c:v>52667</c:v>
                </c:pt>
                <c:pt idx="127">
                  <c:v>52761</c:v>
                </c:pt>
                <c:pt idx="128">
                  <c:v>52853</c:v>
                </c:pt>
                <c:pt idx="129">
                  <c:v>52944</c:v>
                </c:pt>
                <c:pt idx="130">
                  <c:v>53034</c:v>
                </c:pt>
                <c:pt idx="131">
                  <c:v>53126</c:v>
                </c:pt>
                <c:pt idx="132">
                  <c:v>53218</c:v>
                </c:pt>
                <c:pt idx="133">
                  <c:v>53309</c:v>
                </c:pt>
                <c:pt idx="134">
                  <c:v>53399</c:v>
                </c:pt>
                <c:pt idx="135">
                  <c:v>53491</c:v>
                </c:pt>
                <c:pt idx="136">
                  <c:v>53583</c:v>
                </c:pt>
                <c:pt idx="137">
                  <c:v>53674</c:v>
                </c:pt>
                <c:pt idx="138">
                  <c:v>53764</c:v>
                </c:pt>
                <c:pt idx="139">
                  <c:v>53856</c:v>
                </c:pt>
                <c:pt idx="140">
                  <c:v>53948</c:v>
                </c:pt>
                <c:pt idx="141">
                  <c:v>54039</c:v>
                </c:pt>
                <c:pt idx="142">
                  <c:v>54130</c:v>
                </c:pt>
                <c:pt idx="143">
                  <c:v>54224</c:v>
                </c:pt>
                <c:pt idx="144">
                  <c:v>54316</c:v>
                </c:pt>
                <c:pt idx="145">
                  <c:v>54407</c:v>
                </c:pt>
                <c:pt idx="146">
                  <c:v>54497</c:v>
                </c:pt>
                <c:pt idx="147">
                  <c:v>54589</c:v>
                </c:pt>
                <c:pt idx="148">
                  <c:v>54681</c:v>
                </c:pt>
                <c:pt idx="149">
                  <c:v>54772</c:v>
                </c:pt>
                <c:pt idx="150">
                  <c:v>54862</c:v>
                </c:pt>
                <c:pt idx="151">
                  <c:v>54954</c:v>
                </c:pt>
                <c:pt idx="152">
                  <c:v>55046</c:v>
                </c:pt>
                <c:pt idx="153">
                  <c:v>55137</c:v>
                </c:pt>
                <c:pt idx="154">
                  <c:v>55227</c:v>
                </c:pt>
                <c:pt idx="155">
                  <c:v>55319</c:v>
                </c:pt>
                <c:pt idx="156">
                  <c:v>55411</c:v>
                </c:pt>
                <c:pt idx="157">
                  <c:v>55502</c:v>
                </c:pt>
                <c:pt idx="158">
                  <c:v>55593</c:v>
                </c:pt>
                <c:pt idx="159">
                  <c:v>55687</c:v>
                </c:pt>
                <c:pt idx="160">
                  <c:v>55779</c:v>
                </c:pt>
                <c:pt idx="161">
                  <c:v>55870</c:v>
                </c:pt>
                <c:pt idx="162">
                  <c:v>55960</c:v>
                </c:pt>
                <c:pt idx="163">
                  <c:v>56052</c:v>
                </c:pt>
                <c:pt idx="164">
                  <c:v>56144</c:v>
                </c:pt>
                <c:pt idx="165">
                  <c:v>56235</c:v>
                </c:pt>
                <c:pt idx="166">
                  <c:v>56325</c:v>
                </c:pt>
                <c:pt idx="167">
                  <c:v>56417</c:v>
                </c:pt>
                <c:pt idx="168">
                  <c:v>56509</c:v>
                </c:pt>
                <c:pt idx="169">
                  <c:v>56600</c:v>
                </c:pt>
                <c:pt idx="170">
                  <c:v>56690</c:v>
                </c:pt>
                <c:pt idx="171">
                  <c:v>56782</c:v>
                </c:pt>
                <c:pt idx="172">
                  <c:v>56874</c:v>
                </c:pt>
                <c:pt idx="173">
                  <c:v>56965</c:v>
                </c:pt>
                <c:pt idx="174">
                  <c:v>57056</c:v>
                </c:pt>
                <c:pt idx="175">
                  <c:v>57150</c:v>
                </c:pt>
                <c:pt idx="176">
                  <c:v>57242</c:v>
                </c:pt>
                <c:pt idx="177">
                  <c:v>57333</c:v>
                </c:pt>
                <c:pt idx="178">
                  <c:v>57423</c:v>
                </c:pt>
                <c:pt idx="179">
                  <c:v>57515</c:v>
                </c:pt>
                <c:pt idx="180">
                  <c:v>57607</c:v>
                </c:pt>
                <c:pt idx="181">
                  <c:v>57698</c:v>
                </c:pt>
                <c:pt idx="182">
                  <c:v>57788</c:v>
                </c:pt>
                <c:pt idx="183">
                  <c:v>57880</c:v>
                </c:pt>
                <c:pt idx="184">
                  <c:v>57972</c:v>
                </c:pt>
                <c:pt idx="185">
                  <c:v>58063</c:v>
                </c:pt>
                <c:pt idx="186">
                  <c:v>58153</c:v>
                </c:pt>
                <c:pt idx="187">
                  <c:v>58245</c:v>
                </c:pt>
                <c:pt idx="188">
                  <c:v>58337</c:v>
                </c:pt>
                <c:pt idx="189">
                  <c:v>58428</c:v>
                </c:pt>
                <c:pt idx="190">
                  <c:v>58519</c:v>
                </c:pt>
                <c:pt idx="191">
                  <c:v>58613</c:v>
                </c:pt>
                <c:pt idx="192">
                  <c:v>58705</c:v>
                </c:pt>
                <c:pt idx="193">
                  <c:v>58796</c:v>
                </c:pt>
                <c:pt idx="194">
                  <c:v>58886</c:v>
                </c:pt>
                <c:pt idx="195">
                  <c:v>58978</c:v>
                </c:pt>
                <c:pt idx="196">
                  <c:v>59070</c:v>
                </c:pt>
                <c:pt idx="197">
                  <c:v>59161</c:v>
                </c:pt>
                <c:pt idx="198">
                  <c:v>59251</c:v>
                </c:pt>
                <c:pt idx="199">
                  <c:v>59343</c:v>
                </c:pt>
                <c:pt idx="200">
                  <c:v>59435</c:v>
                </c:pt>
              </c:numCache>
            </c:numRef>
          </c:cat>
          <c:val>
            <c:numRef>
              <c:f>test!$H$2:$H$202</c:f>
              <c:numCache>
                <c:formatCode>G/通用格式</c:formatCode>
                <c:ptCount val="201"/>
                <c:pt idx="0">
                  <c:v>4.9095604781046007E-2</c:v>
                </c:pt>
                <c:pt idx="1">
                  <c:v>4.9095604781046007E-2</c:v>
                </c:pt>
                <c:pt idx="2">
                  <c:v>4.9396874776212463E-2</c:v>
                </c:pt>
                <c:pt idx="3">
                  <c:v>4.9703998427645578E-2</c:v>
                </c:pt>
                <c:pt idx="4">
                  <c:v>4.9989591808261472E-2</c:v>
                </c:pt>
                <c:pt idx="5">
                  <c:v>4.9807738163394767E-2</c:v>
                </c:pt>
                <c:pt idx="6">
                  <c:v>4.9791280181410325E-2</c:v>
                </c:pt>
                <c:pt idx="7">
                  <c:v>4.986878705526112E-2</c:v>
                </c:pt>
                <c:pt idx="8">
                  <c:v>4.9994646322111549E-2</c:v>
                </c:pt>
                <c:pt idx="9">
                  <c:v>4.9890083892058353E-2</c:v>
                </c:pt>
                <c:pt idx="10">
                  <c:v>4.987123605799787E-2</c:v>
                </c:pt>
                <c:pt idx="11">
                  <c:v>4.9914251401490327E-2</c:v>
                </c:pt>
                <c:pt idx="12">
                  <c:v>4.9996339373731269E-2</c:v>
                </c:pt>
                <c:pt idx="13">
                  <c:v>4.9921929297289232E-2</c:v>
                </c:pt>
                <c:pt idx="14">
                  <c:v>4.9906013211564008E-2</c:v>
                </c:pt>
                <c:pt idx="15">
                  <c:v>4.9937311436353153E-2</c:v>
                </c:pt>
                <c:pt idx="16">
                  <c:v>4.9994569235313605E-2</c:v>
                </c:pt>
                <c:pt idx="17">
                  <c:v>4.9937810135054606E-2</c:v>
                </c:pt>
                <c:pt idx="18">
                  <c:v>4.9923529019879648E-2</c:v>
                </c:pt>
                <c:pt idx="19">
                  <c:v>4.9949270328347811E-2</c:v>
                </c:pt>
                <c:pt idx="20">
                  <c:v>4.999554830006428E-2</c:v>
                </c:pt>
                <c:pt idx="21">
                  <c:v>4.994841195727745E-2</c:v>
                </c:pt>
                <c:pt idx="22">
                  <c:v>4.9935892568078281E-2</c:v>
                </c:pt>
                <c:pt idx="23">
                  <c:v>4.9957069967986122E-2</c:v>
                </c:pt>
                <c:pt idx="24">
                  <c:v>4.9996200636936362E-2</c:v>
                </c:pt>
                <c:pt idx="25">
                  <c:v>4.9955617737935651E-2</c:v>
                </c:pt>
                <c:pt idx="26">
                  <c:v>4.9945695634951742E-2</c:v>
                </c:pt>
                <c:pt idx="27">
                  <c:v>4.9963897184124098E-2</c:v>
                </c:pt>
                <c:pt idx="28">
                  <c:v>4.9994453636780685E-2</c:v>
                </c:pt>
                <c:pt idx="29">
                  <c:v>4.9959819456683617E-2</c:v>
                </c:pt>
                <c:pt idx="30">
                  <c:v>4.9951889729051478E-2</c:v>
                </c:pt>
                <c:pt idx="31">
                  <c:v>4.9967805934997014E-2</c:v>
                </c:pt>
                <c:pt idx="32">
                  <c:v>4.999503197717655E-2</c:v>
                </c:pt>
                <c:pt idx="33">
                  <c:v>4.9963853846758867E-2</c:v>
                </c:pt>
                <c:pt idx="34">
                  <c:v>4.995677973729467E-2</c:v>
                </c:pt>
                <c:pt idx="35">
                  <c:v>4.997157842252764E-2</c:v>
                </c:pt>
                <c:pt idx="36">
                  <c:v>4.9991977387831781E-2</c:v>
                </c:pt>
                <c:pt idx="37">
                  <c:v>4.9965065337496263E-2</c:v>
                </c:pt>
                <c:pt idx="38">
                  <c:v>4.9960423161874358E-2</c:v>
                </c:pt>
                <c:pt idx="39">
                  <c:v>4.9973898465538638E-2</c:v>
                </c:pt>
                <c:pt idx="40">
                  <c:v>4.9992612006209414E-2</c:v>
                </c:pt>
                <c:pt idx="41">
                  <c:v>4.9967742580478258E-2</c:v>
                </c:pt>
                <c:pt idx="42">
                  <c:v>4.9963364438895486E-2</c:v>
                </c:pt>
                <c:pt idx="43">
                  <c:v>4.9975781288927677E-2</c:v>
                </c:pt>
                <c:pt idx="44">
                  <c:v>4.999312960056819E-2</c:v>
                </c:pt>
                <c:pt idx="45">
                  <c:v>4.9969936786199785E-2</c:v>
                </c:pt>
                <c:pt idx="46">
                  <c:v>4.9965786072669327E-2</c:v>
                </c:pt>
                <c:pt idx="47">
                  <c:v>4.9978084342686427E-2</c:v>
                </c:pt>
                <c:pt idx="48">
                  <c:v>4.9994314045804712E-2</c:v>
                </c:pt>
                <c:pt idx="49">
                  <c:v>4.9972506836444497E-2</c:v>
                </c:pt>
                <c:pt idx="50">
                  <c:v>4.9967567839578848E-2</c:v>
                </c:pt>
                <c:pt idx="51">
                  <c:v>4.9979347943782428E-2</c:v>
                </c:pt>
                <c:pt idx="52">
                  <c:v>4.9994633539580224E-2</c:v>
                </c:pt>
                <c:pt idx="53">
                  <c:v>4.9974011812553454E-2</c:v>
                </c:pt>
                <c:pt idx="54">
                  <c:v>4.9969298505160686E-2</c:v>
                </c:pt>
                <c:pt idx="55">
                  <c:v>4.9980422955790631E-2</c:v>
                </c:pt>
                <c:pt idx="56">
                  <c:v>4.9994906134179062E-2</c:v>
                </c:pt>
                <c:pt idx="57">
                  <c:v>4.997529953064335E-2</c:v>
                </c:pt>
                <c:pt idx="58">
                  <c:v>4.9970783341287857E-2</c:v>
                </c:pt>
                <c:pt idx="59">
                  <c:v>4.9981347642161396E-2</c:v>
                </c:pt>
                <c:pt idx="60">
                  <c:v>4.9995141189443974E-2</c:v>
                </c:pt>
                <c:pt idx="61">
                  <c:v>4.9976412632679865E-2</c:v>
                </c:pt>
                <c:pt idx="62">
                  <c:v>4.9972069822365968E-2</c:v>
                </c:pt>
                <c:pt idx="63">
                  <c:v>4.9982523010446457E-2</c:v>
                </c:pt>
                <c:pt idx="64">
                  <c:v>4.9994807317381124E-2</c:v>
                </c:pt>
                <c:pt idx="65">
                  <c:v>4.997716527689737E-2</c:v>
                </c:pt>
                <c:pt idx="66">
                  <c:v>4.9973548313188461E-2</c:v>
                </c:pt>
                <c:pt idx="67">
                  <c:v>4.9983210979060284E-2</c:v>
                </c:pt>
                <c:pt idx="68">
                  <c:v>4.9995007382807002E-2</c:v>
                </c:pt>
                <c:pt idx="69">
                  <c:v>4.9978026057426954E-2</c:v>
                </c:pt>
                <c:pt idx="70">
                  <c:v>4.997452435650198E-2</c:v>
                </c:pt>
                <c:pt idx="71">
                  <c:v>4.998381765147792E-2</c:v>
                </c:pt>
                <c:pt idx="72">
                  <c:v>4.9995184095926133E-2</c:v>
                </c:pt>
                <c:pt idx="73">
                  <c:v>4.997878760509035E-2</c:v>
                </c:pt>
                <c:pt idx="74">
                  <c:v>4.9975389228137539E-2</c:v>
                </c:pt>
                <c:pt idx="75">
                  <c:v>4.9984356028596487E-2</c:v>
                </c:pt>
                <c:pt idx="76">
                  <c:v>4.9995341143264801E-2</c:v>
                </c:pt>
                <c:pt idx="77">
                  <c:v>4.9979465381493247E-2</c:v>
                </c:pt>
                <c:pt idx="78">
                  <c:v>4.997616003024323E-2</c:v>
                </c:pt>
                <c:pt idx="79">
                  <c:v>4.9985191177254314E-2</c:v>
                </c:pt>
                <c:pt idx="80">
                  <c:v>4.9995029254991705E-2</c:v>
                </c:pt>
                <c:pt idx="81">
                  <c:v>5.0004786934145999E-2</c:v>
                </c:pt>
                <c:pt idx="82">
                  <c:v>5.002643656663508E-2</c:v>
                </c:pt>
                <c:pt idx="83">
                  <c:v>5.0060283615744307E-2</c:v>
                </c:pt>
                <c:pt idx="84">
                  <c:v>5.0095003702597111E-2</c:v>
                </c:pt>
                <c:pt idx="85">
                  <c:v>5.0105172544507567E-2</c:v>
                </c:pt>
                <c:pt idx="86">
                  <c:v>5.0126891529362817E-2</c:v>
                </c:pt>
                <c:pt idx="87">
                  <c:v>5.0160498502318809E-2</c:v>
                </c:pt>
                <c:pt idx="88">
                  <c:v>5.0194964555892931E-2</c:v>
                </c:pt>
                <c:pt idx="89">
                  <c:v>5.0205504736435182E-2</c:v>
                </c:pt>
                <c:pt idx="90">
                  <c:v>5.022728689353477E-2</c:v>
                </c:pt>
                <c:pt idx="91">
                  <c:v>5.0260677232497213E-2</c:v>
                </c:pt>
                <c:pt idx="92">
                  <c:v>5.0294913593536862E-2</c:v>
                </c:pt>
                <c:pt idx="93">
                  <c:v>5.0305790424740399E-2</c:v>
                </c:pt>
                <c:pt idx="94">
                  <c:v>5.0327903816786826E-2</c:v>
                </c:pt>
                <c:pt idx="95">
                  <c:v>5.0361852142374715E-2</c:v>
                </c:pt>
                <c:pt idx="96">
                  <c:v>5.039478274315945E-2</c:v>
                </c:pt>
                <c:pt idx="97">
                  <c:v>5.0406343564317994E-2</c:v>
                </c:pt>
                <c:pt idx="98">
                  <c:v>5.0428419717773232E-2</c:v>
                </c:pt>
                <c:pt idx="99">
                  <c:v>5.0461967070109769E-2</c:v>
                </c:pt>
                <c:pt idx="100">
                  <c:v>5.0494730894718981E-2</c:v>
                </c:pt>
                <c:pt idx="101">
                  <c:v>5.0506563025964547E-2</c:v>
                </c:pt>
                <c:pt idx="102">
                  <c:v>5.0528683835184079E-2</c:v>
                </c:pt>
                <c:pt idx="103">
                  <c:v>5.0562057916531483E-2</c:v>
                </c:pt>
                <c:pt idx="104">
                  <c:v>5.0594669430292311E-2</c:v>
                </c:pt>
                <c:pt idx="105">
                  <c:v>5.0606749881119947E-2</c:v>
                </c:pt>
                <c:pt idx="106">
                  <c:v>5.0628911818066454E-2</c:v>
                </c:pt>
                <c:pt idx="107">
                  <c:v>5.0662127403428375E-2</c:v>
                </c:pt>
                <c:pt idx="108">
                  <c:v>5.0694599427178258E-2</c:v>
                </c:pt>
                <c:pt idx="109">
                  <c:v>5.0706907750245937E-2</c:v>
                </c:pt>
                <c:pt idx="110">
                  <c:v>5.0729381166688618E-2</c:v>
                </c:pt>
                <c:pt idx="111">
                  <c:v>5.0763368853764507E-2</c:v>
                </c:pt>
                <c:pt idx="112">
                  <c:v>5.0795361768545447E-2</c:v>
                </c:pt>
                <c:pt idx="113">
                  <c:v>5.0807991818758884E-2</c:v>
                </c:pt>
                <c:pt idx="114">
                  <c:v>5.083052462526981E-2</c:v>
                </c:pt>
                <c:pt idx="115">
                  <c:v>5.0863396209267185E-2</c:v>
                </c:pt>
                <c:pt idx="116">
                  <c:v>5.0895276994923314E-2</c:v>
                </c:pt>
                <c:pt idx="117">
                  <c:v>5.0908098458766357E-2</c:v>
                </c:pt>
                <c:pt idx="118">
                  <c:v>5.0930659192694766E-2</c:v>
                </c:pt>
                <c:pt idx="119">
                  <c:v>5.096340875599218E-2</c:v>
                </c:pt>
                <c:pt idx="120">
                  <c:v>5.0995186121761765E-2</c:v>
                </c:pt>
                <c:pt idx="121">
                  <c:v>5.0970853627711865E-2</c:v>
                </c:pt>
                <c:pt idx="122">
                  <c:v>5.0956519736129878E-2</c:v>
                </c:pt>
                <c:pt idx="123">
                  <c:v>5.0951415614224116E-2</c:v>
                </c:pt>
                <c:pt idx="124">
                  <c:v>5.0945356391584609E-2</c:v>
                </c:pt>
                <c:pt idx="125">
                  <c:v>5.0921187551547169E-2</c:v>
                </c:pt>
                <c:pt idx="126">
                  <c:v>5.090674106250228E-2</c:v>
                </c:pt>
                <c:pt idx="127">
                  <c:v>5.0901536133377008E-2</c:v>
                </c:pt>
                <c:pt idx="128">
                  <c:v>5.0894766756200249E-2</c:v>
                </c:pt>
                <c:pt idx="129">
                  <c:v>5.08709659690312E-2</c:v>
                </c:pt>
                <c:pt idx="130">
                  <c:v>5.0856865935033121E-2</c:v>
                </c:pt>
                <c:pt idx="131">
                  <c:v>5.0851775448320161E-2</c:v>
                </c:pt>
                <c:pt idx="132">
                  <c:v>5.084493180544989E-2</c:v>
                </c:pt>
                <c:pt idx="133">
                  <c:v>5.0821269154657858E-2</c:v>
                </c:pt>
                <c:pt idx="134">
                  <c:v>5.0807187758385795E-2</c:v>
                </c:pt>
                <c:pt idx="135">
                  <c:v>5.0802005077084343E-2</c:v>
                </c:pt>
                <c:pt idx="136">
                  <c:v>5.0795092449008386E-2</c:v>
                </c:pt>
                <c:pt idx="137">
                  <c:v>5.0771558269764004E-2</c:v>
                </c:pt>
                <c:pt idx="138">
                  <c:v>5.0757494277885347E-2</c:v>
                </c:pt>
                <c:pt idx="139">
                  <c:v>5.0752225877359572E-2</c:v>
                </c:pt>
                <c:pt idx="140">
                  <c:v>5.0745249074509509E-2</c:v>
                </c:pt>
                <c:pt idx="141">
                  <c:v>5.0721834544371583E-2</c:v>
                </c:pt>
                <c:pt idx="142">
                  <c:v>5.070765011754557E-2</c:v>
                </c:pt>
                <c:pt idx="143">
                  <c:v>5.0702169804348954E-2</c:v>
                </c:pt>
                <c:pt idx="144">
                  <c:v>5.0693915269498124E-2</c:v>
                </c:pt>
                <c:pt idx="145">
                  <c:v>5.0671030540050795E-2</c:v>
                </c:pt>
                <c:pt idx="146">
                  <c:v>5.0657738022257759E-2</c:v>
                </c:pt>
                <c:pt idx="147">
                  <c:v>5.0652373714293868E-2</c:v>
                </c:pt>
                <c:pt idx="148">
                  <c:v>5.0644075384550527E-2</c:v>
                </c:pt>
                <c:pt idx="149">
                  <c:v>5.0621290604641503E-2</c:v>
                </c:pt>
                <c:pt idx="150">
                  <c:v>5.0608005217162758E-2</c:v>
                </c:pt>
                <c:pt idx="151">
                  <c:v>5.0602570940868279E-2</c:v>
                </c:pt>
                <c:pt idx="152">
                  <c:v>5.0594231718392578E-2</c:v>
                </c:pt>
                <c:pt idx="153">
                  <c:v>5.0571540366451125E-2</c:v>
                </c:pt>
                <c:pt idx="154">
                  <c:v>5.0558261684893184E-2</c:v>
                </c:pt>
                <c:pt idx="155">
                  <c:v>5.0552762021813857E-2</c:v>
                </c:pt>
                <c:pt idx="156">
                  <c:v>5.0544384573600859E-2</c:v>
                </c:pt>
                <c:pt idx="157">
                  <c:v>5.0521780645379662E-2</c:v>
                </c:pt>
                <c:pt idx="158">
                  <c:v>5.0508371569126291E-2</c:v>
                </c:pt>
                <c:pt idx="159">
                  <c:v>5.0502906147931896E-2</c:v>
                </c:pt>
                <c:pt idx="160">
                  <c:v>5.0494505895880643E-2</c:v>
                </c:pt>
                <c:pt idx="161">
                  <c:v>5.0471978764995797E-2</c:v>
                </c:pt>
                <c:pt idx="162">
                  <c:v>5.0458237711326848E-2</c:v>
                </c:pt>
                <c:pt idx="163">
                  <c:v>5.0453083406370898E-2</c:v>
                </c:pt>
                <c:pt idx="164">
                  <c:v>5.0444649599060372E-2</c:v>
                </c:pt>
                <c:pt idx="165">
                  <c:v>5.042219929531544E-2</c:v>
                </c:pt>
                <c:pt idx="166">
                  <c:v>5.0408467469301083E-2</c:v>
                </c:pt>
                <c:pt idx="167">
                  <c:v>5.0403256017456183E-2</c:v>
                </c:pt>
                <c:pt idx="168">
                  <c:v>5.0394790749952817E-2</c:v>
                </c:pt>
                <c:pt idx="169">
                  <c:v>5.0372412534886182E-2</c:v>
                </c:pt>
                <c:pt idx="170">
                  <c:v>5.0358689391421886E-2</c:v>
                </c:pt>
                <c:pt idx="171">
                  <c:v>5.0353424325689233E-2</c:v>
                </c:pt>
                <c:pt idx="172">
                  <c:v>5.0344929536872668E-2</c:v>
                </c:pt>
                <c:pt idx="173">
                  <c:v>5.0322619019104148E-2</c:v>
                </c:pt>
                <c:pt idx="174">
                  <c:v>5.0308767345062233E-2</c:v>
                </c:pt>
                <c:pt idx="175">
                  <c:v>5.0303425007813769E-2</c:v>
                </c:pt>
                <c:pt idx="176">
                  <c:v>5.0294349229750006E-2</c:v>
                </c:pt>
                <c:pt idx="177">
                  <c:v>5.0272295184681959E-2</c:v>
                </c:pt>
                <c:pt idx="178">
                  <c:v>5.0258927939985203E-2</c:v>
                </c:pt>
                <c:pt idx="179">
                  <c:v>5.0253584047463759E-2</c:v>
                </c:pt>
                <c:pt idx="180">
                  <c:v>5.0244485688774584E-2</c:v>
                </c:pt>
                <c:pt idx="181">
                  <c:v>5.0222490248574884E-2</c:v>
                </c:pt>
                <c:pt idx="182">
                  <c:v>5.0209128191443006E-2</c:v>
                </c:pt>
                <c:pt idx="183">
                  <c:v>5.0203739736410437E-2</c:v>
                </c:pt>
                <c:pt idx="184">
                  <c:v>5.0194620141318778E-2</c:v>
                </c:pt>
                <c:pt idx="185">
                  <c:v>5.017267985495813E-2</c:v>
                </c:pt>
                <c:pt idx="186">
                  <c:v>5.0159322694464936E-2</c:v>
                </c:pt>
                <c:pt idx="187">
                  <c:v>5.0153892306227743E-2</c:v>
                </c:pt>
                <c:pt idx="188">
                  <c:v>5.0144752725501396E-2</c:v>
                </c:pt>
                <c:pt idx="189">
                  <c:v>5.0122864377994757E-2</c:v>
                </c:pt>
                <c:pt idx="190">
                  <c:v>5.0109375136208549E-2</c:v>
                </c:pt>
                <c:pt idx="191">
                  <c:v>5.0103896061682536E-2</c:v>
                </c:pt>
                <c:pt idx="192">
                  <c:v>5.0094185940842938E-2</c:v>
                </c:pt>
                <c:pt idx="193">
                  <c:v>5.0072534651676277E-2</c:v>
                </c:pt>
                <c:pt idx="194">
                  <c:v>5.005936149850107E-2</c:v>
                </c:pt>
                <c:pt idx="195">
                  <c:v>5.0054041656874861E-2</c:v>
                </c:pt>
                <c:pt idx="196">
                  <c:v>5.0044316591141946E-2</c:v>
                </c:pt>
                <c:pt idx="197">
                  <c:v>5.0022710479303602E-2</c:v>
                </c:pt>
                <c:pt idx="198">
                  <c:v>5.0009540593452834E-2</c:v>
                </c:pt>
                <c:pt idx="199">
                  <c:v>5.0004184796376722E-2</c:v>
                </c:pt>
                <c:pt idx="200">
                  <c:v>4.9994445641424162E-2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166336"/>
        <c:axId val="427377024"/>
      </c:lineChart>
      <c:dateAx>
        <c:axId val="427166336"/>
        <c:scaling>
          <c:orientation val="minMax"/>
        </c:scaling>
        <c:delete val="0"/>
        <c:axPos val="b"/>
        <c:numFmt formatCode="yyyy-m-d" sourceLinked="1"/>
        <c:majorTickMark val="out"/>
        <c:minorTickMark val="none"/>
        <c:tickLblPos val="nextTo"/>
        <c:crossAx val="427377024"/>
        <c:crosses val="autoZero"/>
        <c:auto val="1"/>
        <c:lblOffset val="100"/>
        <c:baseTimeUnit val="months"/>
      </c:dateAx>
      <c:valAx>
        <c:axId val="427377024"/>
        <c:scaling>
          <c:orientation val="minMax"/>
        </c:scaling>
        <c:delete val="0"/>
        <c:axPos val="l"/>
        <c:majorGridlines/>
        <c:numFmt formatCode="G/通用格式" sourceLinked="1"/>
        <c:majorTickMark val="out"/>
        <c:minorTickMark val="none"/>
        <c:tickLblPos val="nextTo"/>
        <c:crossAx val="4271663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test!$I$2:$I$202</c:f>
              <c:numCache>
                <c:formatCode>0.00000_);[红色]!(0.00000!)</c:formatCode>
                <c:ptCount val="201"/>
                <c:pt idx="0">
                  <c:v>5.0000000001760858E-2</c:v>
                </c:pt>
                <c:pt idx="1">
                  <c:v>5.00000000017784E-2</c:v>
                </c:pt>
                <c:pt idx="2">
                  <c:v>5.0000000001069411E-2</c:v>
                </c:pt>
                <c:pt idx="3">
                  <c:v>5.0000000000006928E-2</c:v>
                </c:pt>
                <c:pt idx="4">
                  <c:v>5.0000000000004929E-2</c:v>
                </c:pt>
                <c:pt idx="5">
                  <c:v>4.9999999999556399E-2</c:v>
                </c:pt>
                <c:pt idx="6">
                  <c:v>4.9999999999620348E-2</c:v>
                </c:pt>
                <c:pt idx="7">
                  <c:v>5.0000000000002931E-2</c:v>
                </c:pt>
                <c:pt idx="8">
                  <c:v>5.0000000000002709E-2</c:v>
                </c:pt>
                <c:pt idx="9">
                  <c:v>5.0000000000012035E-2</c:v>
                </c:pt>
                <c:pt idx="10">
                  <c:v>5.0000000000008038E-2</c:v>
                </c:pt>
                <c:pt idx="11">
                  <c:v>5.0000000000219647E-2</c:v>
                </c:pt>
                <c:pt idx="12">
                  <c:v>5.0000000000001821E-2</c:v>
                </c:pt>
                <c:pt idx="13">
                  <c:v>5.0000000000008482E-2</c:v>
                </c:pt>
                <c:pt idx="14">
                  <c:v>5.0000000000182343E-2</c:v>
                </c:pt>
                <c:pt idx="15">
                  <c:v>4.9999999999826406E-2</c:v>
                </c:pt>
                <c:pt idx="16">
                  <c:v>5.0000000000001599E-2</c:v>
                </c:pt>
                <c:pt idx="17">
                  <c:v>5.0000000000157696E-2</c:v>
                </c:pt>
                <c:pt idx="18">
                  <c:v>4.9999999999997158E-2</c:v>
                </c:pt>
                <c:pt idx="19">
                  <c:v>5.0000000000001599E-2</c:v>
                </c:pt>
                <c:pt idx="20">
                  <c:v>5.0000000000134825E-2</c:v>
                </c:pt>
                <c:pt idx="21">
                  <c:v>4.9999999999998934E-2</c:v>
                </c:pt>
                <c:pt idx="22">
                  <c:v>4.9999999999997824E-2</c:v>
                </c:pt>
                <c:pt idx="23">
                  <c:v>5.0000000000001377E-2</c:v>
                </c:pt>
                <c:pt idx="24">
                  <c:v>4.9999999999995381E-2</c:v>
                </c:pt>
                <c:pt idx="25">
                  <c:v>5.0000000000112843E-2</c:v>
                </c:pt>
                <c:pt idx="26">
                  <c:v>4.9999999999998046E-2</c:v>
                </c:pt>
                <c:pt idx="27">
                  <c:v>5.0000000000000711E-2</c:v>
                </c:pt>
                <c:pt idx="28">
                  <c:v>4.9999999999890798E-2</c:v>
                </c:pt>
                <c:pt idx="29">
                  <c:v>5.00000000000973E-2</c:v>
                </c:pt>
                <c:pt idx="30">
                  <c:v>4.9999999999998712E-2</c:v>
                </c:pt>
                <c:pt idx="31">
                  <c:v>5.0000000000000711E-2</c:v>
                </c:pt>
                <c:pt idx="32">
                  <c:v>5.0000000000001155E-2</c:v>
                </c:pt>
                <c:pt idx="33">
                  <c:v>4.9999999999990719E-2</c:v>
                </c:pt>
                <c:pt idx="34">
                  <c:v>4.999999999999849E-2</c:v>
                </c:pt>
                <c:pt idx="35">
                  <c:v>4.9999999999909006E-2</c:v>
                </c:pt>
                <c:pt idx="36">
                  <c:v>5.0000000000090861E-2</c:v>
                </c:pt>
                <c:pt idx="37">
                  <c:v>4.9999999999992051E-2</c:v>
                </c:pt>
                <c:pt idx="38">
                  <c:v>4.9999999999998712E-2</c:v>
                </c:pt>
                <c:pt idx="39">
                  <c:v>5.0000000000004929E-2</c:v>
                </c:pt>
                <c:pt idx="40">
                  <c:v>4.999999999999627E-2</c:v>
                </c:pt>
                <c:pt idx="41">
                  <c:v>4.9999999999992939E-2</c:v>
                </c:pt>
                <c:pt idx="42">
                  <c:v>4.9999999999998712E-2</c:v>
                </c:pt>
                <c:pt idx="43">
                  <c:v>5.0000000000004485E-2</c:v>
                </c:pt>
                <c:pt idx="44">
                  <c:v>4.9999999999996714E-2</c:v>
                </c:pt>
                <c:pt idx="45">
                  <c:v>5.0000000000074207E-2</c:v>
                </c:pt>
                <c:pt idx="46">
                  <c:v>4.9999999999998934E-2</c:v>
                </c:pt>
                <c:pt idx="47">
                  <c:v>5.0000000000003819E-2</c:v>
                </c:pt>
                <c:pt idx="48">
                  <c:v>4.9999999999996936E-2</c:v>
                </c:pt>
                <c:pt idx="49">
                  <c:v>4.9999999999990496E-2</c:v>
                </c:pt>
                <c:pt idx="50">
                  <c:v>4.9999999999999156E-2</c:v>
                </c:pt>
                <c:pt idx="51">
                  <c:v>5.0000000000003375E-2</c:v>
                </c:pt>
                <c:pt idx="52">
                  <c:v>4.9999999999997158E-2</c:v>
                </c:pt>
                <c:pt idx="53">
                  <c:v>4.9999999999991163E-2</c:v>
                </c:pt>
                <c:pt idx="54">
                  <c:v>5.0000000000074429E-2</c:v>
                </c:pt>
                <c:pt idx="55">
                  <c:v>5.0000000000003153E-2</c:v>
                </c:pt>
                <c:pt idx="56">
                  <c:v>4.999999999999738E-2</c:v>
                </c:pt>
                <c:pt idx="57">
                  <c:v>4.9999999999991829E-2</c:v>
                </c:pt>
                <c:pt idx="58">
                  <c:v>4.9999999999995826E-2</c:v>
                </c:pt>
                <c:pt idx="59">
                  <c:v>5.0000000000075984E-2</c:v>
                </c:pt>
                <c:pt idx="60">
                  <c:v>5.0000000000070211E-2</c:v>
                </c:pt>
                <c:pt idx="61">
                  <c:v>4.9999999999992495E-2</c:v>
                </c:pt>
                <c:pt idx="62">
                  <c:v>5.0000000000068212E-2</c:v>
                </c:pt>
                <c:pt idx="63">
                  <c:v>4.9999999999927214E-2</c:v>
                </c:pt>
                <c:pt idx="64">
                  <c:v>4.9999999999994493E-2</c:v>
                </c:pt>
                <c:pt idx="65">
                  <c:v>4.9999999999992717E-2</c:v>
                </c:pt>
                <c:pt idx="66">
                  <c:v>5.0000000000064437E-2</c:v>
                </c:pt>
                <c:pt idx="67">
                  <c:v>5.0000000000002487E-2</c:v>
                </c:pt>
                <c:pt idx="68">
                  <c:v>4.9999999999994715E-2</c:v>
                </c:pt>
                <c:pt idx="69">
                  <c:v>4.9999999999922551E-2</c:v>
                </c:pt>
                <c:pt idx="70">
                  <c:v>4.9999999999990496E-2</c:v>
                </c:pt>
                <c:pt idx="71">
                  <c:v>5.0000000000002487E-2</c:v>
                </c:pt>
                <c:pt idx="72">
                  <c:v>5.0000000000065326E-2</c:v>
                </c:pt>
                <c:pt idx="73">
                  <c:v>4.9999999999996714E-2</c:v>
                </c:pt>
                <c:pt idx="74">
                  <c:v>4.9999999999990941E-2</c:v>
                </c:pt>
                <c:pt idx="75">
                  <c:v>5.0000000000002265E-2</c:v>
                </c:pt>
                <c:pt idx="76">
                  <c:v>4.9999999999992051E-2</c:v>
                </c:pt>
                <c:pt idx="77">
                  <c:v>4.9999999999996936E-2</c:v>
                </c:pt>
                <c:pt idx="78">
                  <c:v>4.9999999999991385E-2</c:v>
                </c:pt>
                <c:pt idx="79">
                  <c:v>5.0000000000002265E-2</c:v>
                </c:pt>
                <c:pt idx="80">
                  <c:v>4.9999999999992495E-2</c:v>
                </c:pt>
                <c:pt idx="81">
                  <c:v>4.9999999999997158E-2</c:v>
                </c:pt>
                <c:pt idx="82">
                  <c:v>4.9999999999991829E-2</c:v>
                </c:pt>
                <c:pt idx="83">
                  <c:v>5.0000000000071765E-2</c:v>
                </c:pt>
                <c:pt idx="84">
                  <c:v>4.9999999999992717E-2</c:v>
                </c:pt>
                <c:pt idx="85">
                  <c:v>4.9999999999927658E-2</c:v>
                </c:pt>
                <c:pt idx="86">
                  <c:v>4.9999999999992273E-2</c:v>
                </c:pt>
                <c:pt idx="87">
                  <c:v>4.9999999999998712E-2</c:v>
                </c:pt>
                <c:pt idx="88">
                  <c:v>4.9999999999923217E-2</c:v>
                </c:pt>
                <c:pt idx="89">
                  <c:v>5.0000000000000711E-2</c:v>
                </c:pt>
                <c:pt idx="90">
                  <c:v>4.9999999999992495E-2</c:v>
                </c:pt>
                <c:pt idx="91">
                  <c:v>4.9999999999998712E-2</c:v>
                </c:pt>
                <c:pt idx="92">
                  <c:v>4.9999999999996714E-2</c:v>
                </c:pt>
                <c:pt idx="93">
                  <c:v>5.0000000000000711E-2</c:v>
                </c:pt>
                <c:pt idx="94">
                  <c:v>5.0000000000063327E-2</c:v>
                </c:pt>
                <c:pt idx="95">
                  <c:v>5.00000000000691E-2</c:v>
                </c:pt>
                <c:pt idx="96">
                  <c:v>4.9999999999996936E-2</c:v>
                </c:pt>
                <c:pt idx="97">
                  <c:v>5.0000000000071099E-2</c:v>
                </c:pt>
                <c:pt idx="98">
                  <c:v>4.999999999998983E-2</c:v>
                </c:pt>
                <c:pt idx="99">
                  <c:v>5.0000000000066436E-2</c:v>
                </c:pt>
                <c:pt idx="100">
                  <c:v>4.9999999999996936E-2</c:v>
                </c:pt>
                <c:pt idx="101">
                  <c:v>4.9999999999925659E-2</c:v>
                </c:pt>
                <c:pt idx="102">
                  <c:v>4.9999999999990274E-2</c:v>
                </c:pt>
                <c:pt idx="103">
                  <c:v>4.9999999999992273E-2</c:v>
                </c:pt>
                <c:pt idx="104">
                  <c:v>5.0000000000068878E-2</c:v>
                </c:pt>
                <c:pt idx="105">
                  <c:v>5.0000000000000488E-2</c:v>
                </c:pt>
                <c:pt idx="106">
                  <c:v>5.0000000000062883E-2</c:v>
                </c:pt>
                <c:pt idx="107">
                  <c:v>5.0000000000064881E-2</c:v>
                </c:pt>
                <c:pt idx="108">
                  <c:v>4.9999999999993827E-2</c:v>
                </c:pt>
                <c:pt idx="109">
                  <c:v>5.0000000000000488E-2</c:v>
                </c:pt>
                <c:pt idx="110">
                  <c:v>4.9999999999987388E-2</c:v>
                </c:pt>
                <c:pt idx="111">
                  <c:v>4.9999999999989386E-2</c:v>
                </c:pt>
                <c:pt idx="112">
                  <c:v>4.9999999999994271E-2</c:v>
                </c:pt>
                <c:pt idx="113">
                  <c:v>5.0000000000073763E-2</c:v>
                </c:pt>
                <c:pt idx="114">
                  <c:v>5.0000000000062217E-2</c:v>
                </c:pt>
                <c:pt idx="115">
                  <c:v>4.999999999998983E-2</c:v>
                </c:pt>
                <c:pt idx="116">
                  <c:v>5.00000000000691E-2</c:v>
                </c:pt>
                <c:pt idx="117">
                  <c:v>5.0000000000071321E-2</c:v>
                </c:pt>
                <c:pt idx="118">
                  <c:v>4.9999999999909894E-2</c:v>
                </c:pt>
                <c:pt idx="119">
                  <c:v>4.9999999999990052E-2</c:v>
                </c:pt>
                <c:pt idx="120">
                  <c:v>4.9999999999991163E-2</c:v>
                </c:pt>
                <c:pt idx="121">
                  <c:v>4.9999999999992939E-2</c:v>
                </c:pt>
                <c:pt idx="122">
                  <c:v>4.9999999999989164E-2</c:v>
                </c:pt>
                <c:pt idx="123">
                  <c:v>5.0000000000067102E-2</c:v>
                </c:pt>
                <c:pt idx="124">
                  <c:v>4.9999999999991385E-2</c:v>
                </c:pt>
                <c:pt idx="125">
                  <c:v>4.9999999999993161E-2</c:v>
                </c:pt>
                <c:pt idx="126">
                  <c:v>4.9999999999989608E-2</c:v>
                </c:pt>
                <c:pt idx="127">
                  <c:v>5.0000000000065103E-2</c:v>
                </c:pt>
                <c:pt idx="128">
                  <c:v>4.9999999999991607E-2</c:v>
                </c:pt>
                <c:pt idx="129">
                  <c:v>4.9999999999993383E-2</c:v>
                </c:pt>
                <c:pt idx="130">
                  <c:v>4.999999999991056E-2</c:v>
                </c:pt>
                <c:pt idx="131">
                  <c:v>4.9999999999983835E-2</c:v>
                </c:pt>
                <c:pt idx="132">
                  <c:v>4.9999999999912115E-2</c:v>
                </c:pt>
                <c:pt idx="133">
                  <c:v>4.9999999999993605E-2</c:v>
                </c:pt>
                <c:pt idx="134">
                  <c:v>4.9999999999993605E-2</c:v>
                </c:pt>
                <c:pt idx="135">
                  <c:v>4.9999999999984279E-2</c:v>
                </c:pt>
                <c:pt idx="136">
                  <c:v>4.9999999999995826E-2</c:v>
                </c:pt>
                <c:pt idx="137">
                  <c:v>4.9999999999912115E-2</c:v>
                </c:pt>
                <c:pt idx="138">
                  <c:v>5.0000000000075984E-2</c:v>
                </c:pt>
                <c:pt idx="139">
                  <c:v>4.9999999999984723E-2</c:v>
                </c:pt>
                <c:pt idx="140">
                  <c:v>4.9999999999996048E-2</c:v>
                </c:pt>
                <c:pt idx="141">
                  <c:v>5.0000000000081313E-2</c:v>
                </c:pt>
                <c:pt idx="142">
                  <c:v>4.9999999999990052E-2</c:v>
                </c:pt>
                <c:pt idx="143">
                  <c:v>5.0000000000069322E-2</c:v>
                </c:pt>
                <c:pt idx="144">
                  <c:v>4.9999999999996048E-2</c:v>
                </c:pt>
                <c:pt idx="145">
                  <c:v>4.9999999999993827E-2</c:v>
                </c:pt>
                <c:pt idx="146">
                  <c:v>4.999999999998983E-2</c:v>
                </c:pt>
                <c:pt idx="147">
                  <c:v>4.9999999999981615E-2</c:v>
                </c:pt>
                <c:pt idx="148">
                  <c:v>4.9999999999909672E-2</c:v>
                </c:pt>
                <c:pt idx="149">
                  <c:v>4.9999999999994049E-2</c:v>
                </c:pt>
                <c:pt idx="150">
                  <c:v>4.9999999999990052E-2</c:v>
                </c:pt>
                <c:pt idx="151">
                  <c:v>5.0000000000069988E-2</c:v>
                </c:pt>
                <c:pt idx="152">
                  <c:v>5.0000000000000488E-2</c:v>
                </c:pt>
                <c:pt idx="153">
                  <c:v>4.9999999999994271E-2</c:v>
                </c:pt>
                <c:pt idx="154">
                  <c:v>5.0000000000079758E-2</c:v>
                </c:pt>
                <c:pt idx="155">
                  <c:v>4.9999999999978284E-2</c:v>
                </c:pt>
                <c:pt idx="156">
                  <c:v>5.0000000000000488E-2</c:v>
                </c:pt>
                <c:pt idx="157">
                  <c:v>5.000000000008531E-2</c:v>
                </c:pt>
                <c:pt idx="158">
                  <c:v>4.9999999999986278E-2</c:v>
                </c:pt>
                <c:pt idx="159">
                  <c:v>4.9999999999979172E-2</c:v>
                </c:pt>
                <c:pt idx="160">
                  <c:v>5.0000000000000044E-2</c:v>
                </c:pt>
                <c:pt idx="161">
                  <c:v>4.9999999999990274E-2</c:v>
                </c:pt>
                <c:pt idx="162">
                  <c:v>4.9999999999986944E-2</c:v>
                </c:pt>
                <c:pt idx="163">
                  <c:v>4.9999999999979838E-2</c:v>
                </c:pt>
                <c:pt idx="164">
                  <c:v>5.0000000000095079E-2</c:v>
                </c:pt>
                <c:pt idx="165">
                  <c:v>4.9999999999990274E-2</c:v>
                </c:pt>
                <c:pt idx="166">
                  <c:v>4.9999999999987388E-2</c:v>
                </c:pt>
                <c:pt idx="167">
                  <c:v>4.999999999998006E-2</c:v>
                </c:pt>
                <c:pt idx="168">
                  <c:v>5.0000000000092859E-2</c:v>
                </c:pt>
                <c:pt idx="169">
                  <c:v>4.9999999999990719E-2</c:v>
                </c:pt>
                <c:pt idx="170">
                  <c:v>4.999999999998761E-2</c:v>
                </c:pt>
                <c:pt idx="171">
                  <c:v>4.9999999999980727E-2</c:v>
                </c:pt>
                <c:pt idx="172">
                  <c:v>4.9999999999891021E-2</c:v>
                </c:pt>
                <c:pt idx="173">
                  <c:v>4.9999999999990941E-2</c:v>
                </c:pt>
                <c:pt idx="174">
                  <c:v>4.9999999999886802E-2</c:v>
                </c:pt>
                <c:pt idx="175">
                  <c:v>4.9999999999981615E-2</c:v>
                </c:pt>
                <c:pt idx="176">
                  <c:v>4.999999999999627E-2</c:v>
                </c:pt>
                <c:pt idx="177">
                  <c:v>4.9999999999990719E-2</c:v>
                </c:pt>
                <c:pt idx="178">
                  <c:v>4.9999999999992495E-2</c:v>
                </c:pt>
                <c:pt idx="179">
                  <c:v>4.9999999999981837E-2</c:v>
                </c:pt>
                <c:pt idx="180">
                  <c:v>5.0000000000101519E-2</c:v>
                </c:pt>
                <c:pt idx="181">
                  <c:v>4.9999999999990941E-2</c:v>
                </c:pt>
                <c:pt idx="182">
                  <c:v>4.9999999999992717E-2</c:v>
                </c:pt>
                <c:pt idx="183">
                  <c:v>4.9999999999982281E-2</c:v>
                </c:pt>
                <c:pt idx="184">
                  <c:v>5.0000000000099076E-2</c:v>
                </c:pt>
                <c:pt idx="185">
                  <c:v>5.0000000000099964E-2</c:v>
                </c:pt>
                <c:pt idx="186">
                  <c:v>4.9999999999992939E-2</c:v>
                </c:pt>
                <c:pt idx="187">
                  <c:v>4.9999999999982725E-2</c:v>
                </c:pt>
                <c:pt idx="188">
                  <c:v>4.99999999999865E-2</c:v>
                </c:pt>
                <c:pt idx="189">
                  <c:v>4.9999999999985834E-2</c:v>
                </c:pt>
                <c:pt idx="190">
                  <c:v>5.0000000000105294E-2</c:v>
                </c:pt>
                <c:pt idx="191">
                  <c:v>4.9999999999983169E-2</c:v>
                </c:pt>
                <c:pt idx="192">
                  <c:v>4.9999999999872147E-2</c:v>
                </c:pt>
                <c:pt idx="193">
                  <c:v>5.0000000000101963E-2</c:v>
                </c:pt>
                <c:pt idx="194">
                  <c:v>4.9999999999987166E-2</c:v>
                </c:pt>
                <c:pt idx="195">
                  <c:v>4.9999999999983613E-2</c:v>
                </c:pt>
                <c:pt idx="196">
                  <c:v>4.9999999999991829E-2</c:v>
                </c:pt>
                <c:pt idx="197">
                  <c:v>4.9999999999981837E-2</c:v>
                </c:pt>
                <c:pt idx="198">
                  <c:v>4.999999999998761E-2</c:v>
                </c:pt>
                <c:pt idx="199">
                  <c:v>5.0000000000103961E-2</c:v>
                </c:pt>
                <c:pt idx="200">
                  <c:v>4.9999999999992051E-2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test!$J$2:$J$202</c:f>
              <c:numCache>
                <c:formatCode>0.00000_);[红色]!(0.00000!)</c:formatCode>
                <c:ptCount val="201"/>
                <c:pt idx="0">
                  <c:v>5.026490800011052E-2</c:v>
                </c:pt>
                <c:pt idx="1">
                  <c:v>5.0264908000100306E-2</c:v>
                </c:pt>
                <c:pt idx="2">
                  <c:v>5.0516456986090974E-2</c:v>
                </c:pt>
                <c:pt idx="3">
                  <c:v>5.0757158286949045E-2</c:v>
                </c:pt>
                <c:pt idx="4">
                  <c:v>5.0998405214587983E-2</c:v>
                </c:pt>
                <c:pt idx="5">
                  <c:v>5.0754031293961832E-2</c:v>
                </c:pt>
                <c:pt idx="6">
                  <c:v>5.0499482660100181E-2</c:v>
                </c:pt>
                <c:pt idx="7">
                  <c:v>5.0245138859883465E-2</c:v>
                </c:pt>
                <c:pt idx="8">
                  <c:v>4.9975313032564195E-2</c:v>
                </c:pt>
                <c:pt idx="9">
                  <c:v>4.9978957662925483E-2</c:v>
                </c:pt>
                <c:pt idx="10">
                  <c:v>4.9982514277876255E-2</c:v>
                </c:pt>
                <c:pt idx="11">
                  <c:v>4.9984197714804779E-2</c:v>
                </c:pt>
                <c:pt idx="12">
                  <c:v>4.9983510967096301E-2</c:v>
                </c:pt>
                <c:pt idx="13">
                  <c:v>4.9985399564371313E-2</c:v>
                </c:pt>
                <c:pt idx="14">
                  <c:v>4.9987577550079543E-2</c:v>
                </c:pt>
                <c:pt idx="15">
                  <c:v>4.9988414702204276E-2</c:v>
                </c:pt>
                <c:pt idx="16">
                  <c:v>4.9987671081189067E-2</c:v>
                </c:pt>
                <c:pt idx="17">
                  <c:v>4.9988881834894361E-2</c:v>
                </c:pt>
                <c:pt idx="18">
                  <c:v>4.999030739241106E-2</c:v>
                </c:pt>
                <c:pt idx="19">
                  <c:v>4.9990841078577208E-2</c:v>
                </c:pt>
                <c:pt idx="20">
                  <c:v>4.9990127062572887E-2</c:v>
                </c:pt>
                <c:pt idx="21">
                  <c:v>4.9990989365419791E-2</c:v>
                </c:pt>
                <c:pt idx="22">
                  <c:v>4.9992060978402586E-2</c:v>
                </c:pt>
                <c:pt idx="23">
                  <c:v>4.9992427043552778E-2</c:v>
                </c:pt>
                <c:pt idx="24">
                  <c:v>4.9991767091207784E-2</c:v>
                </c:pt>
                <c:pt idx="25">
                  <c:v>4.9992425155780396E-2</c:v>
                </c:pt>
                <c:pt idx="26">
                  <c:v>4.999329664580987E-2</c:v>
                </c:pt>
                <c:pt idx="27">
                  <c:v>4.9993553131705504E-2</c:v>
                </c:pt>
                <c:pt idx="28">
                  <c:v>4.999297007104464E-2</c:v>
                </c:pt>
                <c:pt idx="29">
                  <c:v>4.9993524053102867E-2</c:v>
                </c:pt>
                <c:pt idx="30">
                  <c:v>4.9994205104798128E-2</c:v>
                </c:pt>
                <c:pt idx="31">
                  <c:v>4.9994381094442097E-2</c:v>
                </c:pt>
                <c:pt idx="32">
                  <c:v>4.999384536416196E-2</c:v>
                </c:pt>
                <c:pt idx="33">
                  <c:v>4.9994305451746657E-2</c:v>
                </c:pt>
                <c:pt idx="34">
                  <c:v>4.9994940117529252E-2</c:v>
                </c:pt>
                <c:pt idx="35">
                  <c:v>4.9994983826854744E-2</c:v>
                </c:pt>
                <c:pt idx="36">
                  <c:v>4.9994573976053447E-2</c:v>
                </c:pt>
                <c:pt idx="37">
                  <c:v>4.9994977479621339E-2</c:v>
                </c:pt>
                <c:pt idx="38">
                  <c:v>4.9995469900126821E-2</c:v>
                </c:pt>
                <c:pt idx="39">
                  <c:v>4.9995495789532107E-2</c:v>
                </c:pt>
                <c:pt idx="40">
                  <c:v>4.999511422797287E-2</c:v>
                </c:pt>
                <c:pt idx="41">
                  <c:v>4.9995465108353399E-2</c:v>
                </c:pt>
                <c:pt idx="42">
                  <c:v>4.9995899241153108E-2</c:v>
                </c:pt>
                <c:pt idx="43">
                  <c:v>4.9995912914831742E-2</c:v>
                </c:pt>
                <c:pt idx="44">
                  <c:v>4.9995556635767935E-2</c:v>
                </c:pt>
                <c:pt idx="45">
                  <c:v>4.9995866417090751E-2</c:v>
                </c:pt>
                <c:pt idx="46">
                  <c:v>4.9996254232174575E-2</c:v>
                </c:pt>
                <c:pt idx="47">
                  <c:v>4.9996295710751593E-2</c:v>
                </c:pt>
                <c:pt idx="48">
                  <c:v>4.9995910069289939E-2</c:v>
                </c:pt>
                <c:pt idx="49">
                  <c:v>4.9996196824719119E-2</c:v>
                </c:pt>
                <c:pt idx="50">
                  <c:v>4.9996537366180593E-2</c:v>
                </c:pt>
                <c:pt idx="51">
                  <c:v>4.9996585014608907E-2</c:v>
                </c:pt>
                <c:pt idx="52">
                  <c:v>4.9996223495943903E-2</c:v>
                </c:pt>
                <c:pt idx="53">
                  <c:v>4.9996482640992657E-2</c:v>
                </c:pt>
                <c:pt idx="54">
                  <c:v>4.9996792754798847E-2</c:v>
                </c:pt>
                <c:pt idx="55">
                  <c:v>4.9996832397439128E-2</c:v>
                </c:pt>
                <c:pt idx="56">
                  <c:v>4.9996492302364359E-2</c:v>
                </c:pt>
                <c:pt idx="57">
                  <c:v>4.9996728493771903E-2</c:v>
                </c:pt>
                <c:pt idx="58">
                  <c:v>4.9997013051028105E-2</c:v>
                </c:pt>
                <c:pt idx="59">
                  <c:v>4.9997046355675812E-2</c:v>
                </c:pt>
                <c:pt idx="60">
                  <c:v>4.9996725383632423E-2</c:v>
                </c:pt>
                <c:pt idx="61">
                  <c:v>4.9996942217282792E-2</c:v>
                </c:pt>
                <c:pt idx="62">
                  <c:v>4.9997205023069924E-2</c:v>
                </c:pt>
                <c:pt idx="63">
                  <c:v>4.9997234568497806E-2</c:v>
                </c:pt>
                <c:pt idx="64">
                  <c:v>4.9996934382994684E-2</c:v>
                </c:pt>
                <c:pt idx="65">
                  <c:v>4.9997140403637896E-2</c:v>
                </c:pt>
                <c:pt idx="66">
                  <c:v>4.9997388689170918E-2</c:v>
                </c:pt>
                <c:pt idx="67">
                  <c:v>4.9997399071411985E-2</c:v>
                </c:pt>
                <c:pt idx="68">
                  <c:v>4.9997114129395781E-2</c:v>
                </c:pt>
                <c:pt idx="69">
                  <c:v>4.9997305567063499E-2</c:v>
                </c:pt>
                <c:pt idx="70">
                  <c:v>4.9997537348480003E-2</c:v>
                </c:pt>
                <c:pt idx="71">
                  <c:v>4.9997545099188523E-2</c:v>
                </c:pt>
                <c:pt idx="72">
                  <c:v>4.9997273964075939E-2</c:v>
                </c:pt>
                <c:pt idx="73">
                  <c:v>4.999745268954392E-2</c:v>
                </c:pt>
                <c:pt idx="74">
                  <c:v>4.9997669989401805E-2</c:v>
                </c:pt>
                <c:pt idx="75">
                  <c:v>4.9997675598983493E-2</c:v>
                </c:pt>
                <c:pt idx="76">
                  <c:v>4.999741702223881E-2</c:v>
                </c:pt>
                <c:pt idx="77">
                  <c:v>4.9997584574212883E-2</c:v>
                </c:pt>
                <c:pt idx="78">
                  <c:v>4.9997789068741749E-2</c:v>
                </c:pt>
                <c:pt idx="79">
                  <c:v>4.9997845151420917E-2</c:v>
                </c:pt>
                <c:pt idx="80">
                  <c:v>4.9997524327185516E-2</c:v>
                </c:pt>
                <c:pt idx="81">
                  <c:v>4.9997708648173766E-2</c:v>
                </c:pt>
                <c:pt idx="82">
                  <c:v>4.9997905024738554E-2</c:v>
                </c:pt>
                <c:pt idx="83">
                  <c:v>4.9997948662166003E-2</c:v>
                </c:pt>
                <c:pt idx="84">
                  <c:v>4.9997641872096876E-2</c:v>
                </c:pt>
                <c:pt idx="85">
                  <c:v>4.9997816115483262E-2</c:v>
                </c:pt>
                <c:pt idx="86">
                  <c:v>4.9998002133079034E-2</c:v>
                </c:pt>
                <c:pt idx="87">
                  <c:v>4.9998042682527499E-2</c:v>
                </c:pt>
                <c:pt idx="88">
                  <c:v>4.9997748760134408E-2</c:v>
                </c:pt>
                <c:pt idx="89">
                  <c:v>4.9997913951343786E-2</c:v>
                </c:pt>
                <c:pt idx="90">
                  <c:v>4.9998090635244186E-2</c:v>
                </c:pt>
                <c:pt idx="91">
                  <c:v>4.9998128460507552E-2</c:v>
                </c:pt>
                <c:pt idx="92">
                  <c:v>4.9997846377901611E-2</c:v>
                </c:pt>
                <c:pt idx="93">
                  <c:v>4.9998003395041124E-2</c:v>
                </c:pt>
                <c:pt idx="94">
                  <c:v>4.9998171626727483E-2</c:v>
                </c:pt>
                <c:pt idx="95">
                  <c:v>4.9998129074672715E-2</c:v>
                </c:pt>
                <c:pt idx="96">
                  <c:v>4.9997980693120558E-2</c:v>
                </c:pt>
                <c:pt idx="97">
                  <c:v>4.9998106689069344E-2</c:v>
                </c:pt>
                <c:pt idx="98">
                  <c:v>4.9998251052960185E-2</c:v>
                </c:pt>
                <c:pt idx="99">
                  <c:v>4.9998204440291127E-2</c:v>
                </c:pt>
                <c:pt idx="100">
                  <c:v>4.9998061245205339E-2</c:v>
                </c:pt>
                <c:pt idx="101">
                  <c:v>4.9998181435870093E-2</c:v>
                </c:pt>
                <c:pt idx="102">
                  <c:v>4.9998319419108928E-2</c:v>
                </c:pt>
                <c:pt idx="103">
                  <c:v>4.999827396817258E-2</c:v>
                </c:pt>
                <c:pt idx="104">
                  <c:v>4.9998135616650341E-2</c:v>
                </c:pt>
                <c:pt idx="105">
                  <c:v>4.9998250503401787E-2</c:v>
                </c:pt>
                <c:pt idx="106">
                  <c:v>4.9998382639692585E-2</c:v>
                </c:pt>
                <c:pt idx="107">
                  <c:v>4.9998338311125545E-2</c:v>
                </c:pt>
                <c:pt idx="108">
                  <c:v>4.9998204492511134E-2</c:v>
                </c:pt>
                <c:pt idx="109">
                  <c:v>4.9998314515065756E-2</c:v>
                </c:pt>
                <c:pt idx="110">
                  <c:v>4.9998441274707872E-2</c:v>
                </c:pt>
                <c:pt idx="111">
                  <c:v>4.9998431624276973E-2</c:v>
                </c:pt>
                <c:pt idx="112">
                  <c:v>4.9998253983503771E-2</c:v>
                </c:pt>
                <c:pt idx="113">
                  <c:v>4.999837231486759E-2</c:v>
                </c:pt>
                <c:pt idx="114">
                  <c:v>4.999850698057684E-2</c:v>
                </c:pt>
                <c:pt idx="115">
                  <c:v>4.9998486022001742E-2</c:v>
                </c:pt>
                <c:pt idx="116">
                  <c:v>4.9998314036410196E-2</c:v>
                </c:pt>
                <c:pt idx="117">
                  <c:v>4.9998427795856726E-2</c:v>
                </c:pt>
                <c:pt idx="118">
                  <c:v>4.9998557437169966E-2</c:v>
                </c:pt>
                <c:pt idx="119">
                  <c:v>4.9998536772093871E-2</c:v>
                </c:pt>
                <c:pt idx="120">
                  <c:v>4.9998370095279743E-2</c:v>
                </c:pt>
                <c:pt idx="121">
                  <c:v>4.9998479618088565E-2</c:v>
                </c:pt>
                <c:pt idx="122">
                  <c:v>4.9998604593668894E-2</c:v>
                </c:pt>
                <c:pt idx="123">
                  <c:v>4.9998584229264953E-2</c:v>
                </c:pt>
                <c:pt idx="124">
                  <c:v>4.9998422545887378E-2</c:v>
                </c:pt>
                <c:pt idx="125">
                  <c:v>4.9998528132015219E-2</c:v>
                </c:pt>
                <c:pt idx="126">
                  <c:v>4.9998648763589948E-2</c:v>
                </c:pt>
                <c:pt idx="127">
                  <c:v>4.9998631248248326E-2</c:v>
                </c:pt>
                <c:pt idx="128">
                  <c:v>4.9998473424561984E-2</c:v>
                </c:pt>
                <c:pt idx="129">
                  <c:v>4.9998580282524685E-2</c:v>
                </c:pt>
                <c:pt idx="130">
                  <c:v>4.9998698423493471E-2</c:v>
                </c:pt>
                <c:pt idx="131">
                  <c:v>4.9998672929312482E-2</c:v>
                </c:pt>
                <c:pt idx="132">
                  <c:v>4.9998519570587874E-2</c:v>
                </c:pt>
                <c:pt idx="133">
                  <c:v>4.9998622857402752E-2</c:v>
                </c:pt>
                <c:pt idx="134">
                  <c:v>4.9998737162010753E-2</c:v>
                </c:pt>
                <c:pt idx="135">
                  <c:v>4.9998712146200885E-2</c:v>
                </c:pt>
                <c:pt idx="136">
                  <c:v>4.9998563008331498E-2</c:v>
                </c:pt>
                <c:pt idx="137">
                  <c:v>4.9998662952373429E-2</c:v>
                </c:pt>
                <c:pt idx="138">
                  <c:v>4.9998773660391516E-2</c:v>
                </c:pt>
                <c:pt idx="139">
                  <c:v>4.9998749111232588E-2</c:v>
                </c:pt>
                <c:pt idx="140">
                  <c:v>4.9998603969252153E-2</c:v>
                </c:pt>
                <c:pt idx="141">
                  <c:v>4.9998700777760696E-2</c:v>
                </c:pt>
                <c:pt idx="142">
                  <c:v>4.9998808107503345E-2</c:v>
                </c:pt>
                <c:pt idx="143">
                  <c:v>4.9998742320760403E-2</c:v>
                </c:pt>
                <c:pt idx="144">
                  <c:v>4.9998667323584822E-2</c:v>
                </c:pt>
                <c:pt idx="145">
                  <c:v>4.9998761335521946E-2</c:v>
                </c:pt>
                <c:pt idx="146">
                  <c:v>4.999887384826085E-2</c:v>
                </c:pt>
                <c:pt idx="147">
                  <c:v>4.9998776453969551E-2</c:v>
                </c:pt>
                <c:pt idx="148">
                  <c:v>4.9998703254866328E-2</c:v>
                </c:pt>
                <c:pt idx="149">
                  <c:v>4.9998794493845811E-2</c:v>
                </c:pt>
                <c:pt idx="150">
                  <c:v>4.9998903792775051E-2</c:v>
                </c:pt>
                <c:pt idx="151">
                  <c:v>4.9998808782919513E-2</c:v>
                </c:pt>
                <c:pt idx="152">
                  <c:v>4.9998737299107532E-2</c:v>
                </c:pt>
                <c:pt idx="153">
                  <c:v>4.9998825922374035E-2</c:v>
                </c:pt>
                <c:pt idx="154">
                  <c:v>4.999893218528606E-2</c:v>
                </c:pt>
                <c:pt idx="155">
                  <c:v>4.9998839446985022E-2</c:v>
                </c:pt>
                <c:pt idx="156">
                  <c:v>4.9998769601236948E-2</c:v>
                </c:pt>
                <c:pt idx="157">
                  <c:v>4.9998855753103033E-2</c:v>
                </c:pt>
                <c:pt idx="158">
                  <c:v>4.9998959143390698E-2</c:v>
                </c:pt>
                <c:pt idx="159">
                  <c:v>4.9998918948007454E-2</c:v>
                </c:pt>
                <c:pt idx="160">
                  <c:v>4.9998775877730717E-2</c:v>
                </c:pt>
                <c:pt idx="161">
                  <c:v>4.9998870927527639E-2</c:v>
                </c:pt>
                <c:pt idx="162">
                  <c:v>4.9998955853628013E-2</c:v>
                </c:pt>
                <c:pt idx="163">
                  <c:v>4.999894540992833E-2</c:v>
                </c:pt>
                <c:pt idx="164">
                  <c:v>4.9998805664722257E-2</c:v>
                </c:pt>
                <c:pt idx="165">
                  <c:v>4.9998898223035049E-2</c:v>
                </c:pt>
                <c:pt idx="166">
                  <c:v>4.9998980942556726E-2</c:v>
                </c:pt>
                <c:pt idx="167">
                  <c:v>4.9998970606805138E-2</c:v>
                </c:pt>
                <c:pt idx="168">
                  <c:v>4.9998834036291795E-2</c:v>
                </c:pt>
                <c:pt idx="169">
                  <c:v>4.999892422935126E-2</c:v>
                </c:pt>
                <c:pt idx="170">
                  <c:v>4.9999004853491291E-2</c:v>
                </c:pt>
                <c:pt idx="171">
                  <c:v>4.9998994627204585E-2</c:v>
                </c:pt>
                <c:pt idx="172">
                  <c:v>4.9998861090986502E-2</c:v>
                </c:pt>
                <c:pt idx="173">
                  <c:v>4.99989490357029E-2</c:v>
                </c:pt>
                <c:pt idx="174">
                  <c:v>4.9999027667494422E-2</c:v>
                </c:pt>
                <c:pt idx="175">
                  <c:v>4.9999019024463687E-2</c:v>
                </c:pt>
                <c:pt idx="176">
                  <c:v>4.9998887442383788E-2</c:v>
                </c:pt>
                <c:pt idx="177">
                  <c:v>4.9998979002869648E-2</c:v>
                </c:pt>
                <c:pt idx="178">
                  <c:v>4.9999070182531247E-2</c:v>
                </c:pt>
                <c:pt idx="179">
                  <c:v>4.9999040891312241E-2</c:v>
                </c:pt>
                <c:pt idx="180">
                  <c:v>4.9998912109173288E-2</c:v>
                </c:pt>
                <c:pt idx="181">
                  <c:v>4.9999001504478668E-2</c:v>
                </c:pt>
                <c:pt idx="182">
                  <c:v>4.9999090561153814E-2</c:v>
                </c:pt>
                <c:pt idx="183">
                  <c:v>4.9999061804567591E-2</c:v>
                </c:pt>
                <c:pt idx="184">
                  <c:v>4.9998935705594771E-2</c:v>
                </c:pt>
                <c:pt idx="185">
                  <c:v>4.9999023035057322E-2</c:v>
                </c:pt>
                <c:pt idx="186">
                  <c:v>4.9999110065080954E-2</c:v>
                </c:pt>
                <c:pt idx="187">
                  <c:v>4.9999081824777525E-2</c:v>
                </c:pt>
                <c:pt idx="188">
                  <c:v>4.999895830015455E-2</c:v>
                </c:pt>
                <c:pt idx="189">
                  <c:v>4.9999043656228315E-2</c:v>
                </c:pt>
                <c:pt idx="190">
                  <c:v>4.9999128749539601E-2</c:v>
                </c:pt>
                <c:pt idx="191">
                  <c:v>4.9999188057227029E-2</c:v>
                </c:pt>
                <c:pt idx="192">
                  <c:v>4.9998939109350715E-2</c:v>
                </c:pt>
                <c:pt idx="193">
                  <c:v>4.9999064760936296E-2</c:v>
                </c:pt>
                <c:pt idx="194">
                  <c:v>4.9999155927003658E-2</c:v>
                </c:pt>
                <c:pt idx="195">
                  <c:v>4.9999204672101172E-2</c:v>
                </c:pt>
                <c:pt idx="196">
                  <c:v>4.9998960710982754E-2</c:v>
                </c:pt>
                <c:pt idx="197">
                  <c:v>4.9999083698815561E-2</c:v>
                </c:pt>
                <c:pt idx="198">
                  <c:v>4.9999172931623814E-2</c:v>
                </c:pt>
                <c:pt idx="199">
                  <c:v>4.9999220620293272E-2</c:v>
                </c:pt>
                <c:pt idx="200">
                  <c:v>4.9998981450642521E-2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val>
            <c:numRef>
              <c:f>test!$K$2:$K$202</c:f>
              <c:numCache>
                <c:formatCode>0.00000_);[红色]!(0.00000!)</c:formatCode>
                <c:ptCount val="201"/>
                <c:pt idx="0">
                  <c:v>5.0000000001760858E-2</c:v>
                </c:pt>
                <c:pt idx="1">
                  <c:v>5.00000000017784E-2</c:v>
                </c:pt>
                <c:pt idx="2">
                  <c:v>5.0000000001069411E-2</c:v>
                </c:pt>
                <c:pt idx="3">
                  <c:v>5.0000000000006928E-2</c:v>
                </c:pt>
                <c:pt idx="4">
                  <c:v>5.0000000000004929E-2</c:v>
                </c:pt>
                <c:pt idx="5">
                  <c:v>5.0254136280145412E-2</c:v>
                </c:pt>
                <c:pt idx="6">
                  <c:v>5.0511831141904384E-2</c:v>
                </c:pt>
                <c:pt idx="7">
                  <c:v>5.0763186020012396E-2</c:v>
                </c:pt>
                <c:pt idx="8">
                  <c:v>5.1024439220511253E-2</c:v>
                </c:pt>
                <c:pt idx="9">
                  <c:v>5.0939603413445056E-2</c:v>
                </c:pt>
                <c:pt idx="10">
                  <c:v>5.0850538664917178E-2</c:v>
                </c:pt>
                <c:pt idx="11">
                  <c:v>5.0761521695923406E-2</c:v>
                </c:pt>
                <c:pt idx="12">
                  <c:v>5.0667193633473939E-2</c:v>
                </c:pt>
                <c:pt idx="13">
                  <c:v>5.0580619309585906E-2</c:v>
                </c:pt>
                <c:pt idx="14">
                  <c:v>5.0489197554027143E-2</c:v>
                </c:pt>
                <c:pt idx="15">
                  <c:v>5.0398717625653511E-2</c:v>
                </c:pt>
                <c:pt idx="16">
                  <c:v>5.0305611464779965E-2</c:v>
                </c:pt>
                <c:pt idx="17">
                  <c:v>5.0216993492907536E-2</c:v>
                </c:pt>
                <c:pt idx="18">
                  <c:v>5.0126506922753666E-2</c:v>
                </c:pt>
                <c:pt idx="19">
                  <c:v>5.0037346579034914E-2</c:v>
                </c:pt>
                <c:pt idx="20">
                  <c:v>4.9944073744514927E-2</c:v>
                </c:pt>
                <c:pt idx="21">
                  <c:v>4.9946591503837068E-2</c:v>
                </c:pt>
                <c:pt idx="22">
                  <c:v>4.9948991308309321E-2</c:v>
                </c:pt>
                <c:pt idx="23">
                  <c:v>4.9951087806899164E-2</c:v>
                </c:pt>
                <c:pt idx="24">
                  <c:v>4.9953363694017261E-2</c:v>
                </c:pt>
                <c:pt idx="25">
                  <c:v>4.9955101805286173E-2</c:v>
                </c:pt>
                <c:pt idx="26">
                  <c:v>4.9956860185955687E-2</c:v>
                </c:pt>
                <c:pt idx="27">
                  <c:v>4.9958451475074384E-2</c:v>
                </c:pt>
                <c:pt idx="28">
                  <c:v>4.996007769208366E-2</c:v>
                </c:pt>
                <c:pt idx="29">
                  <c:v>4.9961348781897508E-2</c:v>
                </c:pt>
                <c:pt idx="30">
                  <c:v>4.9962571990575189E-2</c:v>
                </c:pt>
                <c:pt idx="31">
                  <c:v>4.9963787486678291E-2</c:v>
                </c:pt>
                <c:pt idx="32">
                  <c:v>4.9965048340621543E-2</c:v>
                </c:pt>
                <c:pt idx="33">
                  <c:v>4.9966012500991086E-2</c:v>
                </c:pt>
                <c:pt idx="34">
                  <c:v>4.9966953686508386E-2</c:v>
                </c:pt>
                <c:pt idx="35">
                  <c:v>4.9967915681963904E-2</c:v>
                </c:pt>
                <c:pt idx="36">
                  <c:v>4.9968977216633403E-2</c:v>
                </c:pt>
                <c:pt idx="37">
                  <c:v>4.9969715779484059E-2</c:v>
                </c:pt>
                <c:pt idx="38">
                  <c:v>4.9970413734424124E-2</c:v>
                </c:pt>
                <c:pt idx="39">
                  <c:v>4.9971190279997968E-2</c:v>
                </c:pt>
                <c:pt idx="40">
                  <c:v>4.9972066030456341E-2</c:v>
                </c:pt>
                <c:pt idx="41">
                  <c:v>4.9972656032594598E-2</c:v>
                </c:pt>
                <c:pt idx="42">
                  <c:v>4.9973217790317603E-2</c:v>
                </c:pt>
                <c:pt idx="43">
                  <c:v>4.9973858285652373E-2</c:v>
                </c:pt>
                <c:pt idx="44">
                  <c:v>4.9974595439524983E-2</c:v>
                </c:pt>
                <c:pt idx="45">
                  <c:v>4.9975075802064728E-2</c:v>
                </c:pt>
                <c:pt idx="46">
                  <c:v>4.9975536261157805E-2</c:v>
                </c:pt>
                <c:pt idx="47">
                  <c:v>4.9976120929257073E-2</c:v>
                </c:pt>
                <c:pt idx="48">
                  <c:v>4.9976693468679834E-2</c:v>
                </c:pt>
                <c:pt idx="49">
                  <c:v>4.9977110731020513E-2</c:v>
                </c:pt>
                <c:pt idx="50">
                  <c:v>4.9977553320037726E-2</c:v>
                </c:pt>
                <c:pt idx="51">
                  <c:v>4.9977985877786013E-2</c:v>
                </c:pt>
                <c:pt idx="52">
                  <c:v>4.9978479524296571E-2</c:v>
                </c:pt>
                <c:pt idx="53">
                  <c:v>4.9978830909650496E-2</c:v>
                </c:pt>
                <c:pt idx="54">
                  <c:v>4.9979208897203087E-2</c:v>
                </c:pt>
                <c:pt idx="55">
                  <c:v>4.9979580589825989E-2</c:v>
                </c:pt>
                <c:pt idx="56">
                  <c:v>4.9980011313130124E-2</c:v>
                </c:pt>
                <c:pt idx="57">
                  <c:v>4.9980310568985109E-2</c:v>
                </c:pt>
                <c:pt idx="58">
                  <c:v>4.9980636984618299E-2</c:v>
                </c:pt>
                <c:pt idx="59">
                  <c:v>4.9980959835808525E-2</c:v>
                </c:pt>
                <c:pt idx="60">
                  <c:v>4.9981339524473922E-2</c:v>
                </c:pt>
                <c:pt idx="61">
                  <c:v>4.9981596859207889E-2</c:v>
                </c:pt>
                <c:pt idx="62">
                  <c:v>4.9981881458163624E-2</c:v>
                </c:pt>
                <c:pt idx="63">
                  <c:v>4.9982127615391558E-2</c:v>
                </c:pt>
                <c:pt idx="64">
                  <c:v>4.9982503410444634E-2</c:v>
                </c:pt>
                <c:pt idx="65">
                  <c:v>4.9982714252733373E-2</c:v>
                </c:pt>
                <c:pt idx="66">
                  <c:v>4.9982970550158434E-2</c:v>
                </c:pt>
                <c:pt idx="67">
                  <c:v>4.9983190763366769E-2</c:v>
                </c:pt>
                <c:pt idx="68">
                  <c:v>4.9983529283896377E-2</c:v>
                </c:pt>
                <c:pt idx="69">
                  <c:v>4.9983712639439792E-2</c:v>
                </c:pt>
                <c:pt idx="70">
                  <c:v>4.9983940024989959E-2</c:v>
                </c:pt>
                <c:pt idx="71">
                  <c:v>4.998413451086825E-2</c:v>
                </c:pt>
                <c:pt idx="72">
                  <c:v>4.9984441515512179E-2</c:v>
                </c:pt>
                <c:pt idx="73">
                  <c:v>4.9984601971851728E-2</c:v>
                </c:pt>
                <c:pt idx="74">
                  <c:v>4.9984805036856761E-2</c:v>
                </c:pt>
                <c:pt idx="75">
                  <c:v>4.9984977903666961E-2</c:v>
                </c:pt>
                <c:pt idx="76">
                  <c:v>4.9985257997350319E-2</c:v>
                </c:pt>
                <c:pt idx="77">
                  <c:v>4.9985399193450686E-2</c:v>
                </c:pt>
                <c:pt idx="78">
                  <c:v>4.9985581607335794E-2</c:v>
                </c:pt>
                <c:pt idx="79">
                  <c:v>4.9985666643117765E-2</c:v>
                </c:pt>
                <c:pt idx="80">
                  <c:v>4.9986020288748989E-2</c:v>
                </c:pt>
                <c:pt idx="81">
                  <c:v>4.9986118552038494E-2</c:v>
                </c:pt>
                <c:pt idx="82">
                  <c:v>4.9986273171914952E-2</c:v>
                </c:pt>
                <c:pt idx="83">
                  <c:v>4.9986355164603591E-2</c:v>
                </c:pt>
                <c:pt idx="84">
                  <c:v>4.9986684042717666E-2</c:v>
                </c:pt>
                <c:pt idx="85">
                  <c:v>4.9986769612525128E-2</c:v>
                </c:pt>
                <c:pt idx="86">
                  <c:v>4.9986909455573603E-2</c:v>
                </c:pt>
                <c:pt idx="87">
                  <c:v>4.9986980558983207E-2</c:v>
                </c:pt>
                <c:pt idx="88">
                  <c:v>4.9987287620524956E-2</c:v>
                </c:pt>
                <c:pt idx="89">
                  <c:v>4.9987362323294926E-2</c:v>
                </c:pt>
                <c:pt idx="90">
                  <c:v>4.9987489348847669E-2</c:v>
                </c:pt>
                <c:pt idx="91">
                  <c:v>4.998755112770481E-2</c:v>
                </c:pt>
                <c:pt idx="92">
                  <c:v>4.9987838850502619E-2</c:v>
                </c:pt>
                <c:pt idx="93">
                  <c:v>4.9987904192645427E-2</c:v>
                </c:pt>
                <c:pt idx="94">
                  <c:v>4.9988020030152791E-2</c:v>
                </c:pt>
                <c:pt idx="95">
                  <c:v>4.9988178796438243E-2</c:v>
                </c:pt>
                <c:pt idx="96">
                  <c:v>4.9988331755473903E-2</c:v>
                </c:pt>
                <c:pt idx="97">
                  <c:v>4.9988422011473688E-2</c:v>
                </c:pt>
                <c:pt idx="98">
                  <c:v>4.9988530524270658E-2</c:v>
                </c:pt>
                <c:pt idx="99">
                  <c:v>4.998865498608307E-2</c:v>
                </c:pt>
                <c:pt idx="100">
                  <c:v>4.9988797211553138E-2</c:v>
                </c:pt>
                <c:pt idx="101">
                  <c:v>4.9988879106624529E-2</c:v>
                </c:pt>
                <c:pt idx="102">
                  <c:v>4.9988978868155343E-2</c:v>
                </c:pt>
                <c:pt idx="103">
                  <c:v>4.9989094289820457E-2</c:v>
                </c:pt>
                <c:pt idx="104">
                  <c:v>4.9989226954527677E-2</c:v>
                </c:pt>
                <c:pt idx="105">
                  <c:v>4.9989301470691139E-2</c:v>
                </c:pt>
                <c:pt idx="106">
                  <c:v>4.9989393468007348E-2</c:v>
                </c:pt>
                <c:pt idx="107">
                  <c:v>4.9989500833659939E-2</c:v>
                </c:pt>
                <c:pt idx="108">
                  <c:v>4.9989624942839317E-2</c:v>
                </c:pt>
                <c:pt idx="109">
                  <c:v>4.9989692917278949E-2</c:v>
                </c:pt>
                <c:pt idx="110">
                  <c:v>4.9989777995250728E-2</c:v>
                </c:pt>
                <c:pt idx="111">
                  <c:v>4.9989870775920542E-2</c:v>
                </c:pt>
                <c:pt idx="112">
                  <c:v>4.9989991866423278E-2</c:v>
                </c:pt>
                <c:pt idx="113">
                  <c:v>4.9990056561974416E-2</c:v>
                </c:pt>
                <c:pt idx="114">
                  <c:v>4.9990150894844154E-2</c:v>
                </c:pt>
                <c:pt idx="115">
                  <c:v>4.9990222100740667E-2</c:v>
                </c:pt>
                <c:pt idx="116">
                  <c:v>4.9990336088301168E-2</c:v>
                </c:pt>
                <c:pt idx="117">
                  <c:v>4.999039549474471E-2</c:v>
                </c:pt>
                <c:pt idx="118">
                  <c:v>4.9990483748062475E-2</c:v>
                </c:pt>
                <c:pt idx="119">
                  <c:v>4.9990549866434808E-2</c:v>
                </c:pt>
                <c:pt idx="120">
                  <c:v>4.9990657416724593E-2</c:v>
                </c:pt>
                <c:pt idx="121">
                  <c:v>4.9990712076213084E-2</c:v>
                </c:pt>
                <c:pt idx="122">
                  <c:v>4.9990794831263008E-2</c:v>
                </c:pt>
                <c:pt idx="123">
                  <c:v>4.9990856366173064E-2</c:v>
                </c:pt>
                <c:pt idx="124">
                  <c:v>4.999095806243492E-2</c:v>
                </c:pt>
                <c:pt idx="125">
                  <c:v>4.9991008446892415E-2</c:v>
                </c:pt>
                <c:pt idx="126">
                  <c:v>4.9991086212351377E-2</c:v>
                </c:pt>
                <c:pt idx="127">
                  <c:v>4.9991120837928227E-2</c:v>
                </c:pt>
                <c:pt idx="128">
                  <c:v>4.9991225598916555E-2</c:v>
                </c:pt>
                <c:pt idx="129">
                  <c:v>4.9991266930139222E-2</c:v>
                </c:pt>
                <c:pt idx="130">
                  <c:v>4.999132975457643E-2</c:v>
                </c:pt>
                <c:pt idx="131">
                  <c:v>4.9991391225467696E-2</c:v>
                </c:pt>
                <c:pt idx="132">
                  <c:v>4.9991490834980779E-2</c:v>
                </c:pt>
                <c:pt idx="133">
                  <c:v>4.9991528822186382E-2</c:v>
                </c:pt>
                <c:pt idx="134">
                  <c:v>4.9991587807960869E-2</c:v>
                </c:pt>
                <c:pt idx="135">
                  <c:v>4.9991645628338244E-2</c:v>
                </c:pt>
                <c:pt idx="136">
                  <c:v>4.9991740504510274E-2</c:v>
                </c:pt>
                <c:pt idx="137">
                  <c:v>4.9991775458356313E-2</c:v>
                </c:pt>
                <c:pt idx="138">
                  <c:v>4.9991830938161064E-2</c:v>
                </c:pt>
                <c:pt idx="139">
                  <c:v>4.9991885423252391E-2</c:v>
                </c:pt>
                <c:pt idx="140">
                  <c:v>4.9991975938827649E-2</c:v>
                </c:pt>
                <c:pt idx="141">
                  <c:v>4.999200813436544E-2</c:v>
                </c:pt>
                <c:pt idx="142">
                  <c:v>4.9992060403630578E-2</c:v>
                </c:pt>
                <c:pt idx="143">
                  <c:v>4.99921357427211E-2</c:v>
                </c:pt>
                <c:pt idx="144">
                  <c:v>4.99922342000505E-2</c:v>
                </c:pt>
                <c:pt idx="145">
                  <c:v>4.999225974700483E-2</c:v>
                </c:pt>
                <c:pt idx="146">
                  <c:v>4.9992231336057014E-2</c:v>
                </c:pt>
                <c:pt idx="147">
                  <c:v>4.9992349178277218E-2</c:v>
                </c:pt>
                <c:pt idx="148">
                  <c:v>4.9992443579045753E-2</c:v>
                </c:pt>
                <c:pt idx="149">
                  <c:v>4.9992466950185666E-2</c:v>
                </c:pt>
                <c:pt idx="150">
                  <c:v>4.9992437907135256E-2</c:v>
                </c:pt>
                <c:pt idx="151">
                  <c:v>4.9992551331778712E-2</c:v>
                </c:pt>
                <c:pt idx="152">
                  <c:v>4.9992641962545381E-2</c:v>
                </c:pt>
                <c:pt idx="153">
                  <c:v>4.9992663344736066E-2</c:v>
                </c:pt>
                <c:pt idx="154">
                  <c:v>4.9992633772524497E-2</c:v>
                </c:pt>
                <c:pt idx="155">
                  <c:v>4.9992743074649848E-2</c:v>
                </c:pt>
                <c:pt idx="156">
                  <c:v>4.9992830194469651E-2</c:v>
                </c:pt>
                <c:pt idx="157">
                  <c:v>4.9992849754480151E-2</c:v>
                </c:pt>
                <c:pt idx="158">
                  <c:v>4.9992819743027495E-2</c:v>
                </c:pt>
                <c:pt idx="159">
                  <c:v>4.9992965667274403E-2</c:v>
                </c:pt>
                <c:pt idx="160">
                  <c:v>4.9992986163180486E-2</c:v>
                </c:pt>
                <c:pt idx="161">
                  <c:v>4.9993027263548706E-2</c:v>
                </c:pt>
                <c:pt idx="162">
                  <c:v>4.9993074791752301E-2</c:v>
                </c:pt>
                <c:pt idx="163">
                  <c:v>4.9993137852744507E-2</c:v>
                </c:pt>
                <c:pt idx="164">
                  <c:v>4.9993156833444186E-2</c:v>
                </c:pt>
                <c:pt idx="165">
                  <c:v>4.9993195831885773E-2</c:v>
                </c:pt>
                <c:pt idx="166">
                  <c:v>4.9993241193570404E-2</c:v>
                </c:pt>
                <c:pt idx="167">
                  <c:v>4.9993301807785606E-2</c:v>
                </c:pt>
                <c:pt idx="168">
                  <c:v>4.9993319393792923E-2</c:v>
                </c:pt>
                <c:pt idx="169">
                  <c:v>4.9993356438575498E-2</c:v>
                </c:pt>
                <c:pt idx="170">
                  <c:v>4.9993399782454651E-2</c:v>
                </c:pt>
                <c:pt idx="171">
                  <c:v>4.9993458108825495E-2</c:v>
                </c:pt>
                <c:pt idx="172">
                  <c:v>4.9993474408764449E-2</c:v>
                </c:pt>
                <c:pt idx="173">
                  <c:v>4.9993509634860267E-2</c:v>
                </c:pt>
                <c:pt idx="174">
                  <c:v>4.9993551095649291E-2</c:v>
                </c:pt>
                <c:pt idx="175">
                  <c:v>4.9993541836388378E-2</c:v>
                </c:pt>
                <c:pt idx="176">
                  <c:v>4.9993614159021371E-2</c:v>
                </c:pt>
                <c:pt idx="177">
                  <c:v>4.9993629205910439E-2</c:v>
                </c:pt>
                <c:pt idx="178">
                  <c:v>4.9993679102007027E-2</c:v>
                </c:pt>
                <c:pt idx="179">
                  <c:v>4.9993685796853482E-2</c:v>
                </c:pt>
                <c:pt idx="180">
                  <c:v>4.9993755741278179E-2</c:v>
                </c:pt>
                <c:pt idx="181">
                  <c:v>4.9993769611663685E-2</c:v>
                </c:pt>
                <c:pt idx="182">
                  <c:v>4.9993817636688753E-2</c:v>
                </c:pt>
                <c:pt idx="183">
                  <c:v>4.9993823477293198E-2</c:v>
                </c:pt>
                <c:pt idx="184">
                  <c:v>4.9993891180475369E-2</c:v>
                </c:pt>
                <c:pt idx="185">
                  <c:v>4.9993903958801766E-2</c:v>
                </c:pt>
                <c:pt idx="186">
                  <c:v>4.9993950225854178E-2</c:v>
                </c:pt>
                <c:pt idx="187">
                  <c:v>4.9993955279758584E-2</c:v>
                </c:pt>
                <c:pt idx="188">
                  <c:v>4.9994020867931921E-2</c:v>
                </c:pt>
                <c:pt idx="189">
                  <c:v>4.9994032631492713E-2</c:v>
                </c:pt>
                <c:pt idx="190">
                  <c:v>4.9994077244207125E-2</c:v>
                </c:pt>
                <c:pt idx="191">
                  <c:v>4.9993955312019667E-2</c:v>
                </c:pt>
                <c:pt idx="192">
                  <c:v>4.9994183661210778E-2</c:v>
                </c:pt>
                <c:pt idx="193">
                  <c:v>4.9994148817754658E-2</c:v>
                </c:pt>
                <c:pt idx="194">
                  <c:v>4.9994176534839951E-2</c:v>
                </c:pt>
                <c:pt idx="195">
                  <c:v>4.9994079005719172E-2</c:v>
                </c:pt>
                <c:pt idx="196">
                  <c:v>4.9994302093379073E-2</c:v>
                </c:pt>
                <c:pt idx="197">
                  <c:v>4.9994267300187634E-2</c:v>
                </c:pt>
                <c:pt idx="198">
                  <c:v>4.999429385633003E-2</c:v>
                </c:pt>
                <c:pt idx="199">
                  <c:v>4.9994197737263324E-2</c:v>
                </c:pt>
                <c:pt idx="200">
                  <c:v>4.9994415797435465E-2</c:v>
                </c:pt>
              </c:numCache>
            </c:numRef>
          </c:val>
          <c:smooth val="0"/>
        </c:ser>
        <c:ser>
          <c:idx val="3"/>
          <c:order val="3"/>
          <c:marker>
            <c:symbol val="none"/>
          </c:marker>
          <c:val>
            <c:numRef>
              <c:f>test!$L$2:$L$202</c:f>
              <c:numCache>
                <c:formatCode>0.00000_);[红色]!(0.00000!)</c:formatCode>
                <c:ptCount val="201"/>
                <c:pt idx="0">
                  <c:v>5.0000000001760858E-2</c:v>
                </c:pt>
                <c:pt idx="1">
                  <c:v>5.00000000017784E-2</c:v>
                </c:pt>
                <c:pt idx="2">
                  <c:v>5.0000000001069411E-2</c:v>
                </c:pt>
                <c:pt idx="3">
                  <c:v>5.0000000000006928E-2</c:v>
                </c:pt>
                <c:pt idx="4">
                  <c:v>5.0000000000004929E-2</c:v>
                </c:pt>
                <c:pt idx="5">
                  <c:v>4.9999999999556399E-2</c:v>
                </c:pt>
                <c:pt idx="6">
                  <c:v>4.9999999999620348E-2</c:v>
                </c:pt>
                <c:pt idx="7">
                  <c:v>5.0000000000002931E-2</c:v>
                </c:pt>
                <c:pt idx="8">
                  <c:v>4.9999999999714273E-2</c:v>
                </c:pt>
                <c:pt idx="9">
                  <c:v>5.008645485398211E-2</c:v>
                </c:pt>
                <c:pt idx="10">
                  <c:v>5.0174091637136042E-2</c:v>
                </c:pt>
                <c:pt idx="11">
                  <c:v>5.0259729645020013E-2</c:v>
                </c:pt>
                <c:pt idx="12">
                  <c:v>5.0348902397578055E-2</c:v>
                </c:pt>
                <c:pt idx="13">
                  <c:v>5.0437346546289064E-2</c:v>
                </c:pt>
                <c:pt idx="14">
                  <c:v>5.0528343083892091E-2</c:v>
                </c:pt>
                <c:pt idx="15">
                  <c:v>5.0616911923710761E-2</c:v>
                </c:pt>
                <c:pt idx="16">
                  <c:v>5.0706837637376934E-2</c:v>
                </c:pt>
                <c:pt idx="17">
                  <c:v>5.0797281812478001E-2</c:v>
                </c:pt>
                <c:pt idx="18">
                  <c:v>5.0887994157833294E-2</c:v>
                </c:pt>
                <c:pt idx="19">
                  <c:v>5.0975977379436044E-2</c:v>
                </c:pt>
                <c:pt idx="20">
                  <c:v>5.1067125831258275E-2</c:v>
                </c:pt>
                <c:pt idx="21">
                  <c:v>5.1010010755156987E-2</c:v>
                </c:pt>
                <c:pt idx="22">
                  <c:v>5.0950903997016406E-2</c:v>
                </c:pt>
                <c:pt idx="23">
                  <c:v>5.0892079796130751E-2</c:v>
                </c:pt>
                <c:pt idx="24">
                  <c:v>5.0829735698830314E-2</c:v>
                </c:pt>
                <c:pt idx="25">
                  <c:v>5.0772592707871267E-2</c:v>
                </c:pt>
                <c:pt idx="26">
                  <c:v>5.0712354639352863E-2</c:v>
                </c:pt>
                <c:pt idx="27">
                  <c:v>5.0652606061823313E-2</c:v>
                </c:pt>
                <c:pt idx="28">
                  <c:v>5.0591231443752438E-2</c:v>
                </c:pt>
                <c:pt idx="29">
                  <c:v>5.0533503822101089E-2</c:v>
                </c:pt>
                <c:pt idx="30">
                  <c:v>5.0474380596330803E-2</c:v>
                </c:pt>
                <c:pt idx="31">
                  <c:v>5.0415161623558857E-2</c:v>
                </c:pt>
                <c:pt idx="32">
                  <c:v>5.0353862235420044E-2</c:v>
                </c:pt>
                <c:pt idx="33">
                  <c:v>5.0295385793396763E-2</c:v>
                </c:pt>
                <c:pt idx="34">
                  <c:v>5.0234445323972254E-2</c:v>
                </c:pt>
                <c:pt idx="35">
                  <c:v>5.0173603140934775E-2</c:v>
                </c:pt>
                <c:pt idx="36">
                  <c:v>5.0112075674823897E-2</c:v>
                </c:pt>
                <c:pt idx="37">
                  <c:v>5.0053336951246807E-2</c:v>
                </c:pt>
                <c:pt idx="38">
                  <c:v>4.9994223852081854E-2</c:v>
                </c:pt>
                <c:pt idx="39">
                  <c:v>4.9932858643972011E-2</c:v>
                </c:pt>
                <c:pt idx="40">
                  <c:v>4.9870856957471954E-2</c:v>
                </c:pt>
                <c:pt idx="41">
                  <c:v>4.9873782555657442E-2</c:v>
                </c:pt>
                <c:pt idx="42">
                  <c:v>4.9876613102695311E-2</c:v>
                </c:pt>
                <c:pt idx="43">
                  <c:v>4.9879495250852557E-2</c:v>
                </c:pt>
                <c:pt idx="44">
                  <c:v>4.9882550293750771E-2</c:v>
                </c:pt>
                <c:pt idx="45">
                  <c:v>4.9884951531925514E-2</c:v>
                </c:pt>
                <c:pt idx="46">
                  <c:v>4.9887293962061152E-2</c:v>
                </c:pt>
                <c:pt idx="47">
                  <c:v>4.9889673895654463E-2</c:v>
                </c:pt>
                <c:pt idx="48">
                  <c:v>4.9892351918947808E-2</c:v>
                </c:pt>
                <c:pt idx="49">
                  <c:v>4.9894324985135796E-2</c:v>
                </c:pt>
                <c:pt idx="50">
                  <c:v>4.9896295538938817E-2</c:v>
                </c:pt>
                <c:pt idx="51">
                  <c:v>4.9898290007040158E-2</c:v>
                </c:pt>
                <c:pt idx="52">
                  <c:v>4.9900601037245806E-2</c:v>
                </c:pt>
                <c:pt idx="53">
                  <c:v>4.9902266406410378E-2</c:v>
                </c:pt>
                <c:pt idx="54">
                  <c:v>4.9903944092554386E-2</c:v>
                </c:pt>
                <c:pt idx="55">
                  <c:v>4.9905657663446013E-2</c:v>
                </c:pt>
                <c:pt idx="56">
                  <c:v>4.9907675833749332E-2</c:v>
                </c:pt>
                <c:pt idx="57">
                  <c:v>4.9909097477577324E-2</c:v>
                </c:pt>
                <c:pt idx="58">
                  <c:v>4.9910541708560574E-2</c:v>
                </c:pt>
                <c:pt idx="59">
                  <c:v>4.9912029886979958E-2</c:v>
                </c:pt>
                <c:pt idx="60">
                  <c:v>4.9913810406939429E-2</c:v>
                </c:pt>
                <c:pt idx="61">
                  <c:v>4.9915035858893786E-2</c:v>
                </c:pt>
                <c:pt idx="62">
                  <c:v>4.9916291073197838E-2</c:v>
                </c:pt>
                <c:pt idx="63">
                  <c:v>4.9917721073734267E-2</c:v>
                </c:pt>
                <c:pt idx="64">
                  <c:v>4.9919208746579402E-2</c:v>
                </c:pt>
                <c:pt idx="65">
                  <c:v>4.9920301982554038E-2</c:v>
                </c:pt>
                <c:pt idx="66">
                  <c:v>4.9921393973505479E-2</c:v>
                </c:pt>
                <c:pt idx="67">
                  <c:v>4.9922615337908871E-2</c:v>
                </c:pt>
                <c:pt idx="68">
                  <c:v>4.9923945627524224E-2</c:v>
                </c:pt>
                <c:pt idx="69">
                  <c:v>4.9924905037058709E-2</c:v>
                </c:pt>
                <c:pt idx="70">
                  <c:v>4.992586883826089E-2</c:v>
                </c:pt>
                <c:pt idx="71">
                  <c:v>4.9926959950313599E-2</c:v>
                </c:pt>
                <c:pt idx="72">
                  <c:v>4.9928157790709138E-2</c:v>
                </c:pt>
                <c:pt idx="73">
                  <c:v>4.9929005311015073E-2</c:v>
                </c:pt>
                <c:pt idx="74">
                  <c:v>4.9929861539564246E-2</c:v>
                </c:pt>
                <c:pt idx="75">
                  <c:v>4.9930842583499446E-2</c:v>
                </c:pt>
                <c:pt idx="76">
                  <c:v>4.9931927847636004E-2</c:v>
                </c:pt>
                <c:pt idx="77">
                  <c:v>4.993268091712677E-2</c:v>
                </c:pt>
                <c:pt idx="78">
                  <c:v>4.9933446025401729E-2</c:v>
                </c:pt>
                <c:pt idx="79">
                  <c:v>4.993435563762616E-2</c:v>
                </c:pt>
                <c:pt idx="80">
                  <c:v>4.9935337341604491E-2</c:v>
                </c:pt>
                <c:pt idx="81">
                  <c:v>4.9936010709303869E-2</c:v>
                </c:pt>
                <c:pt idx="82">
                  <c:v>4.9936691801675259E-2</c:v>
                </c:pt>
                <c:pt idx="83">
                  <c:v>4.9937508877549108E-2</c:v>
                </c:pt>
                <c:pt idx="84">
                  <c:v>4.9938407442319921E-2</c:v>
                </c:pt>
                <c:pt idx="85">
                  <c:v>4.9939011833870062E-2</c:v>
                </c:pt>
                <c:pt idx="86">
                  <c:v>4.9939626279684957E-2</c:v>
                </c:pt>
                <c:pt idx="87">
                  <c:v>4.9940373019172535E-2</c:v>
                </c:pt>
                <c:pt idx="88">
                  <c:v>4.9941199211953391E-2</c:v>
                </c:pt>
                <c:pt idx="89">
                  <c:v>4.994174399698359E-2</c:v>
                </c:pt>
                <c:pt idx="90">
                  <c:v>4.9942300696150799E-2</c:v>
                </c:pt>
                <c:pt idx="91">
                  <c:v>4.9942986078774565E-2</c:v>
                </c:pt>
                <c:pt idx="92">
                  <c:v>4.9943748858777504E-2</c:v>
                </c:pt>
                <c:pt idx="93">
                  <c:v>4.9944241805333522E-2</c:v>
                </c:pt>
                <c:pt idx="94">
                  <c:v>4.9944748156520724E-2</c:v>
                </c:pt>
                <c:pt idx="95">
                  <c:v>4.9945363548606903E-2</c:v>
                </c:pt>
                <c:pt idx="96">
                  <c:v>4.9946088024168445E-2</c:v>
                </c:pt>
                <c:pt idx="97">
                  <c:v>4.9946530547098966E-2</c:v>
                </c:pt>
                <c:pt idx="98">
                  <c:v>4.9947009930518371E-2</c:v>
                </c:pt>
                <c:pt idx="99">
                  <c:v>4.9947564408476364E-2</c:v>
                </c:pt>
                <c:pt idx="100">
                  <c:v>4.9948238577418591E-2</c:v>
                </c:pt>
                <c:pt idx="101">
                  <c:v>4.9948641463159582E-2</c:v>
                </c:pt>
                <c:pt idx="102">
                  <c:v>4.9949081283614971E-2</c:v>
                </c:pt>
                <c:pt idx="103">
                  <c:v>4.994959479135197E-2</c:v>
                </c:pt>
                <c:pt idx="104">
                  <c:v>4.9950224127476739E-2</c:v>
                </c:pt>
                <c:pt idx="105">
                  <c:v>4.99505919906853E-2</c:v>
                </c:pt>
                <c:pt idx="106">
                  <c:v>4.9950996741384701E-2</c:v>
                </c:pt>
                <c:pt idx="107">
                  <c:v>4.9951473766738141E-2</c:v>
                </c:pt>
                <c:pt idx="108">
                  <c:v>4.995206296263599E-2</c:v>
                </c:pt>
                <c:pt idx="109">
                  <c:v>4.9952399740255116E-2</c:v>
                </c:pt>
                <c:pt idx="110">
                  <c:v>4.9952773265730777E-2</c:v>
                </c:pt>
                <c:pt idx="111">
                  <c:v>4.9953246120024719E-2</c:v>
                </c:pt>
                <c:pt idx="112">
                  <c:v>4.9953786084756091E-2</c:v>
                </c:pt>
                <c:pt idx="113">
                  <c:v>4.9954096695780548E-2</c:v>
                </c:pt>
                <c:pt idx="114">
                  <c:v>4.9954383188397289E-2</c:v>
                </c:pt>
                <c:pt idx="115">
                  <c:v>4.9954867717334039E-2</c:v>
                </c:pt>
                <c:pt idx="116">
                  <c:v>4.9955375549057601E-2</c:v>
                </c:pt>
                <c:pt idx="117">
                  <c:v>4.9955661333816792E-2</c:v>
                </c:pt>
                <c:pt idx="118">
                  <c:v>4.9955924796239559E-2</c:v>
                </c:pt>
                <c:pt idx="119">
                  <c:v>4.9956380576001269E-2</c:v>
                </c:pt>
                <c:pt idx="120">
                  <c:v>4.9956859304083112E-2</c:v>
                </c:pt>
                <c:pt idx="121">
                  <c:v>4.9957122791676856E-2</c:v>
                </c:pt>
                <c:pt idx="122">
                  <c:v>4.9957365577325552E-2</c:v>
                </c:pt>
                <c:pt idx="123">
                  <c:v>4.9957795278853689E-2</c:v>
                </c:pt>
                <c:pt idx="124">
                  <c:v>4.9958247556191493E-2</c:v>
                </c:pt>
                <c:pt idx="125">
                  <c:v>4.9958490950088308E-2</c:v>
                </c:pt>
                <c:pt idx="126">
                  <c:v>4.9958715110050456E-2</c:v>
                </c:pt>
                <c:pt idx="127">
                  <c:v>4.9959116216644839E-2</c:v>
                </c:pt>
                <c:pt idx="128">
                  <c:v>4.9959567508934821E-2</c:v>
                </c:pt>
                <c:pt idx="129">
                  <c:v>4.9959789002501198E-2</c:v>
                </c:pt>
                <c:pt idx="130">
                  <c:v>4.9960060059213829E-2</c:v>
                </c:pt>
                <c:pt idx="131">
                  <c:v>4.9960361188512437E-2</c:v>
                </c:pt>
                <c:pt idx="132">
                  <c:v>4.9960789700501218E-2</c:v>
                </c:pt>
                <c:pt idx="133">
                  <c:v>4.9960994854141738E-2</c:v>
                </c:pt>
                <c:pt idx="134">
                  <c:v>4.9961248778698675E-2</c:v>
                </c:pt>
                <c:pt idx="135">
                  <c:v>4.9961532561292765E-2</c:v>
                </c:pt>
                <c:pt idx="136">
                  <c:v>4.9961940163441909E-2</c:v>
                </c:pt>
                <c:pt idx="137">
                  <c:v>4.9962130463653054E-2</c:v>
                </c:pt>
                <c:pt idx="138">
                  <c:v>4.9962368756270692E-2</c:v>
                </c:pt>
                <c:pt idx="139">
                  <c:v>4.9962636674278027E-2</c:v>
                </c:pt>
                <c:pt idx="140">
                  <c:v>4.996302503224137E-2</c:v>
                </c:pt>
                <c:pt idx="141">
                  <c:v>4.9963201794945178E-2</c:v>
                </c:pt>
                <c:pt idx="142">
                  <c:v>4.9963425787368454E-2</c:v>
                </c:pt>
                <c:pt idx="143">
                  <c:v>4.9963690681537498E-2</c:v>
                </c:pt>
                <c:pt idx="144">
                  <c:v>4.9964034666726498E-2</c:v>
                </c:pt>
                <c:pt idx="145">
                  <c:v>4.9964206327204774E-2</c:v>
                </c:pt>
                <c:pt idx="146">
                  <c:v>4.9964434920711343E-2</c:v>
                </c:pt>
                <c:pt idx="147">
                  <c:v>4.9964676101474259E-2</c:v>
                </c:pt>
                <c:pt idx="148">
                  <c:v>4.9965004340607466E-2</c:v>
                </c:pt>
                <c:pt idx="149">
                  <c:v>4.9965164495997527E-2</c:v>
                </c:pt>
                <c:pt idx="150">
                  <c:v>4.9965380595349274E-2</c:v>
                </c:pt>
                <c:pt idx="151">
                  <c:v>4.996560943344508E-2</c:v>
                </c:pt>
                <c:pt idx="152">
                  <c:v>4.9965923092299303E-2</c:v>
                </c:pt>
                <c:pt idx="153">
                  <c:v>4.9966072682379625E-2</c:v>
                </c:pt>
                <c:pt idx="154">
                  <c:v>4.9966277259469116E-2</c:v>
                </c:pt>
                <c:pt idx="155">
                  <c:v>4.9966494700990793E-2</c:v>
                </c:pt>
                <c:pt idx="156">
                  <c:v>4.9966794830102579E-2</c:v>
                </c:pt>
                <c:pt idx="157">
                  <c:v>4.996693469758462E-2</c:v>
                </c:pt>
                <c:pt idx="158">
                  <c:v>4.9967128626971169E-2</c:v>
                </c:pt>
                <c:pt idx="159">
                  <c:v>4.9967230218205927E-2</c:v>
                </c:pt>
                <c:pt idx="160">
                  <c:v>4.9967630510939776E-2</c:v>
                </c:pt>
                <c:pt idx="161">
                  <c:v>4.9967726386308087E-2</c:v>
                </c:pt>
                <c:pt idx="162">
                  <c:v>4.9967910024625306E-2</c:v>
                </c:pt>
                <c:pt idx="163">
                  <c:v>4.9968032343276958E-2</c:v>
                </c:pt>
                <c:pt idx="164">
                  <c:v>4.9968418160303285E-2</c:v>
                </c:pt>
                <c:pt idx="165">
                  <c:v>4.9968506603805363E-2</c:v>
                </c:pt>
                <c:pt idx="166">
                  <c:v>4.9968681087225297E-2</c:v>
                </c:pt>
                <c:pt idx="167">
                  <c:v>4.9968796127740189E-2</c:v>
                </c:pt>
                <c:pt idx="168">
                  <c:v>4.9969168382740348E-2</c:v>
                </c:pt>
                <c:pt idx="169">
                  <c:v>4.996924997121277E-2</c:v>
                </c:pt>
                <c:pt idx="170">
                  <c:v>4.9969415946774509E-2</c:v>
                </c:pt>
                <c:pt idx="171">
                  <c:v>4.9969524256372688E-2</c:v>
                </c:pt>
                <c:pt idx="172">
                  <c:v>4.9969883783715474E-2</c:v>
                </c:pt>
                <c:pt idx="173">
                  <c:v>4.996995903896595E-2</c:v>
                </c:pt>
                <c:pt idx="174">
                  <c:v>4.9970117094427335E-2</c:v>
                </c:pt>
                <c:pt idx="175">
                  <c:v>4.997036132271182E-2</c:v>
                </c:pt>
                <c:pt idx="176">
                  <c:v>4.9970579772648183E-2</c:v>
                </c:pt>
                <c:pt idx="177">
                  <c:v>4.9970690225420888E-2</c:v>
                </c:pt>
                <c:pt idx="178">
                  <c:v>4.9970824607619813E-2</c:v>
                </c:pt>
                <c:pt idx="179">
                  <c:v>4.9971021998433507E-2</c:v>
                </c:pt>
                <c:pt idx="180">
                  <c:v>4.9971232049777825E-2</c:v>
                </c:pt>
                <c:pt idx="181">
                  <c:v>4.9971336175561154E-2</c:v>
                </c:pt>
                <c:pt idx="182">
                  <c:v>4.9971464035992508E-2</c:v>
                </c:pt>
                <c:pt idx="183">
                  <c:v>4.9971653853837728E-2</c:v>
                </c:pt>
                <c:pt idx="184">
                  <c:v>4.9971856025795791E-2</c:v>
                </c:pt>
                <c:pt idx="185">
                  <c:v>4.9971954253616557E-2</c:v>
                </c:pt>
                <c:pt idx="186">
                  <c:v>4.9972076022402945E-2</c:v>
                </c:pt>
                <c:pt idx="187">
                  <c:v>4.9972258734193753E-2</c:v>
                </c:pt>
                <c:pt idx="188">
                  <c:v>4.9972453503602354E-2</c:v>
                </c:pt>
                <c:pt idx="189">
                  <c:v>4.9972546225779402E-2</c:v>
                </c:pt>
                <c:pt idx="190">
                  <c:v>4.9972662295884041E-2</c:v>
                </c:pt>
                <c:pt idx="191">
                  <c:v>4.9972844732640187E-2</c:v>
                </c:pt>
                <c:pt idx="192">
                  <c:v>4.9973027597466135E-2</c:v>
                </c:pt>
                <c:pt idx="193">
                  <c:v>4.9973116350106483E-2</c:v>
                </c:pt>
                <c:pt idx="194">
                  <c:v>4.997321339826355E-2</c:v>
                </c:pt>
                <c:pt idx="195">
                  <c:v>4.9973400411772229E-2</c:v>
                </c:pt>
                <c:pt idx="196">
                  <c:v>4.9973576802409436E-2</c:v>
                </c:pt>
                <c:pt idx="197">
                  <c:v>4.9973660720459057E-2</c:v>
                </c:pt>
                <c:pt idx="198">
                  <c:v>4.9973753043759617E-2</c:v>
                </c:pt>
                <c:pt idx="199">
                  <c:v>4.9973933797942793E-2</c:v>
                </c:pt>
                <c:pt idx="200">
                  <c:v>4.9974104083654325E-2</c:v>
                </c:pt>
              </c:numCache>
            </c:numRef>
          </c:val>
          <c:smooth val="0"/>
        </c:ser>
        <c:ser>
          <c:idx val="4"/>
          <c:order val="4"/>
          <c:marker>
            <c:symbol val="none"/>
          </c:marker>
          <c:val>
            <c:numRef>
              <c:f>test!$M$2:$M$202</c:f>
              <c:numCache>
                <c:formatCode>0.00000_);[红色]!(0.00000!)</c:formatCode>
                <c:ptCount val="201"/>
                <c:pt idx="0">
                  <c:v>5.0000000001760858E-2</c:v>
                </c:pt>
                <c:pt idx="1">
                  <c:v>5.00000000017784E-2</c:v>
                </c:pt>
                <c:pt idx="2">
                  <c:v>5.0000000001069411E-2</c:v>
                </c:pt>
                <c:pt idx="3">
                  <c:v>5.0000000000006928E-2</c:v>
                </c:pt>
                <c:pt idx="4">
                  <c:v>5.0000000000004929E-2</c:v>
                </c:pt>
                <c:pt idx="5">
                  <c:v>4.9999999999556399E-2</c:v>
                </c:pt>
                <c:pt idx="6">
                  <c:v>4.9999999999620348E-2</c:v>
                </c:pt>
                <c:pt idx="7">
                  <c:v>5.0000000000002931E-2</c:v>
                </c:pt>
                <c:pt idx="8">
                  <c:v>4.9999999999714273E-2</c:v>
                </c:pt>
                <c:pt idx="9">
                  <c:v>5.0000000000012035E-2</c:v>
                </c:pt>
                <c:pt idx="10">
                  <c:v>5.0000000000244293E-2</c:v>
                </c:pt>
                <c:pt idx="11">
                  <c:v>5.0000000000219647E-2</c:v>
                </c:pt>
                <c:pt idx="12">
                  <c:v>5.0000000000213429E-2</c:v>
                </c:pt>
                <c:pt idx="13">
                  <c:v>5.000000000000826E-2</c:v>
                </c:pt>
                <c:pt idx="14">
                  <c:v>5.0000000000174349E-2</c:v>
                </c:pt>
                <c:pt idx="15">
                  <c:v>4.9999999999993605E-2</c:v>
                </c:pt>
                <c:pt idx="16">
                  <c:v>5.0000000000001155E-2</c:v>
                </c:pt>
                <c:pt idx="17">
                  <c:v>5.0000000000157252E-2</c:v>
                </c:pt>
                <c:pt idx="18">
                  <c:v>5.0000000000135714E-2</c:v>
                </c:pt>
                <c:pt idx="19">
                  <c:v>5.0000000000133937E-2</c:v>
                </c:pt>
                <c:pt idx="20">
                  <c:v>5.0000000000134603E-2</c:v>
                </c:pt>
                <c:pt idx="21">
                  <c:v>5.0055821178073723E-2</c:v>
                </c:pt>
                <c:pt idx="22">
                  <c:v>5.0112402635480224E-2</c:v>
                </c:pt>
                <c:pt idx="23">
                  <c:v>5.0167791976332143E-2</c:v>
                </c:pt>
                <c:pt idx="24">
                  <c:v>5.0225632225762151E-2</c:v>
                </c:pt>
                <c:pt idx="25">
                  <c:v>5.0282258656644263E-2</c:v>
                </c:pt>
                <c:pt idx="26">
                  <c:v>5.034075078195821E-2</c:v>
                </c:pt>
                <c:pt idx="27">
                  <c:v>5.0397947180809588E-2</c:v>
                </c:pt>
                <c:pt idx="28">
                  <c:v>5.0456128058301131E-2</c:v>
                </c:pt>
                <c:pt idx="29">
                  <c:v>5.0513787919692188E-2</c:v>
                </c:pt>
                <c:pt idx="30">
                  <c:v>5.0571889493253863E-2</c:v>
                </c:pt>
                <c:pt idx="31">
                  <c:v>5.0629278469264571E-2</c:v>
                </c:pt>
                <c:pt idx="32">
                  <c:v>5.0688160963367368E-2</c:v>
                </c:pt>
                <c:pt idx="33">
                  <c:v>5.0746962077257818E-2</c:v>
                </c:pt>
                <c:pt idx="34">
                  <c:v>5.0807334302317209E-2</c:v>
                </c:pt>
                <c:pt idx="35">
                  <c:v>5.0866948475754459E-2</c:v>
                </c:pt>
                <c:pt idx="36">
                  <c:v>5.0926790771531616E-2</c:v>
                </c:pt>
                <c:pt idx="37">
                  <c:v>5.0986159425997712E-2</c:v>
                </c:pt>
                <c:pt idx="38">
                  <c:v>5.1045118575370863E-2</c:v>
                </c:pt>
                <c:pt idx="39">
                  <c:v>5.1105766149332155E-2</c:v>
                </c:pt>
                <c:pt idx="40">
                  <c:v>5.1166641738583207E-2</c:v>
                </c:pt>
                <c:pt idx="41">
                  <c:v>5.1132070904614135E-2</c:v>
                </c:pt>
                <c:pt idx="42">
                  <c:v>5.1096736163524836E-2</c:v>
                </c:pt>
                <c:pt idx="43">
                  <c:v>5.1059635617963783E-2</c:v>
                </c:pt>
                <c:pt idx="44">
                  <c:v>5.1021498342474825E-2</c:v>
                </c:pt>
                <c:pt idx="45">
                  <c:v>5.0987236927756641E-2</c:v>
                </c:pt>
                <c:pt idx="46">
                  <c:v>5.0951919996011563E-2</c:v>
                </c:pt>
                <c:pt idx="47">
                  <c:v>5.0914479975690874E-2</c:v>
                </c:pt>
                <c:pt idx="48">
                  <c:v>5.0876848309415079E-2</c:v>
                </c:pt>
                <c:pt idx="49">
                  <c:v>5.0842643497460704E-2</c:v>
                </c:pt>
                <c:pt idx="50">
                  <c:v>5.0807846350723329E-2</c:v>
                </c:pt>
                <c:pt idx="51">
                  <c:v>5.0771397133526852E-2</c:v>
                </c:pt>
                <c:pt idx="52">
                  <c:v>5.0734019605000569E-2</c:v>
                </c:pt>
                <c:pt idx="53">
                  <c:v>5.069969269573904E-2</c:v>
                </c:pt>
                <c:pt idx="54">
                  <c:v>5.0664839565920383E-2</c:v>
                </c:pt>
                <c:pt idx="55">
                  <c:v>5.0628420072650115E-2</c:v>
                </c:pt>
                <c:pt idx="56">
                  <c:v>5.0591113449766079E-2</c:v>
                </c:pt>
                <c:pt idx="57">
                  <c:v>5.0556529936089944E-2</c:v>
                </c:pt>
                <c:pt idx="58">
                  <c:v>5.05214843941173E-2</c:v>
                </c:pt>
                <c:pt idx="59">
                  <c:v>5.0484954073818811E-2</c:v>
                </c:pt>
                <c:pt idx="60">
                  <c:v>5.0447576866135213E-2</c:v>
                </c:pt>
                <c:pt idx="61">
                  <c:v>5.0412632947327563E-2</c:v>
                </c:pt>
                <c:pt idx="62">
                  <c:v>5.0376888883653548E-2</c:v>
                </c:pt>
                <c:pt idx="63">
                  <c:v>5.0339261029970439E-2</c:v>
                </c:pt>
                <c:pt idx="64">
                  <c:v>5.0301803199649608E-2</c:v>
                </c:pt>
                <c:pt idx="65">
                  <c:v>5.0266378432908931E-2</c:v>
                </c:pt>
                <c:pt idx="66">
                  <c:v>5.0230627704420661E-2</c:v>
                </c:pt>
                <c:pt idx="67">
                  <c:v>5.0193530079785997E-2</c:v>
                </c:pt>
                <c:pt idx="68">
                  <c:v>5.0155788543529756E-2</c:v>
                </c:pt>
                <c:pt idx="69">
                  <c:v>5.0119856156971343E-2</c:v>
                </c:pt>
                <c:pt idx="70">
                  <c:v>5.008365415874505E-2</c:v>
                </c:pt>
                <c:pt idx="71">
                  <c:v>5.0046174030432766E-2</c:v>
                </c:pt>
                <c:pt idx="72">
                  <c:v>5.0008074075564402E-2</c:v>
                </c:pt>
                <c:pt idx="73">
                  <c:v>4.9971577458721939E-2</c:v>
                </c:pt>
                <c:pt idx="74">
                  <c:v>4.9934865339134493E-2</c:v>
                </c:pt>
                <c:pt idx="75">
                  <c:v>4.9896940596561024E-2</c:v>
                </c:pt>
                <c:pt idx="76">
                  <c:v>4.9858419004270349E-2</c:v>
                </c:pt>
                <c:pt idx="77">
                  <c:v>4.9821309711486572E-2</c:v>
                </c:pt>
                <c:pt idx="78">
                  <c:v>4.97835942114353E-2</c:v>
                </c:pt>
                <c:pt idx="79">
                  <c:v>4.9744362282327037E-2</c:v>
                </c:pt>
                <c:pt idx="80">
                  <c:v>4.9705346838269771E-2</c:v>
                </c:pt>
                <c:pt idx="81">
                  <c:v>4.9708670533456623E-2</c:v>
                </c:pt>
                <c:pt idx="82">
                  <c:v>4.9712036728626785E-2</c:v>
                </c:pt>
                <c:pt idx="83">
                  <c:v>4.9715679394273238E-2</c:v>
                </c:pt>
                <c:pt idx="84">
                  <c:v>4.9719335140398391E-2</c:v>
                </c:pt>
                <c:pt idx="85">
                  <c:v>4.9722332615641074E-2</c:v>
                </c:pt>
                <c:pt idx="86">
                  <c:v>4.9725383134953338E-2</c:v>
                </c:pt>
                <c:pt idx="87">
                  <c:v>4.9728709296148699E-2</c:v>
                </c:pt>
                <c:pt idx="88">
                  <c:v>4.9732055407663234E-2</c:v>
                </c:pt>
                <c:pt idx="89">
                  <c:v>4.9734770418674357E-2</c:v>
                </c:pt>
                <c:pt idx="90">
                  <c:v>4.9737546860770809E-2</c:v>
                </c:pt>
                <c:pt idx="91">
                  <c:v>4.9740597054162894E-2</c:v>
                </c:pt>
                <c:pt idx="92">
                  <c:v>4.9743672585721432E-2</c:v>
                </c:pt>
                <c:pt idx="93">
                  <c:v>4.9746141453675063E-2</c:v>
                </c:pt>
                <c:pt idx="94">
                  <c:v>4.9748678443991778E-2</c:v>
                </c:pt>
                <c:pt idx="95">
                  <c:v>4.9751552842009827E-2</c:v>
                </c:pt>
                <c:pt idx="96">
                  <c:v>4.9754381689934402E-2</c:v>
                </c:pt>
                <c:pt idx="97">
                  <c:v>4.9756629117327922E-2</c:v>
                </c:pt>
                <c:pt idx="98">
                  <c:v>4.9758955163740737E-2</c:v>
                </c:pt>
                <c:pt idx="99">
                  <c:v>4.9761559887448792E-2</c:v>
                </c:pt>
                <c:pt idx="100">
                  <c:v>4.9764178570208761E-2</c:v>
                </c:pt>
                <c:pt idx="101">
                  <c:v>4.9766236314552348E-2</c:v>
                </c:pt>
                <c:pt idx="102">
                  <c:v>4.9768376679305559E-2</c:v>
                </c:pt>
                <c:pt idx="103">
                  <c:v>4.9770791860431762E-2</c:v>
                </c:pt>
                <c:pt idx="104">
                  <c:v>4.9773223838267988E-2</c:v>
                </c:pt>
                <c:pt idx="105">
                  <c:v>4.9775113611376209E-2</c:v>
                </c:pt>
                <c:pt idx="106">
                  <c:v>4.9777089166106903E-2</c:v>
                </c:pt>
                <c:pt idx="107">
                  <c:v>4.977933545230373E-2</c:v>
                </c:pt>
                <c:pt idx="108">
                  <c:v>4.9781600794447378E-2</c:v>
                </c:pt>
                <c:pt idx="109">
                  <c:v>4.9783341145919868E-2</c:v>
                </c:pt>
                <c:pt idx="110">
                  <c:v>4.9785169761765724E-2</c:v>
                </c:pt>
                <c:pt idx="111">
                  <c:v>4.978725282861185E-2</c:v>
                </c:pt>
                <c:pt idx="112">
                  <c:v>4.9789412408314915E-2</c:v>
                </c:pt>
                <c:pt idx="113">
                  <c:v>4.9791004204743583E-2</c:v>
                </c:pt>
                <c:pt idx="114">
                  <c:v>4.9792746348145123E-2</c:v>
                </c:pt>
                <c:pt idx="115">
                  <c:v>4.9794631129953526E-2</c:v>
                </c:pt>
                <c:pt idx="116">
                  <c:v>4.9796654734986401E-2</c:v>
                </c:pt>
                <c:pt idx="117">
                  <c:v>4.9798127410548787E-2</c:v>
                </c:pt>
                <c:pt idx="118">
                  <c:v>4.979974991904168E-2</c:v>
                </c:pt>
                <c:pt idx="119">
                  <c:v>4.9801514704756356E-2</c:v>
                </c:pt>
                <c:pt idx="120">
                  <c:v>4.9803415437535303E-2</c:v>
                </c:pt>
                <c:pt idx="121">
                  <c:v>4.9804780909643576E-2</c:v>
                </c:pt>
                <c:pt idx="122">
                  <c:v>4.9806295463239225E-2</c:v>
                </c:pt>
                <c:pt idx="123">
                  <c:v>4.9807951697885766E-2</c:v>
                </c:pt>
                <c:pt idx="124">
                  <c:v>4.980974101331137E-2</c:v>
                </c:pt>
                <c:pt idx="125">
                  <c:v>4.9811009679028739E-2</c:v>
                </c:pt>
                <c:pt idx="126">
                  <c:v>4.9812426490700723E-2</c:v>
                </c:pt>
                <c:pt idx="127">
                  <c:v>4.9814103079195649E-2</c:v>
                </c:pt>
                <c:pt idx="128">
                  <c:v>4.9815701921458677E-2</c:v>
                </c:pt>
                <c:pt idx="129">
                  <c:v>4.9816914512268662E-2</c:v>
                </c:pt>
                <c:pt idx="130">
                  <c:v>4.9818196926167735E-2</c:v>
                </c:pt>
                <c:pt idx="131">
                  <c:v>4.9819763542549467E-2</c:v>
                </c:pt>
                <c:pt idx="132">
                  <c:v>4.982127250780799E-2</c:v>
                </c:pt>
                <c:pt idx="133">
                  <c:v>4.9822404544699328E-2</c:v>
                </c:pt>
                <c:pt idx="134">
                  <c:v>4.982360752491366E-2</c:v>
                </c:pt>
                <c:pt idx="135">
                  <c:v>4.9825089397853795E-2</c:v>
                </c:pt>
                <c:pt idx="136">
                  <c:v>4.9826516185739855E-2</c:v>
                </c:pt>
                <c:pt idx="137">
                  <c:v>4.9827574797069341E-2</c:v>
                </c:pt>
                <c:pt idx="138">
                  <c:v>4.9828705257145112E-2</c:v>
                </c:pt>
                <c:pt idx="139">
                  <c:v>4.9830109462637884E-2</c:v>
                </c:pt>
                <c:pt idx="140">
                  <c:v>4.9831460911877068E-2</c:v>
                </c:pt>
                <c:pt idx="141">
                  <c:v>4.9832452418371975E-2</c:v>
                </c:pt>
                <c:pt idx="142">
                  <c:v>4.9833516497510555E-2</c:v>
                </c:pt>
                <c:pt idx="143">
                  <c:v>4.9834860973247297E-2</c:v>
                </c:pt>
                <c:pt idx="144">
                  <c:v>4.9836160100977356E-2</c:v>
                </c:pt>
                <c:pt idx="145">
                  <c:v>4.9837074990481511E-2</c:v>
                </c:pt>
                <c:pt idx="146">
                  <c:v>4.9838092930594158E-2</c:v>
                </c:pt>
                <c:pt idx="147">
                  <c:v>4.9839342515047402E-2</c:v>
                </c:pt>
                <c:pt idx="148">
                  <c:v>4.9840577186472501E-2</c:v>
                </c:pt>
                <c:pt idx="149">
                  <c:v>4.9841436115702464E-2</c:v>
                </c:pt>
                <c:pt idx="150">
                  <c:v>4.9842397790002213E-2</c:v>
                </c:pt>
                <c:pt idx="151">
                  <c:v>4.9843587182032634E-2</c:v>
                </c:pt>
                <c:pt idx="152">
                  <c:v>4.984476232243007E-2</c:v>
                </c:pt>
                <c:pt idx="153">
                  <c:v>4.9845569757465347E-2</c:v>
                </c:pt>
                <c:pt idx="154">
                  <c:v>4.9846479558999457E-2</c:v>
                </c:pt>
                <c:pt idx="155">
                  <c:v>4.9847613271514435E-2</c:v>
                </c:pt>
                <c:pt idx="156">
                  <c:v>4.984873331156825E-2</c:v>
                </c:pt>
                <c:pt idx="157">
                  <c:v>4.9849493262463129E-2</c:v>
                </c:pt>
                <c:pt idx="158">
                  <c:v>4.9850355141190628E-2</c:v>
                </c:pt>
                <c:pt idx="159">
                  <c:v>4.9851498192815757E-2</c:v>
                </c:pt>
                <c:pt idx="160">
                  <c:v>4.9852517987329481E-2</c:v>
                </c:pt>
                <c:pt idx="161">
                  <c:v>4.9853247809698242E-2</c:v>
                </c:pt>
                <c:pt idx="162">
                  <c:v>4.9854070820427365E-2</c:v>
                </c:pt>
                <c:pt idx="163">
                  <c:v>4.9855132965748172E-2</c:v>
                </c:pt>
                <c:pt idx="164">
                  <c:v>4.985610648915717E-2</c:v>
                </c:pt>
                <c:pt idx="165">
                  <c:v>4.9856795373064644E-2</c:v>
                </c:pt>
                <c:pt idx="166">
                  <c:v>4.9857577048673329E-2</c:v>
                </c:pt>
                <c:pt idx="167">
                  <c:v>4.9858594010419033E-2</c:v>
                </c:pt>
                <c:pt idx="168">
                  <c:v>4.9859524483375273E-2</c:v>
                </c:pt>
                <c:pt idx="169">
                  <c:v>4.986017539234866E-2</c:v>
                </c:pt>
                <c:pt idx="170">
                  <c:v>4.9860918659940801E-2</c:v>
                </c:pt>
                <c:pt idx="171">
                  <c:v>4.9861893491267795E-2</c:v>
                </c:pt>
                <c:pt idx="172">
                  <c:v>4.9862783840301628E-2</c:v>
                </c:pt>
                <c:pt idx="173">
                  <c:v>4.9863399462643621E-2</c:v>
                </c:pt>
                <c:pt idx="174">
                  <c:v>4.9864106981675427E-2</c:v>
                </c:pt>
                <c:pt idx="175">
                  <c:v>4.9865025612505054E-2</c:v>
                </c:pt>
                <c:pt idx="176">
                  <c:v>4.9865907793901876E-2</c:v>
                </c:pt>
                <c:pt idx="177">
                  <c:v>4.9866464597666305E-2</c:v>
                </c:pt>
                <c:pt idx="178">
                  <c:v>4.9867109430002943E-2</c:v>
                </c:pt>
                <c:pt idx="179">
                  <c:v>4.9868034182320775E-2</c:v>
                </c:pt>
                <c:pt idx="180">
                  <c:v>4.9868880614650557E-2</c:v>
                </c:pt>
                <c:pt idx="181">
                  <c:v>4.986940740990442E-2</c:v>
                </c:pt>
                <c:pt idx="182">
                  <c:v>4.987002181768907E-2</c:v>
                </c:pt>
                <c:pt idx="183">
                  <c:v>4.987091151584333E-2</c:v>
                </c:pt>
                <c:pt idx="184">
                  <c:v>4.9871724456485023E-2</c:v>
                </c:pt>
                <c:pt idx="185">
                  <c:v>4.9872223248966563E-2</c:v>
                </c:pt>
                <c:pt idx="186">
                  <c:v>4.9872809221172876E-2</c:v>
                </c:pt>
                <c:pt idx="187">
                  <c:v>4.9873666017008045E-2</c:v>
                </c:pt>
                <c:pt idx="188">
                  <c:v>4.9874447534707933E-2</c:v>
                </c:pt>
                <c:pt idx="189">
                  <c:v>4.9874920159763025E-2</c:v>
                </c:pt>
                <c:pt idx="190">
                  <c:v>4.9875479516588772E-2</c:v>
                </c:pt>
                <c:pt idx="191">
                  <c:v>4.9876323810579715E-2</c:v>
                </c:pt>
                <c:pt idx="192">
                  <c:v>4.9877070050094119E-2</c:v>
                </c:pt>
                <c:pt idx="193">
                  <c:v>4.9877543091356058E-2</c:v>
                </c:pt>
                <c:pt idx="194">
                  <c:v>4.98781434622102E-2</c:v>
                </c:pt>
                <c:pt idx="195">
                  <c:v>4.9878854488411895E-2</c:v>
                </c:pt>
                <c:pt idx="196">
                  <c:v>4.9879573007097333E-2</c:v>
                </c:pt>
                <c:pt idx="197">
                  <c:v>4.9880022630078624E-2</c:v>
                </c:pt>
                <c:pt idx="198">
                  <c:v>4.988059829240199E-2</c:v>
                </c:pt>
                <c:pt idx="199">
                  <c:v>4.988128364511879E-2</c:v>
                </c:pt>
                <c:pt idx="200">
                  <c:v>4.9881976052814858E-2</c:v>
                </c:pt>
              </c:numCache>
            </c:numRef>
          </c:val>
          <c:smooth val="0"/>
        </c:ser>
        <c:ser>
          <c:idx val="5"/>
          <c:order val="5"/>
          <c:marker>
            <c:symbol val="none"/>
          </c:marker>
          <c:val>
            <c:numRef>
              <c:f>test!$N$2:$N$202</c:f>
              <c:numCache>
                <c:formatCode>0.00000_);[红色]!(0.00000!)</c:formatCode>
                <c:ptCount val="201"/>
                <c:pt idx="0">
                  <c:v>5.0000000001760858E-2</c:v>
                </c:pt>
                <c:pt idx="1">
                  <c:v>5.00000000017784E-2</c:v>
                </c:pt>
                <c:pt idx="2">
                  <c:v>5.0000000001069411E-2</c:v>
                </c:pt>
                <c:pt idx="3">
                  <c:v>5.0000000000006928E-2</c:v>
                </c:pt>
                <c:pt idx="4">
                  <c:v>5.0000000000004929E-2</c:v>
                </c:pt>
                <c:pt idx="5">
                  <c:v>4.9999999999556399E-2</c:v>
                </c:pt>
                <c:pt idx="6">
                  <c:v>4.9999999999620348E-2</c:v>
                </c:pt>
                <c:pt idx="7">
                  <c:v>5.0000000000002931E-2</c:v>
                </c:pt>
                <c:pt idx="8">
                  <c:v>4.9999999999714273E-2</c:v>
                </c:pt>
                <c:pt idx="9">
                  <c:v>5.0000000000012035E-2</c:v>
                </c:pt>
                <c:pt idx="10">
                  <c:v>5.0000000000244293E-2</c:v>
                </c:pt>
                <c:pt idx="11">
                  <c:v>5.0000000000219647E-2</c:v>
                </c:pt>
                <c:pt idx="12">
                  <c:v>5.0000000000213429E-2</c:v>
                </c:pt>
                <c:pt idx="13">
                  <c:v>5.000000000000826E-2</c:v>
                </c:pt>
                <c:pt idx="14">
                  <c:v>5.0000000000174349E-2</c:v>
                </c:pt>
                <c:pt idx="15">
                  <c:v>4.9999999999993605E-2</c:v>
                </c:pt>
                <c:pt idx="16">
                  <c:v>5.0000000000001155E-2</c:v>
                </c:pt>
                <c:pt idx="17">
                  <c:v>5.0000000000157252E-2</c:v>
                </c:pt>
                <c:pt idx="18">
                  <c:v>5.0000000000135714E-2</c:v>
                </c:pt>
                <c:pt idx="19">
                  <c:v>5.0000000000133937E-2</c:v>
                </c:pt>
                <c:pt idx="20">
                  <c:v>5.0000000000134603E-2</c:v>
                </c:pt>
                <c:pt idx="21">
                  <c:v>4.999999999999849E-2</c:v>
                </c:pt>
                <c:pt idx="22">
                  <c:v>5.0000000000111289E-2</c:v>
                </c:pt>
                <c:pt idx="23">
                  <c:v>4.9999999999869482E-2</c:v>
                </c:pt>
                <c:pt idx="24">
                  <c:v>5.0000000000112177E-2</c:v>
                </c:pt>
                <c:pt idx="25">
                  <c:v>5.0000000000112621E-2</c:v>
                </c:pt>
                <c:pt idx="26">
                  <c:v>5.0000000000094635E-2</c:v>
                </c:pt>
                <c:pt idx="27">
                  <c:v>4.999999999999627E-2</c:v>
                </c:pt>
                <c:pt idx="28">
                  <c:v>5.0000000000096412E-2</c:v>
                </c:pt>
                <c:pt idx="29">
                  <c:v>5.0000000000096412E-2</c:v>
                </c:pt>
                <c:pt idx="30">
                  <c:v>5.0000000000082201E-2</c:v>
                </c:pt>
                <c:pt idx="31">
                  <c:v>4.9999999999996936E-2</c:v>
                </c:pt>
                <c:pt idx="32">
                  <c:v>5.0000000000084199E-2</c:v>
                </c:pt>
                <c:pt idx="33">
                  <c:v>5.0000000000084865E-2</c:v>
                </c:pt>
                <c:pt idx="34">
                  <c:v>5.0000000000073319E-2</c:v>
                </c:pt>
                <c:pt idx="35">
                  <c:v>5.0000000000088418E-2</c:v>
                </c:pt>
                <c:pt idx="36">
                  <c:v>4.9999999999894573E-2</c:v>
                </c:pt>
                <c:pt idx="37">
                  <c:v>5.0000000000075095E-2</c:v>
                </c:pt>
                <c:pt idx="38">
                  <c:v>5.0000000000065548E-2</c:v>
                </c:pt>
                <c:pt idx="39">
                  <c:v>4.9999999999992939E-2</c:v>
                </c:pt>
                <c:pt idx="40">
                  <c:v>4.9999999999990496E-2</c:v>
                </c:pt>
                <c:pt idx="41">
                  <c:v>5.0031538333131342E-2</c:v>
                </c:pt>
                <c:pt idx="42">
                  <c:v>5.0063162235648218E-2</c:v>
                </c:pt>
                <c:pt idx="43">
                  <c:v>5.0095891727159447E-2</c:v>
                </c:pt>
                <c:pt idx="44">
                  <c:v>5.0129037423598088E-2</c:v>
                </c:pt>
                <c:pt idx="45">
                  <c:v>5.0160951774770535E-2</c:v>
                </c:pt>
                <c:pt idx="46">
                  <c:v>5.0193264040681029E-2</c:v>
                </c:pt>
                <c:pt idx="47">
                  <c:v>5.022698905901013E-2</c:v>
                </c:pt>
                <c:pt idx="48">
                  <c:v>5.0260380296114571E-2</c:v>
                </c:pt>
                <c:pt idx="49">
                  <c:v>5.0292788296130375E-2</c:v>
                </c:pt>
                <c:pt idx="50">
                  <c:v>5.0325177839816382E-2</c:v>
                </c:pt>
                <c:pt idx="51">
                  <c:v>5.0358573299122078E-2</c:v>
                </c:pt>
                <c:pt idx="52">
                  <c:v>5.0392338567482486E-2</c:v>
                </c:pt>
                <c:pt idx="53">
                  <c:v>5.0425312911402287E-2</c:v>
                </c:pt>
                <c:pt idx="54">
                  <c:v>5.0458229951473532E-2</c:v>
                </c:pt>
                <c:pt idx="55">
                  <c:v>5.0492098978971445E-2</c:v>
                </c:pt>
                <c:pt idx="56">
                  <c:v>5.0526328976560952E-2</c:v>
                </c:pt>
                <c:pt idx="57">
                  <c:v>5.0559941837471811E-2</c:v>
                </c:pt>
                <c:pt idx="58">
                  <c:v>5.0593460443157046E-2</c:v>
                </c:pt>
                <c:pt idx="59">
                  <c:v>5.0627880889825949E-2</c:v>
                </c:pt>
                <c:pt idx="60">
                  <c:v>5.066265395297842E-2</c:v>
                </c:pt>
                <c:pt idx="61">
                  <c:v>5.0696969828251337E-2</c:v>
                </c:pt>
                <c:pt idx="62">
                  <c:v>5.0731559332832354E-2</c:v>
                </c:pt>
                <c:pt idx="63">
                  <c:v>5.0767373345821154E-2</c:v>
                </c:pt>
                <c:pt idx="64">
                  <c:v>5.0802755232993047E-2</c:v>
                </c:pt>
                <c:pt idx="65">
                  <c:v>5.0837846687777244E-2</c:v>
                </c:pt>
                <c:pt idx="66">
                  <c:v>5.0872753032612517E-2</c:v>
                </c:pt>
                <c:pt idx="67">
                  <c:v>5.0908489627161435E-2</c:v>
                </c:pt>
                <c:pt idx="68">
                  <c:v>5.0944554762292871E-2</c:v>
                </c:pt>
                <c:pt idx="69">
                  <c:v>5.098046593171901E-2</c:v>
                </c:pt>
                <c:pt idx="70">
                  <c:v>5.1016159995620036E-2</c:v>
                </c:pt>
                <c:pt idx="71">
                  <c:v>5.1052643913038098E-2</c:v>
                </c:pt>
                <c:pt idx="72">
                  <c:v>5.1089454799080558E-2</c:v>
                </c:pt>
                <c:pt idx="73">
                  <c:v>5.1126242841154301E-2</c:v>
                </c:pt>
                <c:pt idx="74">
                  <c:v>5.1162782869168089E-2</c:v>
                </c:pt>
                <c:pt idx="75">
                  <c:v>5.12000744941008E-2</c:v>
                </c:pt>
                <c:pt idx="76">
                  <c:v>5.123769245491272E-2</c:v>
                </c:pt>
                <c:pt idx="77">
                  <c:v>5.1275414970886501E-2</c:v>
                </c:pt>
                <c:pt idx="78">
                  <c:v>5.131331522858873E-2</c:v>
                </c:pt>
                <c:pt idx="79">
                  <c:v>5.1352285786178786E-2</c:v>
                </c:pt>
                <c:pt idx="80">
                  <c:v>5.1390809510270863E-2</c:v>
                </c:pt>
                <c:pt idx="81">
                  <c:v>5.1344589464629831E-2</c:v>
                </c:pt>
                <c:pt idx="82">
                  <c:v>5.1297727978988128E-2</c:v>
                </c:pt>
                <c:pt idx="83">
                  <c:v>5.1248561952857541E-2</c:v>
                </c:pt>
                <c:pt idx="84">
                  <c:v>5.1198508919313657E-2</c:v>
                </c:pt>
                <c:pt idx="85">
                  <c:v>5.1152355662361426E-2</c:v>
                </c:pt>
                <c:pt idx="86">
                  <c:v>5.1105601540076595E-2</c:v>
                </c:pt>
                <c:pt idx="87">
                  <c:v>5.1056629271559961E-2</c:v>
                </c:pt>
                <c:pt idx="88">
                  <c:v>5.1006783390343813E-2</c:v>
                </c:pt>
                <c:pt idx="89">
                  <c:v>5.0960553562221955E-2</c:v>
                </c:pt>
                <c:pt idx="90">
                  <c:v>5.0913766080056488E-2</c:v>
                </c:pt>
                <c:pt idx="91">
                  <c:v>5.0864845738721964E-2</c:v>
                </c:pt>
                <c:pt idx="92">
                  <c:v>5.0815066895293137E-2</c:v>
                </c:pt>
                <c:pt idx="93">
                  <c:v>5.0768638658941656E-2</c:v>
                </c:pt>
                <c:pt idx="94">
                  <c:v>5.0721191641187158E-2</c:v>
                </c:pt>
                <c:pt idx="95">
                  <c:v>5.0671122036165972E-2</c:v>
                </c:pt>
                <c:pt idx="96">
                  <c:v>5.0621359985756342E-2</c:v>
                </c:pt>
                <c:pt idx="97">
                  <c:v>5.0574611626018173E-2</c:v>
                </c:pt>
                <c:pt idx="98">
                  <c:v>5.0527427298133976E-2</c:v>
                </c:pt>
                <c:pt idx="99">
                  <c:v>5.0478205704654444E-2</c:v>
                </c:pt>
                <c:pt idx="100">
                  <c:v>5.042827897924762E-2</c:v>
                </c:pt>
                <c:pt idx="101">
                  <c:v>5.0381138417085358E-2</c:v>
                </c:pt>
                <c:pt idx="102">
                  <c:v>5.0333607470367303E-2</c:v>
                </c:pt>
                <c:pt idx="103">
                  <c:v>5.0284125083087883E-2</c:v>
                </c:pt>
                <c:pt idx="104">
                  <c:v>5.0233943407784754E-2</c:v>
                </c:pt>
                <c:pt idx="105">
                  <c:v>5.0186331482387603E-2</c:v>
                </c:pt>
                <c:pt idx="106">
                  <c:v>5.0138375671873847E-2</c:v>
                </c:pt>
                <c:pt idx="107">
                  <c:v>5.0088552740920944E-2</c:v>
                </c:pt>
                <c:pt idx="108">
                  <c:v>5.0038036885149406E-2</c:v>
                </c:pt>
                <c:pt idx="109">
                  <c:v>4.9989883946468083E-2</c:v>
                </c:pt>
                <c:pt idx="110">
                  <c:v>4.9940875220664482E-2</c:v>
                </c:pt>
                <c:pt idx="111">
                  <c:v>4.9889563037146978E-2</c:v>
                </c:pt>
                <c:pt idx="112">
                  <c:v>4.9838645658818459E-2</c:v>
                </c:pt>
                <c:pt idx="113">
                  <c:v>4.9789878921933539E-2</c:v>
                </c:pt>
                <c:pt idx="114">
                  <c:v>4.9740879346326095E-2</c:v>
                </c:pt>
                <c:pt idx="115">
                  <c:v>4.9690178357554515E-2</c:v>
                </c:pt>
                <c:pt idx="116">
                  <c:v>4.9638792646818475E-2</c:v>
                </c:pt>
                <c:pt idx="117">
                  <c:v>4.9589368941596268E-2</c:v>
                </c:pt>
                <c:pt idx="118">
                  <c:v>4.9539761131176085E-2</c:v>
                </c:pt>
                <c:pt idx="119">
                  <c:v>4.9488530777851203E-2</c:v>
                </c:pt>
                <c:pt idx="120">
                  <c:v>4.9436621575088546E-2</c:v>
                </c:pt>
                <c:pt idx="121">
                  <c:v>4.9440932244640967E-2</c:v>
                </c:pt>
                <c:pt idx="122">
                  <c:v>4.9445255772866181E-2</c:v>
                </c:pt>
                <c:pt idx="123">
                  <c:v>4.9449961771837359E-2</c:v>
                </c:pt>
                <c:pt idx="124">
                  <c:v>4.9454746566727881E-2</c:v>
                </c:pt>
                <c:pt idx="125">
                  <c:v>4.9458767237200663E-2</c:v>
                </c:pt>
                <c:pt idx="126">
                  <c:v>4.9462811365544868E-2</c:v>
                </c:pt>
                <c:pt idx="127">
                  <c:v>4.9467270062343083E-2</c:v>
                </c:pt>
                <c:pt idx="128">
                  <c:v>4.9471825614233245E-2</c:v>
                </c:pt>
                <c:pt idx="129">
                  <c:v>4.9475551633610282E-2</c:v>
                </c:pt>
                <c:pt idx="130">
                  <c:v>4.947934049342817E-2</c:v>
                </c:pt>
                <c:pt idx="131">
                  <c:v>4.948348884538345E-2</c:v>
                </c:pt>
                <c:pt idx="132">
                  <c:v>4.9487787672295225E-2</c:v>
                </c:pt>
                <c:pt idx="133">
                  <c:v>4.9491275402517632E-2</c:v>
                </c:pt>
                <c:pt idx="134">
                  <c:v>4.9494833349053469E-2</c:v>
                </c:pt>
                <c:pt idx="135">
                  <c:v>4.949874903178042E-2</c:v>
                </c:pt>
                <c:pt idx="136">
                  <c:v>4.9502813144954194E-2</c:v>
                </c:pt>
                <c:pt idx="137">
                  <c:v>4.9506083441425597E-2</c:v>
                </c:pt>
                <c:pt idx="138">
                  <c:v>4.9509430469031335E-2</c:v>
                </c:pt>
                <c:pt idx="139">
                  <c:v>4.9513133168219037E-2</c:v>
                </c:pt>
                <c:pt idx="140">
                  <c:v>4.9516982115246355E-2</c:v>
                </c:pt>
                <c:pt idx="141">
                  <c:v>4.9520053483959048E-2</c:v>
                </c:pt>
                <c:pt idx="142">
                  <c:v>4.9523207353685983E-2</c:v>
                </c:pt>
                <c:pt idx="143">
                  <c:v>4.952686117662175E-2</c:v>
                </c:pt>
                <c:pt idx="144">
                  <c:v>4.9530440467473236E-2</c:v>
                </c:pt>
                <c:pt idx="145">
                  <c:v>4.9533364763908017E-2</c:v>
                </c:pt>
                <c:pt idx="146">
                  <c:v>4.9536386819068579E-2</c:v>
                </c:pt>
                <c:pt idx="147">
                  <c:v>4.9539699409865356E-2</c:v>
                </c:pt>
                <c:pt idx="148">
                  <c:v>4.9543097905403011E-2</c:v>
                </c:pt>
                <c:pt idx="149">
                  <c:v>4.9545853794192407E-2</c:v>
                </c:pt>
                <c:pt idx="150">
                  <c:v>4.954871190102117E-2</c:v>
                </c:pt>
                <c:pt idx="151">
                  <c:v>4.9551859164576717E-2</c:v>
                </c:pt>
                <c:pt idx="152">
                  <c:v>4.9555090768683252E-2</c:v>
                </c:pt>
                <c:pt idx="153">
                  <c:v>4.9557691464645615E-2</c:v>
                </c:pt>
                <c:pt idx="154">
                  <c:v>4.9560398346929047E-2</c:v>
                </c:pt>
                <c:pt idx="155">
                  <c:v>4.9563392840734632E-2</c:v>
                </c:pt>
                <c:pt idx="156">
                  <c:v>4.9566470058000522E-2</c:v>
                </c:pt>
                <c:pt idx="157">
                  <c:v>4.9568927437616539E-2</c:v>
                </c:pt>
                <c:pt idx="158">
                  <c:v>4.9571494540827876E-2</c:v>
                </c:pt>
                <c:pt idx="159">
                  <c:v>4.9574385744403759E-2</c:v>
                </c:pt>
                <c:pt idx="160">
                  <c:v>4.9577329598861741E-2</c:v>
                </c:pt>
                <c:pt idx="161">
                  <c:v>4.9579648843312674E-2</c:v>
                </c:pt>
                <c:pt idx="162">
                  <c:v>4.9582070717262061E-2</c:v>
                </c:pt>
                <c:pt idx="163">
                  <c:v>4.9584801882384788E-2</c:v>
                </c:pt>
                <c:pt idx="164">
                  <c:v>4.9587612625116018E-2</c:v>
                </c:pt>
                <c:pt idx="165">
                  <c:v>4.9589809087406733E-2</c:v>
                </c:pt>
                <c:pt idx="166">
                  <c:v>4.9592111038900377E-2</c:v>
                </c:pt>
                <c:pt idx="167">
                  <c:v>4.9594720230782263E-2</c:v>
                </c:pt>
                <c:pt idx="168">
                  <c:v>4.9597407114269965E-2</c:v>
                </c:pt>
                <c:pt idx="169">
                  <c:v>4.9599489542669462E-2</c:v>
                </c:pt>
                <c:pt idx="170">
                  <c:v>4.9601680026310158E-2</c:v>
                </c:pt>
                <c:pt idx="171">
                  <c:v>4.9604175641269954E-2</c:v>
                </c:pt>
                <c:pt idx="172">
                  <c:v>4.96067470731969E-2</c:v>
                </c:pt>
                <c:pt idx="173">
                  <c:v>4.9608723410386801E-2</c:v>
                </c:pt>
                <c:pt idx="174">
                  <c:v>4.9610810107984404E-2</c:v>
                </c:pt>
                <c:pt idx="175">
                  <c:v>4.9613170448379318E-2</c:v>
                </c:pt>
                <c:pt idx="176">
                  <c:v>4.9615705913514718E-2</c:v>
                </c:pt>
                <c:pt idx="177">
                  <c:v>4.9617589653420113E-2</c:v>
                </c:pt>
                <c:pt idx="178">
                  <c:v>4.9619605051859361E-2</c:v>
                </c:pt>
                <c:pt idx="179">
                  <c:v>4.9621791859458142E-2</c:v>
                </c:pt>
                <c:pt idx="180">
                  <c:v>4.9624224722421451E-2</c:v>
                </c:pt>
                <c:pt idx="181">
                  <c:v>4.9626016149502572E-2</c:v>
                </c:pt>
                <c:pt idx="182">
                  <c:v>4.9627940739277232E-2</c:v>
                </c:pt>
                <c:pt idx="183">
                  <c:v>4.9630037241383151E-2</c:v>
                </c:pt>
                <c:pt idx="184">
                  <c:v>4.9632373975357247E-2</c:v>
                </c:pt>
                <c:pt idx="185">
                  <c:v>4.9634079110312479E-2</c:v>
                </c:pt>
                <c:pt idx="186">
                  <c:v>4.9635918743037077E-2</c:v>
                </c:pt>
                <c:pt idx="187">
                  <c:v>4.9637930670167973E-2</c:v>
                </c:pt>
                <c:pt idx="188">
                  <c:v>4.9640177209430814E-2</c:v>
                </c:pt>
                <c:pt idx="189">
                  <c:v>4.9641801564459076E-2</c:v>
                </c:pt>
                <c:pt idx="190">
                  <c:v>4.9643561601782737E-2</c:v>
                </c:pt>
                <c:pt idx="191">
                  <c:v>4.9645703583460987E-2</c:v>
                </c:pt>
                <c:pt idx="192">
                  <c:v>4.9647692022693812E-2</c:v>
                </c:pt>
                <c:pt idx="193">
                  <c:v>4.9649241333852512E-2</c:v>
                </c:pt>
                <c:pt idx="194">
                  <c:v>4.9650867221916251E-2</c:v>
                </c:pt>
                <c:pt idx="195">
                  <c:v>4.9652952477742263E-2</c:v>
                </c:pt>
                <c:pt idx="196">
                  <c:v>4.965486455246082E-2</c:v>
                </c:pt>
                <c:pt idx="197">
                  <c:v>4.9656342855745939E-2</c:v>
                </c:pt>
                <c:pt idx="198">
                  <c:v>4.9657899871646149E-2</c:v>
                </c:pt>
                <c:pt idx="199">
                  <c:v>4.9659910604244351E-2</c:v>
                </c:pt>
                <c:pt idx="200">
                  <c:v>4.9661750803132954E-2</c:v>
                </c:pt>
              </c:numCache>
            </c:numRef>
          </c:val>
          <c:smooth val="0"/>
        </c:ser>
        <c:ser>
          <c:idx val="6"/>
          <c:order val="6"/>
          <c:marker>
            <c:symbol val="none"/>
          </c:marker>
          <c:val>
            <c:numRef>
              <c:f>test!$O$2:$O$202</c:f>
              <c:numCache>
                <c:formatCode>0.00000_);[红色]!(0.00000!)</c:formatCode>
                <c:ptCount val="201"/>
                <c:pt idx="0">
                  <c:v>5.0000000001760858E-2</c:v>
                </c:pt>
                <c:pt idx="1">
                  <c:v>5.00000000017784E-2</c:v>
                </c:pt>
                <c:pt idx="2">
                  <c:v>5.0000000001069411E-2</c:v>
                </c:pt>
                <c:pt idx="3">
                  <c:v>5.0000000000006928E-2</c:v>
                </c:pt>
                <c:pt idx="4">
                  <c:v>5.0000000000004929E-2</c:v>
                </c:pt>
                <c:pt idx="5">
                  <c:v>4.9999999999556399E-2</c:v>
                </c:pt>
                <c:pt idx="6">
                  <c:v>4.9999999999620348E-2</c:v>
                </c:pt>
                <c:pt idx="7">
                  <c:v>5.0000000000002931E-2</c:v>
                </c:pt>
                <c:pt idx="8">
                  <c:v>4.9999999999714273E-2</c:v>
                </c:pt>
                <c:pt idx="9">
                  <c:v>5.0000000000012035E-2</c:v>
                </c:pt>
                <c:pt idx="10">
                  <c:v>5.0000000000244293E-2</c:v>
                </c:pt>
                <c:pt idx="11">
                  <c:v>5.0000000000219647E-2</c:v>
                </c:pt>
                <c:pt idx="12">
                  <c:v>5.0000000000213429E-2</c:v>
                </c:pt>
                <c:pt idx="13">
                  <c:v>5.000000000000826E-2</c:v>
                </c:pt>
                <c:pt idx="14">
                  <c:v>5.0000000000174349E-2</c:v>
                </c:pt>
                <c:pt idx="15">
                  <c:v>4.9999999999993605E-2</c:v>
                </c:pt>
                <c:pt idx="16">
                  <c:v>5.0000000000001155E-2</c:v>
                </c:pt>
                <c:pt idx="17">
                  <c:v>5.0000000000157252E-2</c:v>
                </c:pt>
                <c:pt idx="18">
                  <c:v>5.0000000000135714E-2</c:v>
                </c:pt>
                <c:pt idx="19">
                  <c:v>5.0000000000133937E-2</c:v>
                </c:pt>
                <c:pt idx="20">
                  <c:v>5.0000000000134603E-2</c:v>
                </c:pt>
                <c:pt idx="21">
                  <c:v>4.999999999999849E-2</c:v>
                </c:pt>
                <c:pt idx="22">
                  <c:v>5.0000000000111289E-2</c:v>
                </c:pt>
                <c:pt idx="23">
                  <c:v>4.9999999999869482E-2</c:v>
                </c:pt>
                <c:pt idx="24">
                  <c:v>5.0000000000112177E-2</c:v>
                </c:pt>
                <c:pt idx="25">
                  <c:v>5.0000000000112621E-2</c:v>
                </c:pt>
                <c:pt idx="26">
                  <c:v>5.0000000000094635E-2</c:v>
                </c:pt>
                <c:pt idx="27">
                  <c:v>4.999999999999627E-2</c:v>
                </c:pt>
                <c:pt idx="28">
                  <c:v>5.0000000000096412E-2</c:v>
                </c:pt>
                <c:pt idx="29">
                  <c:v>5.0000000000096412E-2</c:v>
                </c:pt>
                <c:pt idx="30">
                  <c:v>5.0000000000082201E-2</c:v>
                </c:pt>
                <c:pt idx="31">
                  <c:v>4.9999999999996936E-2</c:v>
                </c:pt>
                <c:pt idx="32">
                  <c:v>5.0000000000084199E-2</c:v>
                </c:pt>
                <c:pt idx="33">
                  <c:v>5.0000000000084865E-2</c:v>
                </c:pt>
                <c:pt idx="34">
                  <c:v>5.0000000000073319E-2</c:v>
                </c:pt>
                <c:pt idx="35">
                  <c:v>5.0000000000088418E-2</c:v>
                </c:pt>
                <c:pt idx="36">
                  <c:v>4.9999999999894573E-2</c:v>
                </c:pt>
                <c:pt idx="37">
                  <c:v>5.0000000000075095E-2</c:v>
                </c:pt>
                <c:pt idx="38">
                  <c:v>5.0000000000065548E-2</c:v>
                </c:pt>
                <c:pt idx="39">
                  <c:v>4.9999999999992939E-2</c:v>
                </c:pt>
                <c:pt idx="40">
                  <c:v>4.9999999999990496E-2</c:v>
                </c:pt>
                <c:pt idx="41">
                  <c:v>4.9999999999899236E-2</c:v>
                </c:pt>
                <c:pt idx="42">
                  <c:v>5.000000000005933E-2</c:v>
                </c:pt>
                <c:pt idx="43">
                  <c:v>5.0000000000075984E-2</c:v>
                </c:pt>
                <c:pt idx="44">
                  <c:v>4.9999999999909894E-2</c:v>
                </c:pt>
                <c:pt idx="45">
                  <c:v>4.999999999998872E-2</c:v>
                </c:pt>
                <c:pt idx="46">
                  <c:v>5.0000000000054223E-2</c:v>
                </c:pt>
                <c:pt idx="47">
                  <c:v>5.0000000000069766E-2</c:v>
                </c:pt>
                <c:pt idx="48">
                  <c:v>5.0000000000074207E-2</c:v>
                </c:pt>
                <c:pt idx="49">
                  <c:v>4.9999999999911227E-2</c:v>
                </c:pt>
                <c:pt idx="50">
                  <c:v>5.0000000000050449E-2</c:v>
                </c:pt>
                <c:pt idx="51">
                  <c:v>4.999999999998761E-2</c:v>
                </c:pt>
                <c:pt idx="52">
                  <c:v>5.0000000000068434E-2</c:v>
                </c:pt>
                <c:pt idx="53">
                  <c:v>5.00000000000691E-2</c:v>
                </c:pt>
                <c:pt idx="54">
                  <c:v>4.9999999999971623E-2</c:v>
                </c:pt>
                <c:pt idx="55">
                  <c:v>5.0000000000063105E-2</c:v>
                </c:pt>
                <c:pt idx="56">
                  <c:v>4.9999999999989386E-2</c:v>
                </c:pt>
                <c:pt idx="57">
                  <c:v>4.9999999999990274E-2</c:v>
                </c:pt>
                <c:pt idx="58">
                  <c:v>4.9999999999973621E-2</c:v>
                </c:pt>
                <c:pt idx="59">
                  <c:v>5.0000000000058886E-2</c:v>
                </c:pt>
                <c:pt idx="60">
                  <c:v>5.0000000000062883E-2</c:v>
                </c:pt>
                <c:pt idx="61">
                  <c:v>5.0000000000063327E-2</c:v>
                </c:pt>
                <c:pt idx="62">
                  <c:v>5.000000000004734E-2</c:v>
                </c:pt>
                <c:pt idx="63">
                  <c:v>4.9999999999911671E-2</c:v>
                </c:pt>
                <c:pt idx="64">
                  <c:v>5.0000000000058886E-2</c:v>
                </c:pt>
                <c:pt idx="65">
                  <c:v>4.9999999999916778E-2</c:v>
                </c:pt>
                <c:pt idx="66">
                  <c:v>5.0000000000044897E-2</c:v>
                </c:pt>
                <c:pt idx="67">
                  <c:v>4.9999999999987832E-2</c:v>
                </c:pt>
                <c:pt idx="68">
                  <c:v>5.0000000000055556E-2</c:v>
                </c:pt>
                <c:pt idx="69">
                  <c:v>5.0000000000062661E-2</c:v>
                </c:pt>
                <c:pt idx="70">
                  <c:v>5.0000000000042233E-2</c:v>
                </c:pt>
                <c:pt idx="71">
                  <c:v>5.0000000000058886E-2</c:v>
                </c:pt>
                <c:pt idx="72">
                  <c:v>5.0000000000052447E-2</c:v>
                </c:pt>
                <c:pt idx="73">
                  <c:v>4.9999999999989164E-2</c:v>
                </c:pt>
                <c:pt idx="74">
                  <c:v>4.9999999999900124E-2</c:v>
                </c:pt>
                <c:pt idx="75">
                  <c:v>5.0000000000055556E-2</c:v>
                </c:pt>
                <c:pt idx="76">
                  <c:v>4.9999999999979838E-2</c:v>
                </c:pt>
                <c:pt idx="77">
                  <c:v>4.999999999998983E-2</c:v>
                </c:pt>
                <c:pt idx="78">
                  <c:v>5.0000000000044675E-2</c:v>
                </c:pt>
                <c:pt idx="79">
                  <c:v>4.9999999999983169E-2</c:v>
                </c:pt>
                <c:pt idx="80">
                  <c:v>5.0000000000051115E-2</c:v>
                </c:pt>
                <c:pt idx="81">
                  <c:v>5.0041543152409496E-2</c:v>
                </c:pt>
                <c:pt idx="82">
                  <c:v>5.0083257596523101E-2</c:v>
                </c:pt>
                <c:pt idx="83">
                  <c:v>5.0126487501787498E-2</c:v>
                </c:pt>
                <c:pt idx="84">
                  <c:v>5.0170364670506729E-2</c:v>
                </c:pt>
                <c:pt idx="85">
                  <c:v>5.0212542316047548E-2</c:v>
                </c:pt>
                <c:pt idx="86">
                  <c:v>5.0254863954938056E-2</c:v>
                </c:pt>
                <c:pt idx="87">
                  <c:v>5.0298654122504782E-2</c:v>
                </c:pt>
                <c:pt idx="88">
                  <c:v>5.0343095623573753E-2</c:v>
                </c:pt>
                <c:pt idx="89">
                  <c:v>5.0386018804196464E-2</c:v>
                </c:pt>
                <c:pt idx="90">
                  <c:v>5.0429057934468835E-2</c:v>
                </c:pt>
                <c:pt idx="91">
                  <c:v>5.0473520043035291E-2</c:v>
                </c:pt>
                <c:pt idx="92">
                  <c:v>5.0518637866448168E-2</c:v>
                </c:pt>
                <c:pt idx="93">
                  <c:v>5.0562411961026621E-2</c:v>
                </c:pt>
                <c:pt idx="94">
                  <c:v>5.0606780959569386E-2</c:v>
                </c:pt>
                <c:pt idx="95">
                  <c:v>5.0653010995520331E-2</c:v>
                </c:pt>
                <c:pt idx="96">
                  <c:v>5.0698912174065303E-2</c:v>
                </c:pt>
                <c:pt idx="97">
                  <c:v>5.0743648668154284E-2</c:v>
                </c:pt>
                <c:pt idx="98">
                  <c:v>5.078841660494704E-2</c:v>
                </c:pt>
                <c:pt idx="99">
                  <c:v>5.0834559275331204E-2</c:v>
                </c:pt>
                <c:pt idx="100">
                  <c:v>5.0881353668928542E-2</c:v>
                </c:pt>
                <c:pt idx="101">
                  <c:v>5.092714258675568E-2</c:v>
                </c:pt>
                <c:pt idx="102">
                  <c:v>5.0972935707589206E-2</c:v>
                </c:pt>
                <c:pt idx="103">
                  <c:v>5.102005918218655E-2</c:v>
                </c:pt>
                <c:pt idx="104">
                  <c:v>5.1067849753820616E-2</c:v>
                </c:pt>
                <c:pt idx="105">
                  <c:v>5.1114791845241037E-2</c:v>
                </c:pt>
                <c:pt idx="106">
                  <c:v>5.116171074899567E-2</c:v>
                </c:pt>
                <c:pt idx="107">
                  <c:v>5.1209917007594807E-2</c:v>
                </c:pt>
                <c:pt idx="108">
                  <c:v>5.1258807154294761E-2</c:v>
                </c:pt>
                <c:pt idx="109">
                  <c:v>5.1307004743320617E-2</c:v>
                </c:pt>
                <c:pt idx="110">
                  <c:v>5.1355734151383947E-2</c:v>
                </c:pt>
                <c:pt idx="111">
                  <c:v>5.140619480165487E-2</c:v>
                </c:pt>
                <c:pt idx="112">
                  <c:v>5.1456292500991152E-2</c:v>
                </c:pt>
                <c:pt idx="113">
                  <c:v>5.1505872019784738E-2</c:v>
                </c:pt>
                <c:pt idx="114">
                  <c:v>5.1555323776303341E-2</c:v>
                </c:pt>
                <c:pt idx="115">
                  <c:v>5.1606034477881035E-2</c:v>
                </c:pt>
                <c:pt idx="116">
                  <c:v>5.1657448060126843E-2</c:v>
                </c:pt>
                <c:pt idx="117">
                  <c:v>5.1708497236130357E-2</c:v>
                </c:pt>
                <c:pt idx="118">
                  <c:v>5.1759391263203058E-2</c:v>
                </c:pt>
                <c:pt idx="119">
                  <c:v>5.1811505716143458E-2</c:v>
                </c:pt>
                <c:pt idx="120">
                  <c:v>5.1864347733348026E-2</c:v>
                </c:pt>
                <c:pt idx="121">
                  <c:v>5.1829182205753277E-2</c:v>
                </c:pt>
                <c:pt idx="122">
                  <c:v>5.1793376395520285E-2</c:v>
                </c:pt>
                <c:pt idx="123">
                  <c:v>5.1755414976930147E-2</c:v>
                </c:pt>
                <c:pt idx="124">
                  <c:v>5.1716752308378355E-2</c:v>
                </c:pt>
                <c:pt idx="125">
                  <c:v>5.1681704255388983E-2</c:v>
                </c:pt>
                <c:pt idx="126">
                  <c:v>5.1645698881095603E-2</c:v>
                </c:pt>
                <c:pt idx="127">
                  <c:v>5.1607103203513249E-2</c:v>
                </c:pt>
                <c:pt idx="128">
                  <c:v>5.1568686492937221E-2</c:v>
                </c:pt>
                <c:pt idx="129">
                  <c:v>5.1533660023955763E-2</c:v>
                </c:pt>
                <c:pt idx="130">
                  <c:v>5.1498032744744959E-2</c:v>
                </c:pt>
                <c:pt idx="131">
                  <c:v>5.1460330399857757E-2</c:v>
                </c:pt>
                <c:pt idx="132">
                  <c:v>5.1422019079713444E-2</c:v>
                </c:pt>
                <c:pt idx="133">
                  <c:v>5.138694273650346E-2</c:v>
                </c:pt>
                <c:pt idx="134">
                  <c:v>5.1351284657412011E-2</c:v>
                </c:pt>
                <c:pt idx="135">
                  <c:v>5.1313609494550327E-2</c:v>
                </c:pt>
                <c:pt idx="136">
                  <c:v>5.1275326245644237E-2</c:v>
                </c:pt>
                <c:pt idx="137">
                  <c:v>5.124012773214548E-2</c:v>
                </c:pt>
                <c:pt idx="138">
                  <c:v>5.1204368318228832E-2</c:v>
                </c:pt>
                <c:pt idx="139">
                  <c:v>5.1166649597391922E-2</c:v>
                </c:pt>
                <c:pt idx="140">
                  <c:v>5.1128323908834705E-2</c:v>
                </c:pt>
                <c:pt idx="141">
                  <c:v>5.1092937115729153E-2</c:v>
                </c:pt>
                <c:pt idx="142">
                  <c:v>5.1056641988078022E-2</c:v>
                </c:pt>
                <c:pt idx="143">
                  <c:v>5.1017914077538862E-2</c:v>
                </c:pt>
                <c:pt idx="144">
                  <c:v>5.0979641489427907E-2</c:v>
                </c:pt>
                <c:pt idx="145">
                  <c:v>5.0943944470708269E-2</c:v>
                </c:pt>
                <c:pt idx="146">
                  <c:v>5.0907700801428035E-2</c:v>
                </c:pt>
                <c:pt idx="147">
                  <c:v>5.0869706695284123E-2</c:v>
                </c:pt>
                <c:pt idx="148">
                  <c:v>5.0831259433810061E-2</c:v>
                </c:pt>
                <c:pt idx="149">
                  <c:v>5.0795259864652387E-2</c:v>
                </c:pt>
                <c:pt idx="150">
                  <c:v>5.0758740655281631E-2</c:v>
                </c:pt>
                <c:pt idx="151">
                  <c:v>5.0720523716100141E-2</c:v>
                </c:pt>
                <c:pt idx="152">
                  <c:v>5.0681847048331896E-2</c:v>
                </c:pt>
                <c:pt idx="153">
                  <c:v>5.0645493033196098E-2</c:v>
                </c:pt>
                <c:pt idx="154">
                  <c:v>5.0608647625123293E-2</c:v>
                </c:pt>
                <c:pt idx="155">
                  <c:v>5.0570157137874494E-2</c:v>
                </c:pt>
                <c:pt idx="156">
                  <c:v>5.0531200368495899E-2</c:v>
                </c:pt>
                <c:pt idx="157">
                  <c:v>5.0494443698406277E-2</c:v>
                </c:pt>
                <c:pt idx="158">
                  <c:v>5.0456813670567202E-2</c:v>
                </c:pt>
                <c:pt idx="159">
                  <c:v>5.0417178382817562E-2</c:v>
                </c:pt>
                <c:pt idx="160">
                  <c:v>5.0377868287326821E-2</c:v>
                </c:pt>
                <c:pt idx="161">
                  <c:v>5.0340669553105233E-2</c:v>
                </c:pt>
                <c:pt idx="162">
                  <c:v>5.0303112008103446E-2</c:v>
                </c:pt>
                <c:pt idx="163">
                  <c:v>5.026387958233336E-2</c:v>
                </c:pt>
                <c:pt idx="164">
                  <c:v>5.0224199057416152E-2</c:v>
                </c:pt>
                <c:pt idx="165">
                  <c:v>5.0186510360180847E-2</c:v>
                </c:pt>
                <c:pt idx="166">
                  <c:v>5.0148490734166939E-2</c:v>
                </c:pt>
                <c:pt idx="167">
                  <c:v>5.0108856132972335E-2</c:v>
                </c:pt>
                <c:pt idx="168">
                  <c:v>5.0068764317890313E-2</c:v>
                </c:pt>
                <c:pt idx="169">
                  <c:v>5.0030546500797524E-2</c:v>
                </c:pt>
                <c:pt idx="170">
                  <c:v>4.9992026720716343E-2</c:v>
                </c:pt>
                <c:pt idx="171">
                  <c:v>4.9951951914047221E-2</c:v>
                </c:pt>
                <c:pt idx="172">
                  <c:v>4.9911410677686341E-2</c:v>
                </c:pt>
                <c:pt idx="173">
                  <c:v>4.9872627099979416E-2</c:v>
                </c:pt>
                <c:pt idx="174">
                  <c:v>4.9833114985682991E-2</c:v>
                </c:pt>
                <c:pt idx="175">
                  <c:v>4.9791719059013584E-2</c:v>
                </c:pt>
                <c:pt idx="176">
                  <c:v>4.9750676923982162E-2</c:v>
                </c:pt>
                <c:pt idx="177">
                  <c:v>4.9711277025019207E-2</c:v>
                </c:pt>
                <c:pt idx="178">
                  <c:v>4.9671655451048569E-2</c:v>
                </c:pt>
                <c:pt idx="179">
                  <c:v>4.9630623126736939E-2</c:v>
                </c:pt>
                <c:pt idx="180">
                  <c:v>4.958906078407721E-2</c:v>
                </c:pt>
                <c:pt idx="181">
                  <c:v>4.9549029714167414E-2</c:v>
                </c:pt>
                <c:pt idx="182">
                  <c:v>4.9508809091342032E-2</c:v>
                </c:pt>
                <c:pt idx="183">
                  <c:v>4.9467236108525992E-2</c:v>
                </c:pt>
                <c:pt idx="184">
                  <c:v>4.942512252186182E-2</c:v>
                </c:pt>
                <c:pt idx="185">
                  <c:v>4.9384430314389993E-2</c:v>
                </c:pt>
                <c:pt idx="186">
                  <c:v>4.9343581709207607E-2</c:v>
                </c:pt>
                <c:pt idx="187">
                  <c:v>4.9301439376351563E-2</c:v>
                </c:pt>
                <c:pt idx="188">
                  <c:v>4.9258745649273905E-2</c:v>
                </c:pt>
                <c:pt idx="189">
                  <c:v>4.9217364356951565E-2</c:v>
                </c:pt>
                <c:pt idx="190">
                  <c:v>4.9175355656531083E-2</c:v>
                </c:pt>
                <c:pt idx="191">
                  <c:v>4.9131520538714168E-2</c:v>
                </c:pt>
                <c:pt idx="192">
                  <c:v>4.9088393299036026E-2</c:v>
                </c:pt>
                <c:pt idx="193">
                  <c:v>4.9046258164250567E-2</c:v>
                </c:pt>
                <c:pt idx="194">
                  <c:v>4.9004140215720415E-2</c:v>
                </c:pt>
                <c:pt idx="195">
                  <c:v>4.8960584238349147E-2</c:v>
                </c:pt>
                <c:pt idx="196">
                  <c:v>4.8916817018477499E-2</c:v>
                </c:pt>
                <c:pt idx="197">
                  <c:v>4.887394458134664E-2</c:v>
                </c:pt>
                <c:pt idx="198">
                  <c:v>4.8831122336212562E-2</c:v>
                </c:pt>
                <c:pt idx="199">
                  <c:v>4.8786929688622305E-2</c:v>
                </c:pt>
                <c:pt idx="200">
                  <c:v>4.8742499748229973E-2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072448"/>
        <c:axId val="436073984"/>
      </c:lineChart>
      <c:catAx>
        <c:axId val="436072448"/>
        <c:scaling>
          <c:orientation val="minMax"/>
        </c:scaling>
        <c:delete val="0"/>
        <c:axPos val="b"/>
        <c:majorTickMark val="out"/>
        <c:minorTickMark val="none"/>
        <c:tickLblPos val="nextTo"/>
        <c:crossAx val="436073984"/>
        <c:crosses val="autoZero"/>
        <c:auto val="1"/>
        <c:lblAlgn val="ctr"/>
        <c:lblOffset val="100"/>
        <c:noMultiLvlLbl val="0"/>
      </c:catAx>
      <c:valAx>
        <c:axId val="436073984"/>
        <c:scaling>
          <c:orientation val="minMax"/>
        </c:scaling>
        <c:delete val="0"/>
        <c:axPos val="l"/>
        <c:majorGridlines/>
        <c:numFmt formatCode="0.00000_);[红色]!(0.00000!)" sourceLinked="1"/>
        <c:majorTickMark val="out"/>
        <c:minorTickMark val="none"/>
        <c:tickLblPos val="nextTo"/>
        <c:crossAx val="4360724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Sheet3!$C$1</c:f>
              <c:strCache>
                <c:ptCount val="1"/>
                <c:pt idx="0">
                  <c:v>CNY_Treasury_Live_Curve_2012-8-16_Calibrated_Curve_1</c:v>
                </c:pt>
              </c:strCache>
            </c:strRef>
          </c:tx>
          <c:marker>
            <c:symbol val="none"/>
          </c:marker>
          <c:cat>
            <c:numRef>
              <c:f>Sheet3!$A$2:$A$213</c:f>
              <c:numCache>
                <c:formatCode>yyyy-m-d</c:formatCode>
                <c:ptCount val="212"/>
                <c:pt idx="0">
                  <c:v>41137</c:v>
                </c:pt>
                <c:pt idx="1">
                  <c:v>41227</c:v>
                </c:pt>
                <c:pt idx="2">
                  <c:v>41317</c:v>
                </c:pt>
                <c:pt idx="3">
                  <c:v>41407</c:v>
                </c:pt>
                <c:pt idx="4">
                  <c:v>41497</c:v>
                </c:pt>
                <c:pt idx="5">
                  <c:v>41587</c:v>
                </c:pt>
                <c:pt idx="6">
                  <c:v>41677</c:v>
                </c:pt>
                <c:pt idx="7">
                  <c:v>41767</c:v>
                </c:pt>
                <c:pt idx="8">
                  <c:v>41857</c:v>
                </c:pt>
                <c:pt idx="9">
                  <c:v>41947</c:v>
                </c:pt>
                <c:pt idx="10">
                  <c:v>42037</c:v>
                </c:pt>
                <c:pt idx="11">
                  <c:v>42127</c:v>
                </c:pt>
                <c:pt idx="12">
                  <c:v>42217</c:v>
                </c:pt>
                <c:pt idx="13">
                  <c:v>42307</c:v>
                </c:pt>
                <c:pt idx="14">
                  <c:v>42397</c:v>
                </c:pt>
                <c:pt idx="15">
                  <c:v>42487</c:v>
                </c:pt>
                <c:pt idx="16">
                  <c:v>42577</c:v>
                </c:pt>
                <c:pt idx="17">
                  <c:v>42667</c:v>
                </c:pt>
                <c:pt idx="18">
                  <c:v>42757</c:v>
                </c:pt>
                <c:pt idx="19">
                  <c:v>42847</c:v>
                </c:pt>
                <c:pt idx="20">
                  <c:v>42937</c:v>
                </c:pt>
                <c:pt idx="21">
                  <c:v>43027</c:v>
                </c:pt>
                <c:pt idx="22">
                  <c:v>43117</c:v>
                </c:pt>
                <c:pt idx="23">
                  <c:v>43207</c:v>
                </c:pt>
                <c:pt idx="24">
                  <c:v>43297</c:v>
                </c:pt>
                <c:pt idx="25">
                  <c:v>43387</c:v>
                </c:pt>
                <c:pt idx="26">
                  <c:v>43477</c:v>
                </c:pt>
                <c:pt idx="27">
                  <c:v>43567</c:v>
                </c:pt>
                <c:pt idx="28">
                  <c:v>43657</c:v>
                </c:pt>
                <c:pt idx="29">
                  <c:v>43747</c:v>
                </c:pt>
                <c:pt idx="30">
                  <c:v>43837</c:v>
                </c:pt>
                <c:pt idx="31">
                  <c:v>43927</c:v>
                </c:pt>
                <c:pt idx="32">
                  <c:v>44017</c:v>
                </c:pt>
                <c:pt idx="33">
                  <c:v>44107</c:v>
                </c:pt>
                <c:pt idx="34">
                  <c:v>44197</c:v>
                </c:pt>
                <c:pt idx="35">
                  <c:v>44287</c:v>
                </c:pt>
                <c:pt idx="36">
                  <c:v>44377</c:v>
                </c:pt>
                <c:pt idx="37">
                  <c:v>44467</c:v>
                </c:pt>
                <c:pt idx="38">
                  <c:v>44557</c:v>
                </c:pt>
                <c:pt idx="39">
                  <c:v>44647</c:v>
                </c:pt>
                <c:pt idx="40">
                  <c:v>44737</c:v>
                </c:pt>
                <c:pt idx="41">
                  <c:v>44827</c:v>
                </c:pt>
                <c:pt idx="42">
                  <c:v>44917</c:v>
                </c:pt>
                <c:pt idx="43">
                  <c:v>45007</c:v>
                </c:pt>
                <c:pt idx="44">
                  <c:v>45097</c:v>
                </c:pt>
                <c:pt idx="45">
                  <c:v>45187</c:v>
                </c:pt>
                <c:pt idx="46">
                  <c:v>45277</c:v>
                </c:pt>
                <c:pt idx="47">
                  <c:v>45367</c:v>
                </c:pt>
                <c:pt idx="48">
                  <c:v>45457</c:v>
                </c:pt>
                <c:pt idx="49">
                  <c:v>45547</c:v>
                </c:pt>
                <c:pt idx="50">
                  <c:v>45637</c:v>
                </c:pt>
                <c:pt idx="51">
                  <c:v>45727</c:v>
                </c:pt>
                <c:pt idx="52">
                  <c:v>45817</c:v>
                </c:pt>
                <c:pt idx="53">
                  <c:v>45907</c:v>
                </c:pt>
                <c:pt idx="54">
                  <c:v>45997</c:v>
                </c:pt>
                <c:pt idx="55">
                  <c:v>46087</c:v>
                </c:pt>
                <c:pt idx="56">
                  <c:v>46177</c:v>
                </c:pt>
                <c:pt idx="57">
                  <c:v>46267</c:v>
                </c:pt>
                <c:pt idx="58">
                  <c:v>46357</c:v>
                </c:pt>
                <c:pt idx="59">
                  <c:v>46447</c:v>
                </c:pt>
                <c:pt idx="60">
                  <c:v>46537</c:v>
                </c:pt>
                <c:pt idx="61">
                  <c:v>46627</c:v>
                </c:pt>
                <c:pt idx="62">
                  <c:v>46717</c:v>
                </c:pt>
                <c:pt idx="63">
                  <c:v>46807</c:v>
                </c:pt>
                <c:pt idx="64">
                  <c:v>46897</c:v>
                </c:pt>
                <c:pt idx="65">
                  <c:v>46987</c:v>
                </c:pt>
                <c:pt idx="66">
                  <c:v>47077</c:v>
                </c:pt>
                <c:pt idx="67">
                  <c:v>47167</c:v>
                </c:pt>
                <c:pt idx="68">
                  <c:v>47257</c:v>
                </c:pt>
                <c:pt idx="69">
                  <c:v>47347</c:v>
                </c:pt>
                <c:pt idx="70">
                  <c:v>47437</c:v>
                </c:pt>
                <c:pt idx="71">
                  <c:v>47527</c:v>
                </c:pt>
                <c:pt idx="72">
                  <c:v>47617</c:v>
                </c:pt>
                <c:pt idx="73">
                  <c:v>47707</c:v>
                </c:pt>
                <c:pt idx="74">
                  <c:v>47797</c:v>
                </c:pt>
                <c:pt idx="75">
                  <c:v>47887</c:v>
                </c:pt>
                <c:pt idx="76">
                  <c:v>47977</c:v>
                </c:pt>
                <c:pt idx="77">
                  <c:v>48067</c:v>
                </c:pt>
                <c:pt idx="78">
                  <c:v>48157</c:v>
                </c:pt>
                <c:pt idx="79">
                  <c:v>48247</c:v>
                </c:pt>
                <c:pt idx="80">
                  <c:v>48337</c:v>
                </c:pt>
                <c:pt idx="81">
                  <c:v>48427</c:v>
                </c:pt>
                <c:pt idx="82">
                  <c:v>48517</c:v>
                </c:pt>
                <c:pt idx="83">
                  <c:v>48607</c:v>
                </c:pt>
                <c:pt idx="84">
                  <c:v>48697</c:v>
                </c:pt>
                <c:pt idx="85">
                  <c:v>48787</c:v>
                </c:pt>
                <c:pt idx="86">
                  <c:v>48877</c:v>
                </c:pt>
                <c:pt idx="87">
                  <c:v>48967</c:v>
                </c:pt>
                <c:pt idx="88">
                  <c:v>49057</c:v>
                </c:pt>
                <c:pt idx="89">
                  <c:v>49147</c:v>
                </c:pt>
                <c:pt idx="90">
                  <c:v>49237</c:v>
                </c:pt>
                <c:pt idx="91">
                  <c:v>49327</c:v>
                </c:pt>
                <c:pt idx="92">
                  <c:v>49417</c:v>
                </c:pt>
                <c:pt idx="93">
                  <c:v>49507</c:v>
                </c:pt>
                <c:pt idx="94">
                  <c:v>49597</c:v>
                </c:pt>
                <c:pt idx="95">
                  <c:v>49687</c:v>
                </c:pt>
                <c:pt idx="96">
                  <c:v>49777</c:v>
                </c:pt>
                <c:pt idx="97">
                  <c:v>49867</c:v>
                </c:pt>
                <c:pt idx="98">
                  <c:v>49957</c:v>
                </c:pt>
                <c:pt idx="99">
                  <c:v>50047</c:v>
                </c:pt>
                <c:pt idx="100">
                  <c:v>50137</c:v>
                </c:pt>
                <c:pt idx="101">
                  <c:v>50227</c:v>
                </c:pt>
                <c:pt idx="102">
                  <c:v>50317</c:v>
                </c:pt>
                <c:pt idx="103">
                  <c:v>50407</c:v>
                </c:pt>
                <c:pt idx="104">
                  <c:v>50497</c:v>
                </c:pt>
                <c:pt idx="105">
                  <c:v>50587</c:v>
                </c:pt>
                <c:pt idx="106">
                  <c:v>50677</c:v>
                </c:pt>
                <c:pt idx="107">
                  <c:v>50767</c:v>
                </c:pt>
                <c:pt idx="108">
                  <c:v>50857</c:v>
                </c:pt>
                <c:pt idx="109">
                  <c:v>50947</c:v>
                </c:pt>
                <c:pt idx="110">
                  <c:v>51037</c:v>
                </c:pt>
                <c:pt idx="111">
                  <c:v>51127</c:v>
                </c:pt>
                <c:pt idx="112">
                  <c:v>51217</c:v>
                </c:pt>
                <c:pt idx="113">
                  <c:v>51307</c:v>
                </c:pt>
                <c:pt idx="114">
                  <c:v>51397</c:v>
                </c:pt>
                <c:pt idx="115">
                  <c:v>51487</c:v>
                </c:pt>
                <c:pt idx="116">
                  <c:v>51577</c:v>
                </c:pt>
                <c:pt idx="117">
                  <c:v>51667</c:v>
                </c:pt>
                <c:pt idx="118">
                  <c:v>51757</c:v>
                </c:pt>
                <c:pt idx="119">
                  <c:v>51847</c:v>
                </c:pt>
                <c:pt idx="120">
                  <c:v>51937</c:v>
                </c:pt>
                <c:pt idx="121">
                  <c:v>52027</c:v>
                </c:pt>
                <c:pt idx="122">
                  <c:v>52117</c:v>
                </c:pt>
                <c:pt idx="123">
                  <c:v>52207</c:v>
                </c:pt>
                <c:pt idx="124">
                  <c:v>52297</c:v>
                </c:pt>
                <c:pt idx="125">
                  <c:v>52387</c:v>
                </c:pt>
                <c:pt idx="126">
                  <c:v>52477</c:v>
                </c:pt>
                <c:pt idx="127">
                  <c:v>52567</c:v>
                </c:pt>
                <c:pt idx="128">
                  <c:v>52657</c:v>
                </c:pt>
                <c:pt idx="129">
                  <c:v>52747</c:v>
                </c:pt>
                <c:pt idx="130">
                  <c:v>52837</c:v>
                </c:pt>
                <c:pt idx="131">
                  <c:v>52927</c:v>
                </c:pt>
                <c:pt idx="132">
                  <c:v>53017</c:v>
                </c:pt>
                <c:pt idx="133">
                  <c:v>53107</c:v>
                </c:pt>
                <c:pt idx="134">
                  <c:v>53197</c:v>
                </c:pt>
                <c:pt idx="135">
                  <c:v>53287</c:v>
                </c:pt>
                <c:pt idx="136">
                  <c:v>53377</c:v>
                </c:pt>
                <c:pt idx="137">
                  <c:v>53467</c:v>
                </c:pt>
                <c:pt idx="138">
                  <c:v>53557</c:v>
                </c:pt>
                <c:pt idx="139">
                  <c:v>53647</c:v>
                </c:pt>
                <c:pt idx="140">
                  <c:v>53737</c:v>
                </c:pt>
                <c:pt idx="141">
                  <c:v>53827</c:v>
                </c:pt>
                <c:pt idx="142">
                  <c:v>53917</c:v>
                </c:pt>
                <c:pt idx="143">
                  <c:v>54007</c:v>
                </c:pt>
                <c:pt idx="144">
                  <c:v>54097</c:v>
                </c:pt>
                <c:pt idx="145">
                  <c:v>54187</c:v>
                </c:pt>
                <c:pt idx="146">
                  <c:v>54277</c:v>
                </c:pt>
                <c:pt idx="147">
                  <c:v>54367</c:v>
                </c:pt>
                <c:pt idx="148">
                  <c:v>54457</c:v>
                </c:pt>
                <c:pt idx="149">
                  <c:v>54547</c:v>
                </c:pt>
                <c:pt idx="150">
                  <c:v>54637</c:v>
                </c:pt>
                <c:pt idx="151">
                  <c:v>54727</c:v>
                </c:pt>
                <c:pt idx="152">
                  <c:v>54817</c:v>
                </c:pt>
                <c:pt idx="153">
                  <c:v>54907</c:v>
                </c:pt>
                <c:pt idx="154">
                  <c:v>54997</c:v>
                </c:pt>
                <c:pt idx="155">
                  <c:v>55087</c:v>
                </c:pt>
                <c:pt idx="156">
                  <c:v>55177</c:v>
                </c:pt>
                <c:pt idx="157">
                  <c:v>55267</c:v>
                </c:pt>
                <c:pt idx="158">
                  <c:v>55357</c:v>
                </c:pt>
                <c:pt idx="159">
                  <c:v>55447</c:v>
                </c:pt>
                <c:pt idx="160">
                  <c:v>55537</c:v>
                </c:pt>
                <c:pt idx="161">
                  <c:v>55627</c:v>
                </c:pt>
                <c:pt idx="162">
                  <c:v>55717</c:v>
                </c:pt>
                <c:pt idx="163">
                  <c:v>55807</c:v>
                </c:pt>
                <c:pt idx="164">
                  <c:v>55897</c:v>
                </c:pt>
                <c:pt idx="165">
                  <c:v>55987</c:v>
                </c:pt>
                <c:pt idx="166">
                  <c:v>56077</c:v>
                </c:pt>
                <c:pt idx="167">
                  <c:v>56167</c:v>
                </c:pt>
                <c:pt idx="168">
                  <c:v>56257</c:v>
                </c:pt>
                <c:pt idx="169">
                  <c:v>56347</c:v>
                </c:pt>
                <c:pt idx="170">
                  <c:v>56437</c:v>
                </c:pt>
                <c:pt idx="171">
                  <c:v>56527</c:v>
                </c:pt>
                <c:pt idx="172">
                  <c:v>56617</c:v>
                </c:pt>
                <c:pt idx="173">
                  <c:v>56707</c:v>
                </c:pt>
                <c:pt idx="174">
                  <c:v>56797</c:v>
                </c:pt>
                <c:pt idx="175">
                  <c:v>56887</c:v>
                </c:pt>
                <c:pt idx="176">
                  <c:v>56977</c:v>
                </c:pt>
                <c:pt idx="177">
                  <c:v>57067</c:v>
                </c:pt>
                <c:pt idx="178">
                  <c:v>57157</c:v>
                </c:pt>
                <c:pt idx="179">
                  <c:v>57247</c:v>
                </c:pt>
                <c:pt idx="180">
                  <c:v>57337</c:v>
                </c:pt>
                <c:pt idx="181">
                  <c:v>57427</c:v>
                </c:pt>
                <c:pt idx="182">
                  <c:v>57517</c:v>
                </c:pt>
                <c:pt idx="183">
                  <c:v>57607</c:v>
                </c:pt>
                <c:pt idx="184">
                  <c:v>57697</c:v>
                </c:pt>
                <c:pt idx="185">
                  <c:v>57787</c:v>
                </c:pt>
                <c:pt idx="186">
                  <c:v>57877</c:v>
                </c:pt>
                <c:pt idx="187">
                  <c:v>57967</c:v>
                </c:pt>
                <c:pt idx="188">
                  <c:v>58057</c:v>
                </c:pt>
                <c:pt idx="189">
                  <c:v>58147</c:v>
                </c:pt>
                <c:pt idx="190">
                  <c:v>58237</c:v>
                </c:pt>
                <c:pt idx="191">
                  <c:v>58327</c:v>
                </c:pt>
                <c:pt idx="192">
                  <c:v>58417</c:v>
                </c:pt>
                <c:pt idx="193">
                  <c:v>58507</c:v>
                </c:pt>
                <c:pt idx="194">
                  <c:v>58597</c:v>
                </c:pt>
                <c:pt idx="195">
                  <c:v>58687</c:v>
                </c:pt>
                <c:pt idx="196">
                  <c:v>58777</c:v>
                </c:pt>
                <c:pt idx="197">
                  <c:v>58867</c:v>
                </c:pt>
                <c:pt idx="198">
                  <c:v>58957</c:v>
                </c:pt>
                <c:pt idx="199">
                  <c:v>59047</c:v>
                </c:pt>
                <c:pt idx="200">
                  <c:v>59137</c:v>
                </c:pt>
                <c:pt idx="201">
                  <c:v>59227</c:v>
                </c:pt>
                <c:pt idx="202">
                  <c:v>59317</c:v>
                </c:pt>
                <c:pt idx="203">
                  <c:v>59407</c:v>
                </c:pt>
                <c:pt idx="204">
                  <c:v>59497</c:v>
                </c:pt>
                <c:pt idx="205">
                  <c:v>59587</c:v>
                </c:pt>
                <c:pt idx="206">
                  <c:v>59677</c:v>
                </c:pt>
                <c:pt idx="207">
                  <c:v>59767</c:v>
                </c:pt>
                <c:pt idx="208">
                  <c:v>59857</c:v>
                </c:pt>
                <c:pt idx="209">
                  <c:v>59947</c:v>
                </c:pt>
                <c:pt idx="210">
                  <c:v>60037</c:v>
                </c:pt>
                <c:pt idx="211">
                  <c:v>60127</c:v>
                </c:pt>
              </c:numCache>
            </c:numRef>
          </c:cat>
          <c:val>
            <c:numRef>
              <c:f>Sheet3!$C$2:$C$213</c:f>
              <c:numCache>
                <c:formatCode>G/通用格式</c:formatCode>
                <c:ptCount val="212"/>
                <c:pt idx="0">
                  <c:v>2.394583671150274E-2</c:v>
                </c:pt>
                <c:pt idx="1">
                  <c:v>2.3945836710933446E-2</c:v>
                </c:pt>
                <c:pt idx="2">
                  <c:v>2.3779705330843132E-2</c:v>
                </c:pt>
                <c:pt idx="3">
                  <c:v>2.3095670925126089E-2</c:v>
                </c:pt>
                <c:pt idx="4">
                  <c:v>2.7092194469756629E-2</c:v>
                </c:pt>
                <c:pt idx="5">
                  <c:v>2.7001770595512477E-2</c:v>
                </c:pt>
                <c:pt idx="6">
                  <c:v>2.6537663851553768E-2</c:v>
                </c:pt>
                <c:pt idx="7">
                  <c:v>2.6178520374579007E-2</c:v>
                </c:pt>
                <c:pt idx="8">
                  <c:v>2.4912240831741962E-2</c:v>
                </c:pt>
                <c:pt idx="9">
                  <c:v>2.36496905836685E-2</c:v>
                </c:pt>
                <c:pt idx="10">
                  <c:v>2.5108855197105991E-2</c:v>
                </c:pt>
                <c:pt idx="11">
                  <c:v>2.6868108172447561E-2</c:v>
                </c:pt>
                <c:pt idx="12">
                  <c:v>2.7310104900963018E-2</c:v>
                </c:pt>
                <c:pt idx="13">
                  <c:v>2.7657114943575527E-2</c:v>
                </c:pt>
                <c:pt idx="14">
                  <c:v>2.8021852486452996E-2</c:v>
                </c:pt>
                <c:pt idx="15">
                  <c:v>2.8348351950792845E-2</c:v>
                </c:pt>
                <c:pt idx="16">
                  <c:v>2.8633924063937371E-2</c:v>
                </c:pt>
                <c:pt idx="17">
                  <c:v>2.8883145683368631E-2</c:v>
                </c:pt>
                <c:pt idx="18">
                  <c:v>2.9112868828465727E-2</c:v>
                </c:pt>
                <c:pt idx="19">
                  <c:v>2.9416434585532513E-2</c:v>
                </c:pt>
                <c:pt idx="20">
                  <c:v>2.9730588054141759E-2</c:v>
                </c:pt>
                <c:pt idx="21">
                  <c:v>3.0095605570774488E-2</c:v>
                </c:pt>
                <c:pt idx="22">
                  <c:v>3.0584146585968107E-2</c:v>
                </c:pt>
                <c:pt idx="23">
                  <c:v>3.101678392701392E-2</c:v>
                </c:pt>
                <c:pt idx="24">
                  <c:v>3.1428931877998688E-2</c:v>
                </c:pt>
                <c:pt idx="25">
                  <c:v>3.1736200370562198E-2</c:v>
                </c:pt>
                <c:pt idx="26">
                  <c:v>3.1647744352673264E-2</c:v>
                </c:pt>
                <c:pt idx="27">
                  <c:v>3.135052412480703E-2</c:v>
                </c:pt>
                <c:pt idx="28">
                  <c:v>3.1423604829679423E-2</c:v>
                </c:pt>
                <c:pt idx="29">
                  <c:v>3.1869974590956411E-2</c:v>
                </c:pt>
                <c:pt idx="30">
                  <c:v>3.2342868366558884E-2</c:v>
                </c:pt>
                <c:pt idx="31">
                  <c:v>3.2729956205065622E-2</c:v>
                </c:pt>
                <c:pt idx="32">
                  <c:v>3.2992027787946458E-2</c:v>
                </c:pt>
                <c:pt idx="33">
                  <c:v>3.3202350383030273E-2</c:v>
                </c:pt>
                <c:pt idx="34">
                  <c:v>3.3371302699424378E-2</c:v>
                </c:pt>
                <c:pt idx="35">
                  <c:v>3.3456081105942122E-2</c:v>
                </c:pt>
                <c:pt idx="36">
                  <c:v>3.3473268736812417E-2</c:v>
                </c:pt>
                <c:pt idx="37">
                  <c:v>3.348760400028325E-2</c:v>
                </c:pt>
                <c:pt idx="38">
                  <c:v>3.3490175322072595E-2</c:v>
                </c:pt>
                <c:pt idx="39">
                  <c:v>3.3488166581502658E-2</c:v>
                </c:pt>
                <c:pt idx="40">
                  <c:v>3.3589521316535878E-2</c:v>
                </c:pt>
                <c:pt idx="41">
                  <c:v>3.3879992494925792E-2</c:v>
                </c:pt>
                <c:pt idx="42">
                  <c:v>3.4172661096878429E-2</c:v>
                </c:pt>
                <c:pt idx="43">
                  <c:v>3.4454734172497274E-2</c:v>
                </c:pt>
                <c:pt idx="44">
                  <c:v>3.4717964608461369E-2</c:v>
                </c:pt>
                <c:pt idx="45">
                  <c:v>3.4969589919251205E-2</c:v>
                </c:pt>
                <c:pt idx="46">
                  <c:v>3.5213037491399785E-2</c:v>
                </c:pt>
                <c:pt idx="47">
                  <c:v>3.5446091947644726E-2</c:v>
                </c:pt>
                <c:pt idx="48">
                  <c:v>3.5666949652132539E-2</c:v>
                </c:pt>
                <c:pt idx="49">
                  <c:v>3.5878863427556286E-2</c:v>
                </c:pt>
                <c:pt idx="50">
                  <c:v>3.6084632316849302E-2</c:v>
                </c:pt>
                <c:pt idx="51">
                  <c:v>3.6284480405414432E-2</c:v>
                </c:pt>
                <c:pt idx="52">
                  <c:v>3.6472348149488416E-2</c:v>
                </c:pt>
                <c:pt idx="53">
                  <c:v>3.6653182443664729E-2</c:v>
                </c:pt>
                <c:pt idx="54">
                  <c:v>3.6829314214659313E-2</c:v>
                </c:pt>
                <c:pt idx="55">
                  <c:v>3.7000890214486409E-2</c:v>
                </c:pt>
                <c:pt idx="56">
                  <c:v>3.7162643399046132E-2</c:v>
                </c:pt>
                <c:pt idx="57">
                  <c:v>3.7318766002280714E-2</c:v>
                </c:pt>
                <c:pt idx="58">
                  <c:v>3.7471231421316774E-2</c:v>
                </c:pt>
                <c:pt idx="59">
                  <c:v>3.7620136534496237E-2</c:v>
                </c:pt>
                <c:pt idx="60">
                  <c:v>3.7762437154018377E-2</c:v>
                </c:pt>
                <c:pt idx="61">
                  <c:v>3.7888021553558075E-2</c:v>
                </c:pt>
                <c:pt idx="62">
                  <c:v>3.796583479151143E-2</c:v>
                </c:pt>
                <c:pt idx="63">
                  <c:v>3.8038623288457515E-2</c:v>
                </c:pt>
                <c:pt idx="64">
                  <c:v>3.8110732952503078E-2</c:v>
                </c:pt>
                <c:pt idx="65">
                  <c:v>3.8179063724977279E-2</c:v>
                </c:pt>
                <c:pt idx="66">
                  <c:v>3.8245340817934889E-2</c:v>
                </c:pt>
                <c:pt idx="67">
                  <c:v>3.8309653444976721E-2</c:v>
                </c:pt>
                <c:pt idx="68">
                  <c:v>3.8374185790321043E-2</c:v>
                </c:pt>
                <c:pt idx="69">
                  <c:v>3.8449793648141176E-2</c:v>
                </c:pt>
                <c:pt idx="70">
                  <c:v>3.8612894241698351E-2</c:v>
                </c:pt>
                <c:pt idx="71">
                  <c:v>3.879811961473232E-2</c:v>
                </c:pt>
                <c:pt idx="72">
                  <c:v>3.8985729383813277E-2</c:v>
                </c:pt>
                <c:pt idx="73">
                  <c:v>3.9162139804985702E-2</c:v>
                </c:pt>
                <c:pt idx="74">
                  <c:v>3.9333820706988584E-2</c:v>
                </c:pt>
                <c:pt idx="75">
                  <c:v>3.9500958239088023E-2</c:v>
                </c:pt>
                <c:pt idx="76">
                  <c:v>3.9669205684184659E-2</c:v>
                </c:pt>
                <c:pt idx="77">
                  <c:v>3.9827643387936831E-2</c:v>
                </c:pt>
                <c:pt idx="78">
                  <c:v>3.9982051387887033E-2</c:v>
                </c:pt>
                <c:pt idx="79">
                  <c:v>4.0132580164612498E-2</c:v>
                </c:pt>
                <c:pt idx="80">
                  <c:v>4.0282668820715406E-2</c:v>
                </c:pt>
                <c:pt idx="81">
                  <c:v>4.042578687799446E-2</c:v>
                </c:pt>
                <c:pt idx="82">
                  <c:v>4.0567009723030373E-2</c:v>
                </c:pt>
                <c:pt idx="83">
                  <c:v>4.0703287827495625E-2</c:v>
                </c:pt>
                <c:pt idx="84">
                  <c:v>4.0839333768858434E-2</c:v>
                </c:pt>
                <c:pt idx="85">
                  <c:v>4.0970675142553398E-2</c:v>
                </c:pt>
                <c:pt idx="86">
                  <c:v>4.109752825549369E-2</c:v>
                </c:pt>
                <c:pt idx="87">
                  <c:v>4.1221487640049265E-2</c:v>
                </c:pt>
                <c:pt idx="88">
                  <c:v>4.1345373366222231E-2</c:v>
                </c:pt>
                <c:pt idx="89">
                  <c:v>4.1465105856597004E-2</c:v>
                </c:pt>
                <c:pt idx="90">
                  <c:v>4.158086890978286E-2</c:v>
                </c:pt>
                <c:pt idx="91">
                  <c:v>4.1694107441193111E-2</c:v>
                </c:pt>
                <c:pt idx="92">
                  <c:v>4.1807393346545561E-2</c:v>
                </c:pt>
                <c:pt idx="93">
                  <c:v>4.1916990720606687E-2</c:v>
                </c:pt>
                <c:pt idx="94">
                  <c:v>4.2023056921734595E-2</c:v>
                </c:pt>
                <c:pt idx="95">
                  <c:v>4.2126907609730715E-2</c:v>
                </c:pt>
                <c:pt idx="96">
                  <c:v>4.2229754719012205E-2</c:v>
                </c:pt>
                <c:pt idx="97">
                  <c:v>4.2330474977433141E-2</c:v>
                </c:pt>
                <c:pt idx="98">
                  <c:v>4.2428036225308947E-2</c:v>
                </c:pt>
                <c:pt idx="99">
                  <c:v>4.2523641939330482E-2</c:v>
                </c:pt>
                <c:pt idx="100">
                  <c:v>4.2619457311788116E-2</c:v>
                </c:pt>
                <c:pt idx="101">
                  <c:v>4.2712316043834873E-2</c:v>
                </c:pt>
                <c:pt idx="102">
                  <c:v>4.2802335658898565E-2</c:v>
                </c:pt>
                <c:pt idx="103">
                  <c:v>4.289062119702293E-2</c:v>
                </c:pt>
                <c:pt idx="104">
                  <c:v>4.2979169785226812E-2</c:v>
                </c:pt>
                <c:pt idx="105">
                  <c:v>4.3065052745265189E-2</c:v>
                </c:pt>
                <c:pt idx="106">
                  <c:v>4.3148372557150053E-2</c:v>
                </c:pt>
                <c:pt idx="107">
                  <c:v>4.3231068105870588E-2</c:v>
                </c:pt>
                <c:pt idx="108">
                  <c:v>4.3313129095381174E-2</c:v>
                </c:pt>
                <c:pt idx="109">
                  <c:v>4.339189047453107E-2</c:v>
                </c:pt>
                <c:pt idx="110">
                  <c:v>4.3469231527624962E-2</c:v>
                </c:pt>
                <c:pt idx="111">
                  <c:v>4.354604589015957E-2</c:v>
                </c:pt>
                <c:pt idx="112">
                  <c:v>4.3621482456388118E-2</c:v>
                </c:pt>
                <c:pt idx="113">
                  <c:v>4.3694755334530419E-2</c:v>
                </c:pt>
                <c:pt idx="114">
                  <c:v>4.3766753080105032E-2</c:v>
                </c:pt>
                <c:pt idx="115">
                  <c:v>4.3838306347672766E-2</c:v>
                </c:pt>
                <c:pt idx="116">
                  <c:v>4.3909402809655322E-2</c:v>
                </c:pt>
                <c:pt idx="117">
                  <c:v>4.397772830083916E-2</c:v>
                </c:pt>
                <c:pt idx="118">
                  <c:v>4.4044905046341357E-2</c:v>
                </c:pt>
                <c:pt idx="119">
                  <c:v>4.4111706954048875E-2</c:v>
                </c:pt>
                <c:pt idx="120">
                  <c:v>4.4178121260567346E-2</c:v>
                </c:pt>
                <c:pt idx="121">
                  <c:v>4.4241984032700424E-2</c:v>
                </c:pt>
                <c:pt idx="122">
                  <c:v>4.4304808302362414E-2</c:v>
                </c:pt>
                <c:pt idx="123">
                  <c:v>4.4367316746692753E-2</c:v>
                </c:pt>
                <c:pt idx="124">
                  <c:v>4.4429496788296712E-2</c:v>
                </c:pt>
                <c:pt idx="125">
                  <c:v>4.4489320158076807E-2</c:v>
                </c:pt>
                <c:pt idx="126">
                  <c:v>4.4548201666082206E-2</c:v>
                </c:pt>
                <c:pt idx="127">
                  <c:v>4.4606817604216475E-2</c:v>
                </c:pt>
                <c:pt idx="128">
                  <c:v>4.4664512707184738E-2</c:v>
                </c:pt>
                <c:pt idx="129">
                  <c:v>4.4721311240549289E-2</c:v>
                </c:pt>
                <c:pt idx="130">
                  <c:v>4.4776609848263794E-2</c:v>
                </c:pt>
                <c:pt idx="131">
                  <c:v>4.4831071905041396E-2</c:v>
                </c:pt>
                <c:pt idx="132">
                  <c:v>4.4884713243866246E-2</c:v>
                </c:pt>
                <c:pt idx="133">
                  <c:v>4.4939342356616535E-2</c:v>
                </c:pt>
                <c:pt idx="134">
                  <c:v>4.4991375395598714E-2</c:v>
                </c:pt>
                <c:pt idx="135">
                  <c:v>4.5042644631503648E-2</c:v>
                </c:pt>
                <c:pt idx="136">
                  <c:v>4.5093164080277241E-2</c:v>
                </c:pt>
                <c:pt idx="137">
                  <c:v>4.514463675271102E-2</c:v>
                </c:pt>
                <c:pt idx="138">
                  <c:v>4.5193685172409064E-2</c:v>
                </c:pt>
                <c:pt idx="139">
                  <c:v>4.5242034335813419E-2</c:v>
                </c:pt>
                <c:pt idx="140">
                  <c:v>4.528969672778612E-2</c:v>
                </c:pt>
                <c:pt idx="141">
                  <c:v>4.5338278816896109E-2</c:v>
                </c:pt>
                <c:pt idx="142">
                  <c:v>4.5384592238878863E-2</c:v>
                </c:pt>
                <c:pt idx="143">
                  <c:v>4.5430263873523252E-2</c:v>
                </c:pt>
                <c:pt idx="144">
                  <c:v>4.5475304913143999E-2</c:v>
                </c:pt>
                <c:pt idx="145">
                  <c:v>4.5520732052965023E-2</c:v>
                </c:pt>
                <c:pt idx="146">
                  <c:v>4.5564539849752408E-2</c:v>
                </c:pt>
                <c:pt idx="147">
                  <c:v>4.5607757309496171E-2</c:v>
                </c:pt>
                <c:pt idx="148">
                  <c:v>4.5650393982886749E-2</c:v>
                </c:pt>
                <c:pt idx="149">
                  <c:v>4.5693886444847162E-2</c:v>
                </c:pt>
                <c:pt idx="150">
                  <c:v>4.5735380286026202E-2</c:v>
                </c:pt>
                <c:pt idx="151">
                  <c:v>4.5776792029585109E-2</c:v>
                </c:pt>
                <c:pt idx="152">
                  <c:v>4.5817199858446747E-2</c:v>
                </c:pt>
                <c:pt idx="153">
                  <c:v>4.5857983176771887E-2</c:v>
                </c:pt>
                <c:pt idx="154">
                  <c:v>4.5897786014721116E-2</c:v>
                </c:pt>
                <c:pt idx="155">
                  <c:v>4.5936635832079298E-2</c:v>
                </c:pt>
                <c:pt idx="156">
                  <c:v>4.5974990747651351E-2</c:v>
                </c:pt>
                <c:pt idx="157">
                  <c:v>4.6013714839773442E-2</c:v>
                </c:pt>
                <c:pt idx="158">
                  <c:v>4.605152079752195E-2</c:v>
                </c:pt>
                <c:pt idx="159">
                  <c:v>4.6088433613111948E-2</c:v>
                </c:pt>
                <c:pt idx="160">
                  <c:v>4.6124888203529349E-2</c:v>
                </c:pt>
                <c:pt idx="161">
                  <c:v>4.6161298625616874E-2</c:v>
                </c:pt>
                <c:pt idx="162">
                  <c:v>4.6197259287810571E-2</c:v>
                </c:pt>
                <c:pt idx="163">
                  <c:v>4.623238125237316E-2</c:v>
                </c:pt>
                <c:pt idx="164">
                  <c:v>4.6267078305504396E-2</c:v>
                </c:pt>
                <c:pt idx="165">
                  <c:v>4.6302130327810317E-2</c:v>
                </c:pt>
                <c:pt idx="166">
                  <c:v>4.6336372927540184E-2</c:v>
                </c:pt>
                <c:pt idx="167">
                  <c:v>4.6369826771779366E-2</c:v>
                </c:pt>
                <c:pt idx="168">
                  <c:v>4.6402885823409762E-2</c:v>
                </c:pt>
                <c:pt idx="169">
                  <c:v>4.6436292438728564E-2</c:v>
                </c:pt>
                <c:pt idx="170">
                  <c:v>4.6468937221435823E-2</c:v>
                </c:pt>
                <c:pt idx="171">
                  <c:v>4.6500839016049934E-2</c:v>
                </c:pt>
                <c:pt idx="172">
                  <c:v>4.6532373402575419E-2</c:v>
                </c:pt>
                <c:pt idx="173">
                  <c:v>4.6564247792810175E-2</c:v>
                </c:pt>
                <c:pt idx="174">
                  <c:v>4.6595404038410226E-2</c:v>
                </c:pt>
                <c:pt idx="175">
                  <c:v>4.6625859329974012E-2</c:v>
                </c:pt>
                <c:pt idx="176">
                  <c:v>4.6656312374659198E-2</c:v>
                </c:pt>
                <c:pt idx="177">
                  <c:v>4.6686417367342151E-2</c:v>
                </c:pt>
                <c:pt idx="178">
                  <c:v>4.6715852006291671E-2</c:v>
                </c:pt>
                <c:pt idx="179">
                  <c:v>4.6744960657001018E-2</c:v>
                </c:pt>
                <c:pt idx="180">
                  <c:v>4.6774075371252347E-2</c:v>
                </c:pt>
                <c:pt idx="181">
                  <c:v>4.6803184913048933E-2</c:v>
                </c:pt>
                <c:pt idx="182">
                  <c:v>4.6831335871788206E-2</c:v>
                </c:pt>
                <c:pt idx="183">
                  <c:v>4.685918179473561E-2</c:v>
                </c:pt>
                <c:pt idx="184">
                  <c:v>4.6887040662897221E-2</c:v>
                </c:pt>
                <c:pt idx="185">
                  <c:v>4.6914900998971838E-2</c:v>
                </c:pt>
                <c:pt idx="186">
                  <c:v>4.6941850437517217E-2</c:v>
                </c:pt>
                <c:pt idx="187">
                  <c:v>4.696851414093204E-2</c:v>
                </c:pt>
                <c:pt idx="188">
                  <c:v>4.6995196424793141E-2</c:v>
                </c:pt>
                <c:pt idx="189">
                  <c:v>4.702188655659427E-2</c:v>
                </c:pt>
                <c:pt idx="190">
                  <c:v>4.7047709691871907E-2</c:v>
                </c:pt>
                <c:pt idx="191">
                  <c:v>4.7073264891655919E-2</c:v>
                </c:pt>
                <c:pt idx="192">
                  <c:v>4.709884357733115E-2</c:v>
                </c:pt>
                <c:pt idx="193">
                  <c:v>4.7124152860467679E-2</c:v>
                </c:pt>
                <c:pt idx="194">
                  <c:v>4.7148921696820528E-2</c:v>
                </c:pt>
                <c:pt idx="195">
                  <c:v>4.7173438967871115E-2</c:v>
                </c:pt>
                <c:pt idx="196">
                  <c:v>4.7197984295816411E-2</c:v>
                </c:pt>
                <c:pt idx="197">
                  <c:v>4.7222547532728663E-2</c:v>
                </c:pt>
                <c:pt idx="198">
                  <c:v>4.7246591292533578E-2</c:v>
                </c:pt>
                <c:pt idx="199">
                  <c:v>4.7270127244700907E-2</c:v>
                </c:pt>
                <c:pt idx="200">
                  <c:v>4.7293431457868677E-2</c:v>
                </c:pt>
                <c:pt idx="201">
                  <c:v>4.7316502510003876E-2</c:v>
                </c:pt>
                <c:pt idx="202">
                  <c:v>4.7340122248662325E-2</c:v>
                </c:pt>
                <c:pt idx="203">
                  <c:v>4.7362737156105221E-2</c:v>
                </c:pt>
                <c:pt idx="204">
                  <c:v>4.738513372973191E-2</c:v>
                </c:pt>
                <c:pt idx="205">
                  <c:v>4.7407310860227002E-2</c:v>
                </c:pt>
                <c:pt idx="206">
                  <c:v>4.74300194440841E-2</c:v>
                </c:pt>
                <c:pt idx="207">
                  <c:v>4.7451766332083693E-2</c:v>
                </c:pt>
                <c:pt idx="208">
                  <c:v>4.7473307267972234E-2</c:v>
                </c:pt>
                <c:pt idx="209">
                  <c:v>4.7494641467532871E-2</c:v>
                </c:pt>
                <c:pt idx="210">
                  <c:v>4.75162516494698E-2</c:v>
                </c:pt>
                <c:pt idx="211">
                  <c:v>4.7537181832040552E-2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Sheet3!$D$1</c:f>
              <c:strCache>
                <c:ptCount val="1"/>
                <c:pt idx="0">
                  <c:v>CNY_Treasury_Live_Curve_2012-8-16_Calibrated_Curve_2</c:v>
                </c:pt>
              </c:strCache>
            </c:strRef>
          </c:tx>
          <c:marker>
            <c:symbol val="none"/>
          </c:marker>
          <c:cat>
            <c:numRef>
              <c:f>Sheet3!$A$2:$A$213</c:f>
              <c:numCache>
                <c:formatCode>yyyy-m-d</c:formatCode>
                <c:ptCount val="212"/>
                <c:pt idx="0">
                  <c:v>41137</c:v>
                </c:pt>
                <c:pt idx="1">
                  <c:v>41227</c:v>
                </c:pt>
                <c:pt idx="2">
                  <c:v>41317</c:v>
                </c:pt>
                <c:pt idx="3">
                  <c:v>41407</c:v>
                </c:pt>
                <c:pt idx="4">
                  <c:v>41497</c:v>
                </c:pt>
                <c:pt idx="5">
                  <c:v>41587</c:v>
                </c:pt>
                <c:pt idx="6">
                  <c:v>41677</c:v>
                </c:pt>
                <c:pt idx="7">
                  <c:v>41767</c:v>
                </c:pt>
                <c:pt idx="8">
                  <c:v>41857</c:v>
                </c:pt>
                <c:pt idx="9">
                  <c:v>41947</c:v>
                </c:pt>
                <c:pt idx="10">
                  <c:v>42037</c:v>
                </c:pt>
                <c:pt idx="11">
                  <c:v>42127</c:v>
                </c:pt>
                <c:pt idx="12">
                  <c:v>42217</c:v>
                </c:pt>
                <c:pt idx="13">
                  <c:v>42307</c:v>
                </c:pt>
                <c:pt idx="14">
                  <c:v>42397</c:v>
                </c:pt>
                <c:pt idx="15">
                  <c:v>42487</c:v>
                </c:pt>
                <c:pt idx="16">
                  <c:v>42577</c:v>
                </c:pt>
                <c:pt idx="17">
                  <c:v>42667</c:v>
                </c:pt>
                <c:pt idx="18">
                  <c:v>42757</c:v>
                </c:pt>
                <c:pt idx="19">
                  <c:v>42847</c:v>
                </c:pt>
                <c:pt idx="20">
                  <c:v>42937</c:v>
                </c:pt>
                <c:pt idx="21">
                  <c:v>43027</c:v>
                </c:pt>
                <c:pt idx="22">
                  <c:v>43117</c:v>
                </c:pt>
                <c:pt idx="23">
                  <c:v>43207</c:v>
                </c:pt>
                <c:pt idx="24">
                  <c:v>43297</c:v>
                </c:pt>
                <c:pt idx="25">
                  <c:v>43387</c:v>
                </c:pt>
                <c:pt idx="26">
                  <c:v>43477</c:v>
                </c:pt>
                <c:pt idx="27">
                  <c:v>43567</c:v>
                </c:pt>
                <c:pt idx="28">
                  <c:v>43657</c:v>
                </c:pt>
                <c:pt idx="29">
                  <c:v>43747</c:v>
                </c:pt>
                <c:pt idx="30">
                  <c:v>43837</c:v>
                </c:pt>
                <c:pt idx="31">
                  <c:v>43927</c:v>
                </c:pt>
                <c:pt idx="32">
                  <c:v>44017</c:v>
                </c:pt>
                <c:pt idx="33">
                  <c:v>44107</c:v>
                </c:pt>
                <c:pt idx="34">
                  <c:v>44197</c:v>
                </c:pt>
                <c:pt idx="35">
                  <c:v>44287</c:v>
                </c:pt>
                <c:pt idx="36">
                  <c:v>44377</c:v>
                </c:pt>
                <c:pt idx="37">
                  <c:v>44467</c:v>
                </c:pt>
                <c:pt idx="38">
                  <c:v>44557</c:v>
                </c:pt>
                <c:pt idx="39">
                  <c:v>44647</c:v>
                </c:pt>
                <c:pt idx="40">
                  <c:v>44737</c:v>
                </c:pt>
                <c:pt idx="41">
                  <c:v>44827</c:v>
                </c:pt>
                <c:pt idx="42">
                  <c:v>44917</c:v>
                </c:pt>
                <c:pt idx="43">
                  <c:v>45007</c:v>
                </c:pt>
                <c:pt idx="44">
                  <c:v>45097</c:v>
                </c:pt>
                <c:pt idx="45">
                  <c:v>45187</c:v>
                </c:pt>
                <c:pt idx="46">
                  <c:v>45277</c:v>
                </c:pt>
                <c:pt idx="47">
                  <c:v>45367</c:v>
                </c:pt>
                <c:pt idx="48">
                  <c:v>45457</c:v>
                </c:pt>
                <c:pt idx="49">
                  <c:v>45547</c:v>
                </c:pt>
                <c:pt idx="50">
                  <c:v>45637</c:v>
                </c:pt>
                <c:pt idx="51">
                  <c:v>45727</c:v>
                </c:pt>
                <c:pt idx="52">
                  <c:v>45817</c:v>
                </c:pt>
                <c:pt idx="53">
                  <c:v>45907</c:v>
                </c:pt>
                <c:pt idx="54">
                  <c:v>45997</c:v>
                </c:pt>
                <c:pt idx="55">
                  <c:v>46087</c:v>
                </c:pt>
                <c:pt idx="56">
                  <c:v>46177</c:v>
                </c:pt>
                <c:pt idx="57">
                  <c:v>46267</c:v>
                </c:pt>
                <c:pt idx="58">
                  <c:v>46357</c:v>
                </c:pt>
                <c:pt idx="59">
                  <c:v>46447</c:v>
                </c:pt>
                <c:pt idx="60">
                  <c:v>46537</c:v>
                </c:pt>
                <c:pt idx="61">
                  <c:v>46627</c:v>
                </c:pt>
                <c:pt idx="62">
                  <c:v>46717</c:v>
                </c:pt>
                <c:pt idx="63">
                  <c:v>46807</c:v>
                </c:pt>
                <c:pt idx="64">
                  <c:v>46897</c:v>
                </c:pt>
                <c:pt idx="65">
                  <c:v>46987</c:v>
                </c:pt>
                <c:pt idx="66">
                  <c:v>47077</c:v>
                </c:pt>
                <c:pt idx="67">
                  <c:v>47167</c:v>
                </c:pt>
                <c:pt idx="68">
                  <c:v>47257</c:v>
                </c:pt>
                <c:pt idx="69">
                  <c:v>47347</c:v>
                </c:pt>
                <c:pt idx="70">
                  <c:v>47437</c:v>
                </c:pt>
                <c:pt idx="71">
                  <c:v>47527</c:v>
                </c:pt>
                <c:pt idx="72">
                  <c:v>47617</c:v>
                </c:pt>
                <c:pt idx="73">
                  <c:v>47707</c:v>
                </c:pt>
                <c:pt idx="74">
                  <c:v>47797</c:v>
                </c:pt>
                <c:pt idx="75">
                  <c:v>47887</c:v>
                </c:pt>
                <c:pt idx="76">
                  <c:v>47977</c:v>
                </c:pt>
                <c:pt idx="77">
                  <c:v>48067</c:v>
                </c:pt>
                <c:pt idx="78">
                  <c:v>48157</c:v>
                </c:pt>
                <c:pt idx="79">
                  <c:v>48247</c:v>
                </c:pt>
                <c:pt idx="80">
                  <c:v>48337</c:v>
                </c:pt>
                <c:pt idx="81">
                  <c:v>48427</c:v>
                </c:pt>
                <c:pt idx="82">
                  <c:v>48517</c:v>
                </c:pt>
                <c:pt idx="83">
                  <c:v>48607</c:v>
                </c:pt>
                <c:pt idx="84">
                  <c:v>48697</c:v>
                </c:pt>
                <c:pt idx="85">
                  <c:v>48787</c:v>
                </c:pt>
                <c:pt idx="86">
                  <c:v>48877</c:v>
                </c:pt>
                <c:pt idx="87">
                  <c:v>48967</c:v>
                </c:pt>
                <c:pt idx="88">
                  <c:v>49057</c:v>
                </c:pt>
                <c:pt idx="89">
                  <c:v>49147</c:v>
                </c:pt>
                <c:pt idx="90">
                  <c:v>49237</c:v>
                </c:pt>
                <c:pt idx="91">
                  <c:v>49327</c:v>
                </c:pt>
                <c:pt idx="92">
                  <c:v>49417</c:v>
                </c:pt>
                <c:pt idx="93">
                  <c:v>49507</c:v>
                </c:pt>
                <c:pt idx="94">
                  <c:v>49597</c:v>
                </c:pt>
                <c:pt idx="95">
                  <c:v>49687</c:v>
                </c:pt>
                <c:pt idx="96">
                  <c:v>49777</c:v>
                </c:pt>
                <c:pt idx="97">
                  <c:v>49867</c:v>
                </c:pt>
                <c:pt idx="98">
                  <c:v>49957</c:v>
                </c:pt>
                <c:pt idx="99">
                  <c:v>50047</c:v>
                </c:pt>
                <c:pt idx="100">
                  <c:v>50137</c:v>
                </c:pt>
                <c:pt idx="101">
                  <c:v>50227</c:v>
                </c:pt>
                <c:pt idx="102">
                  <c:v>50317</c:v>
                </c:pt>
                <c:pt idx="103">
                  <c:v>50407</c:v>
                </c:pt>
                <c:pt idx="104">
                  <c:v>50497</c:v>
                </c:pt>
                <c:pt idx="105">
                  <c:v>50587</c:v>
                </c:pt>
                <c:pt idx="106">
                  <c:v>50677</c:v>
                </c:pt>
                <c:pt idx="107">
                  <c:v>50767</c:v>
                </c:pt>
                <c:pt idx="108">
                  <c:v>50857</c:v>
                </c:pt>
                <c:pt idx="109">
                  <c:v>50947</c:v>
                </c:pt>
                <c:pt idx="110">
                  <c:v>51037</c:v>
                </c:pt>
                <c:pt idx="111">
                  <c:v>51127</c:v>
                </c:pt>
                <c:pt idx="112">
                  <c:v>51217</c:v>
                </c:pt>
                <c:pt idx="113">
                  <c:v>51307</c:v>
                </c:pt>
                <c:pt idx="114">
                  <c:v>51397</c:v>
                </c:pt>
                <c:pt idx="115">
                  <c:v>51487</c:v>
                </c:pt>
                <c:pt idx="116">
                  <c:v>51577</c:v>
                </c:pt>
                <c:pt idx="117">
                  <c:v>51667</c:v>
                </c:pt>
                <c:pt idx="118">
                  <c:v>51757</c:v>
                </c:pt>
                <c:pt idx="119">
                  <c:v>51847</c:v>
                </c:pt>
                <c:pt idx="120">
                  <c:v>51937</c:v>
                </c:pt>
                <c:pt idx="121">
                  <c:v>52027</c:v>
                </c:pt>
                <c:pt idx="122">
                  <c:v>52117</c:v>
                </c:pt>
                <c:pt idx="123">
                  <c:v>52207</c:v>
                </c:pt>
                <c:pt idx="124">
                  <c:v>52297</c:v>
                </c:pt>
                <c:pt idx="125">
                  <c:v>52387</c:v>
                </c:pt>
                <c:pt idx="126">
                  <c:v>52477</c:v>
                </c:pt>
                <c:pt idx="127">
                  <c:v>52567</c:v>
                </c:pt>
                <c:pt idx="128">
                  <c:v>52657</c:v>
                </c:pt>
                <c:pt idx="129">
                  <c:v>52747</c:v>
                </c:pt>
                <c:pt idx="130">
                  <c:v>52837</c:v>
                </c:pt>
                <c:pt idx="131">
                  <c:v>52927</c:v>
                </c:pt>
                <c:pt idx="132">
                  <c:v>53017</c:v>
                </c:pt>
                <c:pt idx="133">
                  <c:v>53107</c:v>
                </c:pt>
                <c:pt idx="134">
                  <c:v>53197</c:v>
                </c:pt>
                <c:pt idx="135">
                  <c:v>53287</c:v>
                </c:pt>
                <c:pt idx="136">
                  <c:v>53377</c:v>
                </c:pt>
                <c:pt idx="137">
                  <c:v>53467</c:v>
                </c:pt>
                <c:pt idx="138">
                  <c:v>53557</c:v>
                </c:pt>
                <c:pt idx="139">
                  <c:v>53647</c:v>
                </c:pt>
                <c:pt idx="140">
                  <c:v>53737</c:v>
                </c:pt>
                <c:pt idx="141">
                  <c:v>53827</c:v>
                </c:pt>
                <c:pt idx="142">
                  <c:v>53917</c:v>
                </c:pt>
                <c:pt idx="143">
                  <c:v>54007</c:v>
                </c:pt>
                <c:pt idx="144">
                  <c:v>54097</c:v>
                </c:pt>
                <c:pt idx="145">
                  <c:v>54187</c:v>
                </c:pt>
                <c:pt idx="146">
                  <c:v>54277</c:v>
                </c:pt>
                <c:pt idx="147">
                  <c:v>54367</c:v>
                </c:pt>
                <c:pt idx="148">
                  <c:v>54457</c:v>
                </c:pt>
                <c:pt idx="149">
                  <c:v>54547</c:v>
                </c:pt>
                <c:pt idx="150">
                  <c:v>54637</c:v>
                </c:pt>
                <c:pt idx="151">
                  <c:v>54727</c:v>
                </c:pt>
                <c:pt idx="152">
                  <c:v>54817</c:v>
                </c:pt>
                <c:pt idx="153">
                  <c:v>54907</c:v>
                </c:pt>
                <c:pt idx="154">
                  <c:v>54997</c:v>
                </c:pt>
                <c:pt idx="155">
                  <c:v>55087</c:v>
                </c:pt>
                <c:pt idx="156">
                  <c:v>55177</c:v>
                </c:pt>
                <c:pt idx="157">
                  <c:v>55267</c:v>
                </c:pt>
                <c:pt idx="158">
                  <c:v>55357</c:v>
                </c:pt>
                <c:pt idx="159">
                  <c:v>55447</c:v>
                </c:pt>
                <c:pt idx="160">
                  <c:v>55537</c:v>
                </c:pt>
                <c:pt idx="161">
                  <c:v>55627</c:v>
                </c:pt>
                <c:pt idx="162">
                  <c:v>55717</c:v>
                </c:pt>
                <c:pt idx="163">
                  <c:v>55807</c:v>
                </c:pt>
                <c:pt idx="164">
                  <c:v>55897</c:v>
                </c:pt>
                <c:pt idx="165">
                  <c:v>55987</c:v>
                </c:pt>
                <c:pt idx="166">
                  <c:v>56077</c:v>
                </c:pt>
                <c:pt idx="167">
                  <c:v>56167</c:v>
                </c:pt>
                <c:pt idx="168">
                  <c:v>56257</c:v>
                </c:pt>
                <c:pt idx="169">
                  <c:v>56347</c:v>
                </c:pt>
                <c:pt idx="170">
                  <c:v>56437</c:v>
                </c:pt>
                <c:pt idx="171">
                  <c:v>56527</c:v>
                </c:pt>
                <c:pt idx="172">
                  <c:v>56617</c:v>
                </c:pt>
                <c:pt idx="173">
                  <c:v>56707</c:v>
                </c:pt>
                <c:pt idx="174">
                  <c:v>56797</c:v>
                </c:pt>
                <c:pt idx="175">
                  <c:v>56887</c:v>
                </c:pt>
                <c:pt idx="176">
                  <c:v>56977</c:v>
                </c:pt>
                <c:pt idx="177">
                  <c:v>57067</c:v>
                </c:pt>
                <c:pt idx="178">
                  <c:v>57157</c:v>
                </c:pt>
                <c:pt idx="179">
                  <c:v>57247</c:v>
                </c:pt>
                <c:pt idx="180">
                  <c:v>57337</c:v>
                </c:pt>
                <c:pt idx="181">
                  <c:v>57427</c:v>
                </c:pt>
                <c:pt idx="182">
                  <c:v>57517</c:v>
                </c:pt>
                <c:pt idx="183">
                  <c:v>57607</c:v>
                </c:pt>
                <c:pt idx="184">
                  <c:v>57697</c:v>
                </c:pt>
                <c:pt idx="185">
                  <c:v>57787</c:v>
                </c:pt>
                <c:pt idx="186">
                  <c:v>57877</c:v>
                </c:pt>
                <c:pt idx="187">
                  <c:v>57967</c:v>
                </c:pt>
                <c:pt idx="188">
                  <c:v>58057</c:v>
                </c:pt>
                <c:pt idx="189">
                  <c:v>58147</c:v>
                </c:pt>
                <c:pt idx="190">
                  <c:v>58237</c:v>
                </c:pt>
                <c:pt idx="191">
                  <c:v>58327</c:v>
                </c:pt>
                <c:pt idx="192">
                  <c:v>58417</c:v>
                </c:pt>
                <c:pt idx="193">
                  <c:v>58507</c:v>
                </c:pt>
                <c:pt idx="194">
                  <c:v>58597</c:v>
                </c:pt>
                <c:pt idx="195">
                  <c:v>58687</c:v>
                </c:pt>
                <c:pt idx="196">
                  <c:v>58777</c:v>
                </c:pt>
                <c:pt idx="197">
                  <c:v>58867</c:v>
                </c:pt>
                <c:pt idx="198">
                  <c:v>58957</c:v>
                </c:pt>
                <c:pt idx="199">
                  <c:v>59047</c:v>
                </c:pt>
                <c:pt idx="200">
                  <c:v>59137</c:v>
                </c:pt>
                <c:pt idx="201">
                  <c:v>59227</c:v>
                </c:pt>
                <c:pt idx="202">
                  <c:v>59317</c:v>
                </c:pt>
                <c:pt idx="203">
                  <c:v>59407</c:v>
                </c:pt>
                <c:pt idx="204">
                  <c:v>59497</c:v>
                </c:pt>
                <c:pt idx="205">
                  <c:v>59587</c:v>
                </c:pt>
                <c:pt idx="206">
                  <c:v>59677</c:v>
                </c:pt>
                <c:pt idx="207">
                  <c:v>59767</c:v>
                </c:pt>
                <c:pt idx="208">
                  <c:v>59857</c:v>
                </c:pt>
                <c:pt idx="209">
                  <c:v>59947</c:v>
                </c:pt>
                <c:pt idx="210">
                  <c:v>60037</c:v>
                </c:pt>
                <c:pt idx="211">
                  <c:v>60127</c:v>
                </c:pt>
              </c:numCache>
            </c:numRef>
          </c:cat>
          <c:val>
            <c:numRef>
              <c:f>Sheet3!$D$2:$D$213</c:f>
              <c:numCache>
                <c:formatCode>G/通用格式</c:formatCode>
                <c:ptCount val="212"/>
                <c:pt idx="0">
                  <c:v>2.394583671150274E-2</c:v>
                </c:pt>
                <c:pt idx="1">
                  <c:v>2.394583671093254E-2</c:v>
                </c:pt>
                <c:pt idx="2">
                  <c:v>2.3779705330843132E-2</c:v>
                </c:pt>
                <c:pt idx="3">
                  <c:v>2.3095670925126089E-2</c:v>
                </c:pt>
                <c:pt idx="4">
                  <c:v>2.7092194469756629E-2</c:v>
                </c:pt>
                <c:pt idx="5">
                  <c:v>2.700177059588164E-2</c:v>
                </c:pt>
                <c:pt idx="6">
                  <c:v>2.6537663851604148E-2</c:v>
                </c:pt>
                <c:pt idx="7">
                  <c:v>2.6178520374316148E-2</c:v>
                </c:pt>
                <c:pt idx="8">
                  <c:v>2.4912240831925576E-2</c:v>
                </c:pt>
                <c:pt idx="9">
                  <c:v>2.3649690583706234E-2</c:v>
                </c:pt>
                <c:pt idx="10">
                  <c:v>2.5108855197278249E-2</c:v>
                </c:pt>
                <c:pt idx="11">
                  <c:v>2.6868108172488865E-2</c:v>
                </c:pt>
                <c:pt idx="12">
                  <c:v>2.7310104901104942E-2</c:v>
                </c:pt>
                <c:pt idx="13">
                  <c:v>2.7657114943608681E-2</c:v>
                </c:pt>
                <c:pt idx="14">
                  <c:v>2.8021852486448905E-2</c:v>
                </c:pt>
                <c:pt idx="15">
                  <c:v>2.8348351950901872E-2</c:v>
                </c:pt>
                <c:pt idx="16">
                  <c:v>2.8633924063975334E-2</c:v>
                </c:pt>
                <c:pt idx="17">
                  <c:v>2.8883145683363795E-2</c:v>
                </c:pt>
                <c:pt idx="18">
                  <c:v>2.9112868828377953E-2</c:v>
                </c:pt>
                <c:pt idx="19">
                  <c:v>2.9416434585489055E-2</c:v>
                </c:pt>
                <c:pt idx="20">
                  <c:v>2.9730588054137402E-2</c:v>
                </c:pt>
                <c:pt idx="21">
                  <c:v>3.0095605570770227E-2</c:v>
                </c:pt>
                <c:pt idx="22">
                  <c:v>3.0584146585967208E-2</c:v>
                </c:pt>
                <c:pt idx="23">
                  <c:v>3.1016783927013757E-2</c:v>
                </c:pt>
                <c:pt idx="24">
                  <c:v>3.142893187799517E-2</c:v>
                </c:pt>
                <c:pt idx="25">
                  <c:v>3.1736200370558312E-2</c:v>
                </c:pt>
                <c:pt idx="26">
                  <c:v>3.1647744352723273E-2</c:v>
                </c:pt>
                <c:pt idx="27">
                  <c:v>3.1350524124852015E-2</c:v>
                </c:pt>
                <c:pt idx="28">
                  <c:v>3.1423604829676807E-2</c:v>
                </c:pt>
                <c:pt idx="29">
                  <c:v>3.18699745909529E-2</c:v>
                </c:pt>
                <c:pt idx="30">
                  <c:v>3.2342868366556518E-2</c:v>
                </c:pt>
                <c:pt idx="31">
                  <c:v>3.2729956205064012E-2</c:v>
                </c:pt>
                <c:pt idx="32">
                  <c:v>3.29920277879093E-2</c:v>
                </c:pt>
                <c:pt idx="33">
                  <c:v>3.3202350382978571E-2</c:v>
                </c:pt>
                <c:pt idx="34">
                  <c:v>3.3371302699422296E-2</c:v>
                </c:pt>
                <c:pt idx="35">
                  <c:v>3.3456081105940616E-2</c:v>
                </c:pt>
                <c:pt idx="36">
                  <c:v>3.3473268736811446E-2</c:v>
                </c:pt>
                <c:pt idx="37">
                  <c:v>3.3487604000303983E-2</c:v>
                </c:pt>
                <c:pt idx="38">
                  <c:v>3.3490175322122548E-2</c:v>
                </c:pt>
                <c:pt idx="39">
                  <c:v>3.3488166581501271E-2</c:v>
                </c:pt>
                <c:pt idx="40">
                  <c:v>3.358952131655403E-2</c:v>
                </c:pt>
                <c:pt idx="41">
                  <c:v>3.3879992494993356E-2</c:v>
                </c:pt>
                <c:pt idx="42">
                  <c:v>3.4172661096927487E-2</c:v>
                </c:pt>
                <c:pt idx="43">
                  <c:v>3.4454734172495921E-2</c:v>
                </c:pt>
                <c:pt idx="44">
                  <c:v>3.4717964608445867E-2</c:v>
                </c:pt>
                <c:pt idx="45">
                  <c:v>3.4969589919180651E-2</c:v>
                </c:pt>
                <c:pt idx="46">
                  <c:v>3.5213037491340443E-2</c:v>
                </c:pt>
                <c:pt idx="47">
                  <c:v>3.5446091947643303E-2</c:v>
                </c:pt>
                <c:pt idx="48">
                  <c:v>3.5666949652140033E-2</c:v>
                </c:pt>
                <c:pt idx="49">
                  <c:v>3.5878863427612297E-2</c:v>
                </c:pt>
                <c:pt idx="50">
                  <c:v>3.608463231684593E-2</c:v>
                </c:pt>
                <c:pt idx="51">
                  <c:v>3.6284480405407431E-2</c:v>
                </c:pt>
                <c:pt idx="52">
                  <c:v>3.6472348149429783E-2</c:v>
                </c:pt>
                <c:pt idx="53">
                  <c:v>3.665318244365854E-2</c:v>
                </c:pt>
                <c:pt idx="54">
                  <c:v>3.6829314214596662E-2</c:v>
                </c:pt>
                <c:pt idx="55">
                  <c:v>3.7000890214487089E-2</c:v>
                </c:pt>
                <c:pt idx="56">
                  <c:v>3.716264339910768E-2</c:v>
                </c:pt>
                <c:pt idx="57">
                  <c:v>3.7318766002278278E-2</c:v>
                </c:pt>
                <c:pt idx="58">
                  <c:v>3.7471231421257273E-2</c:v>
                </c:pt>
                <c:pt idx="59">
                  <c:v>3.7620136534435487E-2</c:v>
                </c:pt>
                <c:pt idx="60">
                  <c:v>3.776243715401599E-2</c:v>
                </c:pt>
                <c:pt idx="61">
                  <c:v>3.7888021553555196E-2</c:v>
                </c:pt>
                <c:pt idx="62">
                  <c:v>3.796583479156615E-2</c:v>
                </c:pt>
                <c:pt idx="63">
                  <c:v>3.8038623288516454E-2</c:v>
                </c:pt>
                <c:pt idx="64">
                  <c:v>3.8110732952509482E-2</c:v>
                </c:pt>
                <c:pt idx="65">
                  <c:v>3.8179063725024116E-2</c:v>
                </c:pt>
                <c:pt idx="66">
                  <c:v>3.8245340817942994E-2</c:v>
                </c:pt>
                <c:pt idx="67">
                  <c:v>3.8309653444975465E-2</c:v>
                </c:pt>
                <c:pt idx="68">
                  <c:v>3.8374185790273629E-2</c:v>
                </c:pt>
                <c:pt idx="69">
                  <c:v>3.8449793648125979E-2</c:v>
                </c:pt>
                <c:pt idx="70">
                  <c:v>3.8612894241740532E-2</c:v>
                </c:pt>
                <c:pt idx="71">
                  <c:v>3.8798119614744671E-2</c:v>
                </c:pt>
                <c:pt idx="72">
                  <c:v>3.898572938385747E-2</c:v>
                </c:pt>
                <c:pt idx="73">
                  <c:v>3.9162139804996901E-2</c:v>
                </c:pt>
                <c:pt idx="74">
                  <c:v>3.9333820706985149E-2</c:v>
                </c:pt>
                <c:pt idx="75">
                  <c:v>3.950095823908624E-2</c:v>
                </c:pt>
                <c:pt idx="76">
                  <c:v>3.9669205684143852E-2</c:v>
                </c:pt>
                <c:pt idx="77">
                  <c:v>3.9827643387916251E-2</c:v>
                </c:pt>
                <c:pt idx="78">
                  <c:v>3.9982051387846038E-2</c:v>
                </c:pt>
                <c:pt idx="79">
                  <c:v>4.0132580164627146E-2</c:v>
                </c:pt>
                <c:pt idx="80">
                  <c:v>4.0282668820771875E-2</c:v>
                </c:pt>
                <c:pt idx="81">
                  <c:v>4.0425786878014708E-2</c:v>
                </c:pt>
                <c:pt idx="82">
                  <c:v>4.0567009723028048E-2</c:v>
                </c:pt>
                <c:pt idx="83">
                  <c:v>4.0703287827493294E-2</c:v>
                </c:pt>
                <c:pt idx="84">
                  <c:v>4.0839333768824454E-2</c:v>
                </c:pt>
                <c:pt idx="85">
                  <c:v>4.0970675142525864E-2</c:v>
                </c:pt>
                <c:pt idx="86">
                  <c:v>4.1097528255491275E-2</c:v>
                </c:pt>
                <c:pt idx="87">
                  <c:v>4.1221487640047162E-2</c:v>
                </c:pt>
                <c:pt idx="88">
                  <c:v>4.1345373366221384E-2</c:v>
                </c:pt>
                <c:pt idx="89">
                  <c:v>4.146510585659563E-2</c:v>
                </c:pt>
                <c:pt idx="90">
                  <c:v>4.1580868909780369E-2</c:v>
                </c:pt>
                <c:pt idx="91">
                  <c:v>4.1694107441191293E-2</c:v>
                </c:pt>
                <c:pt idx="92">
                  <c:v>4.1807393346544486E-2</c:v>
                </c:pt>
                <c:pt idx="93">
                  <c:v>4.1916990720605576E-2</c:v>
                </c:pt>
                <c:pt idx="94">
                  <c:v>4.2023056921731916E-2</c:v>
                </c:pt>
                <c:pt idx="95">
                  <c:v>4.2126907609728995E-2</c:v>
                </c:pt>
                <c:pt idx="96">
                  <c:v>4.2229754719010824E-2</c:v>
                </c:pt>
                <c:pt idx="97">
                  <c:v>4.2330474977411964E-2</c:v>
                </c:pt>
                <c:pt idx="98">
                  <c:v>4.2428036225267869E-2</c:v>
                </c:pt>
                <c:pt idx="99">
                  <c:v>4.2523641939329074E-2</c:v>
                </c:pt>
                <c:pt idx="100">
                  <c:v>4.2619457311768381E-2</c:v>
                </c:pt>
                <c:pt idx="101">
                  <c:v>4.2712316043777079E-2</c:v>
                </c:pt>
                <c:pt idx="102">
                  <c:v>4.2802335658838897E-2</c:v>
                </c:pt>
                <c:pt idx="103">
                  <c:v>4.2890621196963102E-2</c:v>
                </c:pt>
                <c:pt idx="104">
                  <c:v>4.2979169785167061E-2</c:v>
                </c:pt>
                <c:pt idx="105">
                  <c:v>4.306505274520922E-2</c:v>
                </c:pt>
                <c:pt idx="106">
                  <c:v>4.3148372557118606E-2</c:v>
                </c:pt>
                <c:pt idx="107">
                  <c:v>4.3231068105905705E-2</c:v>
                </c:pt>
                <c:pt idx="108">
                  <c:v>4.3313129095348214E-2</c:v>
                </c:pt>
                <c:pt idx="109">
                  <c:v>4.3391890474596143E-2</c:v>
                </c:pt>
                <c:pt idx="110">
                  <c:v>4.3469231527667414E-2</c:v>
                </c:pt>
                <c:pt idx="111">
                  <c:v>4.3546045890108499E-2</c:v>
                </c:pt>
                <c:pt idx="112">
                  <c:v>4.3621482456390595E-2</c:v>
                </c:pt>
                <c:pt idx="113">
                  <c:v>4.369475533453332E-2</c:v>
                </c:pt>
                <c:pt idx="114">
                  <c:v>4.3766753080105893E-2</c:v>
                </c:pt>
                <c:pt idx="115">
                  <c:v>4.3838306347670525E-2</c:v>
                </c:pt>
                <c:pt idx="116">
                  <c:v>4.3909402809600324E-2</c:v>
                </c:pt>
                <c:pt idx="117">
                  <c:v>4.3977728300842026E-2</c:v>
                </c:pt>
                <c:pt idx="118">
                  <c:v>4.4044905046343417E-2</c:v>
                </c:pt>
                <c:pt idx="119">
                  <c:v>4.4111706954112026E-2</c:v>
                </c:pt>
                <c:pt idx="120">
                  <c:v>4.4178121260571968E-2</c:v>
                </c:pt>
                <c:pt idx="121">
                  <c:v>4.4241984032703609E-2</c:v>
                </c:pt>
                <c:pt idx="122">
                  <c:v>4.4304808302363045E-2</c:v>
                </c:pt>
                <c:pt idx="123">
                  <c:v>4.4367316746570913E-2</c:v>
                </c:pt>
                <c:pt idx="124">
                  <c:v>4.4429496788295428E-2</c:v>
                </c:pt>
                <c:pt idx="125">
                  <c:v>4.4489320158079868E-2</c:v>
                </c:pt>
                <c:pt idx="126">
                  <c:v>4.4548201666083011E-2</c:v>
                </c:pt>
                <c:pt idx="127">
                  <c:v>4.4606817604220465E-2</c:v>
                </c:pt>
                <c:pt idx="128">
                  <c:v>4.4664512707131385E-2</c:v>
                </c:pt>
                <c:pt idx="129">
                  <c:v>4.4721311240599387E-2</c:v>
                </c:pt>
                <c:pt idx="130">
                  <c:v>4.4776609848276069E-2</c:v>
                </c:pt>
                <c:pt idx="131">
                  <c:v>4.4831071905098337E-2</c:v>
                </c:pt>
                <c:pt idx="132">
                  <c:v>4.4884713243886216E-2</c:v>
                </c:pt>
                <c:pt idx="133">
                  <c:v>4.4939342356511168E-2</c:v>
                </c:pt>
                <c:pt idx="134">
                  <c:v>4.4991375395465702E-2</c:v>
                </c:pt>
                <c:pt idx="135">
                  <c:v>4.5042644631472152E-2</c:v>
                </c:pt>
                <c:pt idx="136">
                  <c:v>4.5093164080282293E-2</c:v>
                </c:pt>
                <c:pt idx="137">
                  <c:v>4.5144636752767933E-2</c:v>
                </c:pt>
                <c:pt idx="138">
                  <c:v>4.519368517243446E-2</c:v>
                </c:pt>
                <c:pt idx="139">
                  <c:v>4.5242034335912756E-2</c:v>
                </c:pt>
                <c:pt idx="140">
                  <c:v>4.5289696727835033E-2</c:v>
                </c:pt>
                <c:pt idx="141">
                  <c:v>4.5338278816900057E-2</c:v>
                </c:pt>
                <c:pt idx="142">
                  <c:v>4.5384592238884289E-2</c:v>
                </c:pt>
                <c:pt idx="143">
                  <c:v>4.5430263873522676E-2</c:v>
                </c:pt>
                <c:pt idx="144">
                  <c:v>4.5475304913146115E-2</c:v>
                </c:pt>
                <c:pt idx="145">
                  <c:v>4.5520732052969096E-2</c:v>
                </c:pt>
                <c:pt idx="146">
                  <c:v>4.5564539849715313E-2</c:v>
                </c:pt>
                <c:pt idx="147">
                  <c:v>4.5607757309424457E-2</c:v>
                </c:pt>
                <c:pt idx="148">
                  <c:v>4.5650393982932712E-2</c:v>
                </c:pt>
                <c:pt idx="149">
                  <c:v>4.5693886444917592E-2</c:v>
                </c:pt>
                <c:pt idx="150">
                  <c:v>4.5735380286070569E-2</c:v>
                </c:pt>
                <c:pt idx="151">
                  <c:v>4.5776792029624869E-2</c:v>
                </c:pt>
                <c:pt idx="152">
                  <c:v>4.5817199858410027E-2</c:v>
                </c:pt>
                <c:pt idx="153">
                  <c:v>4.5857983176772185E-2</c:v>
                </c:pt>
                <c:pt idx="154">
                  <c:v>4.5897786014764054E-2</c:v>
                </c:pt>
                <c:pt idx="155">
                  <c:v>4.5936635832047129E-2</c:v>
                </c:pt>
                <c:pt idx="156">
                  <c:v>4.5974990747609509E-2</c:v>
                </c:pt>
                <c:pt idx="157">
                  <c:v>4.6013714839775177E-2</c:v>
                </c:pt>
                <c:pt idx="158">
                  <c:v>4.6051520797491037E-2</c:v>
                </c:pt>
                <c:pt idx="159">
                  <c:v>4.6088433613069663E-2</c:v>
                </c:pt>
                <c:pt idx="160">
                  <c:v>4.6124888203532124E-2</c:v>
                </c:pt>
                <c:pt idx="161">
                  <c:v>4.6161298625619095E-2</c:v>
                </c:pt>
                <c:pt idx="162">
                  <c:v>4.6197259287813285E-2</c:v>
                </c:pt>
                <c:pt idx="163">
                  <c:v>4.6232381252354779E-2</c:v>
                </c:pt>
                <c:pt idx="164">
                  <c:v>4.6267078305450085E-2</c:v>
                </c:pt>
                <c:pt idx="165">
                  <c:v>4.63021303278126E-2</c:v>
                </c:pt>
                <c:pt idx="166">
                  <c:v>4.6336372927542259E-2</c:v>
                </c:pt>
                <c:pt idx="167">
                  <c:v>4.6369826771766022E-2</c:v>
                </c:pt>
                <c:pt idx="168">
                  <c:v>4.6402885823390569E-2</c:v>
                </c:pt>
                <c:pt idx="169">
                  <c:v>4.6436292438838137E-2</c:v>
                </c:pt>
                <c:pt idx="170">
                  <c:v>4.6468937221372686E-2</c:v>
                </c:pt>
                <c:pt idx="171">
                  <c:v>4.6500839016058504E-2</c:v>
                </c:pt>
                <c:pt idx="172">
                  <c:v>4.6532373402582129E-2</c:v>
                </c:pt>
                <c:pt idx="173">
                  <c:v>4.6564247792807614E-2</c:v>
                </c:pt>
                <c:pt idx="174">
                  <c:v>4.6595404038428802E-2</c:v>
                </c:pt>
                <c:pt idx="175">
                  <c:v>4.662585933006913E-2</c:v>
                </c:pt>
                <c:pt idx="176">
                  <c:v>4.6656312374741847E-2</c:v>
                </c:pt>
                <c:pt idx="177">
                  <c:v>4.6686417367349776E-2</c:v>
                </c:pt>
                <c:pt idx="178">
                  <c:v>4.6715852006383472E-2</c:v>
                </c:pt>
                <c:pt idx="179">
                  <c:v>4.6744960657084902E-2</c:v>
                </c:pt>
                <c:pt idx="180">
                  <c:v>4.6774075371171286E-2</c:v>
                </c:pt>
                <c:pt idx="181">
                  <c:v>4.6803184913040814E-2</c:v>
                </c:pt>
                <c:pt idx="182">
                  <c:v>4.6831335871700297E-2</c:v>
                </c:pt>
                <c:pt idx="183">
                  <c:v>4.6859181794828085E-2</c:v>
                </c:pt>
                <c:pt idx="184">
                  <c:v>4.6887040662907171E-2</c:v>
                </c:pt>
                <c:pt idx="185">
                  <c:v>4.691490099905974E-2</c:v>
                </c:pt>
                <c:pt idx="186">
                  <c:v>4.6941850437613925E-2</c:v>
                </c:pt>
                <c:pt idx="187">
                  <c:v>4.6968514140844908E-2</c:v>
                </c:pt>
                <c:pt idx="188">
                  <c:v>4.6995196424795042E-2</c:v>
                </c:pt>
                <c:pt idx="189">
                  <c:v>4.7021886556497763E-2</c:v>
                </c:pt>
                <c:pt idx="190">
                  <c:v>4.7047709691862005E-2</c:v>
                </c:pt>
                <c:pt idx="191">
                  <c:v>4.7073264891743474E-2</c:v>
                </c:pt>
                <c:pt idx="192">
                  <c:v>4.7098843577436877E-2</c:v>
                </c:pt>
                <c:pt idx="193">
                  <c:v>4.7124152860478268E-2</c:v>
                </c:pt>
                <c:pt idx="194">
                  <c:v>4.7148921696901332E-2</c:v>
                </c:pt>
                <c:pt idx="195">
                  <c:v>4.7173438967888275E-2</c:v>
                </c:pt>
                <c:pt idx="196">
                  <c:v>4.7197984295898505E-2</c:v>
                </c:pt>
                <c:pt idx="197">
                  <c:v>4.7222547532829E-2</c:v>
                </c:pt>
                <c:pt idx="198">
                  <c:v>4.7246591292470767E-2</c:v>
                </c:pt>
                <c:pt idx="199">
                  <c:v>4.7270127244828958E-2</c:v>
                </c:pt>
                <c:pt idx="200">
                  <c:v>4.7293431457999302E-2</c:v>
                </c:pt>
                <c:pt idx="201">
                  <c:v>4.7316502510028481E-2</c:v>
                </c:pt>
                <c:pt idx="202">
                  <c:v>4.7340122248659557E-2</c:v>
                </c:pt>
                <c:pt idx="203">
                  <c:v>4.7362737156021378E-2</c:v>
                </c:pt>
                <c:pt idx="204">
                  <c:v>4.7385133729763378E-2</c:v>
                </c:pt>
                <c:pt idx="205">
                  <c:v>4.7407310860328698E-2</c:v>
                </c:pt>
                <c:pt idx="206">
                  <c:v>4.7430019444190397E-2</c:v>
                </c:pt>
                <c:pt idx="207">
                  <c:v>4.7451766332117715E-2</c:v>
                </c:pt>
                <c:pt idx="208">
                  <c:v>4.7473307267963269E-2</c:v>
                </c:pt>
                <c:pt idx="209">
                  <c:v>4.7494641467588986E-2</c:v>
                </c:pt>
                <c:pt idx="210">
                  <c:v>4.7516251649507742E-2</c:v>
                </c:pt>
                <c:pt idx="211">
                  <c:v>4.75371818320975E-2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Sheet3!$E$1</c:f>
              <c:strCache>
                <c:ptCount val="1"/>
                <c:pt idx="0">
                  <c:v>CNY_Treasury_Live_Curve_2012-8-16_Calibrated_Curve_3</c:v>
                </c:pt>
              </c:strCache>
            </c:strRef>
          </c:tx>
          <c:marker>
            <c:symbol val="none"/>
          </c:marker>
          <c:cat>
            <c:numRef>
              <c:f>Sheet3!$A$2:$A$213</c:f>
              <c:numCache>
                <c:formatCode>yyyy-m-d</c:formatCode>
                <c:ptCount val="212"/>
                <c:pt idx="0">
                  <c:v>41137</c:v>
                </c:pt>
                <c:pt idx="1">
                  <c:v>41227</c:v>
                </c:pt>
                <c:pt idx="2">
                  <c:v>41317</c:v>
                </c:pt>
                <c:pt idx="3">
                  <c:v>41407</c:v>
                </c:pt>
                <c:pt idx="4">
                  <c:v>41497</c:v>
                </c:pt>
                <c:pt idx="5">
                  <c:v>41587</c:v>
                </c:pt>
                <c:pt idx="6">
                  <c:v>41677</c:v>
                </c:pt>
                <c:pt idx="7">
                  <c:v>41767</c:v>
                </c:pt>
                <c:pt idx="8">
                  <c:v>41857</c:v>
                </c:pt>
                <c:pt idx="9">
                  <c:v>41947</c:v>
                </c:pt>
                <c:pt idx="10">
                  <c:v>42037</c:v>
                </c:pt>
                <c:pt idx="11">
                  <c:v>42127</c:v>
                </c:pt>
                <c:pt idx="12">
                  <c:v>42217</c:v>
                </c:pt>
                <c:pt idx="13">
                  <c:v>42307</c:v>
                </c:pt>
                <c:pt idx="14">
                  <c:v>42397</c:v>
                </c:pt>
                <c:pt idx="15">
                  <c:v>42487</c:v>
                </c:pt>
                <c:pt idx="16">
                  <c:v>42577</c:v>
                </c:pt>
                <c:pt idx="17">
                  <c:v>42667</c:v>
                </c:pt>
                <c:pt idx="18">
                  <c:v>42757</c:v>
                </c:pt>
                <c:pt idx="19">
                  <c:v>42847</c:v>
                </c:pt>
                <c:pt idx="20">
                  <c:v>42937</c:v>
                </c:pt>
                <c:pt idx="21">
                  <c:v>43027</c:v>
                </c:pt>
                <c:pt idx="22">
                  <c:v>43117</c:v>
                </c:pt>
                <c:pt idx="23">
                  <c:v>43207</c:v>
                </c:pt>
                <c:pt idx="24">
                  <c:v>43297</c:v>
                </c:pt>
                <c:pt idx="25">
                  <c:v>43387</c:v>
                </c:pt>
                <c:pt idx="26">
                  <c:v>43477</c:v>
                </c:pt>
                <c:pt idx="27">
                  <c:v>43567</c:v>
                </c:pt>
                <c:pt idx="28">
                  <c:v>43657</c:v>
                </c:pt>
                <c:pt idx="29">
                  <c:v>43747</c:v>
                </c:pt>
                <c:pt idx="30">
                  <c:v>43837</c:v>
                </c:pt>
                <c:pt idx="31">
                  <c:v>43927</c:v>
                </c:pt>
                <c:pt idx="32">
                  <c:v>44017</c:v>
                </c:pt>
                <c:pt idx="33">
                  <c:v>44107</c:v>
                </c:pt>
                <c:pt idx="34">
                  <c:v>44197</c:v>
                </c:pt>
                <c:pt idx="35">
                  <c:v>44287</c:v>
                </c:pt>
                <c:pt idx="36">
                  <c:v>44377</c:v>
                </c:pt>
                <c:pt idx="37">
                  <c:v>44467</c:v>
                </c:pt>
                <c:pt idx="38">
                  <c:v>44557</c:v>
                </c:pt>
                <c:pt idx="39">
                  <c:v>44647</c:v>
                </c:pt>
                <c:pt idx="40">
                  <c:v>44737</c:v>
                </c:pt>
                <c:pt idx="41">
                  <c:v>44827</c:v>
                </c:pt>
                <c:pt idx="42">
                  <c:v>44917</c:v>
                </c:pt>
                <c:pt idx="43">
                  <c:v>45007</c:v>
                </c:pt>
                <c:pt idx="44">
                  <c:v>45097</c:v>
                </c:pt>
                <c:pt idx="45">
                  <c:v>45187</c:v>
                </c:pt>
                <c:pt idx="46">
                  <c:v>45277</c:v>
                </c:pt>
                <c:pt idx="47">
                  <c:v>45367</c:v>
                </c:pt>
                <c:pt idx="48">
                  <c:v>45457</c:v>
                </c:pt>
                <c:pt idx="49">
                  <c:v>45547</c:v>
                </c:pt>
                <c:pt idx="50">
                  <c:v>45637</c:v>
                </c:pt>
                <c:pt idx="51">
                  <c:v>45727</c:v>
                </c:pt>
                <c:pt idx="52">
                  <c:v>45817</c:v>
                </c:pt>
                <c:pt idx="53">
                  <c:v>45907</c:v>
                </c:pt>
                <c:pt idx="54">
                  <c:v>45997</c:v>
                </c:pt>
                <c:pt idx="55">
                  <c:v>46087</c:v>
                </c:pt>
                <c:pt idx="56">
                  <c:v>46177</c:v>
                </c:pt>
                <c:pt idx="57">
                  <c:v>46267</c:v>
                </c:pt>
                <c:pt idx="58">
                  <c:v>46357</c:v>
                </c:pt>
                <c:pt idx="59">
                  <c:v>46447</c:v>
                </c:pt>
                <c:pt idx="60">
                  <c:v>46537</c:v>
                </c:pt>
                <c:pt idx="61">
                  <c:v>46627</c:v>
                </c:pt>
                <c:pt idx="62">
                  <c:v>46717</c:v>
                </c:pt>
                <c:pt idx="63">
                  <c:v>46807</c:v>
                </c:pt>
                <c:pt idx="64">
                  <c:v>46897</c:v>
                </c:pt>
                <c:pt idx="65">
                  <c:v>46987</c:v>
                </c:pt>
                <c:pt idx="66">
                  <c:v>47077</c:v>
                </c:pt>
                <c:pt idx="67">
                  <c:v>47167</c:v>
                </c:pt>
                <c:pt idx="68">
                  <c:v>47257</c:v>
                </c:pt>
                <c:pt idx="69">
                  <c:v>47347</c:v>
                </c:pt>
                <c:pt idx="70">
                  <c:v>47437</c:v>
                </c:pt>
                <c:pt idx="71">
                  <c:v>47527</c:v>
                </c:pt>
                <c:pt idx="72">
                  <c:v>47617</c:v>
                </c:pt>
                <c:pt idx="73">
                  <c:v>47707</c:v>
                </c:pt>
                <c:pt idx="74">
                  <c:v>47797</c:v>
                </c:pt>
                <c:pt idx="75">
                  <c:v>47887</c:v>
                </c:pt>
                <c:pt idx="76">
                  <c:v>47977</c:v>
                </c:pt>
                <c:pt idx="77">
                  <c:v>48067</c:v>
                </c:pt>
                <c:pt idx="78">
                  <c:v>48157</c:v>
                </c:pt>
                <c:pt idx="79">
                  <c:v>48247</c:v>
                </c:pt>
                <c:pt idx="80">
                  <c:v>48337</c:v>
                </c:pt>
                <c:pt idx="81">
                  <c:v>48427</c:v>
                </c:pt>
                <c:pt idx="82">
                  <c:v>48517</c:v>
                </c:pt>
                <c:pt idx="83">
                  <c:v>48607</c:v>
                </c:pt>
                <c:pt idx="84">
                  <c:v>48697</c:v>
                </c:pt>
                <c:pt idx="85">
                  <c:v>48787</c:v>
                </c:pt>
                <c:pt idx="86">
                  <c:v>48877</c:v>
                </c:pt>
                <c:pt idx="87">
                  <c:v>48967</c:v>
                </c:pt>
                <c:pt idx="88">
                  <c:v>49057</c:v>
                </c:pt>
                <c:pt idx="89">
                  <c:v>49147</c:v>
                </c:pt>
                <c:pt idx="90">
                  <c:v>49237</c:v>
                </c:pt>
                <c:pt idx="91">
                  <c:v>49327</c:v>
                </c:pt>
                <c:pt idx="92">
                  <c:v>49417</c:v>
                </c:pt>
                <c:pt idx="93">
                  <c:v>49507</c:v>
                </c:pt>
                <c:pt idx="94">
                  <c:v>49597</c:v>
                </c:pt>
                <c:pt idx="95">
                  <c:v>49687</c:v>
                </c:pt>
                <c:pt idx="96">
                  <c:v>49777</c:v>
                </c:pt>
                <c:pt idx="97">
                  <c:v>49867</c:v>
                </c:pt>
                <c:pt idx="98">
                  <c:v>49957</c:v>
                </c:pt>
                <c:pt idx="99">
                  <c:v>50047</c:v>
                </c:pt>
                <c:pt idx="100">
                  <c:v>50137</c:v>
                </c:pt>
                <c:pt idx="101">
                  <c:v>50227</c:v>
                </c:pt>
                <c:pt idx="102">
                  <c:v>50317</c:v>
                </c:pt>
                <c:pt idx="103">
                  <c:v>50407</c:v>
                </c:pt>
                <c:pt idx="104">
                  <c:v>50497</c:v>
                </c:pt>
                <c:pt idx="105">
                  <c:v>50587</c:v>
                </c:pt>
                <c:pt idx="106">
                  <c:v>50677</c:v>
                </c:pt>
                <c:pt idx="107">
                  <c:v>50767</c:v>
                </c:pt>
                <c:pt idx="108">
                  <c:v>50857</c:v>
                </c:pt>
                <c:pt idx="109">
                  <c:v>50947</c:v>
                </c:pt>
                <c:pt idx="110">
                  <c:v>51037</c:v>
                </c:pt>
                <c:pt idx="111">
                  <c:v>51127</c:v>
                </c:pt>
                <c:pt idx="112">
                  <c:v>51217</c:v>
                </c:pt>
                <c:pt idx="113">
                  <c:v>51307</c:v>
                </c:pt>
                <c:pt idx="114">
                  <c:v>51397</c:v>
                </c:pt>
                <c:pt idx="115">
                  <c:v>51487</c:v>
                </c:pt>
                <c:pt idx="116">
                  <c:v>51577</c:v>
                </c:pt>
                <c:pt idx="117">
                  <c:v>51667</c:v>
                </c:pt>
                <c:pt idx="118">
                  <c:v>51757</c:v>
                </c:pt>
                <c:pt idx="119">
                  <c:v>51847</c:v>
                </c:pt>
                <c:pt idx="120">
                  <c:v>51937</c:v>
                </c:pt>
                <c:pt idx="121">
                  <c:v>52027</c:v>
                </c:pt>
                <c:pt idx="122">
                  <c:v>52117</c:v>
                </c:pt>
                <c:pt idx="123">
                  <c:v>52207</c:v>
                </c:pt>
                <c:pt idx="124">
                  <c:v>52297</c:v>
                </c:pt>
                <c:pt idx="125">
                  <c:v>52387</c:v>
                </c:pt>
                <c:pt idx="126">
                  <c:v>52477</c:v>
                </c:pt>
                <c:pt idx="127">
                  <c:v>52567</c:v>
                </c:pt>
                <c:pt idx="128">
                  <c:v>52657</c:v>
                </c:pt>
                <c:pt idx="129">
                  <c:v>52747</c:v>
                </c:pt>
                <c:pt idx="130">
                  <c:v>52837</c:v>
                </c:pt>
                <c:pt idx="131">
                  <c:v>52927</c:v>
                </c:pt>
                <c:pt idx="132">
                  <c:v>53017</c:v>
                </c:pt>
                <c:pt idx="133">
                  <c:v>53107</c:v>
                </c:pt>
                <c:pt idx="134">
                  <c:v>53197</c:v>
                </c:pt>
                <c:pt idx="135">
                  <c:v>53287</c:v>
                </c:pt>
                <c:pt idx="136">
                  <c:v>53377</c:v>
                </c:pt>
                <c:pt idx="137">
                  <c:v>53467</c:v>
                </c:pt>
                <c:pt idx="138">
                  <c:v>53557</c:v>
                </c:pt>
                <c:pt idx="139">
                  <c:v>53647</c:v>
                </c:pt>
                <c:pt idx="140">
                  <c:v>53737</c:v>
                </c:pt>
                <c:pt idx="141">
                  <c:v>53827</c:v>
                </c:pt>
                <c:pt idx="142">
                  <c:v>53917</c:v>
                </c:pt>
                <c:pt idx="143">
                  <c:v>54007</c:v>
                </c:pt>
                <c:pt idx="144">
                  <c:v>54097</c:v>
                </c:pt>
                <c:pt idx="145">
                  <c:v>54187</c:v>
                </c:pt>
                <c:pt idx="146">
                  <c:v>54277</c:v>
                </c:pt>
                <c:pt idx="147">
                  <c:v>54367</c:v>
                </c:pt>
                <c:pt idx="148">
                  <c:v>54457</c:v>
                </c:pt>
                <c:pt idx="149">
                  <c:v>54547</c:v>
                </c:pt>
                <c:pt idx="150">
                  <c:v>54637</c:v>
                </c:pt>
                <c:pt idx="151">
                  <c:v>54727</c:v>
                </c:pt>
                <c:pt idx="152">
                  <c:v>54817</c:v>
                </c:pt>
                <c:pt idx="153">
                  <c:v>54907</c:v>
                </c:pt>
                <c:pt idx="154">
                  <c:v>54997</c:v>
                </c:pt>
                <c:pt idx="155">
                  <c:v>55087</c:v>
                </c:pt>
                <c:pt idx="156">
                  <c:v>55177</c:v>
                </c:pt>
                <c:pt idx="157">
                  <c:v>55267</c:v>
                </c:pt>
                <c:pt idx="158">
                  <c:v>55357</c:v>
                </c:pt>
                <c:pt idx="159">
                  <c:v>55447</c:v>
                </c:pt>
                <c:pt idx="160">
                  <c:v>55537</c:v>
                </c:pt>
                <c:pt idx="161">
                  <c:v>55627</c:v>
                </c:pt>
                <c:pt idx="162">
                  <c:v>55717</c:v>
                </c:pt>
                <c:pt idx="163">
                  <c:v>55807</c:v>
                </c:pt>
                <c:pt idx="164">
                  <c:v>55897</c:v>
                </c:pt>
                <c:pt idx="165">
                  <c:v>55987</c:v>
                </c:pt>
                <c:pt idx="166">
                  <c:v>56077</c:v>
                </c:pt>
                <c:pt idx="167">
                  <c:v>56167</c:v>
                </c:pt>
                <c:pt idx="168">
                  <c:v>56257</c:v>
                </c:pt>
                <c:pt idx="169">
                  <c:v>56347</c:v>
                </c:pt>
                <c:pt idx="170">
                  <c:v>56437</c:v>
                </c:pt>
                <c:pt idx="171">
                  <c:v>56527</c:v>
                </c:pt>
                <c:pt idx="172">
                  <c:v>56617</c:v>
                </c:pt>
                <c:pt idx="173">
                  <c:v>56707</c:v>
                </c:pt>
                <c:pt idx="174">
                  <c:v>56797</c:v>
                </c:pt>
                <c:pt idx="175">
                  <c:v>56887</c:v>
                </c:pt>
                <c:pt idx="176">
                  <c:v>56977</c:v>
                </c:pt>
                <c:pt idx="177">
                  <c:v>57067</c:v>
                </c:pt>
                <c:pt idx="178">
                  <c:v>57157</c:v>
                </c:pt>
                <c:pt idx="179">
                  <c:v>57247</c:v>
                </c:pt>
                <c:pt idx="180">
                  <c:v>57337</c:v>
                </c:pt>
                <c:pt idx="181">
                  <c:v>57427</c:v>
                </c:pt>
                <c:pt idx="182">
                  <c:v>57517</c:v>
                </c:pt>
                <c:pt idx="183">
                  <c:v>57607</c:v>
                </c:pt>
                <c:pt idx="184">
                  <c:v>57697</c:v>
                </c:pt>
                <c:pt idx="185">
                  <c:v>57787</c:v>
                </c:pt>
                <c:pt idx="186">
                  <c:v>57877</c:v>
                </c:pt>
                <c:pt idx="187">
                  <c:v>57967</c:v>
                </c:pt>
                <c:pt idx="188">
                  <c:v>58057</c:v>
                </c:pt>
                <c:pt idx="189">
                  <c:v>58147</c:v>
                </c:pt>
                <c:pt idx="190">
                  <c:v>58237</c:v>
                </c:pt>
                <c:pt idx="191">
                  <c:v>58327</c:v>
                </c:pt>
                <c:pt idx="192">
                  <c:v>58417</c:v>
                </c:pt>
                <c:pt idx="193">
                  <c:v>58507</c:v>
                </c:pt>
                <c:pt idx="194">
                  <c:v>58597</c:v>
                </c:pt>
                <c:pt idx="195">
                  <c:v>58687</c:v>
                </c:pt>
                <c:pt idx="196">
                  <c:v>58777</c:v>
                </c:pt>
                <c:pt idx="197">
                  <c:v>58867</c:v>
                </c:pt>
                <c:pt idx="198">
                  <c:v>58957</c:v>
                </c:pt>
                <c:pt idx="199">
                  <c:v>59047</c:v>
                </c:pt>
                <c:pt idx="200">
                  <c:v>59137</c:v>
                </c:pt>
                <c:pt idx="201">
                  <c:v>59227</c:v>
                </c:pt>
                <c:pt idx="202">
                  <c:v>59317</c:v>
                </c:pt>
                <c:pt idx="203">
                  <c:v>59407</c:v>
                </c:pt>
                <c:pt idx="204">
                  <c:v>59497</c:v>
                </c:pt>
                <c:pt idx="205">
                  <c:v>59587</c:v>
                </c:pt>
                <c:pt idx="206">
                  <c:v>59677</c:v>
                </c:pt>
                <c:pt idx="207">
                  <c:v>59767</c:v>
                </c:pt>
                <c:pt idx="208">
                  <c:v>59857</c:v>
                </c:pt>
                <c:pt idx="209">
                  <c:v>59947</c:v>
                </c:pt>
                <c:pt idx="210">
                  <c:v>60037</c:v>
                </c:pt>
                <c:pt idx="211">
                  <c:v>60127</c:v>
                </c:pt>
              </c:numCache>
            </c:numRef>
          </c:cat>
          <c:val>
            <c:numRef>
              <c:f>Sheet3!$E$2:$E$213</c:f>
              <c:numCache>
                <c:formatCode>G/通用格式</c:formatCode>
                <c:ptCount val="212"/>
                <c:pt idx="0">
                  <c:v>2.394583671150274E-2</c:v>
                </c:pt>
                <c:pt idx="1">
                  <c:v>2.394583671093254E-2</c:v>
                </c:pt>
                <c:pt idx="2">
                  <c:v>2.3779705330843132E-2</c:v>
                </c:pt>
                <c:pt idx="3">
                  <c:v>2.3095670925126089E-2</c:v>
                </c:pt>
                <c:pt idx="4">
                  <c:v>2.7092194469756629E-2</c:v>
                </c:pt>
                <c:pt idx="5">
                  <c:v>2.700177059588164E-2</c:v>
                </c:pt>
                <c:pt idx="6">
                  <c:v>2.6537663851604148E-2</c:v>
                </c:pt>
                <c:pt idx="7">
                  <c:v>2.6178520374316148E-2</c:v>
                </c:pt>
                <c:pt idx="8">
                  <c:v>2.4912240831925576E-2</c:v>
                </c:pt>
                <c:pt idx="9">
                  <c:v>2.3649690583706234E-2</c:v>
                </c:pt>
                <c:pt idx="10">
                  <c:v>2.5108855197278249E-2</c:v>
                </c:pt>
                <c:pt idx="11">
                  <c:v>2.6868108172488865E-2</c:v>
                </c:pt>
                <c:pt idx="12">
                  <c:v>2.7310104901104942E-2</c:v>
                </c:pt>
                <c:pt idx="13">
                  <c:v>2.7657114943608681E-2</c:v>
                </c:pt>
                <c:pt idx="14">
                  <c:v>2.8021852486448905E-2</c:v>
                </c:pt>
                <c:pt idx="15">
                  <c:v>2.8348351950901872E-2</c:v>
                </c:pt>
                <c:pt idx="16">
                  <c:v>2.8633924063975334E-2</c:v>
                </c:pt>
                <c:pt idx="17">
                  <c:v>2.8883145683363795E-2</c:v>
                </c:pt>
                <c:pt idx="18">
                  <c:v>2.9112868828377953E-2</c:v>
                </c:pt>
                <c:pt idx="19">
                  <c:v>2.9416434585489055E-2</c:v>
                </c:pt>
                <c:pt idx="20">
                  <c:v>2.9730588054137402E-2</c:v>
                </c:pt>
                <c:pt idx="21">
                  <c:v>3.0095605570770227E-2</c:v>
                </c:pt>
                <c:pt idx="22">
                  <c:v>3.0584146585967208E-2</c:v>
                </c:pt>
                <c:pt idx="23">
                  <c:v>3.1016783927013757E-2</c:v>
                </c:pt>
                <c:pt idx="24">
                  <c:v>3.142893187799517E-2</c:v>
                </c:pt>
                <c:pt idx="25">
                  <c:v>3.1736200370558312E-2</c:v>
                </c:pt>
                <c:pt idx="26">
                  <c:v>3.1647744352723273E-2</c:v>
                </c:pt>
                <c:pt idx="27">
                  <c:v>3.1350524124852015E-2</c:v>
                </c:pt>
                <c:pt idx="28">
                  <c:v>3.1423604829676807E-2</c:v>
                </c:pt>
                <c:pt idx="29">
                  <c:v>3.18699745909529E-2</c:v>
                </c:pt>
                <c:pt idx="30">
                  <c:v>3.2342868366556518E-2</c:v>
                </c:pt>
                <c:pt idx="31">
                  <c:v>3.2729956205064012E-2</c:v>
                </c:pt>
                <c:pt idx="32">
                  <c:v>3.29920277879093E-2</c:v>
                </c:pt>
                <c:pt idx="33">
                  <c:v>3.3202350382978571E-2</c:v>
                </c:pt>
                <c:pt idx="34">
                  <c:v>3.3371302699422296E-2</c:v>
                </c:pt>
                <c:pt idx="35">
                  <c:v>3.3456081105940616E-2</c:v>
                </c:pt>
                <c:pt idx="36">
                  <c:v>3.3473268736811446E-2</c:v>
                </c:pt>
                <c:pt idx="37">
                  <c:v>3.3487604000303983E-2</c:v>
                </c:pt>
                <c:pt idx="38">
                  <c:v>3.3490175322122548E-2</c:v>
                </c:pt>
                <c:pt idx="39">
                  <c:v>3.3488166581501271E-2</c:v>
                </c:pt>
                <c:pt idx="40">
                  <c:v>3.358952131655403E-2</c:v>
                </c:pt>
                <c:pt idx="41">
                  <c:v>3.3879992494993356E-2</c:v>
                </c:pt>
                <c:pt idx="42">
                  <c:v>3.4172661096927487E-2</c:v>
                </c:pt>
                <c:pt idx="43">
                  <c:v>3.4454734172495921E-2</c:v>
                </c:pt>
                <c:pt idx="44">
                  <c:v>3.4717964608445867E-2</c:v>
                </c:pt>
                <c:pt idx="45">
                  <c:v>3.4969589919180651E-2</c:v>
                </c:pt>
                <c:pt idx="46">
                  <c:v>3.5213037491340443E-2</c:v>
                </c:pt>
                <c:pt idx="47">
                  <c:v>3.5446091947643303E-2</c:v>
                </c:pt>
                <c:pt idx="48">
                  <c:v>3.5666949652140033E-2</c:v>
                </c:pt>
                <c:pt idx="49">
                  <c:v>3.5878863427612297E-2</c:v>
                </c:pt>
                <c:pt idx="50">
                  <c:v>3.608463231684593E-2</c:v>
                </c:pt>
                <c:pt idx="51">
                  <c:v>3.6284480405407431E-2</c:v>
                </c:pt>
                <c:pt idx="52">
                  <c:v>3.6472348149429783E-2</c:v>
                </c:pt>
                <c:pt idx="53">
                  <c:v>3.665318244365854E-2</c:v>
                </c:pt>
                <c:pt idx="54">
                  <c:v>3.6829314214596662E-2</c:v>
                </c:pt>
                <c:pt idx="55">
                  <c:v>3.7000890214487089E-2</c:v>
                </c:pt>
                <c:pt idx="56">
                  <c:v>3.716264339910768E-2</c:v>
                </c:pt>
                <c:pt idx="57">
                  <c:v>3.7318766002278278E-2</c:v>
                </c:pt>
                <c:pt idx="58">
                  <c:v>3.7471231421257273E-2</c:v>
                </c:pt>
                <c:pt idx="59">
                  <c:v>3.7620136534435487E-2</c:v>
                </c:pt>
                <c:pt idx="60">
                  <c:v>3.776243715401599E-2</c:v>
                </c:pt>
                <c:pt idx="61">
                  <c:v>3.7888021553555196E-2</c:v>
                </c:pt>
                <c:pt idx="62">
                  <c:v>3.796583479156615E-2</c:v>
                </c:pt>
                <c:pt idx="63">
                  <c:v>3.8038623288516454E-2</c:v>
                </c:pt>
                <c:pt idx="64">
                  <c:v>3.8110732952509482E-2</c:v>
                </c:pt>
                <c:pt idx="65">
                  <c:v>3.8179063725024116E-2</c:v>
                </c:pt>
                <c:pt idx="66">
                  <c:v>3.8245340817942994E-2</c:v>
                </c:pt>
                <c:pt idx="67">
                  <c:v>3.8309653444975465E-2</c:v>
                </c:pt>
                <c:pt idx="68">
                  <c:v>3.8374185790273629E-2</c:v>
                </c:pt>
                <c:pt idx="69">
                  <c:v>3.8449793648125979E-2</c:v>
                </c:pt>
                <c:pt idx="70">
                  <c:v>3.8612894241740532E-2</c:v>
                </c:pt>
                <c:pt idx="71">
                  <c:v>3.8798119614744671E-2</c:v>
                </c:pt>
                <c:pt idx="72">
                  <c:v>3.898572938385747E-2</c:v>
                </c:pt>
                <c:pt idx="73">
                  <c:v>3.9162139804996901E-2</c:v>
                </c:pt>
                <c:pt idx="74">
                  <c:v>3.9333820706985149E-2</c:v>
                </c:pt>
                <c:pt idx="75">
                  <c:v>3.950095823908624E-2</c:v>
                </c:pt>
                <c:pt idx="76">
                  <c:v>3.9669205684143852E-2</c:v>
                </c:pt>
                <c:pt idx="77">
                  <c:v>3.9827643387916251E-2</c:v>
                </c:pt>
                <c:pt idx="78">
                  <c:v>3.9982051387846038E-2</c:v>
                </c:pt>
                <c:pt idx="79">
                  <c:v>4.0132580164627146E-2</c:v>
                </c:pt>
                <c:pt idx="80">
                  <c:v>4.0282668820771875E-2</c:v>
                </c:pt>
                <c:pt idx="81">
                  <c:v>4.0425786878014708E-2</c:v>
                </c:pt>
                <c:pt idx="82">
                  <c:v>4.0567009723028048E-2</c:v>
                </c:pt>
                <c:pt idx="83">
                  <c:v>4.0703287827493294E-2</c:v>
                </c:pt>
                <c:pt idx="84">
                  <c:v>4.0839333768824454E-2</c:v>
                </c:pt>
                <c:pt idx="85">
                  <c:v>4.0970675142525864E-2</c:v>
                </c:pt>
                <c:pt idx="86">
                  <c:v>4.1097528255491275E-2</c:v>
                </c:pt>
                <c:pt idx="87">
                  <c:v>4.1221487640047162E-2</c:v>
                </c:pt>
                <c:pt idx="88">
                  <c:v>4.1345373366221384E-2</c:v>
                </c:pt>
                <c:pt idx="89">
                  <c:v>4.146510585659563E-2</c:v>
                </c:pt>
                <c:pt idx="90">
                  <c:v>4.1580868909780369E-2</c:v>
                </c:pt>
                <c:pt idx="91">
                  <c:v>4.1694107441191293E-2</c:v>
                </c:pt>
                <c:pt idx="92">
                  <c:v>4.1807393346544486E-2</c:v>
                </c:pt>
                <c:pt idx="93">
                  <c:v>4.1916990720605576E-2</c:v>
                </c:pt>
                <c:pt idx="94">
                  <c:v>4.2023056921731916E-2</c:v>
                </c:pt>
                <c:pt idx="95">
                  <c:v>4.2126907609728995E-2</c:v>
                </c:pt>
                <c:pt idx="96">
                  <c:v>4.2229754719010824E-2</c:v>
                </c:pt>
                <c:pt idx="97">
                  <c:v>4.2330474977411964E-2</c:v>
                </c:pt>
                <c:pt idx="98">
                  <c:v>4.2428036225267869E-2</c:v>
                </c:pt>
                <c:pt idx="99">
                  <c:v>4.2523641939329074E-2</c:v>
                </c:pt>
                <c:pt idx="100">
                  <c:v>4.2619457311768381E-2</c:v>
                </c:pt>
                <c:pt idx="101">
                  <c:v>4.2712316043777079E-2</c:v>
                </c:pt>
                <c:pt idx="102">
                  <c:v>4.2802335658838897E-2</c:v>
                </c:pt>
                <c:pt idx="103">
                  <c:v>4.2890621196963102E-2</c:v>
                </c:pt>
                <c:pt idx="104">
                  <c:v>4.2979169785167061E-2</c:v>
                </c:pt>
                <c:pt idx="105">
                  <c:v>4.306505274520922E-2</c:v>
                </c:pt>
                <c:pt idx="106">
                  <c:v>4.3148372557118606E-2</c:v>
                </c:pt>
                <c:pt idx="107">
                  <c:v>4.3231068105905705E-2</c:v>
                </c:pt>
                <c:pt idx="108">
                  <c:v>4.3313129095348214E-2</c:v>
                </c:pt>
                <c:pt idx="109">
                  <c:v>4.3391890474596143E-2</c:v>
                </c:pt>
                <c:pt idx="110">
                  <c:v>4.3469231527667414E-2</c:v>
                </c:pt>
                <c:pt idx="111">
                  <c:v>4.3546045890108499E-2</c:v>
                </c:pt>
                <c:pt idx="112">
                  <c:v>4.3621482456390595E-2</c:v>
                </c:pt>
                <c:pt idx="113">
                  <c:v>4.369475533453332E-2</c:v>
                </c:pt>
                <c:pt idx="114">
                  <c:v>4.3766753080105893E-2</c:v>
                </c:pt>
                <c:pt idx="115">
                  <c:v>4.3838306347670525E-2</c:v>
                </c:pt>
                <c:pt idx="116">
                  <c:v>4.3909402809600324E-2</c:v>
                </c:pt>
                <c:pt idx="117">
                  <c:v>4.3977728300842026E-2</c:v>
                </c:pt>
                <c:pt idx="118">
                  <c:v>4.4044905046343417E-2</c:v>
                </c:pt>
                <c:pt idx="119">
                  <c:v>4.4111706954112026E-2</c:v>
                </c:pt>
                <c:pt idx="120">
                  <c:v>4.4178121260571968E-2</c:v>
                </c:pt>
                <c:pt idx="121">
                  <c:v>4.4241984032703609E-2</c:v>
                </c:pt>
                <c:pt idx="122">
                  <c:v>4.4304808302363045E-2</c:v>
                </c:pt>
                <c:pt idx="123">
                  <c:v>4.4367316746570913E-2</c:v>
                </c:pt>
                <c:pt idx="124">
                  <c:v>4.4429496788295428E-2</c:v>
                </c:pt>
                <c:pt idx="125">
                  <c:v>4.4489320158079868E-2</c:v>
                </c:pt>
                <c:pt idx="126">
                  <c:v>4.4548201666083011E-2</c:v>
                </c:pt>
                <c:pt idx="127">
                  <c:v>4.4606817604220465E-2</c:v>
                </c:pt>
                <c:pt idx="128">
                  <c:v>4.4664512707131385E-2</c:v>
                </c:pt>
                <c:pt idx="129">
                  <c:v>4.4721311240599387E-2</c:v>
                </c:pt>
                <c:pt idx="130">
                  <c:v>4.4776609848276069E-2</c:v>
                </c:pt>
                <c:pt idx="131">
                  <c:v>4.4831071905098337E-2</c:v>
                </c:pt>
                <c:pt idx="132">
                  <c:v>4.4884713243886216E-2</c:v>
                </c:pt>
                <c:pt idx="133">
                  <c:v>4.4939342356511168E-2</c:v>
                </c:pt>
                <c:pt idx="134">
                  <c:v>4.4991375395465702E-2</c:v>
                </c:pt>
                <c:pt idx="135">
                  <c:v>4.5042644631472152E-2</c:v>
                </c:pt>
                <c:pt idx="136">
                  <c:v>4.5093164080282293E-2</c:v>
                </c:pt>
                <c:pt idx="137">
                  <c:v>4.5144636752767933E-2</c:v>
                </c:pt>
                <c:pt idx="138">
                  <c:v>4.519368517243446E-2</c:v>
                </c:pt>
                <c:pt idx="139">
                  <c:v>4.5242034335912756E-2</c:v>
                </c:pt>
                <c:pt idx="140">
                  <c:v>4.5289696727835033E-2</c:v>
                </c:pt>
                <c:pt idx="141">
                  <c:v>4.5338278816900057E-2</c:v>
                </c:pt>
                <c:pt idx="142">
                  <c:v>4.5384592238884289E-2</c:v>
                </c:pt>
                <c:pt idx="143">
                  <c:v>4.5430263873522676E-2</c:v>
                </c:pt>
                <c:pt idx="144">
                  <c:v>4.5475304913146115E-2</c:v>
                </c:pt>
                <c:pt idx="145">
                  <c:v>4.5520732052969096E-2</c:v>
                </c:pt>
                <c:pt idx="146">
                  <c:v>4.5564539849715313E-2</c:v>
                </c:pt>
                <c:pt idx="147">
                  <c:v>4.5607757309424457E-2</c:v>
                </c:pt>
                <c:pt idx="148">
                  <c:v>4.5650393982932712E-2</c:v>
                </c:pt>
                <c:pt idx="149">
                  <c:v>4.5693886444917592E-2</c:v>
                </c:pt>
                <c:pt idx="150">
                  <c:v>4.5735380286070569E-2</c:v>
                </c:pt>
                <c:pt idx="151">
                  <c:v>4.5776792029624869E-2</c:v>
                </c:pt>
                <c:pt idx="152">
                  <c:v>4.5817199858410027E-2</c:v>
                </c:pt>
                <c:pt idx="153">
                  <c:v>4.5857983176772185E-2</c:v>
                </c:pt>
                <c:pt idx="154">
                  <c:v>4.5897786014764054E-2</c:v>
                </c:pt>
                <c:pt idx="155">
                  <c:v>4.5936635832047129E-2</c:v>
                </c:pt>
                <c:pt idx="156">
                  <c:v>4.5974990747609509E-2</c:v>
                </c:pt>
                <c:pt idx="157">
                  <c:v>4.6013714839775177E-2</c:v>
                </c:pt>
                <c:pt idx="158">
                  <c:v>4.6051520797491037E-2</c:v>
                </c:pt>
                <c:pt idx="159">
                  <c:v>4.6088433613069663E-2</c:v>
                </c:pt>
                <c:pt idx="160">
                  <c:v>4.6124888203532124E-2</c:v>
                </c:pt>
                <c:pt idx="161">
                  <c:v>4.6161298625619095E-2</c:v>
                </c:pt>
                <c:pt idx="162">
                  <c:v>4.6197259287813285E-2</c:v>
                </c:pt>
                <c:pt idx="163">
                  <c:v>4.6232381252354779E-2</c:v>
                </c:pt>
                <c:pt idx="164">
                  <c:v>4.6267078305450085E-2</c:v>
                </c:pt>
                <c:pt idx="165">
                  <c:v>4.63021303278126E-2</c:v>
                </c:pt>
                <c:pt idx="166">
                  <c:v>4.6336372927542259E-2</c:v>
                </c:pt>
                <c:pt idx="167">
                  <c:v>4.6369826771766022E-2</c:v>
                </c:pt>
                <c:pt idx="168">
                  <c:v>4.6402885823390569E-2</c:v>
                </c:pt>
                <c:pt idx="169">
                  <c:v>4.6436292438838137E-2</c:v>
                </c:pt>
                <c:pt idx="170">
                  <c:v>4.6468937221372686E-2</c:v>
                </c:pt>
                <c:pt idx="171">
                  <c:v>4.6500839016058504E-2</c:v>
                </c:pt>
                <c:pt idx="172">
                  <c:v>4.6532373402582129E-2</c:v>
                </c:pt>
                <c:pt idx="173">
                  <c:v>4.6564247792807614E-2</c:v>
                </c:pt>
                <c:pt idx="174">
                  <c:v>4.6595404038428802E-2</c:v>
                </c:pt>
                <c:pt idx="175">
                  <c:v>4.662585933006913E-2</c:v>
                </c:pt>
                <c:pt idx="176">
                  <c:v>4.6656312374741847E-2</c:v>
                </c:pt>
                <c:pt idx="177">
                  <c:v>4.6686417367349776E-2</c:v>
                </c:pt>
                <c:pt idx="178">
                  <c:v>4.6715852006383472E-2</c:v>
                </c:pt>
                <c:pt idx="179">
                  <c:v>4.6744960657084902E-2</c:v>
                </c:pt>
                <c:pt idx="180">
                  <c:v>4.6774075371171286E-2</c:v>
                </c:pt>
                <c:pt idx="181">
                  <c:v>4.6803184913040814E-2</c:v>
                </c:pt>
                <c:pt idx="182">
                  <c:v>4.6831335871700297E-2</c:v>
                </c:pt>
                <c:pt idx="183">
                  <c:v>4.6859181794828085E-2</c:v>
                </c:pt>
                <c:pt idx="184">
                  <c:v>4.6887040662907171E-2</c:v>
                </c:pt>
                <c:pt idx="185">
                  <c:v>4.691490099905974E-2</c:v>
                </c:pt>
                <c:pt idx="186">
                  <c:v>4.6941850437613925E-2</c:v>
                </c:pt>
                <c:pt idx="187">
                  <c:v>4.6968514140844908E-2</c:v>
                </c:pt>
                <c:pt idx="188">
                  <c:v>4.6995196424795042E-2</c:v>
                </c:pt>
                <c:pt idx="189">
                  <c:v>4.7021886556497763E-2</c:v>
                </c:pt>
                <c:pt idx="190">
                  <c:v>4.7047709691862005E-2</c:v>
                </c:pt>
                <c:pt idx="191">
                  <c:v>4.7073264891743474E-2</c:v>
                </c:pt>
                <c:pt idx="192">
                  <c:v>4.7098843577436877E-2</c:v>
                </c:pt>
                <c:pt idx="193">
                  <c:v>4.7124152860478268E-2</c:v>
                </c:pt>
                <c:pt idx="194">
                  <c:v>4.7148921696901332E-2</c:v>
                </c:pt>
                <c:pt idx="195">
                  <c:v>4.7173438967888275E-2</c:v>
                </c:pt>
                <c:pt idx="196">
                  <c:v>4.7197984295898505E-2</c:v>
                </c:pt>
                <c:pt idx="197">
                  <c:v>4.7222547532829E-2</c:v>
                </c:pt>
                <c:pt idx="198">
                  <c:v>4.7246591292470767E-2</c:v>
                </c:pt>
                <c:pt idx="199">
                  <c:v>4.7270127244828958E-2</c:v>
                </c:pt>
                <c:pt idx="200">
                  <c:v>4.7293431457999302E-2</c:v>
                </c:pt>
                <c:pt idx="201">
                  <c:v>4.7316502510028481E-2</c:v>
                </c:pt>
                <c:pt idx="202">
                  <c:v>4.7340122248659557E-2</c:v>
                </c:pt>
                <c:pt idx="203">
                  <c:v>4.7362737156021378E-2</c:v>
                </c:pt>
                <c:pt idx="204">
                  <c:v>4.7385133729763378E-2</c:v>
                </c:pt>
                <c:pt idx="205">
                  <c:v>4.7407310860328698E-2</c:v>
                </c:pt>
                <c:pt idx="206">
                  <c:v>4.7430019444190397E-2</c:v>
                </c:pt>
                <c:pt idx="207">
                  <c:v>4.7451766332117715E-2</c:v>
                </c:pt>
                <c:pt idx="208">
                  <c:v>4.7473307267963269E-2</c:v>
                </c:pt>
                <c:pt idx="209">
                  <c:v>4.7494641467588986E-2</c:v>
                </c:pt>
                <c:pt idx="210">
                  <c:v>4.7516251649507742E-2</c:v>
                </c:pt>
                <c:pt idx="211">
                  <c:v>4.75371818320975E-2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Sheet3!$F$1</c:f>
              <c:strCache>
                <c:ptCount val="1"/>
                <c:pt idx="0">
                  <c:v>CNY_Treasury_Live_Curve_2012-8-16_Calibrated_Curve_4</c:v>
                </c:pt>
              </c:strCache>
            </c:strRef>
          </c:tx>
          <c:marker>
            <c:symbol val="none"/>
          </c:marker>
          <c:cat>
            <c:numRef>
              <c:f>Sheet3!$A$2:$A$213</c:f>
              <c:numCache>
                <c:formatCode>yyyy-m-d</c:formatCode>
                <c:ptCount val="212"/>
                <c:pt idx="0">
                  <c:v>41137</c:v>
                </c:pt>
                <c:pt idx="1">
                  <c:v>41227</c:v>
                </c:pt>
                <c:pt idx="2">
                  <c:v>41317</c:v>
                </c:pt>
                <c:pt idx="3">
                  <c:v>41407</c:v>
                </c:pt>
                <c:pt idx="4">
                  <c:v>41497</c:v>
                </c:pt>
                <c:pt idx="5">
                  <c:v>41587</c:v>
                </c:pt>
                <c:pt idx="6">
                  <c:v>41677</c:v>
                </c:pt>
                <c:pt idx="7">
                  <c:v>41767</c:v>
                </c:pt>
                <c:pt idx="8">
                  <c:v>41857</c:v>
                </c:pt>
                <c:pt idx="9">
                  <c:v>41947</c:v>
                </c:pt>
                <c:pt idx="10">
                  <c:v>42037</c:v>
                </c:pt>
                <c:pt idx="11">
                  <c:v>42127</c:v>
                </c:pt>
                <c:pt idx="12">
                  <c:v>42217</c:v>
                </c:pt>
                <c:pt idx="13">
                  <c:v>42307</c:v>
                </c:pt>
                <c:pt idx="14">
                  <c:v>42397</c:v>
                </c:pt>
                <c:pt idx="15">
                  <c:v>42487</c:v>
                </c:pt>
                <c:pt idx="16">
                  <c:v>42577</c:v>
                </c:pt>
                <c:pt idx="17">
                  <c:v>42667</c:v>
                </c:pt>
                <c:pt idx="18">
                  <c:v>42757</c:v>
                </c:pt>
                <c:pt idx="19">
                  <c:v>42847</c:v>
                </c:pt>
                <c:pt idx="20">
                  <c:v>42937</c:v>
                </c:pt>
                <c:pt idx="21">
                  <c:v>43027</c:v>
                </c:pt>
                <c:pt idx="22">
                  <c:v>43117</c:v>
                </c:pt>
                <c:pt idx="23">
                  <c:v>43207</c:v>
                </c:pt>
                <c:pt idx="24">
                  <c:v>43297</c:v>
                </c:pt>
                <c:pt idx="25">
                  <c:v>43387</c:v>
                </c:pt>
                <c:pt idx="26">
                  <c:v>43477</c:v>
                </c:pt>
                <c:pt idx="27">
                  <c:v>43567</c:v>
                </c:pt>
                <c:pt idx="28">
                  <c:v>43657</c:v>
                </c:pt>
                <c:pt idx="29">
                  <c:v>43747</c:v>
                </c:pt>
                <c:pt idx="30">
                  <c:v>43837</c:v>
                </c:pt>
                <c:pt idx="31">
                  <c:v>43927</c:v>
                </c:pt>
                <c:pt idx="32">
                  <c:v>44017</c:v>
                </c:pt>
                <c:pt idx="33">
                  <c:v>44107</c:v>
                </c:pt>
                <c:pt idx="34">
                  <c:v>44197</c:v>
                </c:pt>
                <c:pt idx="35">
                  <c:v>44287</c:v>
                </c:pt>
                <c:pt idx="36">
                  <c:v>44377</c:v>
                </c:pt>
                <c:pt idx="37">
                  <c:v>44467</c:v>
                </c:pt>
                <c:pt idx="38">
                  <c:v>44557</c:v>
                </c:pt>
                <c:pt idx="39">
                  <c:v>44647</c:v>
                </c:pt>
                <c:pt idx="40">
                  <c:v>44737</c:v>
                </c:pt>
                <c:pt idx="41">
                  <c:v>44827</c:v>
                </c:pt>
                <c:pt idx="42">
                  <c:v>44917</c:v>
                </c:pt>
                <c:pt idx="43">
                  <c:v>45007</c:v>
                </c:pt>
                <c:pt idx="44">
                  <c:v>45097</c:v>
                </c:pt>
                <c:pt idx="45">
                  <c:v>45187</c:v>
                </c:pt>
                <c:pt idx="46">
                  <c:v>45277</c:v>
                </c:pt>
                <c:pt idx="47">
                  <c:v>45367</c:v>
                </c:pt>
                <c:pt idx="48">
                  <c:v>45457</c:v>
                </c:pt>
                <c:pt idx="49">
                  <c:v>45547</c:v>
                </c:pt>
                <c:pt idx="50">
                  <c:v>45637</c:v>
                </c:pt>
                <c:pt idx="51">
                  <c:v>45727</c:v>
                </c:pt>
                <c:pt idx="52">
                  <c:v>45817</c:v>
                </c:pt>
                <c:pt idx="53">
                  <c:v>45907</c:v>
                </c:pt>
                <c:pt idx="54">
                  <c:v>45997</c:v>
                </c:pt>
                <c:pt idx="55">
                  <c:v>46087</c:v>
                </c:pt>
                <c:pt idx="56">
                  <c:v>46177</c:v>
                </c:pt>
                <c:pt idx="57">
                  <c:v>46267</c:v>
                </c:pt>
                <c:pt idx="58">
                  <c:v>46357</c:v>
                </c:pt>
                <c:pt idx="59">
                  <c:v>46447</c:v>
                </c:pt>
                <c:pt idx="60">
                  <c:v>46537</c:v>
                </c:pt>
                <c:pt idx="61">
                  <c:v>46627</c:v>
                </c:pt>
                <c:pt idx="62">
                  <c:v>46717</c:v>
                </c:pt>
                <c:pt idx="63">
                  <c:v>46807</c:v>
                </c:pt>
                <c:pt idx="64">
                  <c:v>46897</c:v>
                </c:pt>
                <c:pt idx="65">
                  <c:v>46987</c:v>
                </c:pt>
                <c:pt idx="66">
                  <c:v>47077</c:v>
                </c:pt>
                <c:pt idx="67">
                  <c:v>47167</c:v>
                </c:pt>
                <c:pt idx="68">
                  <c:v>47257</c:v>
                </c:pt>
                <c:pt idx="69">
                  <c:v>47347</c:v>
                </c:pt>
                <c:pt idx="70">
                  <c:v>47437</c:v>
                </c:pt>
                <c:pt idx="71">
                  <c:v>47527</c:v>
                </c:pt>
                <c:pt idx="72">
                  <c:v>47617</c:v>
                </c:pt>
                <c:pt idx="73">
                  <c:v>47707</c:v>
                </c:pt>
                <c:pt idx="74">
                  <c:v>47797</c:v>
                </c:pt>
                <c:pt idx="75">
                  <c:v>47887</c:v>
                </c:pt>
                <c:pt idx="76">
                  <c:v>47977</c:v>
                </c:pt>
                <c:pt idx="77">
                  <c:v>48067</c:v>
                </c:pt>
                <c:pt idx="78">
                  <c:v>48157</c:v>
                </c:pt>
                <c:pt idx="79">
                  <c:v>48247</c:v>
                </c:pt>
                <c:pt idx="80">
                  <c:v>48337</c:v>
                </c:pt>
                <c:pt idx="81">
                  <c:v>48427</c:v>
                </c:pt>
                <c:pt idx="82">
                  <c:v>48517</c:v>
                </c:pt>
                <c:pt idx="83">
                  <c:v>48607</c:v>
                </c:pt>
                <c:pt idx="84">
                  <c:v>48697</c:v>
                </c:pt>
                <c:pt idx="85">
                  <c:v>48787</c:v>
                </c:pt>
                <c:pt idx="86">
                  <c:v>48877</c:v>
                </c:pt>
                <c:pt idx="87">
                  <c:v>48967</c:v>
                </c:pt>
                <c:pt idx="88">
                  <c:v>49057</c:v>
                </c:pt>
                <c:pt idx="89">
                  <c:v>49147</c:v>
                </c:pt>
                <c:pt idx="90">
                  <c:v>49237</c:v>
                </c:pt>
                <c:pt idx="91">
                  <c:v>49327</c:v>
                </c:pt>
                <c:pt idx="92">
                  <c:v>49417</c:v>
                </c:pt>
                <c:pt idx="93">
                  <c:v>49507</c:v>
                </c:pt>
                <c:pt idx="94">
                  <c:v>49597</c:v>
                </c:pt>
                <c:pt idx="95">
                  <c:v>49687</c:v>
                </c:pt>
                <c:pt idx="96">
                  <c:v>49777</c:v>
                </c:pt>
                <c:pt idx="97">
                  <c:v>49867</c:v>
                </c:pt>
                <c:pt idx="98">
                  <c:v>49957</c:v>
                </c:pt>
                <c:pt idx="99">
                  <c:v>50047</c:v>
                </c:pt>
                <c:pt idx="100">
                  <c:v>50137</c:v>
                </c:pt>
                <c:pt idx="101">
                  <c:v>50227</c:v>
                </c:pt>
                <c:pt idx="102">
                  <c:v>50317</c:v>
                </c:pt>
                <c:pt idx="103">
                  <c:v>50407</c:v>
                </c:pt>
                <c:pt idx="104">
                  <c:v>50497</c:v>
                </c:pt>
                <c:pt idx="105">
                  <c:v>50587</c:v>
                </c:pt>
                <c:pt idx="106">
                  <c:v>50677</c:v>
                </c:pt>
                <c:pt idx="107">
                  <c:v>50767</c:v>
                </c:pt>
                <c:pt idx="108">
                  <c:v>50857</c:v>
                </c:pt>
                <c:pt idx="109">
                  <c:v>50947</c:v>
                </c:pt>
                <c:pt idx="110">
                  <c:v>51037</c:v>
                </c:pt>
                <c:pt idx="111">
                  <c:v>51127</c:v>
                </c:pt>
                <c:pt idx="112">
                  <c:v>51217</c:v>
                </c:pt>
                <c:pt idx="113">
                  <c:v>51307</c:v>
                </c:pt>
                <c:pt idx="114">
                  <c:v>51397</c:v>
                </c:pt>
                <c:pt idx="115">
                  <c:v>51487</c:v>
                </c:pt>
                <c:pt idx="116">
                  <c:v>51577</c:v>
                </c:pt>
                <c:pt idx="117">
                  <c:v>51667</c:v>
                </c:pt>
                <c:pt idx="118">
                  <c:v>51757</c:v>
                </c:pt>
                <c:pt idx="119">
                  <c:v>51847</c:v>
                </c:pt>
                <c:pt idx="120">
                  <c:v>51937</c:v>
                </c:pt>
                <c:pt idx="121">
                  <c:v>52027</c:v>
                </c:pt>
                <c:pt idx="122">
                  <c:v>52117</c:v>
                </c:pt>
                <c:pt idx="123">
                  <c:v>52207</c:v>
                </c:pt>
                <c:pt idx="124">
                  <c:v>52297</c:v>
                </c:pt>
                <c:pt idx="125">
                  <c:v>52387</c:v>
                </c:pt>
                <c:pt idx="126">
                  <c:v>52477</c:v>
                </c:pt>
                <c:pt idx="127">
                  <c:v>52567</c:v>
                </c:pt>
                <c:pt idx="128">
                  <c:v>52657</c:v>
                </c:pt>
                <c:pt idx="129">
                  <c:v>52747</c:v>
                </c:pt>
                <c:pt idx="130">
                  <c:v>52837</c:v>
                </c:pt>
                <c:pt idx="131">
                  <c:v>52927</c:v>
                </c:pt>
                <c:pt idx="132">
                  <c:v>53017</c:v>
                </c:pt>
                <c:pt idx="133">
                  <c:v>53107</c:v>
                </c:pt>
                <c:pt idx="134">
                  <c:v>53197</c:v>
                </c:pt>
                <c:pt idx="135">
                  <c:v>53287</c:v>
                </c:pt>
                <c:pt idx="136">
                  <c:v>53377</c:v>
                </c:pt>
                <c:pt idx="137">
                  <c:v>53467</c:v>
                </c:pt>
                <c:pt idx="138">
                  <c:v>53557</c:v>
                </c:pt>
                <c:pt idx="139">
                  <c:v>53647</c:v>
                </c:pt>
                <c:pt idx="140">
                  <c:v>53737</c:v>
                </c:pt>
                <c:pt idx="141">
                  <c:v>53827</c:v>
                </c:pt>
                <c:pt idx="142">
                  <c:v>53917</c:v>
                </c:pt>
                <c:pt idx="143">
                  <c:v>54007</c:v>
                </c:pt>
                <c:pt idx="144">
                  <c:v>54097</c:v>
                </c:pt>
                <c:pt idx="145">
                  <c:v>54187</c:v>
                </c:pt>
                <c:pt idx="146">
                  <c:v>54277</c:v>
                </c:pt>
                <c:pt idx="147">
                  <c:v>54367</c:v>
                </c:pt>
                <c:pt idx="148">
                  <c:v>54457</c:v>
                </c:pt>
                <c:pt idx="149">
                  <c:v>54547</c:v>
                </c:pt>
                <c:pt idx="150">
                  <c:v>54637</c:v>
                </c:pt>
                <c:pt idx="151">
                  <c:v>54727</c:v>
                </c:pt>
                <c:pt idx="152">
                  <c:v>54817</c:v>
                </c:pt>
                <c:pt idx="153">
                  <c:v>54907</c:v>
                </c:pt>
                <c:pt idx="154">
                  <c:v>54997</c:v>
                </c:pt>
                <c:pt idx="155">
                  <c:v>55087</c:v>
                </c:pt>
                <c:pt idx="156">
                  <c:v>55177</c:v>
                </c:pt>
                <c:pt idx="157">
                  <c:v>55267</c:v>
                </c:pt>
                <c:pt idx="158">
                  <c:v>55357</c:v>
                </c:pt>
                <c:pt idx="159">
                  <c:v>55447</c:v>
                </c:pt>
                <c:pt idx="160">
                  <c:v>55537</c:v>
                </c:pt>
                <c:pt idx="161">
                  <c:v>55627</c:v>
                </c:pt>
                <c:pt idx="162">
                  <c:v>55717</c:v>
                </c:pt>
                <c:pt idx="163">
                  <c:v>55807</c:v>
                </c:pt>
                <c:pt idx="164">
                  <c:v>55897</c:v>
                </c:pt>
                <c:pt idx="165">
                  <c:v>55987</c:v>
                </c:pt>
                <c:pt idx="166">
                  <c:v>56077</c:v>
                </c:pt>
                <c:pt idx="167">
                  <c:v>56167</c:v>
                </c:pt>
                <c:pt idx="168">
                  <c:v>56257</c:v>
                </c:pt>
                <c:pt idx="169">
                  <c:v>56347</c:v>
                </c:pt>
                <c:pt idx="170">
                  <c:v>56437</c:v>
                </c:pt>
                <c:pt idx="171">
                  <c:v>56527</c:v>
                </c:pt>
                <c:pt idx="172">
                  <c:v>56617</c:v>
                </c:pt>
                <c:pt idx="173">
                  <c:v>56707</c:v>
                </c:pt>
                <c:pt idx="174">
                  <c:v>56797</c:v>
                </c:pt>
                <c:pt idx="175">
                  <c:v>56887</c:v>
                </c:pt>
                <c:pt idx="176">
                  <c:v>56977</c:v>
                </c:pt>
                <c:pt idx="177">
                  <c:v>57067</c:v>
                </c:pt>
                <c:pt idx="178">
                  <c:v>57157</c:v>
                </c:pt>
                <c:pt idx="179">
                  <c:v>57247</c:v>
                </c:pt>
                <c:pt idx="180">
                  <c:v>57337</c:v>
                </c:pt>
                <c:pt idx="181">
                  <c:v>57427</c:v>
                </c:pt>
                <c:pt idx="182">
                  <c:v>57517</c:v>
                </c:pt>
                <c:pt idx="183">
                  <c:v>57607</c:v>
                </c:pt>
                <c:pt idx="184">
                  <c:v>57697</c:v>
                </c:pt>
                <c:pt idx="185">
                  <c:v>57787</c:v>
                </c:pt>
                <c:pt idx="186">
                  <c:v>57877</c:v>
                </c:pt>
                <c:pt idx="187">
                  <c:v>57967</c:v>
                </c:pt>
                <c:pt idx="188">
                  <c:v>58057</c:v>
                </c:pt>
                <c:pt idx="189">
                  <c:v>58147</c:v>
                </c:pt>
                <c:pt idx="190">
                  <c:v>58237</c:v>
                </c:pt>
                <c:pt idx="191">
                  <c:v>58327</c:v>
                </c:pt>
                <c:pt idx="192">
                  <c:v>58417</c:v>
                </c:pt>
                <c:pt idx="193">
                  <c:v>58507</c:v>
                </c:pt>
                <c:pt idx="194">
                  <c:v>58597</c:v>
                </c:pt>
                <c:pt idx="195">
                  <c:v>58687</c:v>
                </c:pt>
                <c:pt idx="196">
                  <c:v>58777</c:v>
                </c:pt>
                <c:pt idx="197">
                  <c:v>58867</c:v>
                </c:pt>
                <c:pt idx="198">
                  <c:v>58957</c:v>
                </c:pt>
                <c:pt idx="199">
                  <c:v>59047</c:v>
                </c:pt>
                <c:pt idx="200">
                  <c:v>59137</c:v>
                </c:pt>
                <c:pt idx="201">
                  <c:v>59227</c:v>
                </c:pt>
                <c:pt idx="202">
                  <c:v>59317</c:v>
                </c:pt>
                <c:pt idx="203">
                  <c:v>59407</c:v>
                </c:pt>
                <c:pt idx="204">
                  <c:v>59497</c:v>
                </c:pt>
                <c:pt idx="205">
                  <c:v>59587</c:v>
                </c:pt>
                <c:pt idx="206">
                  <c:v>59677</c:v>
                </c:pt>
                <c:pt idx="207">
                  <c:v>59767</c:v>
                </c:pt>
                <c:pt idx="208">
                  <c:v>59857</c:v>
                </c:pt>
                <c:pt idx="209">
                  <c:v>59947</c:v>
                </c:pt>
                <c:pt idx="210">
                  <c:v>60037</c:v>
                </c:pt>
                <c:pt idx="211">
                  <c:v>60127</c:v>
                </c:pt>
              </c:numCache>
            </c:numRef>
          </c:cat>
          <c:val>
            <c:numRef>
              <c:f>Sheet3!$F$2:$F$213</c:f>
              <c:numCache>
                <c:formatCode>G/通用格式</c:formatCode>
                <c:ptCount val="212"/>
                <c:pt idx="0">
                  <c:v>2.394583671150274E-2</c:v>
                </c:pt>
                <c:pt idx="1">
                  <c:v>2.394583671093254E-2</c:v>
                </c:pt>
                <c:pt idx="2">
                  <c:v>2.3779705330843132E-2</c:v>
                </c:pt>
                <c:pt idx="3">
                  <c:v>2.3095670925126089E-2</c:v>
                </c:pt>
                <c:pt idx="4">
                  <c:v>2.7092194469756629E-2</c:v>
                </c:pt>
                <c:pt idx="5">
                  <c:v>2.700177059588164E-2</c:v>
                </c:pt>
                <c:pt idx="6">
                  <c:v>2.6537663851604148E-2</c:v>
                </c:pt>
                <c:pt idx="7">
                  <c:v>2.6178520374316148E-2</c:v>
                </c:pt>
                <c:pt idx="8">
                  <c:v>2.4912240831925576E-2</c:v>
                </c:pt>
                <c:pt idx="9">
                  <c:v>2.3649690583706234E-2</c:v>
                </c:pt>
                <c:pt idx="10">
                  <c:v>2.5108855197278249E-2</c:v>
                </c:pt>
                <c:pt idx="11">
                  <c:v>2.6868108172488865E-2</c:v>
                </c:pt>
                <c:pt idx="12">
                  <c:v>2.7310104901104942E-2</c:v>
                </c:pt>
                <c:pt idx="13">
                  <c:v>2.7657114943608681E-2</c:v>
                </c:pt>
                <c:pt idx="14">
                  <c:v>2.8021852486448905E-2</c:v>
                </c:pt>
                <c:pt idx="15">
                  <c:v>2.8348351950901872E-2</c:v>
                </c:pt>
                <c:pt idx="16">
                  <c:v>2.8633924063975334E-2</c:v>
                </c:pt>
                <c:pt idx="17">
                  <c:v>2.8883145683363795E-2</c:v>
                </c:pt>
                <c:pt idx="18">
                  <c:v>2.9112868828377953E-2</c:v>
                </c:pt>
                <c:pt idx="19">
                  <c:v>2.9416434585489055E-2</c:v>
                </c:pt>
                <c:pt idx="20">
                  <c:v>2.9730588054137402E-2</c:v>
                </c:pt>
                <c:pt idx="21">
                  <c:v>3.0095605570770227E-2</c:v>
                </c:pt>
                <c:pt idx="22">
                  <c:v>3.0584146585967208E-2</c:v>
                </c:pt>
                <c:pt idx="23">
                  <c:v>3.1016783927013757E-2</c:v>
                </c:pt>
                <c:pt idx="24">
                  <c:v>3.142893187799517E-2</c:v>
                </c:pt>
                <c:pt idx="25">
                  <c:v>3.1736200370558312E-2</c:v>
                </c:pt>
                <c:pt idx="26">
                  <c:v>3.1647744352723273E-2</c:v>
                </c:pt>
                <c:pt idx="27">
                  <c:v>3.1350524124852015E-2</c:v>
                </c:pt>
                <c:pt idx="28">
                  <c:v>3.1423604829676807E-2</c:v>
                </c:pt>
                <c:pt idx="29">
                  <c:v>3.18699745909529E-2</c:v>
                </c:pt>
                <c:pt idx="30">
                  <c:v>3.2342868366556518E-2</c:v>
                </c:pt>
                <c:pt idx="31">
                  <c:v>3.2729956205064012E-2</c:v>
                </c:pt>
                <c:pt idx="32">
                  <c:v>3.29920277879093E-2</c:v>
                </c:pt>
                <c:pt idx="33">
                  <c:v>3.3202350382978571E-2</c:v>
                </c:pt>
                <c:pt idx="34">
                  <c:v>3.3371302699422296E-2</c:v>
                </c:pt>
                <c:pt idx="35">
                  <c:v>3.3456081105940616E-2</c:v>
                </c:pt>
                <c:pt idx="36">
                  <c:v>3.3473268736811446E-2</c:v>
                </c:pt>
                <c:pt idx="37">
                  <c:v>3.3487604000303983E-2</c:v>
                </c:pt>
                <c:pt idx="38">
                  <c:v>3.3490175322122548E-2</c:v>
                </c:pt>
                <c:pt idx="39">
                  <c:v>3.3488166581501271E-2</c:v>
                </c:pt>
                <c:pt idx="40">
                  <c:v>3.358952131655403E-2</c:v>
                </c:pt>
                <c:pt idx="41">
                  <c:v>3.3879992494993356E-2</c:v>
                </c:pt>
                <c:pt idx="42">
                  <c:v>3.4172661096927487E-2</c:v>
                </c:pt>
                <c:pt idx="43">
                  <c:v>3.4454734172495921E-2</c:v>
                </c:pt>
                <c:pt idx="44">
                  <c:v>3.4717964608445867E-2</c:v>
                </c:pt>
                <c:pt idx="45">
                  <c:v>3.4969589919180651E-2</c:v>
                </c:pt>
                <c:pt idx="46">
                  <c:v>3.5213037491340443E-2</c:v>
                </c:pt>
                <c:pt idx="47">
                  <c:v>3.5446091947643303E-2</c:v>
                </c:pt>
                <c:pt idx="48">
                  <c:v>3.5666949652140033E-2</c:v>
                </c:pt>
                <c:pt idx="49">
                  <c:v>3.5878863427612297E-2</c:v>
                </c:pt>
                <c:pt idx="50">
                  <c:v>3.608463231684593E-2</c:v>
                </c:pt>
                <c:pt idx="51">
                  <c:v>3.6284480405407431E-2</c:v>
                </c:pt>
                <c:pt idx="52">
                  <c:v>3.6472348149429783E-2</c:v>
                </c:pt>
                <c:pt idx="53">
                  <c:v>3.665318244365854E-2</c:v>
                </c:pt>
                <c:pt idx="54">
                  <c:v>3.6829314214596662E-2</c:v>
                </c:pt>
                <c:pt idx="55">
                  <c:v>3.7000890214487089E-2</c:v>
                </c:pt>
                <c:pt idx="56">
                  <c:v>3.716264339910768E-2</c:v>
                </c:pt>
                <c:pt idx="57">
                  <c:v>3.7318766002278278E-2</c:v>
                </c:pt>
                <c:pt idx="58">
                  <c:v>3.7471231421257273E-2</c:v>
                </c:pt>
                <c:pt idx="59">
                  <c:v>3.7620136534435487E-2</c:v>
                </c:pt>
                <c:pt idx="60">
                  <c:v>3.776243715401599E-2</c:v>
                </c:pt>
                <c:pt idx="61">
                  <c:v>3.7888021553555196E-2</c:v>
                </c:pt>
                <c:pt idx="62">
                  <c:v>3.796583479156615E-2</c:v>
                </c:pt>
                <c:pt idx="63">
                  <c:v>3.8038623288516454E-2</c:v>
                </c:pt>
                <c:pt idx="64">
                  <c:v>3.8110732952509482E-2</c:v>
                </c:pt>
                <c:pt idx="65">
                  <c:v>3.8179063725024116E-2</c:v>
                </c:pt>
                <c:pt idx="66">
                  <c:v>3.8245340817942994E-2</c:v>
                </c:pt>
                <c:pt idx="67">
                  <c:v>3.8309653444975465E-2</c:v>
                </c:pt>
                <c:pt idx="68">
                  <c:v>3.8374185790273629E-2</c:v>
                </c:pt>
                <c:pt idx="69">
                  <c:v>3.8449793648125979E-2</c:v>
                </c:pt>
                <c:pt idx="70">
                  <c:v>3.8612894241740532E-2</c:v>
                </c:pt>
                <c:pt idx="71">
                  <c:v>3.8798119614744671E-2</c:v>
                </c:pt>
                <c:pt idx="72">
                  <c:v>3.898572938385747E-2</c:v>
                </c:pt>
                <c:pt idx="73">
                  <c:v>3.9162139804996901E-2</c:v>
                </c:pt>
                <c:pt idx="74">
                  <c:v>3.9333820706985149E-2</c:v>
                </c:pt>
                <c:pt idx="75">
                  <c:v>3.950095823908624E-2</c:v>
                </c:pt>
                <c:pt idx="76">
                  <c:v>3.9669205684143852E-2</c:v>
                </c:pt>
                <c:pt idx="77">
                  <c:v>3.9827643387916251E-2</c:v>
                </c:pt>
                <c:pt idx="78">
                  <c:v>3.9982051387846038E-2</c:v>
                </c:pt>
                <c:pt idx="79">
                  <c:v>4.0132580164627146E-2</c:v>
                </c:pt>
                <c:pt idx="80">
                  <c:v>4.0282668820771875E-2</c:v>
                </c:pt>
                <c:pt idx="81">
                  <c:v>4.0425786878014708E-2</c:v>
                </c:pt>
                <c:pt idx="82">
                  <c:v>4.0567009723028048E-2</c:v>
                </c:pt>
                <c:pt idx="83">
                  <c:v>4.0703287827493294E-2</c:v>
                </c:pt>
                <c:pt idx="84">
                  <c:v>4.0839333768824454E-2</c:v>
                </c:pt>
                <c:pt idx="85">
                  <c:v>4.0970675142525864E-2</c:v>
                </c:pt>
                <c:pt idx="86">
                  <c:v>4.1097528255491275E-2</c:v>
                </c:pt>
                <c:pt idx="87">
                  <c:v>4.1221487640047162E-2</c:v>
                </c:pt>
                <c:pt idx="88">
                  <c:v>4.1345373366221384E-2</c:v>
                </c:pt>
                <c:pt idx="89">
                  <c:v>4.146510585659563E-2</c:v>
                </c:pt>
                <c:pt idx="90">
                  <c:v>4.1580868909780369E-2</c:v>
                </c:pt>
                <c:pt idx="91">
                  <c:v>4.1694107441191293E-2</c:v>
                </c:pt>
                <c:pt idx="92">
                  <c:v>4.1807393346544486E-2</c:v>
                </c:pt>
                <c:pt idx="93">
                  <c:v>4.1916990720605576E-2</c:v>
                </c:pt>
                <c:pt idx="94">
                  <c:v>4.2023056921731916E-2</c:v>
                </c:pt>
                <c:pt idx="95">
                  <c:v>4.2126907609728995E-2</c:v>
                </c:pt>
                <c:pt idx="96">
                  <c:v>4.2229754719010824E-2</c:v>
                </c:pt>
                <c:pt idx="97">
                  <c:v>4.2330474977411964E-2</c:v>
                </c:pt>
                <c:pt idx="98">
                  <c:v>4.2428036225267869E-2</c:v>
                </c:pt>
                <c:pt idx="99">
                  <c:v>4.2523641939329074E-2</c:v>
                </c:pt>
                <c:pt idx="100">
                  <c:v>4.2619457311768381E-2</c:v>
                </c:pt>
                <c:pt idx="101">
                  <c:v>4.2712316043777079E-2</c:v>
                </c:pt>
                <c:pt idx="102">
                  <c:v>4.2802335658838897E-2</c:v>
                </c:pt>
                <c:pt idx="103">
                  <c:v>4.2890621196963102E-2</c:v>
                </c:pt>
                <c:pt idx="104">
                  <c:v>4.2979169785167061E-2</c:v>
                </c:pt>
                <c:pt idx="105">
                  <c:v>4.306505274520922E-2</c:v>
                </c:pt>
                <c:pt idx="106">
                  <c:v>4.3148372557118606E-2</c:v>
                </c:pt>
                <c:pt idx="107">
                  <c:v>4.3231068105905705E-2</c:v>
                </c:pt>
                <c:pt idx="108">
                  <c:v>4.3313129095348214E-2</c:v>
                </c:pt>
                <c:pt idx="109">
                  <c:v>4.3391890474596143E-2</c:v>
                </c:pt>
                <c:pt idx="110">
                  <c:v>4.3469231527667414E-2</c:v>
                </c:pt>
                <c:pt idx="111">
                  <c:v>4.3546045890108499E-2</c:v>
                </c:pt>
                <c:pt idx="112">
                  <c:v>4.3621482456390595E-2</c:v>
                </c:pt>
                <c:pt idx="113">
                  <c:v>4.369475533453332E-2</c:v>
                </c:pt>
                <c:pt idx="114">
                  <c:v>4.3766753080105893E-2</c:v>
                </c:pt>
                <c:pt idx="115">
                  <c:v>4.3838306347670525E-2</c:v>
                </c:pt>
                <c:pt idx="116">
                  <c:v>4.3909402809600324E-2</c:v>
                </c:pt>
                <c:pt idx="117">
                  <c:v>4.3977728300842026E-2</c:v>
                </c:pt>
                <c:pt idx="118">
                  <c:v>4.4044905046343417E-2</c:v>
                </c:pt>
                <c:pt idx="119">
                  <c:v>4.4111706954112026E-2</c:v>
                </c:pt>
                <c:pt idx="120">
                  <c:v>4.4178121260571968E-2</c:v>
                </c:pt>
                <c:pt idx="121">
                  <c:v>4.4241984032703609E-2</c:v>
                </c:pt>
                <c:pt idx="122">
                  <c:v>4.4304808302363045E-2</c:v>
                </c:pt>
                <c:pt idx="123">
                  <c:v>4.4367316746570913E-2</c:v>
                </c:pt>
                <c:pt idx="124">
                  <c:v>4.4429496788295428E-2</c:v>
                </c:pt>
                <c:pt idx="125">
                  <c:v>4.4489320158079868E-2</c:v>
                </c:pt>
                <c:pt idx="126">
                  <c:v>4.4548201666083011E-2</c:v>
                </c:pt>
                <c:pt idx="127">
                  <c:v>4.4606817604220465E-2</c:v>
                </c:pt>
                <c:pt idx="128">
                  <c:v>4.4664512707131385E-2</c:v>
                </c:pt>
                <c:pt idx="129">
                  <c:v>4.4721311240599387E-2</c:v>
                </c:pt>
                <c:pt idx="130">
                  <c:v>4.4776609848276069E-2</c:v>
                </c:pt>
                <c:pt idx="131">
                  <c:v>4.4831071905098337E-2</c:v>
                </c:pt>
                <c:pt idx="132">
                  <c:v>4.4884713243886216E-2</c:v>
                </c:pt>
                <c:pt idx="133">
                  <c:v>4.4939342356511168E-2</c:v>
                </c:pt>
                <c:pt idx="134">
                  <c:v>4.4991375395465702E-2</c:v>
                </c:pt>
                <c:pt idx="135">
                  <c:v>4.5042644631472152E-2</c:v>
                </c:pt>
                <c:pt idx="136">
                  <c:v>4.5093164080282293E-2</c:v>
                </c:pt>
                <c:pt idx="137">
                  <c:v>4.5144636752767933E-2</c:v>
                </c:pt>
                <c:pt idx="138">
                  <c:v>4.519368517243446E-2</c:v>
                </c:pt>
                <c:pt idx="139">
                  <c:v>4.5242034335912756E-2</c:v>
                </c:pt>
                <c:pt idx="140">
                  <c:v>4.5289696727835033E-2</c:v>
                </c:pt>
                <c:pt idx="141">
                  <c:v>4.5338278816900057E-2</c:v>
                </c:pt>
                <c:pt idx="142">
                  <c:v>4.5384592238884289E-2</c:v>
                </c:pt>
                <c:pt idx="143">
                  <c:v>4.5430263873522676E-2</c:v>
                </c:pt>
                <c:pt idx="144">
                  <c:v>4.5475304913146115E-2</c:v>
                </c:pt>
                <c:pt idx="145">
                  <c:v>4.5520732052969096E-2</c:v>
                </c:pt>
                <c:pt idx="146">
                  <c:v>4.5564539849715313E-2</c:v>
                </c:pt>
                <c:pt idx="147">
                  <c:v>4.5607757309424457E-2</c:v>
                </c:pt>
                <c:pt idx="148">
                  <c:v>4.5650393982932712E-2</c:v>
                </c:pt>
                <c:pt idx="149">
                  <c:v>4.5693886444917592E-2</c:v>
                </c:pt>
                <c:pt idx="150">
                  <c:v>4.5735380286070569E-2</c:v>
                </c:pt>
                <c:pt idx="151">
                  <c:v>4.5776792029624869E-2</c:v>
                </c:pt>
                <c:pt idx="152">
                  <c:v>4.5817199858410027E-2</c:v>
                </c:pt>
                <c:pt idx="153">
                  <c:v>4.5857983176772185E-2</c:v>
                </c:pt>
                <c:pt idx="154">
                  <c:v>4.5897786014764054E-2</c:v>
                </c:pt>
                <c:pt idx="155">
                  <c:v>4.5936635832047129E-2</c:v>
                </c:pt>
                <c:pt idx="156">
                  <c:v>4.5974990747609509E-2</c:v>
                </c:pt>
                <c:pt idx="157">
                  <c:v>4.6013714839775177E-2</c:v>
                </c:pt>
                <c:pt idx="158">
                  <c:v>4.6051520797491037E-2</c:v>
                </c:pt>
                <c:pt idx="159">
                  <c:v>4.6088433613069663E-2</c:v>
                </c:pt>
                <c:pt idx="160">
                  <c:v>4.6124888203532124E-2</c:v>
                </c:pt>
                <c:pt idx="161">
                  <c:v>4.6161298625619095E-2</c:v>
                </c:pt>
                <c:pt idx="162">
                  <c:v>4.6197259287813285E-2</c:v>
                </c:pt>
                <c:pt idx="163">
                  <c:v>4.6232381252354779E-2</c:v>
                </c:pt>
                <c:pt idx="164">
                  <c:v>4.6267078305450085E-2</c:v>
                </c:pt>
                <c:pt idx="165">
                  <c:v>4.63021303278126E-2</c:v>
                </c:pt>
                <c:pt idx="166">
                  <c:v>4.6336372927542259E-2</c:v>
                </c:pt>
                <c:pt idx="167">
                  <c:v>4.6369826771766022E-2</c:v>
                </c:pt>
                <c:pt idx="168">
                  <c:v>4.6402885823390569E-2</c:v>
                </c:pt>
                <c:pt idx="169">
                  <c:v>4.6436292438838137E-2</c:v>
                </c:pt>
                <c:pt idx="170">
                  <c:v>4.6468937221372686E-2</c:v>
                </c:pt>
                <c:pt idx="171">
                  <c:v>4.6500839016058504E-2</c:v>
                </c:pt>
                <c:pt idx="172">
                  <c:v>4.6532373402582129E-2</c:v>
                </c:pt>
                <c:pt idx="173">
                  <c:v>4.6564247792807614E-2</c:v>
                </c:pt>
                <c:pt idx="174">
                  <c:v>4.6595404038428802E-2</c:v>
                </c:pt>
                <c:pt idx="175">
                  <c:v>4.662585933006913E-2</c:v>
                </c:pt>
                <c:pt idx="176">
                  <c:v>4.6656312374741847E-2</c:v>
                </c:pt>
                <c:pt idx="177">
                  <c:v>4.6686417367349776E-2</c:v>
                </c:pt>
                <c:pt idx="178">
                  <c:v>4.6715852006383472E-2</c:v>
                </c:pt>
                <c:pt idx="179">
                  <c:v>4.6744960657084902E-2</c:v>
                </c:pt>
                <c:pt idx="180">
                  <c:v>4.6774075371171286E-2</c:v>
                </c:pt>
                <c:pt idx="181">
                  <c:v>4.6803184913040814E-2</c:v>
                </c:pt>
                <c:pt idx="182">
                  <c:v>4.6831335871700297E-2</c:v>
                </c:pt>
                <c:pt idx="183">
                  <c:v>4.6859181794828085E-2</c:v>
                </c:pt>
                <c:pt idx="184">
                  <c:v>4.6887040662907171E-2</c:v>
                </c:pt>
                <c:pt idx="185">
                  <c:v>4.691490099905974E-2</c:v>
                </c:pt>
                <c:pt idx="186">
                  <c:v>4.6941850437613925E-2</c:v>
                </c:pt>
                <c:pt idx="187">
                  <c:v>4.6968514140844908E-2</c:v>
                </c:pt>
                <c:pt idx="188">
                  <c:v>4.6995196424795042E-2</c:v>
                </c:pt>
                <c:pt idx="189">
                  <c:v>4.7021886556497763E-2</c:v>
                </c:pt>
                <c:pt idx="190">
                  <c:v>4.7047709691862005E-2</c:v>
                </c:pt>
                <c:pt idx="191">
                  <c:v>4.7073264891743474E-2</c:v>
                </c:pt>
                <c:pt idx="192">
                  <c:v>4.7098843577436877E-2</c:v>
                </c:pt>
                <c:pt idx="193">
                  <c:v>4.7124152860478268E-2</c:v>
                </c:pt>
                <c:pt idx="194">
                  <c:v>4.7148921696901332E-2</c:v>
                </c:pt>
                <c:pt idx="195">
                  <c:v>4.7173438967888275E-2</c:v>
                </c:pt>
                <c:pt idx="196">
                  <c:v>4.7197984295898505E-2</c:v>
                </c:pt>
                <c:pt idx="197">
                  <c:v>4.7222547532829E-2</c:v>
                </c:pt>
                <c:pt idx="198">
                  <c:v>4.7246591292470767E-2</c:v>
                </c:pt>
                <c:pt idx="199">
                  <c:v>4.7270127244828958E-2</c:v>
                </c:pt>
                <c:pt idx="200">
                  <c:v>4.7293431457999302E-2</c:v>
                </c:pt>
                <c:pt idx="201">
                  <c:v>4.7316502510028481E-2</c:v>
                </c:pt>
                <c:pt idx="202">
                  <c:v>4.7340122248659557E-2</c:v>
                </c:pt>
                <c:pt idx="203">
                  <c:v>4.7362737156021378E-2</c:v>
                </c:pt>
                <c:pt idx="204">
                  <c:v>4.7385133729763378E-2</c:v>
                </c:pt>
                <c:pt idx="205">
                  <c:v>4.7407310860328698E-2</c:v>
                </c:pt>
                <c:pt idx="206">
                  <c:v>4.7430019444190397E-2</c:v>
                </c:pt>
                <c:pt idx="207">
                  <c:v>4.7451766332117715E-2</c:v>
                </c:pt>
                <c:pt idx="208">
                  <c:v>4.7473307267963269E-2</c:v>
                </c:pt>
                <c:pt idx="209">
                  <c:v>4.7494641467588986E-2</c:v>
                </c:pt>
                <c:pt idx="210">
                  <c:v>4.7516251649507742E-2</c:v>
                </c:pt>
                <c:pt idx="211">
                  <c:v>4.75371818320975E-2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Sheet3!$G$1</c:f>
              <c:strCache>
                <c:ptCount val="1"/>
                <c:pt idx="0">
                  <c:v>CNY_Treasury_Live_Curve_2012-8-16_Calibrated_Curve_5</c:v>
                </c:pt>
              </c:strCache>
            </c:strRef>
          </c:tx>
          <c:marker>
            <c:symbol val="none"/>
          </c:marker>
          <c:cat>
            <c:numRef>
              <c:f>Sheet3!$A$2:$A$213</c:f>
              <c:numCache>
                <c:formatCode>yyyy-m-d</c:formatCode>
                <c:ptCount val="212"/>
                <c:pt idx="0">
                  <c:v>41137</c:v>
                </c:pt>
                <c:pt idx="1">
                  <c:v>41227</c:v>
                </c:pt>
                <c:pt idx="2">
                  <c:v>41317</c:v>
                </c:pt>
                <c:pt idx="3">
                  <c:v>41407</c:v>
                </c:pt>
                <c:pt idx="4">
                  <c:v>41497</c:v>
                </c:pt>
                <c:pt idx="5">
                  <c:v>41587</c:v>
                </c:pt>
                <c:pt idx="6">
                  <c:v>41677</c:v>
                </c:pt>
                <c:pt idx="7">
                  <c:v>41767</c:v>
                </c:pt>
                <c:pt idx="8">
                  <c:v>41857</c:v>
                </c:pt>
                <c:pt idx="9">
                  <c:v>41947</c:v>
                </c:pt>
                <c:pt idx="10">
                  <c:v>42037</c:v>
                </c:pt>
                <c:pt idx="11">
                  <c:v>42127</c:v>
                </c:pt>
                <c:pt idx="12">
                  <c:v>42217</c:v>
                </c:pt>
                <c:pt idx="13">
                  <c:v>42307</c:v>
                </c:pt>
                <c:pt idx="14">
                  <c:v>42397</c:v>
                </c:pt>
                <c:pt idx="15">
                  <c:v>42487</c:v>
                </c:pt>
                <c:pt idx="16">
                  <c:v>42577</c:v>
                </c:pt>
                <c:pt idx="17">
                  <c:v>42667</c:v>
                </c:pt>
                <c:pt idx="18">
                  <c:v>42757</c:v>
                </c:pt>
                <c:pt idx="19">
                  <c:v>42847</c:v>
                </c:pt>
                <c:pt idx="20">
                  <c:v>42937</c:v>
                </c:pt>
                <c:pt idx="21">
                  <c:v>43027</c:v>
                </c:pt>
                <c:pt idx="22">
                  <c:v>43117</c:v>
                </c:pt>
                <c:pt idx="23">
                  <c:v>43207</c:v>
                </c:pt>
                <c:pt idx="24">
                  <c:v>43297</c:v>
                </c:pt>
                <c:pt idx="25">
                  <c:v>43387</c:v>
                </c:pt>
                <c:pt idx="26">
                  <c:v>43477</c:v>
                </c:pt>
                <c:pt idx="27">
                  <c:v>43567</c:v>
                </c:pt>
                <c:pt idx="28">
                  <c:v>43657</c:v>
                </c:pt>
                <c:pt idx="29">
                  <c:v>43747</c:v>
                </c:pt>
                <c:pt idx="30">
                  <c:v>43837</c:v>
                </c:pt>
                <c:pt idx="31">
                  <c:v>43927</c:v>
                </c:pt>
                <c:pt idx="32">
                  <c:v>44017</c:v>
                </c:pt>
                <c:pt idx="33">
                  <c:v>44107</c:v>
                </c:pt>
                <c:pt idx="34">
                  <c:v>44197</c:v>
                </c:pt>
                <c:pt idx="35">
                  <c:v>44287</c:v>
                </c:pt>
                <c:pt idx="36">
                  <c:v>44377</c:v>
                </c:pt>
                <c:pt idx="37">
                  <c:v>44467</c:v>
                </c:pt>
                <c:pt idx="38">
                  <c:v>44557</c:v>
                </c:pt>
                <c:pt idx="39">
                  <c:v>44647</c:v>
                </c:pt>
                <c:pt idx="40">
                  <c:v>44737</c:v>
                </c:pt>
                <c:pt idx="41">
                  <c:v>44827</c:v>
                </c:pt>
                <c:pt idx="42">
                  <c:v>44917</c:v>
                </c:pt>
                <c:pt idx="43">
                  <c:v>45007</c:v>
                </c:pt>
                <c:pt idx="44">
                  <c:v>45097</c:v>
                </c:pt>
                <c:pt idx="45">
                  <c:v>45187</c:v>
                </c:pt>
                <c:pt idx="46">
                  <c:v>45277</c:v>
                </c:pt>
                <c:pt idx="47">
                  <c:v>45367</c:v>
                </c:pt>
                <c:pt idx="48">
                  <c:v>45457</c:v>
                </c:pt>
                <c:pt idx="49">
                  <c:v>45547</c:v>
                </c:pt>
                <c:pt idx="50">
                  <c:v>45637</c:v>
                </c:pt>
                <c:pt idx="51">
                  <c:v>45727</c:v>
                </c:pt>
                <c:pt idx="52">
                  <c:v>45817</c:v>
                </c:pt>
                <c:pt idx="53">
                  <c:v>45907</c:v>
                </c:pt>
                <c:pt idx="54">
                  <c:v>45997</c:v>
                </c:pt>
                <c:pt idx="55">
                  <c:v>46087</c:v>
                </c:pt>
                <c:pt idx="56">
                  <c:v>46177</c:v>
                </c:pt>
                <c:pt idx="57">
                  <c:v>46267</c:v>
                </c:pt>
                <c:pt idx="58">
                  <c:v>46357</c:v>
                </c:pt>
                <c:pt idx="59">
                  <c:v>46447</c:v>
                </c:pt>
                <c:pt idx="60">
                  <c:v>46537</c:v>
                </c:pt>
                <c:pt idx="61">
                  <c:v>46627</c:v>
                </c:pt>
                <c:pt idx="62">
                  <c:v>46717</c:v>
                </c:pt>
                <c:pt idx="63">
                  <c:v>46807</c:v>
                </c:pt>
                <c:pt idx="64">
                  <c:v>46897</c:v>
                </c:pt>
                <c:pt idx="65">
                  <c:v>46987</c:v>
                </c:pt>
                <c:pt idx="66">
                  <c:v>47077</c:v>
                </c:pt>
                <c:pt idx="67">
                  <c:v>47167</c:v>
                </c:pt>
                <c:pt idx="68">
                  <c:v>47257</c:v>
                </c:pt>
                <c:pt idx="69">
                  <c:v>47347</c:v>
                </c:pt>
                <c:pt idx="70">
                  <c:v>47437</c:v>
                </c:pt>
                <c:pt idx="71">
                  <c:v>47527</c:v>
                </c:pt>
                <c:pt idx="72">
                  <c:v>47617</c:v>
                </c:pt>
                <c:pt idx="73">
                  <c:v>47707</c:v>
                </c:pt>
                <c:pt idx="74">
                  <c:v>47797</c:v>
                </c:pt>
                <c:pt idx="75">
                  <c:v>47887</c:v>
                </c:pt>
                <c:pt idx="76">
                  <c:v>47977</c:v>
                </c:pt>
                <c:pt idx="77">
                  <c:v>48067</c:v>
                </c:pt>
                <c:pt idx="78">
                  <c:v>48157</c:v>
                </c:pt>
                <c:pt idx="79">
                  <c:v>48247</c:v>
                </c:pt>
                <c:pt idx="80">
                  <c:v>48337</c:v>
                </c:pt>
                <c:pt idx="81">
                  <c:v>48427</c:v>
                </c:pt>
                <c:pt idx="82">
                  <c:v>48517</c:v>
                </c:pt>
                <c:pt idx="83">
                  <c:v>48607</c:v>
                </c:pt>
                <c:pt idx="84">
                  <c:v>48697</c:v>
                </c:pt>
                <c:pt idx="85">
                  <c:v>48787</c:v>
                </c:pt>
                <c:pt idx="86">
                  <c:v>48877</c:v>
                </c:pt>
                <c:pt idx="87">
                  <c:v>48967</c:v>
                </c:pt>
                <c:pt idx="88">
                  <c:v>49057</c:v>
                </c:pt>
                <c:pt idx="89">
                  <c:v>49147</c:v>
                </c:pt>
                <c:pt idx="90">
                  <c:v>49237</c:v>
                </c:pt>
                <c:pt idx="91">
                  <c:v>49327</c:v>
                </c:pt>
                <c:pt idx="92">
                  <c:v>49417</c:v>
                </c:pt>
                <c:pt idx="93">
                  <c:v>49507</c:v>
                </c:pt>
                <c:pt idx="94">
                  <c:v>49597</c:v>
                </c:pt>
                <c:pt idx="95">
                  <c:v>49687</c:v>
                </c:pt>
                <c:pt idx="96">
                  <c:v>49777</c:v>
                </c:pt>
                <c:pt idx="97">
                  <c:v>49867</c:v>
                </c:pt>
                <c:pt idx="98">
                  <c:v>49957</c:v>
                </c:pt>
                <c:pt idx="99">
                  <c:v>50047</c:v>
                </c:pt>
                <c:pt idx="100">
                  <c:v>50137</c:v>
                </c:pt>
                <c:pt idx="101">
                  <c:v>50227</c:v>
                </c:pt>
                <c:pt idx="102">
                  <c:v>50317</c:v>
                </c:pt>
                <c:pt idx="103">
                  <c:v>50407</c:v>
                </c:pt>
                <c:pt idx="104">
                  <c:v>50497</c:v>
                </c:pt>
                <c:pt idx="105">
                  <c:v>50587</c:v>
                </c:pt>
                <c:pt idx="106">
                  <c:v>50677</c:v>
                </c:pt>
                <c:pt idx="107">
                  <c:v>50767</c:v>
                </c:pt>
                <c:pt idx="108">
                  <c:v>50857</c:v>
                </c:pt>
                <c:pt idx="109">
                  <c:v>50947</c:v>
                </c:pt>
                <c:pt idx="110">
                  <c:v>51037</c:v>
                </c:pt>
                <c:pt idx="111">
                  <c:v>51127</c:v>
                </c:pt>
                <c:pt idx="112">
                  <c:v>51217</c:v>
                </c:pt>
                <c:pt idx="113">
                  <c:v>51307</c:v>
                </c:pt>
                <c:pt idx="114">
                  <c:v>51397</c:v>
                </c:pt>
                <c:pt idx="115">
                  <c:v>51487</c:v>
                </c:pt>
                <c:pt idx="116">
                  <c:v>51577</c:v>
                </c:pt>
                <c:pt idx="117">
                  <c:v>51667</c:v>
                </c:pt>
                <c:pt idx="118">
                  <c:v>51757</c:v>
                </c:pt>
                <c:pt idx="119">
                  <c:v>51847</c:v>
                </c:pt>
                <c:pt idx="120">
                  <c:v>51937</c:v>
                </c:pt>
                <c:pt idx="121">
                  <c:v>52027</c:v>
                </c:pt>
                <c:pt idx="122">
                  <c:v>52117</c:v>
                </c:pt>
                <c:pt idx="123">
                  <c:v>52207</c:v>
                </c:pt>
                <c:pt idx="124">
                  <c:v>52297</c:v>
                </c:pt>
                <c:pt idx="125">
                  <c:v>52387</c:v>
                </c:pt>
                <c:pt idx="126">
                  <c:v>52477</c:v>
                </c:pt>
                <c:pt idx="127">
                  <c:v>52567</c:v>
                </c:pt>
                <c:pt idx="128">
                  <c:v>52657</c:v>
                </c:pt>
                <c:pt idx="129">
                  <c:v>52747</c:v>
                </c:pt>
                <c:pt idx="130">
                  <c:v>52837</c:v>
                </c:pt>
                <c:pt idx="131">
                  <c:v>52927</c:v>
                </c:pt>
                <c:pt idx="132">
                  <c:v>53017</c:v>
                </c:pt>
                <c:pt idx="133">
                  <c:v>53107</c:v>
                </c:pt>
                <c:pt idx="134">
                  <c:v>53197</c:v>
                </c:pt>
                <c:pt idx="135">
                  <c:v>53287</c:v>
                </c:pt>
                <c:pt idx="136">
                  <c:v>53377</c:v>
                </c:pt>
                <c:pt idx="137">
                  <c:v>53467</c:v>
                </c:pt>
                <c:pt idx="138">
                  <c:v>53557</c:v>
                </c:pt>
                <c:pt idx="139">
                  <c:v>53647</c:v>
                </c:pt>
                <c:pt idx="140">
                  <c:v>53737</c:v>
                </c:pt>
                <c:pt idx="141">
                  <c:v>53827</c:v>
                </c:pt>
                <c:pt idx="142">
                  <c:v>53917</c:v>
                </c:pt>
                <c:pt idx="143">
                  <c:v>54007</c:v>
                </c:pt>
                <c:pt idx="144">
                  <c:v>54097</c:v>
                </c:pt>
                <c:pt idx="145">
                  <c:v>54187</c:v>
                </c:pt>
                <c:pt idx="146">
                  <c:v>54277</c:v>
                </c:pt>
                <c:pt idx="147">
                  <c:v>54367</c:v>
                </c:pt>
                <c:pt idx="148">
                  <c:v>54457</c:v>
                </c:pt>
                <c:pt idx="149">
                  <c:v>54547</c:v>
                </c:pt>
                <c:pt idx="150">
                  <c:v>54637</c:v>
                </c:pt>
                <c:pt idx="151">
                  <c:v>54727</c:v>
                </c:pt>
                <c:pt idx="152">
                  <c:v>54817</c:v>
                </c:pt>
                <c:pt idx="153">
                  <c:v>54907</c:v>
                </c:pt>
                <c:pt idx="154">
                  <c:v>54997</c:v>
                </c:pt>
                <c:pt idx="155">
                  <c:v>55087</c:v>
                </c:pt>
                <c:pt idx="156">
                  <c:v>55177</c:v>
                </c:pt>
                <c:pt idx="157">
                  <c:v>55267</c:v>
                </c:pt>
                <c:pt idx="158">
                  <c:v>55357</c:v>
                </c:pt>
                <c:pt idx="159">
                  <c:v>55447</c:v>
                </c:pt>
                <c:pt idx="160">
                  <c:v>55537</c:v>
                </c:pt>
                <c:pt idx="161">
                  <c:v>55627</c:v>
                </c:pt>
                <c:pt idx="162">
                  <c:v>55717</c:v>
                </c:pt>
                <c:pt idx="163">
                  <c:v>55807</c:v>
                </c:pt>
                <c:pt idx="164">
                  <c:v>55897</c:v>
                </c:pt>
                <c:pt idx="165">
                  <c:v>55987</c:v>
                </c:pt>
                <c:pt idx="166">
                  <c:v>56077</c:v>
                </c:pt>
                <c:pt idx="167">
                  <c:v>56167</c:v>
                </c:pt>
                <c:pt idx="168">
                  <c:v>56257</c:v>
                </c:pt>
                <c:pt idx="169">
                  <c:v>56347</c:v>
                </c:pt>
                <c:pt idx="170">
                  <c:v>56437</c:v>
                </c:pt>
                <c:pt idx="171">
                  <c:v>56527</c:v>
                </c:pt>
                <c:pt idx="172">
                  <c:v>56617</c:v>
                </c:pt>
                <c:pt idx="173">
                  <c:v>56707</c:v>
                </c:pt>
                <c:pt idx="174">
                  <c:v>56797</c:v>
                </c:pt>
                <c:pt idx="175">
                  <c:v>56887</c:v>
                </c:pt>
                <c:pt idx="176">
                  <c:v>56977</c:v>
                </c:pt>
                <c:pt idx="177">
                  <c:v>57067</c:v>
                </c:pt>
                <c:pt idx="178">
                  <c:v>57157</c:v>
                </c:pt>
                <c:pt idx="179">
                  <c:v>57247</c:v>
                </c:pt>
                <c:pt idx="180">
                  <c:v>57337</c:v>
                </c:pt>
                <c:pt idx="181">
                  <c:v>57427</c:v>
                </c:pt>
                <c:pt idx="182">
                  <c:v>57517</c:v>
                </c:pt>
                <c:pt idx="183">
                  <c:v>57607</c:v>
                </c:pt>
                <c:pt idx="184">
                  <c:v>57697</c:v>
                </c:pt>
                <c:pt idx="185">
                  <c:v>57787</c:v>
                </c:pt>
                <c:pt idx="186">
                  <c:v>57877</c:v>
                </c:pt>
                <c:pt idx="187">
                  <c:v>57967</c:v>
                </c:pt>
                <c:pt idx="188">
                  <c:v>58057</c:v>
                </c:pt>
                <c:pt idx="189">
                  <c:v>58147</c:v>
                </c:pt>
                <c:pt idx="190">
                  <c:v>58237</c:v>
                </c:pt>
                <c:pt idx="191">
                  <c:v>58327</c:v>
                </c:pt>
                <c:pt idx="192">
                  <c:v>58417</c:v>
                </c:pt>
                <c:pt idx="193">
                  <c:v>58507</c:v>
                </c:pt>
                <c:pt idx="194">
                  <c:v>58597</c:v>
                </c:pt>
                <c:pt idx="195">
                  <c:v>58687</c:v>
                </c:pt>
                <c:pt idx="196">
                  <c:v>58777</c:v>
                </c:pt>
                <c:pt idx="197">
                  <c:v>58867</c:v>
                </c:pt>
                <c:pt idx="198">
                  <c:v>58957</c:v>
                </c:pt>
                <c:pt idx="199">
                  <c:v>59047</c:v>
                </c:pt>
                <c:pt idx="200">
                  <c:v>59137</c:v>
                </c:pt>
                <c:pt idx="201">
                  <c:v>59227</c:v>
                </c:pt>
                <c:pt idx="202">
                  <c:v>59317</c:v>
                </c:pt>
                <c:pt idx="203">
                  <c:v>59407</c:v>
                </c:pt>
                <c:pt idx="204">
                  <c:v>59497</c:v>
                </c:pt>
                <c:pt idx="205">
                  <c:v>59587</c:v>
                </c:pt>
                <c:pt idx="206">
                  <c:v>59677</c:v>
                </c:pt>
                <c:pt idx="207">
                  <c:v>59767</c:v>
                </c:pt>
                <c:pt idx="208">
                  <c:v>59857</c:v>
                </c:pt>
                <c:pt idx="209">
                  <c:v>59947</c:v>
                </c:pt>
                <c:pt idx="210">
                  <c:v>60037</c:v>
                </c:pt>
                <c:pt idx="211">
                  <c:v>60127</c:v>
                </c:pt>
              </c:numCache>
            </c:numRef>
          </c:cat>
          <c:val>
            <c:numRef>
              <c:f>Sheet3!$G$2:$G$213</c:f>
              <c:numCache>
                <c:formatCode>G/通用格式</c:formatCode>
                <c:ptCount val="212"/>
                <c:pt idx="0">
                  <c:v>2.394583671150274E-2</c:v>
                </c:pt>
                <c:pt idx="1">
                  <c:v>2.394583671093254E-2</c:v>
                </c:pt>
                <c:pt idx="2">
                  <c:v>2.3779705330843132E-2</c:v>
                </c:pt>
                <c:pt idx="3">
                  <c:v>2.3095670925126089E-2</c:v>
                </c:pt>
                <c:pt idx="4">
                  <c:v>2.7092194469756629E-2</c:v>
                </c:pt>
                <c:pt idx="5">
                  <c:v>2.700177059588164E-2</c:v>
                </c:pt>
                <c:pt idx="6">
                  <c:v>2.6537663851604148E-2</c:v>
                </c:pt>
                <c:pt idx="7">
                  <c:v>2.6178520374316148E-2</c:v>
                </c:pt>
                <c:pt idx="8">
                  <c:v>2.4912240831925576E-2</c:v>
                </c:pt>
                <c:pt idx="9">
                  <c:v>2.3649690583706234E-2</c:v>
                </c:pt>
                <c:pt idx="10">
                  <c:v>2.5108855197278249E-2</c:v>
                </c:pt>
                <c:pt idx="11">
                  <c:v>2.6868108172488865E-2</c:v>
                </c:pt>
                <c:pt idx="12">
                  <c:v>2.7310104901104942E-2</c:v>
                </c:pt>
                <c:pt idx="13">
                  <c:v>2.7657114943608681E-2</c:v>
                </c:pt>
                <c:pt idx="14">
                  <c:v>2.8021852486448905E-2</c:v>
                </c:pt>
                <c:pt idx="15">
                  <c:v>2.8348351950901872E-2</c:v>
                </c:pt>
                <c:pt idx="16">
                  <c:v>2.8633924063975334E-2</c:v>
                </c:pt>
                <c:pt idx="17">
                  <c:v>2.8883145683363795E-2</c:v>
                </c:pt>
                <c:pt idx="18">
                  <c:v>2.9112868828377953E-2</c:v>
                </c:pt>
                <c:pt idx="19">
                  <c:v>2.9416434585489055E-2</c:v>
                </c:pt>
                <c:pt idx="20">
                  <c:v>2.9730588054137402E-2</c:v>
                </c:pt>
                <c:pt idx="21">
                  <c:v>3.0095605570770227E-2</c:v>
                </c:pt>
                <c:pt idx="22">
                  <c:v>3.0584146585967208E-2</c:v>
                </c:pt>
                <c:pt idx="23">
                  <c:v>3.1016783927013757E-2</c:v>
                </c:pt>
                <c:pt idx="24">
                  <c:v>3.142893187799517E-2</c:v>
                </c:pt>
                <c:pt idx="25">
                  <c:v>3.1736200370558312E-2</c:v>
                </c:pt>
                <c:pt idx="26">
                  <c:v>3.1647744352723273E-2</c:v>
                </c:pt>
                <c:pt idx="27">
                  <c:v>3.1350524124852015E-2</c:v>
                </c:pt>
                <c:pt idx="28">
                  <c:v>3.1423604829676807E-2</c:v>
                </c:pt>
                <c:pt idx="29">
                  <c:v>3.18699745909529E-2</c:v>
                </c:pt>
                <c:pt idx="30">
                  <c:v>3.2342868366556518E-2</c:v>
                </c:pt>
                <c:pt idx="31">
                  <c:v>3.2729956205064012E-2</c:v>
                </c:pt>
                <c:pt idx="32">
                  <c:v>3.29920277879093E-2</c:v>
                </c:pt>
                <c:pt idx="33">
                  <c:v>3.3202350382978571E-2</c:v>
                </c:pt>
                <c:pt idx="34">
                  <c:v>3.3371302699422296E-2</c:v>
                </c:pt>
                <c:pt idx="35">
                  <c:v>3.3456081105940616E-2</c:v>
                </c:pt>
                <c:pt idx="36">
                  <c:v>3.3473268736811446E-2</c:v>
                </c:pt>
                <c:pt idx="37">
                  <c:v>3.3487604000303983E-2</c:v>
                </c:pt>
                <c:pt idx="38">
                  <c:v>3.3490175322122548E-2</c:v>
                </c:pt>
                <c:pt idx="39">
                  <c:v>3.3488166581501271E-2</c:v>
                </c:pt>
                <c:pt idx="40">
                  <c:v>3.358952131655403E-2</c:v>
                </c:pt>
                <c:pt idx="41">
                  <c:v>3.3879992494993356E-2</c:v>
                </c:pt>
                <c:pt idx="42">
                  <c:v>3.4172661096927487E-2</c:v>
                </c:pt>
                <c:pt idx="43">
                  <c:v>3.4454734172495921E-2</c:v>
                </c:pt>
                <c:pt idx="44">
                  <c:v>3.4717964608445867E-2</c:v>
                </c:pt>
                <c:pt idx="45">
                  <c:v>3.4969589919180651E-2</c:v>
                </c:pt>
                <c:pt idx="46">
                  <c:v>3.5213037491340443E-2</c:v>
                </c:pt>
                <c:pt idx="47">
                  <c:v>3.5446091947643303E-2</c:v>
                </c:pt>
                <c:pt idx="48">
                  <c:v>3.5666949652140033E-2</c:v>
                </c:pt>
                <c:pt idx="49">
                  <c:v>3.5878863427612297E-2</c:v>
                </c:pt>
                <c:pt idx="50">
                  <c:v>3.608463231684593E-2</c:v>
                </c:pt>
                <c:pt idx="51">
                  <c:v>3.6284480405407431E-2</c:v>
                </c:pt>
                <c:pt idx="52">
                  <c:v>3.6472348149429783E-2</c:v>
                </c:pt>
                <c:pt idx="53">
                  <c:v>3.665318244365854E-2</c:v>
                </c:pt>
                <c:pt idx="54">
                  <c:v>3.6829314214596662E-2</c:v>
                </c:pt>
                <c:pt idx="55">
                  <c:v>3.7000890214487089E-2</c:v>
                </c:pt>
                <c:pt idx="56">
                  <c:v>3.716264339910768E-2</c:v>
                </c:pt>
                <c:pt idx="57">
                  <c:v>3.7318766002278278E-2</c:v>
                </c:pt>
                <c:pt idx="58">
                  <c:v>3.7471231421257273E-2</c:v>
                </c:pt>
                <c:pt idx="59">
                  <c:v>3.7620136534435487E-2</c:v>
                </c:pt>
                <c:pt idx="60">
                  <c:v>3.776243715401599E-2</c:v>
                </c:pt>
                <c:pt idx="61">
                  <c:v>3.7888021553555196E-2</c:v>
                </c:pt>
                <c:pt idx="62">
                  <c:v>3.796583479156615E-2</c:v>
                </c:pt>
                <c:pt idx="63">
                  <c:v>3.8038623288516454E-2</c:v>
                </c:pt>
                <c:pt idx="64">
                  <c:v>3.8110732952509482E-2</c:v>
                </c:pt>
                <c:pt idx="65">
                  <c:v>3.8179063725024116E-2</c:v>
                </c:pt>
                <c:pt idx="66">
                  <c:v>3.8245340817942994E-2</c:v>
                </c:pt>
                <c:pt idx="67">
                  <c:v>3.8309653444975465E-2</c:v>
                </c:pt>
                <c:pt idx="68">
                  <c:v>3.8374185790273629E-2</c:v>
                </c:pt>
                <c:pt idx="69">
                  <c:v>3.8449793648125979E-2</c:v>
                </c:pt>
                <c:pt idx="70">
                  <c:v>3.8612894241740532E-2</c:v>
                </c:pt>
                <c:pt idx="71">
                  <c:v>3.8798119614744671E-2</c:v>
                </c:pt>
                <c:pt idx="72">
                  <c:v>3.898572938385747E-2</c:v>
                </c:pt>
                <c:pt idx="73">
                  <c:v>3.9162139804996901E-2</c:v>
                </c:pt>
                <c:pt idx="74">
                  <c:v>3.9333820706985149E-2</c:v>
                </c:pt>
                <c:pt idx="75">
                  <c:v>3.950095823908624E-2</c:v>
                </c:pt>
                <c:pt idx="76">
                  <c:v>3.9669205684143852E-2</c:v>
                </c:pt>
                <c:pt idx="77">
                  <c:v>3.9827643387916251E-2</c:v>
                </c:pt>
                <c:pt idx="78">
                  <c:v>3.9982051387846038E-2</c:v>
                </c:pt>
                <c:pt idx="79">
                  <c:v>4.0132580164627146E-2</c:v>
                </c:pt>
                <c:pt idx="80">
                  <c:v>4.0282668820771875E-2</c:v>
                </c:pt>
                <c:pt idx="81">
                  <c:v>4.0425786878014708E-2</c:v>
                </c:pt>
                <c:pt idx="82">
                  <c:v>4.0567009723028048E-2</c:v>
                </c:pt>
                <c:pt idx="83">
                  <c:v>4.0703287827493294E-2</c:v>
                </c:pt>
                <c:pt idx="84">
                  <c:v>4.0839333768824454E-2</c:v>
                </c:pt>
                <c:pt idx="85">
                  <c:v>4.0970675142525864E-2</c:v>
                </c:pt>
                <c:pt idx="86">
                  <c:v>4.1097528255491275E-2</c:v>
                </c:pt>
                <c:pt idx="87">
                  <c:v>4.1221487640047162E-2</c:v>
                </c:pt>
                <c:pt idx="88">
                  <c:v>4.1345373366221384E-2</c:v>
                </c:pt>
                <c:pt idx="89">
                  <c:v>4.146510585659563E-2</c:v>
                </c:pt>
                <c:pt idx="90">
                  <c:v>4.1580868909780369E-2</c:v>
                </c:pt>
                <c:pt idx="91">
                  <c:v>4.1694107441191293E-2</c:v>
                </c:pt>
                <c:pt idx="92">
                  <c:v>4.1807393346544486E-2</c:v>
                </c:pt>
                <c:pt idx="93">
                  <c:v>4.1916990720605576E-2</c:v>
                </c:pt>
                <c:pt idx="94">
                  <c:v>4.2023056921731916E-2</c:v>
                </c:pt>
                <c:pt idx="95">
                  <c:v>4.2126907609728995E-2</c:v>
                </c:pt>
                <c:pt idx="96">
                  <c:v>4.2229754719010824E-2</c:v>
                </c:pt>
                <c:pt idx="97">
                  <c:v>4.2330474977411964E-2</c:v>
                </c:pt>
                <c:pt idx="98">
                  <c:v>4.2428036225267869E-2</c:v>
                </c:pt>
                <c:pt idx="99">
                  <c:v>4.2523641939329074E-2</c:v>
                </c:pt>
                <c:pt idx="100">
                  <c:v>4.2619457311768381E-2</c:v>
                </c:pt>
                <c:pt idx="101">
                  <c:v>4.2712316043777079E-2</c:v>
                </c:pt>
                <c:pt idx="102">
                  <c:v>4.2802335658838897E-2</c:v>
                </c:pt>
                <c:pt idx="103">
                  <c:v>4.2890621196963102E-2</c:v>
                </c:pt>
                <c:pt idx="104">
                  <c:v>4.2979169785167061E-2</c:v>
                </c:pt>
                <c:pt idx="105">
                  <c:v>4.306505274520922E-2</c:v>
                </c:pt>
                <c:pt idx="106">
                  <c:v>4.3148372557118606E-2</c:v>
                </c:pt>
                <c:pt idx="107">
                  <c:v>4.3231068105905705E-2</c:v>
                </c:pt>
                <c:pt idx="108">
                  <c:v>4.3313129095348214E-2</c:v>
                </c:pt>
                <c:pt idx="109">
                  <c:v>4.3391890474596143E-2</c:v>
                </c:pt>
                <c:pt idx="110">
                  <c:v>4.3469231527667414E-2</c:v>
                </c:pt>
                <c:pt idx="111">
                  <c:v>4.3546045890108499E-2</c:v>
                </c:pt>
                <c:pt idx="112">
                  <c:v>4.3621482456390595E-2</c:v>
                </c:pt>
                <c:pt idx="113">
                  <c:v>4.369475533453332E-2</c:v>
                </c:pt>
                <c:pt idx="114">
                  <c:v>4.3766753080105893E-2</c:v>
                </c:pt>
                <c:pt idx="115">
                  <c:v>4.3838306347670525E-2</c:v>
                </c:pt>
                <c:pt idx="116">
                  <c:v>4.3909402809600324E-2</c:v>
                </c:pt>
                <c:pt idx="117">
                  <c:v>4.3977728300842026E-2</c:v>
                </c:pt>
                <c:pt idx="118">
                  <c:v>4.4044905046343417E-2</c:v>
                </c:pt>
                <c:pt idx="119">
                  <c:v>4.4111706954112026E-2</c:v>
                </c:pt>
                <c:pt idx="120">
                  <c:v>4.4178121260571968E-2</c:v>
                </c:pt>
                <c:pt idx="121">
                  <c:v>4.4241984032703609E-2</c:v>
                </c:pt>
                <c:pt idx="122">
                  <c:v>4.4304808302363045E-2</c:v>
                </c:pt>
                <c:pt idx="123">
                  <c:v>4.4367316746570913E-2</c:v>
                </c:pt>
                <c:pt idx="124">
                  <c:v>4.4429496788295428E-2</c:v>
                </c:pt>
                <c:pt idx="125">
                  <c:v>4.4489320158079868E-2</c:v>
                </c:pt>
                <c:pt idx="126">
                  <c:v>4.4548201666083011E-2</c:v>
                </c:pt>
                <c:pt idx="127">
                  <c:v>4.4606817604220465E-2</c:v>
                </c:pt>
                <c:pt idx="128">
                  <c:v>4.4664512707131385E-2</c:v>
                </c:pt>
                <c:pt idx="129">
                  <c:v>4.4721311240599387E-2</c:v>
                </c:pt>
                <c:pt idx="130">
                  <c:v>4.4776609848276069E-2</c:v>
                </c:pt>
                <c:pt idx="131">
                  <c:v>4.4831071905098337E-2</c:v>
                </c:pt>
                <c:pt idx="132">
                  <c:v>4.4884713243886216E-2</c:v>
                </c:pt>
                <c:pt idx="133">
                  <c:v>4.4939342356511168E-2</c:v>
                </c:pt>
                <c:pt idx="134">
                  <c:v>4.4991375395465702E-2</c:v>
                </c:pt>
                <c:pt idx="135">
                  <c:v>4.5042644631472152E-2</c:v>
                </c:pt>
                <c:pt idx="136">
                  <c:v>4.5093164080282293E-2</c:v>
                </c:pt>
                <c:pt idx="137">
                  <c:v>4.5144636752767933E-2</c:v>
                </c:pt>
                <c:pt idx="138">
                  <c:v>4.519368517243446E-2</c:v>
                </c:pt>
                <c:pt idx="139">
                  <c:v>4.5242034335912756E-2</c:v>
                </c:pt>
                <c:pt idx="140">
                  <c:v>4.5289696727835033E-2</c:v>
                </c:pt>
                <c:pt idx="141">
                  <c:v>4.5338278816900057E-2</c:v>
                </c:pt>
                <c:pt idx="142">
                  <c:v>4.5384592238884289E-2</c:v>
                </c:pt>
                <c:pt idx="143">
                  <c:v>4.5430263873522676E-2</c:v>
                </c:pt>
                <c:pt idx="144">
                  <c:v>4.5475304913146115E-2</c:v>
                </c:pt>
                <c:pt idx="145">
                  <c:v>4.5520732052969096E-2</c:v>
                </c:pt>
                <c:pt idx="146">
                  <c:v>4.5564539849715313E-2</c:v>
                </c:pt>
                <c:pt idx="147">
                  <c:v>4.5607757309424457E-2</c:v>
                </c:pt>
                <c:pt idx="148">
                  <c:v>4.5650393982932712E-2</c:v>
                </c:pt>
                <c:pt idx="149">
                  <c:v>4.5693886444917592E-2</c:v>
                </c:pt>
                <c:pt idx="150">
                  <c:v>4.5735380286070569E-2</c:v>
                </c:pt>
                <c:pt idx="151">
                  <c:v>4.5776792029624869E-2</c:v>
                </c:pt>
                <c:pt idx="152">
                  <c:v>4.5817199858410027E-2</c:v>
                </c:pt>
                <c:pt idx="153">
                  <c:v>4.5857983176772185E-2</c:v>
                </c:pt>
                <c:pt idx="154">
                  <c:v>4.5897786014764054E-2</c:v>
                </c:pt>
                <c:pt idx="155">
                  <c:v>4.5936635832047129E-2</c:v>
                </c:pt>
                <c:pt idx="156">
                  <c:v>4.5974990747609509E-2</c:v>
                </c:pt>
                <c:pt idx="157">
                  <c:v>4.6013714839775177E-2</c:v>
                </c:pt>
                <c:pt idx="158">
                  <c:v>4.6051520797491037E-2</c:v>
                </c:pt>
                <c:pt idx="159">
                  <c:v>4.6088433613069663E-2</c:v>
                </c:pt>
                <c:pt idx="160">
                  <c:v>4.6124888203532124E-2</c:v>
                </c:pt>
                <c:pt idx="161">
                  <c:v>4.6161298625619095E-2</c:v>
                </c:pt>
                <c:pt idx="162">
                  <c:v>4.6197259287813285E-2</c:v>
                </c:pt>
                <c:pt idx="163">
                  <c:v>4.6232381252354779E-2</c:v>
                </c:pt>
                <c:pt idx="164">
                  <c:v>4.6267078305450085E-2</c:v>
                </c:pt>
                <c:pt idx="165">
                  <c:v>4.63021303278126E-2</c:v>
                </c:pt>
                <c:pt idx="166">
                  <c:v>4.6336372927542259E-2</c:v>
                </c:pt>
                <c:pt idx="167">
                  <c:v>4.6369826771766022E-2</c:v>
                </c:pt>
                <c:pt idx="168">
                  <c:v>4.6402885823390569E-2</c:v>
                </c:pt>
                <c:pt idx="169">
                  <c:v>4.6436292438838137E-2</c:v>
                </c:pt>
                <c:pt idx="170">
                  <c:v>4.6468937221372686E-2</c:v>
                </c:pt>
                <c:pt idx="171">
                  <c:v>4.6500839016058504E-2</c:v>
                </c:pt>
                <c:pt idx="172">
                  <c:v>4.6532373402582129E-2</c:v>
                </c:pt>
                <c:pt idx="173">
                  <c:v>4.6564247792807614E-2</c:v>
                </c:pt>
                <c:pt idx="174">
                  <c:v>4.6595404038428802E-2</c:v>
                </c:pt>
                <c:pt idx="175">
                  <c:v>4.662585933006913E-2</c:v>
                </c:pt>
                <c:pt idx="176">
                  <c:v>4.6656312374741847E-2</c:v>
                </c:pt>
                <c:pt idx="177">
                  <c:v>4.6686417367349776E-2</c:v>
                </c:pt>
                <c:pt idx="178">
                  <c:v>4.6715852006383472E-2</c:v>
                </c:pt>
                <c:pt idx="179">
                  <c:v>4.6744960657084902E-2</c:v>
                </c:pt>
                <c:pt idx="180">
                  <c:v>4.6774075371171286E-2</c:v>
                </c:pt>
                <c:pt idx="181">
                  <c:v>4.6803184913040814E-2</c:v>
                </c:pt>
                <c:pt idx="182">
                  <c:v>4.6831335871700297E-2</c:v>
                </c:pt>
                <c:pt idx="183">
                  <c:v>4.6859181794828085E-2</c:v>
                </c:pt>
                <c:pt idx="184">
                  <c:v>4.6887040662907171E-2</c:v>
                </c:pt>
                <c:pt idx="185">
                  <c:v>4.691490099905974E-2</c:v>
                </c:pt>
                <c:pt idx="186">
                  <c:v>4.6941850437613925E-2</c:v>
                </c:pt>
                <c:pt idx="187">
                  <c:v>4.6968514140844908E-2</c:v>
                </c:pt>
                <c:pt idx="188">
                  <c:v>4.6995196424795042E-2</c:v>
                </c:pt>
                <c:pt idx="189">
                  <c:v>4.7021886556497763E-2</c:v>
                </c:pt>
                <c:pt idx="190">
                  <c:v>4.7047709691862005E-2</c:v>
                </c:pt>
                <c:pt idx="191">
                  <c:v>4.7073264891743474E-2</c:v>
                </c:pt>
                <c:pt idx="192">
                  <c:v>4.7098843577436877E-2</c:v>
                </c:pt>
                <c:pt idx="193">
                  <c:v>4.7124152860478268E-2</c:v>
                </c:pt>
                <c:pt idx="194">
                  <c:v>4.7148921696901332E-2</c:v>
                </c:pt>
                <c:pt idx="195">
                  <c:v>4.7173438967888275E-2</c:v>
                </c:pt>
                <c:pt idx="196">
                  <c:v>4.7197984295898505E-2</c:v>
                </c:pt>
                <c:pt idx="197">
                  <c:v>4.7222547532829E-2</c:v>
                </c:pt>
                <c:pt idx="198">
                  <c:v>4.7246591292470767E-2</c:v>
                </c:pt>
                <c:pt idx="199">
                  <c:v>4.7270127244828958E-2</c:v>
                </c:pt>
                <c:pt idx="200">
                  <c:v>4.7293431457999302E-2</c:v>
                </c:pt>
                <c:pt idx="201">
                  <c:v>4.7316502510028481E-2</c:v>
                </c:pt>
                <c:pt idx="202">
                  <c:v>4.7340122248659557E-2</c:v>
                </c:pt>
                <c:pt idx="203">
                  <c:v>4.7362737156021378E-2</c:v>
                </c:pt>
                <c:pt idx="204">
                  <c:v>4.7385133729763378E-2</c:v>
                </c:pt>
                <c:pt idx="205">
                  <c:v>4.7407310860328698E-2</c:v>
                </c:pt>
                <c:pt idx="206">
                  <c:v>4.7430019444190397E-2</c:v>
                </c:pt>
                <c:pt idx="207">
                  <c:v>4.7451766332117715E-2</c:v>
                </c:pt>
                <c:pt idx="208">
                  <c:v>4.7473307267963269E-2</c:v>
                </c:pt>
                <c:pt idx="209">
                  <c:v>4.7494641467588986E-2</c:v>
                </c:pt>
                <c:pt idx="210">
                  <c:v>4.7516251649507742E-2</c:v>
                </c:pt>
                <c:pt idx="211">
                  <c:v>4.75371818320975E-2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Sheet3!$H$1</c:f>
              <c:strCache>
                <c:ptCount val="1"/>
                <c:pt idx="0">
                  <c:v>CNY_Treasury_Live_Curve_2012-8-16_Calibrated_Curve_6</c:v>
                </c:pt>
              </c:strCache>
            </c:strRef>
          </c:tx>
          <c:marker>
            <c:symbol val="none"/>
          </c:marker>
          <c:cat>
            <c:numRef>
              <c:f>Sheet3!$A$2:$A$213</c:f>
              <c:numCache>
                <c:formatCode>yyyy-m-d</c:formatCode>
                <c:ptCount val="212"/>
                <c:pt idx="0">
                  <c:v>41137</c:v>
                </c:pt>
                <c:pt idx="1">
                  <c:v>41227</c:v>
                </c:pt>
                <c:pt idx="2">
                  <c:v>41317</c:v>
                </c:pt>
                <c:pt idx="3">
                  <c:v>41407</c:v>
                </c:pt>
                <c:pt idx="4">
                  <c:v>41497</c:v>
                </c:pt>
                <c:pt idx="5">
                  <c:v>41587</c:v>
                </c:pt>
                <c:pt idx="6">
                  <c:v>41677</c:v>
                </c:pt>
                <c:pt idx="7">
                  <c:v>41767</c:v>
                </c:pt>
                <c:pt idx="8">
                  <c:v>41857</c:v>
                </c:pt>
                <c:pt idx="9">
                  <c:v>41947</c:v>
                </c:pt>
                <c:pt idx="10">
                  <c:v>42037</c:v>
                </c:pt>
                <c:pt idx="11">
                  <c:v>42127</c:v>
                </c:pt>
                <c:pt idx="12">
                  <c:v>42217</c:v>
                </c:pt>
                <c:pt idx="13">
                  <c:v>42307</c:v>
                </c:pt>
                <c:pt idx="14">
                  <c:v>42397</c:v>
                </c:pt>
                <c:pt idx="15">
                  <c:v>42487</c:v>
                </c:pt>
                <c:pt idx="16">
                  <c:v>42577</c:v>
                </c:pt>
                <c:pt idx="17">
                  <c:v>42667</c:v>
                </c:pt>
                <c:pt idx="18">
                  <c:v>42757</c:v>
                </c:pt>
                <c:pt idx="19">
                  <c:v>42847</c:v>
                </c:pt>
                <c:pt idx="20">
                  <c:v>42937</c:v>
                </c:pt>
                <c:pt idx="21">
                  <c:v>43027</c:v>
                </c:pt>
                <c:pt idx="22">
                  <c:v>43117</c:v>
                </c:pt>
                <c:pt idx="23">
                  <c:v>43207</c:v>
                </c:pt>
                <c:pt idx="24">
                  <c:v>43297</c:v>
                </c:pt>
                <c:pt idx="25">
                  <c:v>43387</c:v>
                </c:pt>
                <c:pt idx="26">
                  <c:v>43477</c:v>
                </c:pt>
                <c:pt idx="27">
                  <c:v>43567</c:v>
                </c:pt>
                <c:pt idx="28">
                  <c:v>43657</c:v>
                </c:pt>
                <c:pt idx="29">
                  <c:v>43747</c:v>
                </c:pt>
                <c:pt idx="30">
                  <c:v>43837</c:v>
                </c:pt>
                <c:pt idx="31">
                  <c:v>43927</c:v>
                </c:pt>
                <c:pt idx="32">
                  <c:v>44017</c:v>
                </c:pt>
                <c:pt idx="33">
                  <c:v>44107</c:v>
                </c:pt>
                <c:pt idx="34">
                  <c:v>44197</c:v>
                </c:pt>
                <c:pt idx="35">
                  <c:v>44287</c:v>
                </c:pt>
                <c:pt idx="36">
                  <c:v>44377</c:v>
                </c:pt>
                <c:pt idx="37">
                  <c:v>44467</c:v>
                </c:pt>
                <c:pt idx="38">
                  <c:v>44557</c:v>
                </c:pt>
                <c:pt idx="39">
                  <c:v>44647</c:v>
                </c:pt>
                <c:pt idx="40">
                  <c:v>44737</c:v>
                </c:pt>
                <c:pt idx="41">
                  <c:v>44827</c:v>
                </c:pt>
                <c:pt idx="42">
                  <c:v>44917</c:v>
                </c:pt>
                <c:pt idx="43">
                  <c:v>45007</c:v>
                </c:pt>
                <c:pt idx="44">
                  <c:v>45097</c:v>
                </c:pt>
                <c:pt idx="45">
                  <c:v>45187</c:v>
                </c:pt>
                <c:pt idx="46">
                  <c:v>45277</c:v>
                </c:pt>
                <c:pt idx="47">
                  <c:v>45367</c:v>
                </c:pt>
                <c:pt idx="48">
                  <c:v>45457</c:v>
                </c:pt>
                <c:pt idx="49">
                  <c:v>45547</c:v>
                </c:pt>
                <c:pt idx="50">
                  <c:v>45637</c:v>
                </c:pt>
                <c:pt idx="51">
                  <c:v>45727</c:v>
                </c:pt>
                <c:pt idx="52">
                  <c:v>45817</c:v>
                </c:pt>
                <c:pt idx="53">
                  <c:v>45907</c:v>
                </c:pt>
                <c:pt idx="54">
                  <c:v>45997</c:v>
                </c:pt>
                <c:pt idx="55">
                  <c:v>46087</c:v>
                </c:pt>
                <c:pt idx="56">
                  <c:v>46177</c:v>
                </c:pt>
                <c:pt idx="57">
                  <c:v>46267</c:v>
                </c:pt>
                <c:pt idx="58">
                  <c:v>46357</c:v>
                </c:pt>
                <c:pt idx="59">
                  <c:v>46447</c:v>
                </c:pt>
                <c:pt idx="60">
                  <c:v>46537</c:v>
                </c:pt>
                <c:pt idx="61">
                  <c:v>46627</c:v>
                </c:pt>
                <c:pt idx="62">
                  <c:v>46717</c:v>
                </c:pt>
                <c:pt idx="63">
                  <c:v>46807</c:v>
                </c:pt>
                <c:pt idx="64">
                  <c:v>46897</c:v>
                </c:pt>
                <c:pt idx="65">
                  <c:v>46987</c:v>
                </c:pt>
                <c:pt idx="66">
                  <c:v>47077</c:v>
                </c:pt>
                <c:pt idx="67">
                  <c:v>47167</c:v>
                </c:pt>
                <c:pt idx="68">
                  <c:v>47257</c:v>
                </c:pt>
                <c:pt idx="69">
                  <c:v>47347</c:v>
                </c:pt>
                <c:pt idx="70">
                  <c:v>47437</c:v>
                </c:pt>
                <c:pt idx="71">
                  <c:v>47527</c:v>
                </c:pt>
                <c:pt idx="72">
                  <c:v>47617</c:v>
                </c:pt>
                <c:pt idx="73">
                  <c:v>47707</c:v>
                </c:pt>
                <c:pt idx="74">
                  <c:v>47797</c:v>
                </c:pt>
                <c:pt idx="75">
                  <c:v>47887</c:v>
                </c:pt>
                <c:pt idx="76">
                  <c:v>47977</c:v>
                </c:pt>
                <c:pt idx="77">
                  <c:v>48067</c:v>
                </c:pt>
                <c:pt idx="78">
                  <c:v>48157</c:v>
                </c:pt>
                <c:pt idx="79">
                  <c:v>48247</c:v>
                </c:pt>
                <c:pt idx="80">
                  <c:v>48337</c:v>
                </c:pt>
                <c:pt idx="81">
                  <c:v>48427</c:v>
                </c:pt>
                <c:pt idx="82">
                  <c:v>48517</c:v>
                </c:pt>
                <c:pt idx="83">
                  <c:v>48607</c:v>
                </c:pt>
                <c:pt idx="84">
                  <c:v>48697</c:v>
                </c:pt>
                <c:pt idx="85">
                  <c:v>48787</c:v>
                </c:pt>
                <c:pt idx="86">
                  <c:v>48877</c:v>
                </c:pt>
                <c:pt idx="87">
                  <c:v>48967</c:v>
                </c:pt>
                <c:pt idx="88">
                  <c:v>49057</c:v>
                </c:pt>
                <c:pt idx="89">
                  <c:v>49147</c:v>
                </c:pt>
                <c:pt idx="90">
                  <c:v>49237</c:v>
                </c:pt>
                <c:pt idx="91">
                  <c:v>49327</c:v>
                </c:pt>
                <c:pt idx="92">
                  <c:v>49417</c:v>
                </c:pt>
                <c:pt idx="93">
                  <c:v>49507</c:v>
                </c:pt>
                <c:pt idx="94">
                  <c:v>49597</c:v>
                </c:pt>
                <c:pt idx="95">
                  <c:v>49687</c:v>
                </c:pt>
                <c:pt idx="96">
                  <c:v>49777</c:v>
                </c:pt>
                <c:pt idx="97">
                  <c:v>49867</c:v>
                </c:pt>
                <c:pt idx="98">
                  <c:v>49957</c:v>
                </c:pt>
                <c:pt idx="99">
                  <c:v>50047</c:v>
                </c:pt>
                <c:pt idx="100">
                  <c:v>50137</c:v>
                </c:pt>
                <c:pt idx="101">
                  <c:v>50227</c:v>
                </c:pt>
                <c:pt idx="102">
                  <c:v>50317</c:v>
                </c:pt>
                <c:pt idx="103">
                  <c:v>50407</c:v>
                </c:pt>
                <c:pt idx="104">
                  <c:v>50497</c:v>
                </c:pt>
                <c:pt idx="105">
                  <c:v>50587</c:v>
                </c:pt>
                <c:pt idx="106">
                  <c:v>50677</c:v>
                </c:pt>
                <c:pt idx="107">
                  <c:v>50767</c:v>
                </c:pt>
                <c:pt idx="108">
                  <c:v>50857</c:v>
                </c:pt>
                <c:pt idx="109">
                  <c:v>50947</c:v>
                </c:pt>
                <c:pt idx="110">
                  <c:v>51037</c:v>
                </c:pt>
                <c:pt idx="111">
                  <c:v>51127</c:v>
                </c:pt>
                <c:pt idx="112">
                  <c:v>51217</c:v>
                </c:pt>
                <c:pt idx="113">
                  <c:v>51307</c:v>
                </c:pt>
                <c:pt idx="114">
                  <c:v>51397</c:v>
                </c:pt>
                <c:pt idx="115">
                  <c:v>51487</c:v>
                </c:pt>
                <c:pt idx="116">
                  <c:v>51577</c:v>
                </c:pt>
                <c:pt idx="117">
                  <c:v>51667</c:v>
                </c:pt>
                <c:pt idx="118">
                  <c:v>51757</c:v>
                </c:pt>
                <c:pt idx="119">
                  <c:v>51847</c:v>
                </c:pt>
                <c:pt idx="120">
                  <c:v>51937</c:v>
                </c:pt>
                <c:pt idx="121">
                  <c:v>52027</c:v>
                </c:pt>
                <c:pt idx="122">
                  <c:v>52117</c:v>
                </c:pt>
                <c:pt idx="123">
                  <c:v>52207</c:v>
                </c:pt>
                <c:pt idx="124">
                  <c:v>52297</c:v>
                </c:pt>
                <c:pt idx="125">
                  <c:v>52387</c:v>
                </c:pt>
                <c:pt idx="126">
                  <c:v>52477</c:v>
                </c:pt>
                <c:pt idx="127">
                  <c:v>52567</c:v>
                </c:pt>
                <c:pt idx="128">
                  <c:v>52657</c:v>
                </c:pt>
                <c:pt idx="129">
                  <c:v>52747</c:v>
                </c:pt>
                <c:pt idx="130">
                  <c:v>52837</c:v>
                </c:pt>
                <c:pt idx="131">
                  <c:v>52927</c:v>
                </c:pt>
                <c:pt idx="132">
                  <c:v>53017</c:v>
                </c:pt>
                <c:pt idx="133">
                  <c:v>53107</c:v>
                </c:pt>
                <c:pt idx="134">
                  <c:v>53197</c:v>
                </c:pt>
                <c:pt idx="135">
                  <c:v>53287</c:v>
                </c:pt>
                <c:pt idx="136">
                  <c:v>53377</c:v>
                </c:pt>
                <c:pt idx="137">
                  <c:v>53467</c:v>
                </c:pt>
                <c:pt idx="138">
                  <c:v>53557</c:v>
                </c:pt>
                <c:pt idx="139">
                  <c:v>53647</c:v>
                </c:pt>
                <c:pt idx="140">
                  <c:v>53737</c:v>
                </c:pt>
                <c:pt idx="141">
                  <c:v>53827</c:v>
                </c:pt>
                <c:pt idx="142">
                  <c:v>53917</c:v>
                </c:pt>
                <c:pt idx="143">
                  <c:v>54007</c:v>
                </c:pt>
                <c:pt idx="144">
                  <c:v>54097</c:v>
                </c:pt>
                <c:pt idx="145">
                  <c:v>54187</c:v>
                </c:pt>
                <c:pt idx="146">
                  <c:v>54277</c:v>
                </c:pt>
                <c:pt idx="147">
                  <c:v>54367</c:v>
                </c:pt>
                <c:pt idx="148">
                  <c:v>54457</c:v>
                </c:pt>
                <c:pt idx="149">
                  <c:v>54547</c:v>
                </c:pt>
                <c:pt idx="150">
                  <c:v>54637</c:v>
                </c:pt>
                <c:pt idx="151">
                  <c:v>54727</c:v>
                </c:pt>
                <c:pt idx="152">
                  <c:v>54817</c:v>
                </c:pt>
                <c:pt idx="153">
                  <c:v>54907</c:v>
                </c:pt>
                <c:pt idx="154">
                  <c:v>54997</c:v>
                </c:pt>
                <c:pt idx="155">
                  <c:v>55087</c:v>
                </c:pt>
                <c:pt idx="156">
                  <c:v>55177</c:v>
                </c:pt>
                <c:pt idx="157">
                  <c:v>55267</c:v>
                </c:pt>
                <c:pt idx="158">
                  <c:v>55357</c:v>
                </c:pt>
                <c:pt idx="159">
                  <c:v>55447</c:v>
                </c:pt>
                <c:pt idx="160">
                  <c:v>55537</c:v>
                </c:pt>
                <c:pt idx="161">
                  <c:v>55627</c:v>
                </c:pt>
                <c:pt idx="162">
                  <c:v>55717</c:v>
                </c:pt>
                <c:pt idx="163">
                  <c:v>55807</c:v>
                </c:pt>
                <c:pt idx="164">
                  <c:v>55897</c:v>
                </c:pt>
                <c:pt idx="165">
                  <c:v>55987</c:v>
                </c:pt>
                <c:pt idx="166">
                  <c:v>56077</c:v>
                </c:pt>
                <c:pt idx="167">
                  <c:v>56167</c:v>
                </c:pt>
                <c:pt idx="168">
                  <c:v>56257</c:v>
                </c:pt>
                <c:pt idx="169">
                  <c:v>56347</c:v>
                </c:pt>
                <c:pt idx="170">
                  <c:v>56437</c:v>
                </c:pt>
                <c:pt idx="171">
                  <c:v>56527</c:v>
                </c:pt>
                <c:pt idx="172">
                  <c:v>56617</c:v>
                </c:pt>
                <c:pt idx="173">
                  <c:v>56707</c:v>
                </c:pt>
                <c:pt idx="174">
                  <c:v>56797</c:v>
                </c:pt>
                <c:pt idx="175">
                  <c:v>56887</c:v>
                </c:pt>
                <c:pt idx="176">
                  <c:v>56977</c:v>
                </c:pt>
                <c:pt idx="177">
                  <c:v>57067</c:v>
                </c:pt>
                <c:pt idx="178">
                  <c:v>57157</c:v>
                </c:pt>
                <c:pt idx="179">
                  <c:v>57247</c:v>
                </c:pt>
                <c:pt idx="180">
                  <c:v>57337</c:v>
                </c:pt>
                <c:pt idx="181">
                  <c:v>57427</c:v>
                </c:pt>
                <c:pt idx="182">
                  <c:v>57517</c:v>
                </c:pt>
                <c:pt idx="183">
                  <c:v>57607</c:v>
                </c:pt>
                <c:pt idx="184">
                  <c:v>57697</c:v>
                </c:pt>
                <c:pt idx="185">
                  <c:v>57787</c:v>
                </c:pt>
                <c:pt idx="186">
                  <c:v>57877</c:v>
                </c:pt>
                <c:pt idx="187">
                  <c:v>57967</c:v>
                </c:pt>
                <c:pt idx="188">
                  <c:v>58057</c:v>
                </c:pt>
                <c:pt idx="189">
                  <c:v>58147</c:v>
                </c:pt>
                <c:pt idx="190">
                  <c:v>58237</c:v>
                </c:pt>
                <c:pt idx="191">
                  <c:v>58327</c:v>
                </c:pt>
                <c:pt idx="192">
                  <c:v>58417</c:v>
                </c:pt>
                <c:pt idx="193">
                  <c:v>58507</c:v>
                </c:pt>
                <c:pt idx="194">
                  <c:v>58597</c:v>
                </c:pt>
                <c:pt idx="195">
                  <c:v>58687</c:v>
                </c:pt>
                <c:pt idx="196">
                  <c:v>58777</c:v>
                </c:pt>
                <c:pt idx="197">
                  <c:v>58867</c:v>
                </c:pt>
                <c:pt idx="198">
                  <c:v>58957</c:v>
                </c:pt>
                <c:pt idx="199">
                  <c:v>59047</c:v>
                </c:pt>
                <c:pt idx="200">
                  <c:v>59137</c:v>
                </c:pt>
                <c:pt idx="201">
                  <c:v>59227</c:v>
                </c:pt>
                <c:pt idx="202">
                  <c:v>59317</c:v>
                </c:pt>
                <c:pt idx="203">
                  <c:v>59407</c:v>
                </c:pt>
                <c:pt idx="204">
                  <c:v>59497</c:v>
                </c:pt>
                <c:pt idx="205">
                  <c:v>59587</c:v>
                </c:pt>
                <c:pt idx="206">
                  <c:v>59677</c:v>
                </c:pt>
                <c:pt idx="207">
                  <c:v>59767</c:v>
                </c:pt>
                <c:pt idx="208">
                  <c:v>59857</c:v>
                </c:pt>
                <c:pt idx="209">
                  <c:v>59947</c:v>
                </c:pt>
                <c:pt idx="210">
                  <c:v>60037</c:v>
                </c:pt>
                <c:pt idx="211">
                  <c:v>60127</c:v>
                </c:pt>
              </c:numCache>
            </c:numRef>
          </c:cat>
          <c:val>
            <c:numRef>
              <c:f>Sheet3!$H$2:$H$213</c:f>
              <c:numCache>
                <c:formatCode>G/通用格式</c:formatCode>
                <c:ptCount val="212"/>
                <c:pt idx="0">
                  <c:v>2.394583671150274E-2</c:v>
                </c:pt>
                <c:pt idx="1">
                  <c:v>2.394583671093254E-2</c:v>
                </c:pt>
                <c:pt idx="2">
                  <c:v>2.3779705330843132E-2</c:v>
                </c:pt>
                <c:pt idx="3">
                  <c:v>2.3095670925126089E-2</c:v>
                </c:pt>
                <c:pt idx="4">
                  <c:v>2.7092194469756629E-2</c:v>
                </c:pt>
                <c:pt idx="5">
                  <c:v>2.700177059588164E-2</c:v>
                </c:pt>
                <c:pt idx="6">
                  <c:v>2.6537663851604148E-2</c:v>
                </c:pt>
                <c:pt idx="7">
                  <c:v>2.6178520374316148E-2</c:v>
                </c:pt>
                <c:pt idx="8">
                  <c:v>2.4912240831925576E-2</c:v>
                </c:pt>
                <c:pt idx="9">
                  <c:v>2.3649690583706234E-2</c:v>
                </c:pt>
                <c:pt idx="10">
                  <c:v>2.5108855197278249E-2</c:v>
                </c:pt>
                <c:pt idx="11">
                  <c:v>2.6868108172488865E-2</c:v>
                </c:pt>
                <c:pt idx="12">
                  <c:v>2.7310104901104942E-2</c:v>
                </c:pt>
                <c:pt idx="13">
                  <c:v>2.7657114943608681E-2</c:v>
                </c:pt>
                <c:pt idx="14">
                  <c:v>2.8021852486448905E-2</c:v>
                </c:pt>
                <c:pt idx="15">
                  <c:v>2.8348351950901872E-2</c:v>
                </c:pt>
                <c:pt idx="16">
                  <c:v>2.8633924063975334E-2</c:v>
                </c:pt>
                <c:pt idx="17">
                  <c:v>2.8883145683363795E-2</c:v>
                </c:pt>
                <c:pt idx="18">
                  <c:v>2.9112868828377953E-2</c:v>
                </c:pt>
                <c:pt idx="19">
                  <c:v>2.9416434585489055E-2</c:v>
                </c:pt>
                <c:pt idx="20">
                  <c:v>2.9730588054137402E-2</c:v>
                </c:pt>
                <c:pt idx="21">
                  <c:v>3.0095605570770227E-2</c:v>
                </c:pt>
                <c:pt idx="22">
                  <c:v>3.0584146585967208E-2</c:v>
                </c:pt>
                <c:pt idx="23">
                  <c:v>3.1016783927013757E-2</c:v>
                </c:pt>
                <c:pt idx="24">
                  <c:v>3.142893187799517E-2</c:v>
                </c:pt>
                <c:pt idx="25">
                  <c:v>3.1736200370558312E-2</c:v>
                </c:pt>
                <c:pt idx="26">
                  <c:v>3.1647744352723273E-2</c:v>
                </c:pt>
                <c:pt idx="27">
                  <c:v>3.1350524124852015E-2</c:v>
                </c:pt>
                <c:pt idx="28">
                  <c:v>3.1423604829676807E-2</c:v>
                </c:pt>
                <c:pt idx="29">
                  <c:v>3.18699745909529E-2</c:v>
                </c:pt>
                <c:pt idx="30">
                  <c:v>3.2342868366556518E-2</c:v>
                </c:pt>
                <c:pt idx="31">
                  <c:v>3.2729956205064012E-2</c:v>
                </c:pt>
                <c:pt idx="32">
                  <c:v>3.29920277879093E-2</c:v>
                </c:pt>
                <c:pt idx="33">
                  <c:v>3.3202350382978571E-2</c:v>
                </c:pt>
                <c:pt idx="34">
                  <c:v>3.3371302699422296E-2</c:v>
                </c:pt>
                <c:pt idx="35">
                  <c:v>3.3456081105940616E-2</c:v>
                </c:pt>
                <c:pt idx="36">
                  <c:v>3.3473268736811446E-2</c:v>
                </c:pt>
                <c:pt idx="37">
                  <c:v>3.3487604000303983E-2</c:v>
                </c:pt>
                <c:pt idx="38">
                  <c:v>3.3490175322122548E-2</c:v>
                </c:pt>
                <c:pt idx="39">
                  <c:v>3.3488166581501271E-2</c:v>
                </c:pt>
                <c:pt idx="40">
                  <c:v>3.358952131655403E-2</c:v>
                </c:pt>
                <c:pt idx="41">
                  <c:v>3.3879992494993356E-2</c:v>
                </c:pt>
                <c:pt idx="42">
                  <c:v>3.4172661096927487E-2</c:v>
                </c:pt>
                <c:pt idx="43">
                  <c:v>3.4454734172495921E-2</c:v>
                </c:pt>
                <c:pt idx="44">
                  <c:v>3.4717964608445867E-2</c:v>
                </c:pt>
                <c:pt idx="45">
                  <c:v>3.4969589919180651E-2</c:v>
                </c:pt>
                <c:pt idx="46">
                  <c:v>3.5213037491340443E-2</c:v>
                </c:pt>
                <c:pt idx="47">
                  <c:v>3.5446091947643303E-2</c:v>
                </c:pt>
                <c:pt idx="48">
                  <c:v>3.5666949652140033E-2</c:v>
                </c:pt>
                <c:pt idx="49">
                  <c:v>3.5878863427612297E-2</c:v>
                </c:pt>
                <c:pt idx="50">
                  <c:v>3.608463231684593E-2</c:v>
                </c:pt>
                <c:pt idx="51">
                  <c:v>3.6284480405407431E-2</c:v>
                </c:pt>
                <c:pt idx="52">
                  <c:v>3.6472348149429783E-2</c:v>
                </c:pt>
                <c:pt idx="53">
                  <c:v>3.665318244365854E-2</c:v>
                </c:pt>
                <c:pt idx="54">
                  <c:v>3.6829314214596662E-2</c:v>
                </c:pt>
                <c:pt idx="55">
                  <c:v>3.7000890214487089E-2</c:v>
                </c:pt>
                <c:pt idx="56">
                  <c:v>3.716264339910768E-2</c:v>
                </c:pt>
                <c:pt idx="57">
                  <c:v>3.7318766002278278E-2</c:v>
                </c:pt>
                <c:pt idx="58">
                  <c:v>3.7471231421257273E-2</c:v>
                </c:pt>
                <c:pt idx="59">
                  <c:v>3.7620136534435487E-2</c:v>
                </c:pt>
                <c:pt idx="60">
                  <c:v>3.776243715401599E-2</c:v>
                </c:pt>
                <c:pt idx="61">
                  <c:v>3.7888021553555196E-2</c:v>
                </c:pt>
                <c:pt idx="62">
                  <c:v>3.796583479156615E-2</c:v>
                </c:pt>
                <c:pt idx="63">
                  <c:v>3.8038623288516454E-2</c:v>
                </c:pt>
                <c:pt idx="64">
                  <c:v>3.8110732952509482E-2</c:v>
                </c:pt>
                <c:pt idx="65">
                  <c:v>3.8179063725024116E-2</c:v>
                </c:pt>
                <c:pt idx="66">
                  <c:v>3.8245340817942994E-2</c:v>
                </c:pt>
                <c:pt idx="67">
                  <c:v>3.8309653444975465E-2</c:v>
                </c:pt>
                <c:pt idx="68">
                  <c:v>3.8374185790273629E-2</c:v>
                </c:pt>
                <c:pt idx="69">
                  <c:v>3.8449793648125979E-2</c:v>
                </c:pt>
                <c:pt idx="70">
                  <c:v>3.8612894241740532E-2</c:v>
                </c:pt>
                <c:pt idx="71">
                  <c:v>3.8798119614744671E-2</c:v>
                </c:pt>
                <c:pt idx="72">
                  <c:v>3.898572938385747E-2</c:v>
                </c:pt>
                <c:pt idx="73">
                  <c:v>3.9162139804996901E-2</c:v>
                </c:pt>
                <c:pt idx="74">
                  <c:v>3.9333820706985149E-2</c:v>
                </c:pt>
                <c:pt idx="75">
                  <c:v>3.950095823908624E-2</c:v>
                </c:pt>
                <c:pt idx="76">
                  <c:v>3.9669205684143852E-2</c:v>
                </c:pt>
                <c:pt idx="77">
                  <c:v>3.9827643387916251E-2</c:v>
                </c:pt>
                <c:pt idx="78">
                  <c:v>3.9982051387846038E-2</c:v>
                </c:pt>
                <c:pt idx="79">
                  <c:v>4.0132580164627146E-2</c:v>
                </c:pt>
                <c:pt idx="80">
                  <c:v>4.0282668820771875E-2</c:v>
                </c:pt>
                <c:pt idx="81">
                  <c:v>4.0425786878014708E-2</c:v>
                </c:pt>
                <c:pt idx="82">
                  <c:v>4.0567009723028048E-2</c:v>
                </c:pt>
                <c:pt idx="83">
                  <c:v>4.0703287827493294E-2</c:v>
                </c:pt>
                <c:pt idx="84">
                  <c:v>4.0839333768824454E-2</c:v>
                </c:pt>
                <c:pt idx="85">
                  <c:v>4.0970675142525864E-2</c:v>
                </c:pt>
                <c:pt idx="86">
                  <c:v>4.1097528255491275E-2</c:v>
                </c:pt>
                <c:pt idx="87">
                  <c:v>4.1221487640047162E-2</c:v>
                </c:pt>
                <c:pt idx="88">
                  <c:v>4.1345373366221384E-2</c:v>
                </c:pt>
                <c:pt idx="89">
                  <c:v>4.146510585659563E-2</c:v>
                </c:pt>
                <c:pt idx="90">
                  <c:v>4.1580868909780369E-2</c:v>
                </c:pt>
                <c:pt idx="91">
                  <c:v>4.1694107441191293E-2</c:v>
                </c:pt>
                <c:pt idx="92">
                  <c:v>4.1807393346544486E-2</c:v>
                </c:pt>
                <c:pt idx="93">
                  <c:v>4.1916990720605576E-2</c:v>
                </c:pt>
                <c:pt idx="94">
                  <c:v>4.2023056921731916E-2</c:v>
                </c:pt>
                <c:pt idx="95">
                  <c:v>4.2126907609728995E-2</c:v>
                </c:pt>
                <c:pt idx="96">
                  <c:v>4.2229754719010824E-2</c:v>
                </c:pt>
                <c:pt idx="97">
                  <c:v>4.2330474977411964E-2</c:v>
                </c:pt>
                <c:pt idx="98">
                  <c:v>4.2428036225267869E-2</c:v>
                </c:pt>
                <c:pt idx="99">
                  <c:v>4.2523641939329074E-2</c:v>
                </c:pt>
                <c:pt idx="100">
                  <c:v>4.2619457311768381E-2</c:v>
                </c:pt>
                <c:pt idx="101">
                  <c:v>4.2712316043777079E-2</c:v>
                </c:pt>
                <c:pt idx="102">
                  <c:v>4.2802335658838897E-2</c:v>
                </c:pt>
                <c:pt idx="103">
                  <c:v>4.2890621196963102E-2</c:v>
                </c:pt>
                <c:pt idx="104">
                  <c:v>4.2979169785167061E-2</c:v>
                </c:pt>
                <c:pt idx="105">
                  <c:v>4.306505274520922E-2</c:v>
                </c:pt>
                <c:pt idx="106">
                  <c:v>4.3148372557118606E-2</c:v>
                </c:pt>
                <c:pt idx="107">
                  <c:v>4.3231068105905705E-2</c:v>
                </c:pt>
                <c:pt idx="108">
                  <c:v>4.3313129095348214E-2</c:v>
                </c:pt>
                <c:pt idx="109">
                  <c:v>4.3391890474596143E-2</c:v>
                </c:pt>
                <c:pt idx="110">
                  <c:v>4.3469231527667414E-2</c:v>
                </c:pt>
                <c:pt idx="111">
                  <c:v>4.3546045890108499E-2</c:v>
                </c:pt>
                <c:pt idx="112">
                  <c:v>4.3621482456390595E-2</c:v>
                </c:pt>
                <c:pt idx="113">
                  <c:v>4.369475533453332E-2</c:v>
                </c:pt>
                <c:pt idx="114">
                  <c:v>4.3766753080105893E-2</c:v>
                </c:pt>
                <c:pt idx="115">
                  <c:v>4.3838306347670525E-2</c:v>
                </c:pt>
                <c:pt idx="116">
                  <c:v>4.3909402809600324E-2</c:v>
                </c:pt>
                <c:pt idx="117">
                  <c:v>4.3977728300842026E-2</c:v>
                </c:pt>
                <c:pt idx="118">
                  <c:v>4.4044905046343417E-2</c:v>
                </c:pt>
                <c:pt idx="119">
                  <c:v>4.4111706954112026E-2</c:v>
                </c:pt>
                <c:pt idx="120">
                  <c:v>4.4178121260571968E-2</c:v>
                </c:pt>
                <c:pt idx="121">
                  <c:v>4.4241984032703609E-2</c:v>
                </c:pt>
                <c:pt idx="122">
                  <c:v>4.4304808302363045E-2</c:v>
                </c:pt>
                <c:pt idx="123">
                  <c:v>4.4367316746570913E-2</c:v>
                </c:pt>
                <c:pt idx="124">
                  <c:v>4.4429496788295428E-2</c:v>
                </c:pt>
                <c:pt idx="125">
                  <c:v>4.4489320158079868E-2</c:v>
                </c:pt>
                <c:pt idx="126">
                  <c:v>4.4548201666083011E-2</c:v>
                </c:pt>
                <c:pt idx="127">
                  <c:v>4.4606817604220465E-2</c:v>
                </c:pt>
                <c:pt idx="128">
                  <c:v>4.4664512707131385E-2</c:v>
                </c:pt>
                <c:pt idx="129">
                  <c:v>4.4721311240599387E-2</c:v>
                </c:pt>
                <c:pt idx="130">
                  <c:v>4.4776609848276069E-2</c:v>
                </c:pt>
                <c:pt idx="131">
                  <c:v>4.4831071905098337E-2</c:v>
                </c:pt>
                <c:pt idx="132">
                  <c:v>4.4884713243886216E-2</c:v>
                </c:pt>
                <c:pt idx="133">
                  <c:v>4.4939342356511168E-2</c:v>
                </c:pt>
                <c:pt idx="134">
                  <c:v>4.4991375395465702E-2</c:v>
                </c:pt>
                <c:pt idx="135">
                  <c:v>4.5042644631472152E-2</c:v>
                </c:pt>
                <c:pt idx="136">
                  <c:v>4.5093164080282293E-2</c:v>
                </c:pt>
                <c:pt idx="137">
                  <c:v>4.5144636752767933E-2</c:v>
                </c:pt>
                <c:pt idx="138">
                  <c:v>4.519368517243446E-2</c:v>
                </c:pt>
                <c:pt idx="139">
                  <c:v>4.5242034335912756E-2</c:v>
                </c:pt>
                <c:pt idx="140">
                  <c:v>4.5289696727835033E-2</c:v>
                </c:pt>
                <c:pt idx="141">
                  <c:v>4.5338278816900057E-2</c:v>
                </c:pt>
                <c:pt idx="142">
                  <c:v>4.5384592238884289E-2</c:v>
                </c:pt>
                <c:pt idx="143">
                  <c:v>4.5430263873522676E-2</c:v>
                </c:pt>
                <c:pt idx="144">
                  <c:v>4.5475304913146115E-2</c:v>
                </c:pt>
                <c:pt idx="145">
                  <c:v>4.5520732052969096E-2</c:v>
                </c:pt>
                <c:pt idx="146">
                  <c:v>4.5564539849715313E-2</c:v>
                </c:pt>
                <c:pt idx="147">
                  <c:v>4.5607757309424457E-2</c:v>
                </c:pt>
                <c:pt idx="148">
                  <c:v>4.5650393982932712E-2</c:v>
                </c:pt>
                <c:pt idx="149">
                  <c:v>4.5693886444917592E-2</c:v>
                </c:pt>
                <c:pt idx="150">
                  <c:v>4.5735380286070569E-2</c:v>
                </c:pt>
                <c:pt idx="151">
                  <c:v>4.5776792029624869E-2</c:v>
                </c:pt>
                <c:pt idx="152">
                  <c:v>4.5817199858410027E-2</c:v>
                </c:pt>
                <c:pt idx="153">
                  <c:v>4.5857983176772185E-2</c:v>
                </c:pt>
                <c:pt idx="154">
                  <c:v>4.5897786014764054E-2</c:v>
                </c:pt>
                <c:pt idx="155">
                  <c:v>4.5936635832047129E-2</c:v>
                </c:pt>
                <c:pt idx="156">
                  <c:v>4.5974990747609509E-2</c:v>
                </c:pt>
                <c:pt idx="157">
                  <c:v>4.6013714839775177E-2</c:v>
                </c:pt>
                <c:pt idx="158">
                  <c:v>4.6051520797491037E-2</c:v>
                </c:pt>
                <c:pt idx="159">
                  <c:v>4.6088433613069663E-2</c:v>
                </c:pt>
                <c:pt idx="160">
                  <c:v>4.6124888203532124E-2</c:v>
                </c:pt>
                <c:pt idx="161">
                  <c:v>4.6161298625619095E-2</c:v>
                </c:pt>
                <c:pt idx="162">
                  <c:v>4.6197259287813285E-2</c:v>
                </c:pt>
                <c:pt idx="163">
                  <c:v>4.6232381252354779E-2</c:v>
                </c:pt>
                <c:pt idx="164">
                  <c:v>4.6267078305450085E-2</c:v>
                </c:pt>
                <c:pt idx="165">
                  <c:v>4.63021303278126E-2</c:v>
                </c:pt>
                <c:pt idx="166">
                  <c:v>4.6336372927542259E-2</c:v>
                </c:pt>
                <c:pt idx="167">
                  <c:v>4.6369826771766022E-2</c:v>
                </c:pt>
                <c:pt idx="168">
                  <c:v>4.6402885823390569E-2</c:v>
                </c:pt>
                <c:pt idx="169">
                  <c:v>4.6436292438838137E-2</c:v>
                </c:pt>
                <c:pt idx="170">
                  <c:v>4.6468937221372686E-2</c:v>
                </c:pt>
                <c:pt idx="171">
                  <c:v>4.6500839016058504E-2</c:v>
                </c:pt>
                <c:pt idx="172">
                  <c:v>4.6532373402582129E-2</c:v>
                </c:pt>
                <c:pt idx="173">
                  <c:v>4.6564247792807614E-2</c:v>
                </c:pt>
                <c:pt idx="174">
                  <c:v>4.6595404038428802E-2</c:v>
                </c:pt>
                <c:pt idx="175">
                  <c:v>4.662585933006913E-2</c:v>
                </c:pt>
                <c:pt idx="176">
                  <c:v>4.6656312374741847E-2</c:v>
                </c:pt>
                <c:pt idx="177">
                  <c:v>4.6686417367349776E-2</c:v>
                </c:pt>
                <c:pt idx="178">
                  <c:v>4.6715852006383472E-2</c:v>
                </c:pt>
                <c:pt idx="179">
                  <c:v>4.6744960657084902E-2</c:v>
                </c:pt>
                <c:pt idx="180">
                  <c:v>4.6774075371171286E-2</c:v>
                </c:pt>
                <c:pt idx="181">
                  <c:v>4.6803184913040814E-2</c:v>
                </c:pt>
                <c:pt idx="182">
                  <c:v>4.6831335871700297E-2</c:v>
                </c:pt>
                <c:pt idx="183">
                  <c:v>4.6859181794828085E-2</c:v>
                </c:pt>
                <c:pt idx="184">
                  <c:v>4.6887040662907171E-2</c:v>
                </c:pt>
                <c:pt idx="185">
                  <c:v>4.691490099905974E-2</c:v>
                </c:pt>
                <c:pt idx="186">
                  <c:v>4.6941850437613925E-2</c:v>
                </c:pt>
                <c:pt idx="187">
                  <c:v>4.6968514140844908E-2</c:v>
                </c:pt>
                <c:pt idx="188">
                  <c:v>4.6995196424795042E-2</c:v>
                </c:pt>
                <c:pt idx="189">
                  <c:v>4.7021886556497763E-2</c:v>
                </c:pt>
                <c:pt idx="190">
                  <c:v>4.7047709691862005E-2</c:v>
                </c:pt>
                <c:pt idx="191">
                  <c:v>4.7073264891743474E-2</c:v>
                </c:pt>
                <c:pt idx="192">
                  <c:v>4.7098843577436877E-2</c:v>
                </c:pt>
                <c:pt idx="193">
                  <c:v>4.7124152860478268E-2</c:v>
                </c:pt>
                <c:pt idx="194">
                  <c:v>4.7148921696901332E-2</c:v>
                </c:pt>
                <c:pt idx="195">
                  <c:v>4.7173438967888275E-2</c:v>
                </c:pt>
                <c:pt idx="196">
                  <c:v>4.7197984295898505E-2</c:v>
                </c:pt>
                <c:pt idx="197">
                  <c:v>4.7222547532829E-2</c:v>
                </c:pt>
                <c:pt idx="198">
                  <c:v>4.7246591292470767E-2</c:v>
                </c:pt>
                <c:pt idx="199">
                  <c:v>4.7270127244828958E-2</c:v>
                </c:pt>
                <c:pt idx="200">
                  <c:v>4.7293431457999302E-2</c:v>
                </c:pt>
                <c:pt idx="201">
                  <c:v>4.7316502510028481E-2</c:v>
                </c:pt>
                <c:pt idx="202">
                  <c:v>4.7340122248659557E-2</c:v>
                </c:pt>
                <c:pt idx="203">
                  <c:v>4.7362737156021378E-2</c:v>
                </c:pt>
                <c:pt idx="204">
                  <c:v>4.7385133729763378E-2</c:v>
                </c:pt>
                <c:pt idx="205">
                  <c:v>4.7407310860328698E-2</c:v>
                </c:pt>
                <c:pt idx="206">
                  <c:v>4.7430019444190397E-2</c:v>
                </c:pt>
                <c:pt idx="207">
                  <c:v>4.7451766332117715E-2</c:v>
                </c:pt>
                <c:pt idx="208">
                  <c:v>4.7473307267963269E-2</c:v>
                </c:pt>
                <c:pt idx="209">
                  <c:v>4.7494641467588986E-2</c:v>
                </c:pt>
                <c:pt idx="210">
                  <c:v>4.7516251649507742E-2</c:v>
                </c:pt>
                <c:pt idx="211">
                  <c:v>4.75371818320975E-2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Sheet3!$I$1</c:f>
              <c:strCache>
                <c:ptCount val="1"/>
                <c:pt idx="0">
                  <c:v>CNY_Treasury_Live_Curve_2012-8-16_Calibrated_Curve_7</c:v>
                </c:pt>
              </c:strCache>
            </c:strRef>
          </c:tx>
          <c:marker>
            <c:symbol val="none"/>
          </c:marker>
          <c:cat>
            <c:numRef>
              <c:f>Sheet3!$A$2:$A$213</c:f>
              <c:numCache>
                <c:formatCode>yyyy-m-d</c:formatCode>
                <c:ptCount val="212"/>
                <c:pt idx="0">
                  <c:v>41137</c:v>
                </c:pt>
                <c:pt idx="1">
                  <c:v>41227</c:v>
                </c:pt>
                <c:pt idx="2">
                  <c:v>41317</c:v>
                </c:pt>
                <c:pt idx="3">
                  <c:v>41407</c:v>
                </c:pt>
                <c:pt idx="4">
                  <c:v>41497</c:v>
                </c:pt>
                <c:pt idx="5">
                  <c:v>41587</c:v>
                </c:pt>
                <c:pt idx="6">
                  <c:v>41677</c:v>
                </c:pt>
                <c:pt idx="7">
                  <c:v>41767</c:v>
                </c:pt>
                <c:pt idx="8">
                  <c:v>41857</c:v>
                </c:pt>
                <c:pt idx="9">
                  <c:v>41947</c:v>
                </c:pt>
                <c:pt idx="10">
                  <c:v>42037</c:v>
                </c:pt>
                <c:pt idx="11">
                  <c:v>42127</c:v>
                </c:pt>
                <c:pt idx="12">
                  <c:v>42217</c:v>
                </c:pt>
                <c:pt idx="13">
                  <c:v>42307</c:v>
                </c:pt>
                <c:pt idx="14">
                  <c:v>42397</c:v>
                </c:pt>
                <c:pt idx="15">
                  <c:v>42487</c:v>
                </c:pt>
                <c:pt idx="16">
                  <c:v>42577</c:v>
                </c:pt>
                <c:pt idx="17">
                  <c:v>42667</c:v>
                </c:pt>
                <c:pt idx="18">
                  <c:v>42757</c:v>
                </c:pt>
                <c:pt idx="19">
                  <c:v>42847</c:v>
                </c:pt>
                <c:pt idx="20">
                  <c:v>42937</c:v>
                </c:pt>
                <c:pt idx="21">
                  <c:v>43027</c:v>
                </c:pt>
                <c:pt idx="22">
                  <c:v>43117</c:v>
                </c:pt>
                <c:pt idx="23">
                  <c:v>43207</c:v>
                </c:pt>
                <c:pt idx="24">
                  <c:v>43297</c:v>
                </c:pt>
                <c:pt idx="25">
                  <c:v>43387</c:v>
                </c:pt>
                <c:pt idx="26">
                  <c:v>43477</c:v>
                </c:pt>
                <c:pt idx="27">
                  <c:v>43567</c:v>
                </c:pt>
                <c:pt idx="28">
                  <c:v>43657</c:v>
                </c:pt>
                <c:pt idx="29">
                  <c:v>43747</c:v>
                </c:pt>
                <c:pt idx="30">
                  <c:v>43837</c:v>
                </c:pt>
                <c:pt idx="31">
                  <c:v>43927</c:v>
                </c:pt>
                <c:pt idx="32">
                  <c:v>44017</c:v>
                </c:pt>
                <c:pt idx="33">
                  <c:v>44107</c:v>
                </c:pt>
                <c:pt idx="34">
                  <c:v>44197</c:v>
                </c:pt>
                <c:pt idx="35">
                  <c:v>44287</c:v>
                </c:pt>
                <c:pt idx="36">
                  <c:v>44377</c:v>
                </c:pt>
                <c:pt idx="37">
                  <c:v>44467</c:v>
                </c:pt>
                <c:pt idx="38">
                  <c:v>44557</c:v>
                </c:pt>
                <c:pt idx="39">
                  <c:v>44647</c:v>
                </c:pt>
                <c:pt idx="40">
                  <c:v>44737</c:v>
                </c:pt>
                <c:pt idx="41">
                  <c:v>44827</c:v>
                </c:pt>
                <c:pt idx="42">
                  <c:v>44917</c:v>
                </c:pt>
                <c:pt idx="43">
                  <c:v>45007</c:v>
                </c:pt>
                <c:pt idx="44">
                  <c:v>45097</c:v>
                </c:pt>
                <c:pt idx="45">
                  <c:v>45187</c:v>
                </c:pt>
                <c:pt idx="46">
                  <c:v>45277</c:v>
                </c:pt>
                <c:pt idx="47">
                  <c:v>45367</c:v>
                </c:pt>
                <c:pt idx="48">
                  <c:v>45457</c:v>
                </c:pt>
                <c:pt idx="49">
                  <c:v>45547</c:v>
                </c:pt>
                <c:pt idx="50">
                  <c:v>45637</c:v>
                </c:pt>
                <c:pt idx="51">
                  <c:v>45727</c:v>
                </c:pt>
                <c:pt idx="52">
                  <c:v>45817</c:v>
                </c:pt>
                <c:pt idx="53">
                  <c:v>45907</c:v>
                </c:pt>
                <c:pt idx="54">
                  <c:v>45997</c:v>
                </c:pt>
                <c:pt idx="55">
                  <c:v>46087</c:v>
                </c:pt>
                <c:pt idx="56">
                  <c:v>46177</c:v>
                </c:pt>
                <c:pt idx="57">
                  <c:v>46267</c:v>
                </c:pt>
                <c:pt idx="58">
                  <c:v>46357</c:v>
                </c:pt>
                <c:pt idx="59">
                  <c:v>46447</c:v>
                </c:pt>
                <c:pt idx="60">
                  <c:v>46537</c:v>
                </c:pt>
                <c:pt idx="61">
                  <c:v>46627</c:v>
                </c:pt>
                <c:pt idx="62">
                  <c:v>46717</c:v>
                </c:pt>
                <c:pt idx="63">
                  <c:v>46807</c:v>
                </c:pt>
                <c:pt idx="64">
                  <c:v>46897</c:v>
                </c:pt>
                <c:pt idx="65">
                  <c:v>46987</c:v>
                </c:pt>
                <c:pt idx="66">
                  <c:v>47077</c:v>
                </c:pt>
                <c:pt idx="67">
                  <c:v>47167</c:v>
                </c:pt>
                <c:pt idx="68">
                  <c:v>47257</c:v>
                </c:pt>
                <c:pt idx="69">
                  <c:v>47347</c:v>
                </c:pt>
                <c:pt idx="70">
                  <c:v>47437</c:v>
                </c:pt>
                <c:pt idx="71">
                  <c:v>47527</c:v>
                </c:pt>
                <c:pt idx="72">
                  <c:v>47617</c:v>
                </c:pt>
                <c:pt idx="73">
                  <c:v>47707</c:v>
                </c:pt>
                <c:pt idx="74">
                  <c:v>47797</c:v>
                </c:pt>
                <c:pt idx="75">
                  <c:v>47887</c:v>
                </c:pt>
                <c:pt idx="76">
                  <c:v>47977</c:v>
                </c:pt>
                <c:pt idx="77">
                  <c:v>48067</c:v>
                </c:pt>
                <c:pt idx="78">
                  <c:v>48157</c:v>
                </c:pt>
                <c:pt idx="79">
                  <c:v>48247</c:v>
                </c:pt>
                <c:pt idx="80">
                  <c:v>48337</c:v>
                </c:pt>
                <c:pt idx="81">
                  <c:v>48427</c:v>
                </c:pt>
                <c:pt idx="82">
                  <c:v>48517</c:v>
                </c:pt>
                <c:pt idx="83">
                  <c:v>48607</c:v>
                </c:pt>
                <c:pt idx="84">
                  <c:v>48697</c:v>
                </c:pt>
                <c:pt idx="85">
                  <c:v>48787</c:v>
                </c:pt>
                <c:pt idx="86">
                  <c:v>48877</c:v>
                </c:pt>
                <c:pt idx="87">
                  <c:v>48967</c:v>
                </c:pt>
                <c:pt idx="88">
                  <c:v>49057</c:v>
                </c:pt>
                <c:pt idx="89">
                  <c:v>49147</c:v>
                </c:pt>
                <c:pt idx="90">
                  <c:v>49237</c:v>
                </c:pt>
                <c:pt idx="91">
                  <c:v>49327</c:v>
                </c:pt>
                <c:pt idx="92">
                  <c:v>49417</c:v>
                </c:pt>
                <c:pt idx="93">
                  <c:v>49507</c:v>
                </c:pt>
                <c:pt idx="94">
                  <c:v>49597</c:v>
                </c:pt>
                <c:pt idx="95">
                  <c:v>49687</c:v>
                </c:pt>
                <c:pt idx="96">
                  <c:v>49777</c:v>
                </c:pt>
                <c:pt idx="97">
                  <c:v>49867</c:v>
                </c:pt>
                <c:pt idx="98">
                  <c:v>49957</c:v>
                </c:pt>
                <c:pt idx="99">
                  <c:v>50047</c:v>
                </c:pt>
                <c:pt idx="100">
                  <c:v>50137</c:v>
                </c:pt>
                <c:pt idx="101">
                  <c:v>50227</c:v>
                </c:pt>
                <c:pt idx="102">
                  <c:v>50317</c:v>
                </c:pt>
                <c:pt idx="103">
                  <c:v>50407</c:v>
                </c:pt>
                <c:pt idx="104">
                  <c:v>50497</c:v>
                </c:pt>
                <c:pt idx="105">
                  <c:v>50587</c:v>
                </c:pt>
                <c:pt idx="106">
                  <c:v>50677</c:v>
                </c:pt>
                <c:pt idx="107">
                  <c:v>50767</c:v>
                </c:pt>
                <c:pt idx="108">
                  <c:v>50857</c:v>
                </c:pt>
                <c:pt idx="109">
                  <c:v>50947</c:v>
                </c:pt>
                <c:pt idx="110">
                  <c:v>51037</c:v>
                </c:pt>
                <c:pt idx="111">
                  <c:v>51127</c:v>
                </c:pt>
                <c:pt idx="112">
                  <c:v>51217</c:v>
                </c:pt>
                <c:pt idx="113">
                  <c:v>51307</c:v>
                </c:pt>
                <c:pt idx="114">
                  <c:v>51397</c:v>
                </c:pt>
                <c:pt idx="115">
                  <c:v>51487</c:v>
                </c:pt>
                <c:pt idx="116">
                  <c:v>51577</c:v>
                </c:pt>
                <c:pt idx="117">
                  <c:v>51667</c:v>
                </c:pt>
                <c:pt idx="118">
                  <c:v>51757</c:v>
                </c:pt>
                <c:pt idx="119">
                  <c:v>51847</c:v>
                </c:pt>
                <c:pt idx="120">
                  <c:v>51937</c:v>
                </c:pt>
                <c:pt idx="121">
                  <c:v>52027</c:v>
                </c:pt>
                <c:pt idx="122">
                  <c:v>52117</c:v>
                </c:pt>
                <c:pt idx="123">
                  <c:v>52207</c:v>
                </c:pt>
                <c:pt idx="124">
                  <c:v>52297</c:v>
                </c:pt>
                <c:pt idx="125">
                  <c:v>52387</c:v>
                </c:pt>
                <c:pt idx="126">
                  <c:v>52477</c:v>
                </c:pt>
                <c:pt idx="127">
                  <c:v>52567</c:v>
                </c:pt>
                <c:pt idx="128">
                  <c:v>52657</c:v>
                </c:pt>
                <c:pt idx="129">
                  <c:v>52747</c:v>
                </c:pt>
                <c:pt idx="130">
                  <c:v>52837</c:v>
                </c:pt>
                <c:pt idx="131">
                  <c:v>52927</c:v>
                </c:pt>
                <c:pt idx="132">
                  <c:v>53017</c:v>
                </c:pt>
                <c:pt idx="133">
                  <c:v>53107</c:v>
                </c:pt>
                <c:pt idx="134">
                  <c:v>53197</c:v>
                </c:pt>
                <c:pt idx="135">
                  <c:v>53287</c:v>
                </c:pt>
                <c:pt idx="136">
                  <c:v>53377</c:v>
                </c:pt>
                <c:pt idx="137">
                  <c:v>53467</c:v>
                </c:pt>
                <c:pt idx="138">
                  <c:v>53557</c:v>
                </c:pt>
                <c:pt idx="139">
                  <c:v>53647</c:v>
                </c:pt>
                <c:pt idx="140">
                  <c:v>53737</c:v>
                </c:pt>
                <c:pt idx="141">
                  <c:v>53827</c:v>
                </c:pt>
                <c:pt idx="142">
                  <c:v>53917</c:v>
                </c:pt>
                <c:pt idx="143">
                  <c:v>54007</c:v>
                </c:pt>
                <c:pt idx="144">
                  <c:v>54097</c:v>
                </c:pt>
                <c:pt idx="145">
                  <c:v>54187</c:v>
                </c:pt>
                <c:pt idx="146">
                  <c:v>54277</c:v>
                </c:pt>
                <c:pt idx="147">
                  <c:v>54367</c:v>
                </c:pt>
                <c:pt idx="148">
                  <c:v>54457</c:v>
                </c:pt>
                <c:pt idx="149">
                  <c:v>54547</c:v>
                </c:pt>
                <c:pt idx="150">
                  <c:v>54637</c:v>
                </c:pt>
                <c:pt idx="151">
                  <c:v>54727</c:v>
                </c:pt>
                <c:pt idx="152">
                  <c:v>54817</c:v>
                </c:pt>
                <c:pt idx="153">
                  <c:v>54907</c:v>
                </c:pt>
                <c:pt idx="154">
                  <c:v>54997</c:v>
                </c:pt>
                <c:pt idx="155">
                  <c:v>55087</c:v>
                </c:pt>
                <c:pt idx="156">
                  <c:v>55177</c:v>
                </c:pt>
                <c:pt idx="157">
                  <c:v>55267</c:v>
                </c:pt>
                <c:pt idx="158">
                  <c:v>55357</c:v>
                </c:pt>
                <c:pt idx="159">
                  <c:v>55447</c:v>
                </c:pt>
                <c:pt idx="160">
                  <c:v>55537</c:v>
                </c:pt>
                <c:pt idx="161">
                  <c:v>55627</c:v>
                </c:pt>
                <c:pt idx="162">
                  <c:v>55717</c:v>
                </c:pt>
                <c:pt idx="163">
                  <c:v>55807</c:v>
                </c:pt>
                <c:pt idx="164">
                  <c:v>55897</c:v>
                </c:pt>
                <c:pt idx="165">
                  <c:v>55987</c:v>
                </c:pt>
                <c:pt idx="166">
                  <c:v>56077</c:v>
                </c:pt>
                <c:pt idx="167">
                  <c:v>56167</c:v>
                </c:pt>
                <c:pt idx="168">
                  <c:v>56257</c:v>
                </c:pt>
                <c:pt idx="169">
                  <c:v>56347</c:v>
                </c:pt>
                <c:pt idx="170">
                  <c:v>56437</c:v>
                </c:pt>
                <c:pt idx="171">
                  <c:v>56527</c:v>
                </c:pt>
                <c:pt idx="172">
                  <c:v>56617</c:v>
                </c:pt>
                <c:pt idx="173">
                  <c:v>56707</c:v>
                </c:pt>
                <c:pt idx="174">
                  <c:v>56797</c:v>
                </c:pt>
                <c:pt idx="175">
                  <c:v>56887</c:v>
                </c:pt>
                <c:pt idx="176">
                  <c:v>56977</c:v>
                </c:pt>
                <c:pt idx="177">
                  <c:v>57067</c:v>
                </c:pt>
                <c:pt idx="178">
                  <c:v>57157</c:v>
                </c:pt>
                <c:pt idx="179">
                  <c:v>57247</c:v>
                </c:pt>
                <c:pt idx="180">
                  <c:v>57337</c:v>
                </c:pt>
                <c:pt idx="181">
                  <c:v>57427</c:v>
                </c:pt>
                <c:pt idx="182">
                  <c:v>57517</c:v>
                </c:pt>
                <c:pt idx="183">
                  <c:v>57607</c:v>
                </c:pt>
                <c:pt idx="184">
                  <c:v>57697</c:v>
                </c:pt>
                <c:pt idx="185">
                  <c:v>57787</c:v>
                </c:pt>
                <c:pt idx="186">
                  <c:v>57877</c:v>
                </c:pt>
                <c:pt idx="187">
                  <c:v>57967</c:v>
                </c:pt>
                <c:pt idx="188">
                  <c:v>58057</c:v>
                </c:pt>
                <c:pt idx="189">
                  <c:v>58147</c:v>
                </c:pt>
                <c:pt idx="190">
                  <c:v>58237</c:v>
                </c:pt>
                <c:pt idx="191">
                  <c:v>58327</c:v>
                </c:pt>
                <c:pt idx="192">
                  <c:v>58417</c:v>
                </c:pt>
                <c:pt idx="193">
                  <c:v>58507</c:v>
                </c:pt>
                <c:pt idx="194">
                  <c:v>58597</c:v>
                </c:pt>
                <c:pt idx="195">
                  <c:v>58687</c:v>
                </c:pt>
                <c:pt idx="196">
                  <c:v>58777</c:v>
                </c:pt>
                <c:pt idx="197">
                  <c:v>58867</c:v>
                </c:pt>
                <c:pt idx="198">
                  <c:v>58957</c:v>
                </c:pt>
                <c:pt idx="199">
                  <c:v>59047</c:v>
                </c:pt>
                <c:pt idx="200">
                  <c:v>59137</c:v>
                </c:pt>
                <c:pt idx="201">
                  <c:v>59227</c:v>
                </c:pt>
                <c:pt idx="202">
                  <c:v>59317</c:v>
                </c:pt>
                <c:pt idx="203">
                  <c:v>59407</c:v>
                </c:pt>
                <c:pt idx="204">
                  <c:v>59497</c:v>
                </c:pt>
                <c:pt idx="205">
                  <c:v>59587</c:v>
                </c:pt>
                <c:pt idx="206">
                  <c:v>59677</c:v>
                </c:pt>
                <c:pt idx="207">
                  <c:v>59767</c:v>
                </c:pt>
                <c:pt idx="208">
                  <c:v>59857</c:v>
                </c:pt>
                <c:pt idx="209">
                  <c:v>59947</c:v>
                </c:pt>
                <c:pt idx="210">
                  <c:v>60037</c:v>
                </c:pt>
                <c:pt idx="211">
                  <c:v>60127</c:v>
                </c:pt>
              </c:numCache>
            </c:numRef>
          </c:cat>
          <c:val>
            <c:numRef>
              <c:f>Sheet3!$I$2:$I$213</c:f>
              <c:numCache>
                <c:formatCode>G/通用格式</c:formatCode>
                <c:ptCount val="212"/>
                <c:pt idx="0">
                  <c:v>2.394583671150274E-2</c:v>
                </c:pt>
                <c:pt idx="1">
                  <c:v>2.394583671093254E-2</c:v>
                </c:pt>
                <c:pt idx="2">
                  <c:v>2.3779705330843132E-2</c:v>
                </c:pt>
                <c:pt idx="3">
                  <c:v>2.3095670925126089E-2</c:v>
                </c:pt>
                <c:pt idx="4">
                  <c:v>2.7092194469756629E-2</c:v>
                </c:pt>
                <c:pt idx="5">
                  <c:v>2.700177059588164E-2</c:v>
                </c:pt>
                <c:pt idx="6">
                  <c:v>2.6537663851604148E-2</c:v>
                </c:pt>
                <c:pt idx="7">
                  <c:v>2.6178520374316148E-2</c:v>
                </c:pt>
                <c:pt idx="8">
                  <c:v>2.4912240831925576E-2</c:v>
                </c:pt>
                <c:pt idx="9">
                  <c:v>2.3649690583706234E-2</c:v>
                </c:pt>
                <c:pt idx="10">
                  <c:v>2.5108855197278249E-2</c:v>
                </c:pt>
                <c:pt idx="11">
                  <c:v>2.6868108172488865E-2</c:v>
                </c:pt>
                <c:pt idx="12">
                  <c:v>2.7310104901104942E-2</c:v>
                </c:pt>
                <c:pt idx="13">
                  <c:v>2.7657114943608681E-2</c:v>
                </c:pt>
                <c:pt idx="14">
                  <c:v>2.8021852486448905E-2</c:v>
                </c:pt>
                <c:pt idx="15">
                  <c:v>2.8348351950901872E-2</c:v>
                </c:pt>
                <c:pt idx="16">
                  <c:v>2.8633924063975334E-2</c:v>
                </c:pt>
                <c:pt idx="17">
                  <c:v>2.8883145683363795E-2</c:v>
                </c:pt>
                <c:pt idx="18">
                  <c:v>2.9112868828377953E-2</c:v>
                </c:pt>
                <c:pt idx="19">
                  <c:v>2.9416434585489055E-2</c:v>
                </c:pt>
                <c:pt idx="20">
                  <c:v>2.9730588054137402E-2</c:v>
                </c:pt>
                <c:pt idx="21">
                  <c:v>3.0095605570770227E-2</c:v>
                </c:pt>
                <c:pt idx="22">
                  <c:v>3.0584146585967208E-2</c:v>
                </c:pt>
                <c:pt idx="23">
                  <c:v>3.1016783927013757E-2</c:v>
                </c:pt>
                <c:pt idx="24">
                  <c:v>3.142893187799517E-2</c:v>
                </c:pt>
                <c:pt idx="25">
                  <c:v>3.1736200370558312E-2</c:v>
                </c:pt>
                <c:pt idx="26">
                  <c:v>3.1647744352723273E-2</c:v>
                </c:pt>
                <c:pt idx="27">
                  <c:v>3.1350524124852015E-2</c:v>
                </c:pt>
                <c:pt idx="28">
                  <c:v>3.1423604829676807E-2</c:v>
                </c:pt>
                <c:pt idx="29">
                  <c:v>3.18699745909529E-2</c:v>
                </c:pt>
                <c:pt idx="30">
                  <c:v>3.2342868366556518E-2</c:v>
                </c:pt>
                <c:pt idx="31">
                  <c:v>3.2729956205064012E-2</c:v>
                </c:pt>
                <c:pt idx="32">
                  <c:v>3.29920277879093E-2</c:v>
                </c:pt>
                <c:pt idx="33">
                  <c:v>3.3202350382978571E-2</c:v>
                </c:pt>
                <c:pt idx="34">
                  <c:v>3.3371302699422296E-2</c:v>
                </c:pt>
                <c:pt idx="35">
                  <c:v>3.3456081105940616E-2</c:v>
                </c:pt>
                <c:pt idx="36">
                  <c:v>3.3473268736811446E-2</c:v>
                </c:pt>
                <c:pt idx="37">
                  <c:v>3.3487604000303983E-2</c:v>
                </c:pt>
                <c:pt idx="38">
                  <c:v>3.3490175322122548E-2</c:v>
                </c:pt>
                <c:pt idx="39">
                  <c:v>3.3488166581501271E-2</c:v>
                </c:pt>
                <c:pt idx="40">
                  <c:v>3.358952131655403E-2</c:v>
                </c:pt>
                <c:pt idx="41">
                  <c:v>3.3879992494993356E-2</c:v>
                </c:pt>
                <c:pt idx="42">
                  <c:v>3.4172661096927487E-2</c:v>
                </c:pt>
                <c:pt idx="43">
                  <c:v>3.4454734172495921E-2</c:v>
                </c:pt>
                <c:pt idx="44">
                  <c:v>3.4717964608445867E-2</c:v>
                </c:pt>
                <c:pt idx="45">
                  <c:v>3.4969589919180651E-2</c:v>
                </c:pt>
                <c:pt idx="46">
                  <c:v>3.5213037491340443E-2</c:v>
                </c:pt>
                <c:pt idx="47">
                  <c:v>3.5446091947643303E-2</c:v>
                </c:pt>
                <c:pt idx="48">
                  <c:v>3.5666949652140033E-2</c:v>
                </c:pt>
                <c:pt idx="49">
                  <c:v>3.5878863427612297E-2</c:v>
                </c:pt>
                <c:pt idx="50">
                  <c:v>3.608463231684593E-2</c:v>
                </c:pt>
                <c:pt idx="51">
                  <c:v>3.6284480405407431E-2</c:v>
                </c:pt>
                <c:pt idx="52">
                  <c:v>3.6472348149429783E-2</c:v>
                </c:pt>
                <c:pt idx="53">
                  <c:v>3.665318244365854E-2</c:v>
                </c:pt>
                <c:pt idx="54">
                  <c:v>3.6829314214596662E-2</c:v>
                </c:pt>
                <c:pt idx="55">
                  <c:v>3.7000890214487089E-2</c:v>
                </c:pt>
                <c:pt idx="56">
                  <c:v>3.716264339910768E-2</c:v>
                </c:pt>
                <c:pt idx="57">
                  <c:v>3.7318766002278278E-2</c:v>
                </c:pt>
                <c:pt idx="58">
                  <c:v>3.7471231421257273E-2</c:v>
                </c:pt>
                <c:pt idx="59">
                  <c:v>3.7620136534435487E-2</c:v>
                </c:pt>
                <c:pt idx="60">
                  <c:v>3.776243715401599E-2</c:v>
                </c:pt>
                <c:pt idx="61">
                  <c:v>3.7888021553555196E-2</c:v>
                </c:pt>
                <c:pt idx="62">
                  <c:v>3.796583479156615E-2</c:v>
                </c:pt>
                <c:pt idx="63">
                  <c:v>3.8038623288516454E-2</c:v>
                </c:pt>
                <c:pt idx="64">
                  <c:v>3.8110732952509482E-2</c:v>
                </c:pt>
                <c:pt idx="65">
                  <c:v>3.8179063725024116E-2</c:v>
                </c:pt>
                <c:pt idx="66">
                  <c:v>3.8245340817942994E-2</c:v>
                </c:pt>
                <c:pt idx="67">
                  <c:v>3.8309653444975465E-2</c:v>
                </c:pt>
                <c:pt idx="68">
                  <c:v>3.8374185790273629E-2</c:v>
                </c:pt>
                <c:pt idx="69">
                  <c:v>3.8449793648125979E-2</c:v>
                </c:pt>
                <c:pt idx="70">
                  <c:v>3.8612894241740532E-2</c:v>
                </c:pt>
                <c:pt idx="71">
                  <c:v>3.8798119614744671E-2</c:v>
                </c:pt>
                <c:pt idx="72">
                  <c:v>3.898572938385747E-2</c:v>
                </c:pt>
                <c:pt idx="73">
                  <c:v>3.9162139804996901E-2</c:v>
                </c:pt>
                <c:pt idx="74">
                  <c:v>3.9333820706985149E-2</c:v>
                </c:pt>
                <c:pt idx="75">
                  <c:v>3.950095823908624E-2</c:v>
                </c:pt>
                <c:pt idx="76">
                  <c:v>3.9669205684143852E-2</c:v>
                </c:pt>
                <c:pt idx="77">
                  <c:v>3.9827643387916251E-2</c:v>
                </c:pt>
                <c:pt idx="78">
                  <c:v>3.9982051387846038E-2</c:v>
                </c:pt>
                <c:pt idx="79">
                  <c:v>4.0132580164627146E-2</c:v>
                </c:pt>
                <c:pt idx="80">
                  <c:v>4.0282668820771875E-2</c:v>
                </c:pt>
                <c:pt idx="81">
                  <c:v>4.0425786878014708E-2</c:v>
                </c:pt>
                <c:pt idx="82">
                  <c:v>4.0567009723028048E-2</c:v>
                </c:pt>
                <c:pt idx="83">
                  <c:v>4.0703287827493294E-2</c:v>
                </c:pt>
                <c:pt idx="84">
                  <c:v>4.0839333768824454E-2</c:v>
                </c:pt>
                <c:pt idx="85">
                  <c:v>4.0970675142525864E-2</c:v>
                </c:pt>
                <c:pt idx="86">
                  <c:v>4.1097528255491275E-2</c:v>
                </c:pt>
                <c:pt idx="87">
                  <c:v>4.1221487640047162E-2</c:v>
                </c:pt>
                <c:pt idx="88">
                  <c:v>4.1345373366221384E-2</c:v>
                </c:pt>
                <c:pt idx="89">
                  <c:v>4.146510585659563E-2</c:v>
                </c:pt>
                <c:pt idx="90">
                  <c:v>4.1580868909780369E-2</c:v>
                </c:pt>
                <c:pt idx="91">
                  <c:v>4.1694107441191293E-2</c:v>
                </c:pt>
                <c:pt idx="92">
                  <c:v>4.1807393346544486E-2</c:v>
                </c:pt>
                <c:pt idx="93">
                  <c:v>4.1916990720605576E-2</c:v>
                </c:pt>
                <c:pt idx="94">
                  <c:v>4.2023056921731916E-2</c:v>
                </c:pt>
                <c:pt idx="95">
                  <c:v>4.2126907609728995E-2</c:v>
                </c:pt>
                <c:pt idx="96">
                  <c:v>4.2229754719010824E-2</c:v>
                </c:pt>
                <c:pt idx="97">
                  <c:v>4.2330474977411964E-2</c:v>
                </c:pt>
                <c:pt idx="98">
                  <c:v>4.2428036225267869E-2</c:v>
                </c:pt>
                <c:pt idx="99">
                  <c:v>4.2523641939329074E-2</c:v>
                </c:pt>
                <c:pt idx="100">
                  <c:v>4.2619457311768381E-2</c:v>
                </c:pt>
                <c:pt idx="101">
                  <c:v>4.2712316043777079E-2</c:v>
                </c:pt>
                <c:pt idx="102">
                  <c:v>4.2802335658838897E-2</c:v>
                </c:pt>
                <c:pt idx="103">
                  <c:v>4.2890621196963102E-2</c:v>
                </c:pt>
                <c:pt idx="104">
                  <c:v>4.2979169785167061E-2</c:v>
                </c:pt>
                <c:pt idx="105">
                  <c:v>4.306505274520922E-2</c:v>
                </c:pt>
                <c:pt idx="106">
                  <c:v>4.3148372557118606E-2</c:v>
                </c:pt>
                <c:pt idx="107">
                  <c:v>4.3231068105905705E-2</c:v>
                </c:pt>
                <c:pt idx="108">
                  <c:v>4.3313129095348214E-2</c:v>
                </c:pt>
                <c:pt idx="109">
                  <c:v>4.3391890474596143E-2</c:v>
                </c:pt>
                <c:pt idx="110">
                  <c:v>4.3469231527667414E-2</c:v>
                </c:pt>
                <c:pt idx="111">
                  <c:v>4.3546045890108499E-2</c:v>
                </c:pt>
                <c:pt idx="112">
                  <c:v>4.3621482456390595E-2</c:v>
                </c:pt>
                <c:pt idx="113">
                  <c:v>4.369475533453332E-2</c:v>
                </c:pt>
                <c:pt idx="114">
                  <c:v>4.3766753080105893E-2</c:v>
                </c:pt>
                <c:pt idx="115">
                  <c:v>4.3838306347670525E-2</c:v>
                </c:pt>
                <c:pt idx="116">
                  <c:v>4.3909402809600324E-2</c:v>
                </c:pt>
                <c:pt idx="117">
                  <c:v>4.3977728300842026E-2</c:v>
                </c:pt>
                <c:pt idx="118">
                  <c:v>4.4044905046343417E-2</c:v>
                </c:pt>
                <c:pt idx="119">
                  <c:v>4.4111706954112026E-2</c:v>
                </c:pt>
                <c:pt idx="120">
                  <c:v>4.4178121260571968E-2</c:v>
                </c:pt>
                <c:pt idx="121">
                  <c:v>4.4241984032703609E-2</c:v>
                </c:pt>
                <c:pt idx="122">
                  <c:v>4.4304808302363045E-2</c:v>
                </c:pt>
                <c:pt idx="123">
                  <c:v>4.4367316746570913E-2</c:v>
                </c:pt>
                <c:pt idx="124">
                  <c:v>4.4429496788295428E-2</c:v>
                </c:pt>
                <c:pt idx="125">
                  <c:v>4.4489320158079868E-2</c:v>
                </c:pt>
                <c:pt idx="126">
                  <c:v>4.4548201666083011E-2</c:v>
                </c:pt>
                <c:pt idx="127">
                  <c:v>4.4606817604220465E-2</c:v>
                </c:pt>
                <c:pt idx="128">
                  <c:v>4.4664512707131385E-2</c:v>
                </c:pt>
                <c:pt idx="129">
                  <c:v>4.4721311240599387E-2</c:v>
                </c:pt>
                <c:pt idx="130">
                  <c:v>4.4776609848276069E-2</c:v>
                </c:pt>
                <c:pt idx="131">
                  <c:v>4.4831071905098337E-2</c:v>
                </c:pt>
                <c:pt idx="132">
                  <c:v>4.4884713243886216E-2</c:v>
                </c:pt>
                <c:pt idx="133">
                  <c:v>4.4939342356511168E-2</c:v>
                </c:pt>
                <c:pt idx="134">
                  <c:v>4.4991375395465702E-2</c:v>
                </c:pt>
                <c:pt idx="135">
                  <c:v>4.5042644631472152E-2</c:v>
                </c:pt>
                <c:pt idx="136">
                  <c:v>4.5093164080282293E-2</c:v>
                </c:pt>
                <c:pt idx="137">
                  <c:v>4.5144636752767933E-2</c:v>
                </c:pt>
                <c:pt idx="138">
                  <c:v>4.519368517243446E-2</c:v>
                </c:pt>
                <c:pt idx="139">
                  <c:v>4.5242034335912756E-2</c:v>
                </c:pt>
                <c:pt idx="140">
                  <c:v>4.5289696727835033E-2</c:v>
                </c:pt>
                <c:pt idx="141">
                  <c:v>4.5338278816900057E-2</c:v>
                </c:pt>
                <c:pt idx="142">
                  <c:v>4.5384592238884289E-2</c:v>
                </c:pt>
                <c:pt idx="143">
                  <c:v>4.5430263873522676E-2</c:v>
                </c:pt>
                <c:pt idx="144">
                  <c:v>4.5475304913146115E-2</c:v>
                </c:pt>
                <c:pt idx="145">
                  <c:v>4.5520732052969096E-2</c:v>
                </c:pt>
                <c:pt idx="146">
                  <c:v>4.5564539849715313E-2</c:v>
                </c:pt>
                <c:pt idx="147">
                  <c:v>4.5607757309424457E-2</c:v>
                </c:pt>
                <c:pt idx="148">
                  <c:v>4.5650393982932712E-2</c:v>
                </c:pt>
                <c:pt idx="149">
                  <c:v>4.5693886444917592E-2</c:v>
                </c:pt>
                <c:pt idx="150">
                  <c:v>4.5735380286070569E-2</c:v>
                </c:pt>
                <c:pt idx="151">
                  <c:v>4.5776792029624869E-2</c:v>
                </c:pt>
                <c:pt idx="152">
                  <c:v>4.5817199858410027E-2</c:v>
                </c:pt>
                <c:pt idx="153">
                  <c:v>4.5857983176772185E-2</c:v>
                </c:pt>
                <c:pt idx="154">
                  <c:v>4.5897786014764054E-2</c:v>
                </c:pt>
                <c:pt idx="155">
                  <c:v>4.5936635832047129E-2</c:v>
                </c:pt>
                <c:pt idx="156">
                  <c:v>4.5974990747609509E-2</c:v>
                </c:pt>
                <c:pt idx="157">
                  <c:v>4.6013714839775177E-2</c:v>
                </c:pt>
                <c:pt idx="158">
                  <c:v>4.6051520797491037E-2</c:v>
                </c:pt>
                <c:pt idx="159">
                  <c:v>4.6088433613069663E-2</c:v>
                </c:pt>
                <c:pt idx="160">
                  <c:v>4.6124888203532124E-2</c:v>
                </c:pt>
                <c:pt idx="161">
                  <c:v>4.6161298625619095E-2</c:v>
                </c:pt>
                <c:pt idx="162">
                  <c:v>4.6197259287813285E-2</c:v>
                </c:pt>
                <c:pt idx="163">
                  <c:v>4.6232381252354779E-2</c:v>
                </c:pt>
                <c:pt idx="164">
                  <c:v>4.6267078305450085E-2</c:v>
                </c:pt>
                <c:pt idx="165">
                  <c:v>4.63021303278126E-2</c:v>
                </c:pt>
                <c:pt idx="166">
                  <c:v>4.6336372927542259E-2</c:v>
                </c:pt>
                <c:pt idx="167">
                  <c:v>4.6369826771766022E-2</c:v>
                </c:pt>
                <c:pt idx="168">
                  <c:v>4.6402885823390569E-2</c:v>
                </c:pt>
                <c:pt idx="169">
                  <c:v>4.6436292438838137E-2</c:v>
                </c:pt>
                <c:pt idx="170">
                  <c:v>4.6468937221372686E-2</c:v>
                </c:pt>
                <c:pt idx="171">
                  <c:v>4.6500839016058504E-2</c:v>
                </c:pt>
                <c:pt idx="172">
                  <c:v>4.6532373402582129E-2</c:v>
                </c:pt>
                <c:pt idx="173">
                  <c:v>4.6564247792807614E-2</c:v>
                </c:pt>
                <c:pt idx="174">
                  <c:v>4.6595404038428802E-2</c:v>
                </c:pt>
                <c:pt idx="175">
                  <c:v>4.662585933006913E-2</c:v>
                </c:pt>
                <c:pt idx="176">
                  <c:v>4.6656312374741847E-2</c:v>
                </c:pt>
                <c:pt idx="177">
                  <c:v>4.6686417367349776E-2</c:v>
                </c:pt>
                <c:pt idx="178">
                  <c:v>4.6715852006383472E-2</c:v>
                </c:pt>
                <c:pt idx="179">
                  <c:v>4.6744960657084902E-2</c:v>
                </c:pt>
                <c:pt idx="180">
                  <c:v>4.6774075371171286E-2</c:v>
                </c:pt>
                <c:pt idx="181">
                  <c:v>4.6803184913040814E-2</c:v>
                </c:pt>
                <c:pt idx="182">
                  <c:v>4.6831335871700297E-2</c:v>
                </c:pt>
                <c:pt idx="183">
                  <c:v>4.6859181794828085E-2</c:v>
                </c:pt>
                <c:pt idx="184">
                  <c:v>4.6887040662907171E-2</c:v>
                </c:pt>
                <c:pt idx="185">
                  <c:v>4.691490099905974E-2</c:v>
                </c:pt>
                <c:pt idx="186">
                  <c:v>4.6941850437613925E-2</c:v>
                </c:pt>
                <c:pt idx="187">
                  <c:v>4.6968514140844908E-2</c:v>
                </c:pt>
                <c:pt idx="188">
                  <c:v>4.6995196424795042E-2</c:v>
                </c:pt>
                <c:pt idx="189">
                  <c:v>4.7021886556497763E-2</c:v>
                </c:pt>
                <c:pt idx="190">
                  <c:v>4.7047709691862005E-2</c:v>
                </c:pt>
                <c:pt idx="191">
                  <c:v>4.7073264891743474E-2</c:v>
                </c:pt>
                <c:pt idx="192">
                  <c:v>4.7098843577436877E-2</c:v>
                </c:pt>
                <c:pt idx="193">
                  <c:v>4.7124152860478268E-2</c:v>
                </c:pt>
                <c:pt idx="194">
                  <c:v>4.7148921696901332E-2</c:v>
                </c:pt>
                <c:pt idx="195">
                  <c:v>4.7173438967888275E-2</c:v>
                </c:pt>
                <c:pt idx="196">
                  <c:v>4.7197984295898505E-2</c:v>
                </c:pt>
                <c:pt idx="197">
                  <c:v>4.7222547532829E-2</c:v>
                </c:pt>
                <c:pt idx="198">
                  <c:v>4.7246591292470767E-2</c:v>
                </c:pt>
                <c:pt idx="199">
                  <c:v>4.7270127244828958E-2</c:v>
                </c:pt>
                <c:pt idx="200">
                  <c:v>4.7293431457999302E-2</c:v>
                </c:pt>
                <c:pt idx="201">
                  <c:v>4.7316502510028481E-2</c:v>
                </c:pt>
                <c:pt idx="202">
                  <c:v>4.7340122248659557E-2</c:v>
                </c:pt>
                <c:pt idx="203">
                  <c:v>4.7362737156021378E-2</c:v>
                </c:pt>
                <c:pt idx="204">
                  <c:v>4.7385133729763378E-2</c:v>
                </c:pt>
                <c:pt idx="205">
                  <c:v>4.7407310860328698E-2</c:v>
                </c:pt>
                <c:pt idx="206">
                  <c:v>4.7430019444190397E-2</c:v>
                </c:pt>
                <c:pt idx="207">
                  <c:v>4.7451766332117715E-2</c:v>
                </c:pt>
                <c:pt idx="208">
                  <c:v>4.7473307267963269E-2</c:v>
                </c:pt>
                <c:pt idx="209">
                  <c:v>4.7494641467588986E-2</c:v>
                </c:pt>
                <c:pt idx="210">
                  <c:v>4.7516251649507742E-2</c:v>
                </c:pt>
                <c:pt idx="211">
                  <c:v>4.75371818320975E-2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256448"/>
        <c:axId val="447257984"/>
      </c:lineChart>
      <c:dateAx>
        <c:axId val="447256448"/>
        <c:scaling>
          <c:orientation val="minMax"/>
        </c:scaling>
        <c:delete val="0"/>
        <c:axPos val="b"/>
        <c:numFmt formatCode="yyyy-m-d" sourceLinked="1"/>
        <c:majorTickMark val="out"/>
        <c:minorTickMark val="none"/>
        <c:tickLblPos val="nextTo"/>
        <c:crossAx val="447257984"/>
        <c:crosses val="autoZero"/>
        <c:auto val="1"/>
        <c:lblOffset val="100"/>
        <c:baseTimeUnit val="months"/>
      </c:dateAx>
      <c:valAx>
        <c:axId val="447257984"/>
        <c:scaling>
          <c:orientation val="minMax"/>
        </c:scaling>
        <c:delete val="0"/>
        <c:axPos val="l"/>
        <c:majorGridlines/>
        <c:numFmt formatCode="G/通用格式" sourceLinked="1"/>
        <c:majorTickMark val="out"/>
        <c:minorTickMark val="none"/>
        <c:tickLblPos val="nextTo"/>
        <c:crossAx val="4472564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857250</xdr:colOff>
      <xdr:row>12</xdr:row>
      <xdr:rowOff>109536</xdr:rowOff>
    </xdr:from>
    <xdr:to>
      <xdr:col>6</xdr:col>
      <xdr:colOff>571500</xdr:colOff>
      <xdr:row>42</xdr:row>
      <xdr:rowOff>133349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19049</xdr:colOff>
      <xdr:row>5</xdr:row>
      <xdr:rowOff>38099</xdr:rowOff>
    </xdr:from>
    <xdr:to>
      <xdr:col>11</xdr:col>
      <xdr:colOff>85724</xdr:colOff>
      <xdr:row>38</xdr:row>
      <xdr:rowOff>47624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1266824</xdr:colOff>
      <xdr:row>73</xdr:row>
      <xdr:rowOff>23811</xdr:rowOff>
    </xdr:from>
    <xdr:to>
      <xdr:col>7</xdr:col>
      <xdr:colOff>47624</xdr:colOff>
      <xdr:row>101</xdr:row>
      <xdr:rowOff>123824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628650</xdr:colOff>
      <xdr:row>5</xdr:row>
      <xdr:rowOff>42862</xdr:rowOff>
    </xdr:from>
    <xdr:to>
      <xdr:col>7</xdr:col>
      <xdr:colOff>200025</xdr:colOff>
      <xdr:row>21</xdr:row>
      <xdr:rowOff>42862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609600</xdr:colOff>
      <xdr:row>6</xdr:row>
      <xdr:rowOff>9524</xdr:rowOff>
    </xdr:from>
    <xdr:to>
      <xdr:col>10</xdr:col>
      <xdr:colOff>1457325</xdr:colOff>
      <xdr:row>21</xdr:row>
      <xdr:rowOff>171449</xdr:rowOff>
    </xdr:to>
    <xdr:graphicFrame macro="">
      <xdr:nvGraphicFramePr>
        <xdr:cNvPr id="7" name="图表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33336</xdr:rowOff>
    </xdr:from>
    <xdr:to>
      <xdr:col>3</xdr:col>
      <xdr:colOff>1952625</xdr:colOff>
      <xdr:row>35</xdr:row>
      <xdr:rowOff>95249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0"/>
  <sheetViews>
    <sheetView tabSelected="1" workbookViewId="0">
      <selection activeCell="B5" sqref="B5"/>
    </sheetView>
  </sheetViews>
  <sheetFormatPr defaultRowHeight="15" x14ac:dyDescent="0.25"/>
  <cols>
    <col min="1" max="2" width="10.5" style="3" bestFit="1" customWidth="1"/>
    <col min="3" max="3" width="28" style="3" bestFit="1" customWidth="1"/>
    <col min="4" max="5" width="37.125" style="3" bestFit="1" customWidth="1"/>
    <col min="6" max="6" width="17.25" style="3" bestFit="1" customWidth="1"/>
    <col min="7" max="16384" width="9" style="3"/>
  </cols>
  <sheetData>
    <row r="1" spans="1:6" x14ac:dyDescent="0.25">
      <c r="A1" s="3" t="s">
        <v>32</v>
      </c>
      <c r="C1" s="3" t="s">
        <v>33</v>
      </c>
      <c r="D1" s="3" t="s">
        <v>34</v>
      </c>
      <c r="E1" s="3" t="s">
        <v>35</v>
      </c>
    </row>
    <row r="2" spans="1:6" x14ac:dyDescent="0.25">
      <c r="A2" s="4">
        <v>41127</v>
      </c>
      <c r="C2" s="3" t="s">
        <v>2133</v>
      </c>
      <c r="D2" s="3" t="str">
        <f ca="1">"CNY_Treasury_Live_Curve_"&amp;YEAR(A2)&amp;"-"&amp;MONTH(A2)&amp;"-"&amp;DAY(A2)</f>
        <v>CNY_Treasury_Live_Curve_2012-8-6</v>
      </c>
      <c r="E2" s="3" t="str">
        <f ca="1">deserializeObject(C2,D2&amp;".xml",TRUE)</f>
        <v>CNY_Treasury_Live_Curve_2012-8-6</v>
      </c>
    </row>
    <row r="4" spans="1:6" x14ac:dyDescent="0.25">
      <c r="A4" s="3" t="b">
        <f ca="1">_xll.qlSettingsSetEvaluationDate(A2)</f>
        <v>1</v>
      </c>
      <c r="C4" s="3">
        <f ca="1">MATCH(A2,'中债收益率曲线（银行间）'!$A$2:$A$400,0)</f>
        <v>148</v>
      </c>
    </row>
    <row r="9" spans="1:6" x14ac:dyDescent="0.25">
      <c r="A9" s="21"/>
      <c r="B9" s="22" t="s">
        <v>36</v>
      </c>
      <c r="C9" s="23" t="s">
        <v>39</v>
      </c>
      <c r="D9" s="23" t="s">
        <v>37</v>
      </c>
      <c r="E9" s="23" t="s">
        <v>40</v>
      </c>
      <c r="F9" s="24" t="s">
        <v>38</v>
      </c>
    </row>
    <row r="10" spans="1:6" x14ac:dyDescent="0.25">
      <c r="A10" s="11">
        <v>0</v>
      </c>
      <c r="B10" s="5">
        <f ca="1">A2</f>
        <v>41127</v>
      </c>
      <c r="C10" s="15">
        <f t="array" aca="1" ref="C10:C40" ca="1">_xll.qlYieldTSZeroRate($E$2,B10:B40,"Bond Basis","Compounded",,TRUE)</f>
        <v>2.1589338925864343E-2</v>
      </c>
      <c r="D10" s="16">
        <f ca="1">OFFSET('中债收益率曲线（银行间）'!$A$1,'中大 &amp; 中债'!$C$4,'中大 &amp; 中债'!A10+1)</f>
        <v>1.423E-2</v>
      </c>
      <c r="E10" s="17">
        <f t="array" aca="1" ref="E10:E40" ca="1">_xll.qlYieldTSDiscount($E$2,B10:B40,TRUE)</f>
        <v>1</v>
      </c>
      <c r="F10" s="18">
        <f ca="1">(1+D10)^-A10</f>
        <v>1</v>
      </c>
    </row>
    <row r="11" spans="1:6" x14ac:dyDescent="0.25">
      <c r="A11" s="11">
        <v>1</v>
      </c>
      <c r="B11" s="5">
        <f ca="1">_xll.qlCalendarAdvance("Null",B10,"1Y","UnAdjusted")</f>
        <v>41492</v>
      </c>
      <c r="C11" s="19">
        <f ca="1"/>
        <v>2.4459572654973449E-2</v>
      </c>
      <c r="D11" s="6">
        <f ca="1">OFFSET('中债收益率曲线（银行间）'!$A$1,'中大 &amp; 中债'!$C$4,'中大 &amp; 中债'!A11+1)</f>
        <v>2.3727999999999999E-2</v>
      </c>
      <c r="E11" s="7">
        <f ca="1"/>
        <v>0.9761244139760592</v>
      </c>
      <c r="F11" s="12">
        <f t="shared" ref="F11:F40" ca="1" si="0">(1+D11)^-A11</f>
        <v>0.97682196833533907</v>
      </c>
    </row>
    <row r="12" spans="1:6" x14ac:dyDescent="0.25">
      <c r="A12" s="11">
        <v>2</v>
      </c>
      <c r="B12" s="5">
        <f ca="1">_xll.qlCalendarAdvance("Null",B11,"1Y","UnAdjusted")</f>
        <v>41857</v>
      </c>
      <c r="C12" s="19">
        <f ca="1"/>
        <v>2.3672460163727704E-2</v>
      </c>
      <c r="D12" s="6">
        <f ca="1">OFFSET('中债收益率曲线（银行间）'!$A$1,'中大 &amp; 中债'!$C$4,'中大 &amp; 中债'!A12+1)</f>
        <v>2.4296999999999999E-2</v>
      </c>
      <c r="E12" s="7">
        <f ca="1"/>
        <v>0.95428469973652352</v>
      </c>
      <c r="F12" s="12">
        <f t="shared" ca="1" si="0"/>
        <v>0.95312135138074228</v>
      </c>
    </row>
    <row r="13" spans="1:6" x14ac:dyDescent="0.25">
      <c r="A13" s="11">
        <v>3</v>
      </c>
      <c r="B13" s="5">
        <f ca="1">_xll.qlCalendarAdvance("Null",B12,"1Y","UnAdjusted")</f>
        <v>42222</v>
      </c>
      <c r="C13" s="19">
        <f ca="1"/>
        <v>2.6459344012914388E-2</v>
      </c>
      <c r="D13" s="6">
        <f ca="1">OFFSET('中债收益率曲线（银行间）'!$A$1,'中大 &amp; 中债'!$C$4,'中大 &amp; 中债'!A13+1)</f>
        <v>2.6852000000000001E-2</v>
      </c>
      <c r="E13" s="7">
        <f ca="1"/>
        <v>0.92464439721575586</v>
      </c>
      <c r="F13" s="12">
        <f t="shared" ca="1" si="0"/>
        <v>0.92358408372278999</v>
      </c>
    </row>
    <row r="14" spans="1:6" x14ac:dyDescent="0.25">
      <c r="A14" s="11">
        <v>4</v>
      </c>
      <c r="B14" s="5">
        <f ca="1">_xll.qlCalendarAdvance("Null",B13,"1Y","UnAdjusted")</f>
        <v>42588</v>
      </c>
      <c r="C14" s="19">
        <f ca="1"/>
        <v>2.6894605927415993E-2</v>
      </c>
      <c r="D14" s="6">
        <f ca="1">OFFSET('中债收益率曲线（银行间）'!$A$1,'中大 &amp; 中债'!$C$4,'中大 &amp; 中债'!A14+1)</f>
        <v>2.7078999999999999E-2</v>
      </c>
      <c r="E14" s="7">
        <f ca="1"/>
        <v>0.89928326087369181</v>
      </c>
      <c r="F14" s="12">
        <f t="shared" ca="1" si="0"/>
        <v>0.89863763243643213</v>
      </c>
    </row>
    <row r="15" spans="1:6" x14ac:dyDescent="0.25">
      <c r="A15" s="11">
        <v>5</v>
      </c>
      <c r="B15" s="5">
        <f ca="1">_xll.qlCalendarAdvance("Null",B14,"1Y","UnAdjusted")</f>
        <v>42953</v>
      </c>
      <c r="C15" s="19">
        <f ca="1"/>
        <v>2.8913503470972213E-2</v>
      </c>
      <c r="D15" s="6">
        <f ca="1">OFFSET('中债收益率曲线（银行间）'!$A$1,'中大 &amp; 中债'!$C$4,'中大 &amp; 中债'!A15+1)</f>
        <v>2.9314E-2</v>
      </c>
      <c r="E15" s="7">
        <f ca="1"/>
        <v>0.86717283609540374</v>
      </c>
      <c r="F15" s="12">
        <f t="shared" ca="1" si="0"/>
        <v>0.8654871038802201</v>
      </c>
    </row>
    <row r="16" spans="1:6" x14ac:dyDescent="0.25">
      <c r="A16" s="11">
        <v>6</v>
      </c>
      <c r="B16" s="5">
        <f ca="1">_xll.qlCalendarAdvance("Null",B15,"1Y","UnAdjusted")</f>
        <v>43318</v>
      </c>
      <c r="C16" s="19">
        <f ca="1"/>
        <v>3.111479467715661E-2</v>
      </c>
      <c r="D16" s="6">
        <f ca="1">OFFSET('中债收益率曲线（银行间）'!$A$1,'中大 &amp; 中债'!$C$4,'中大 &amp; 中债'!A16+1)</f>
        <v>3.1174E-2</v>
      </c>
      <c r="E16" s="7">
        <f ca="1"/>
        <v>0.83206621892259591</v>
      </c>
      <c r="F16" s="12">
        <f t="shared" ca="1" si="0"/>
        <v>0.83177961930767941</v>
      </c>
    </row>
    <row r="17" spans="1:6" x14ac:dyDescent="0.25">
      <c r="A17" s="11">
        <v>7</v>
      </c>
      <c r="B17" s="5">
        <f ca="1">_xll.qlCalendarAdvance("Null",B16,"1Y","UnAdjusted")</f>
        <v>43683</v>
      </c>
      <c r="C17" s="19">
        <f ca="1"/>
        <v>3.1763999865638493E-2</v>
      </c>
      <c r="D17" s="6">
        <f ca="1">OFFSET('中债收益率曲线（银行间）'!$A$1,'中大 &amp; 中债'!$C$4,'中大 &amp; 中债'!A17+1)</f>
        <v>3.1878999999999998E-2</v>
      </c>
      <c r="E17" s="7">
        <f ca="1"/>
        <v>0.80341032119265909</v>
      </c>
      <c r="F17" s="12">
        <f t="shared" ca="1" si="0"/>
        <v>0.80278376529799234</v>
      </c>
    </row>
    <row r="18" spans="1:6" x14ac:dyDescent="0.25">
      <c r="A18" s="11">
        <v>8</v>
      </c>
      <c r="B18" s="5">
        <f ca="1">_xll.qlCalendarAdvance("Null",B17,"1Y","UnAdjusted")</f>
        <v>44049</v>
      </c>
      <c r="C18" s="19">
        <f ca="1"/>
        <v>3.3180168893511608E-2</v>
      </c>
      <c r="D18" s="6">
        <f ca="1">OFFSET('中债收益率曲线（银行间）'!$A$1,'中大 &amp; 中债'!$C$4,'中大 &amp; 中债'!A18+1)</f>
        <v>3.3242000000000001E-2</v>
      </c>
      <c r="E18" s="7">
        <f ca="1"/>
        <v>0.77017870589612603</v>
      </c>
      <c r="F18" s="12">
        <f t="shared" ca="1" si="0"/>
        <v>0.76981007180093364</v>
      </c>
    </row>
    <row r="19" spans="1:6" x14ac:dyDescent="0.25">
      <c r="A19" s="11">
        <v>9</v>
      </c>
      <c r="B19" s="5">
        <f ca="1">_xll.qlCalendarAdvance("Null",B18,"1Y","UnAdjusted")</f>
        <v>44414</v>
      </c>
      <c r="C19" s="19">
        <f ca="1"/>
        <v>3.4181495753747404E-2</v>
      </c>
      <c r="D19" s="6">
        <f ca="1">OFFSET('中债收益率曲线（银行间）'!$A$1,'中大 &amp; 中债'!$C$4,'中大 &amp; 中债'!A19+1)</f>
        <v>3.3694000000000002E-2</v>
      </c>
      <c r="E19" s="7">
        <f ca="1"/>
        <v>0.73897395929025833</v>
      </c>
      <c r="F19" s="12">
        <f t="shared" ca="1" si="0"/>
        <v>0.74211642014959189</v>
      </c>
    </row>
    <row r="20" spans="1:6" x14ac:dyDescent="0.25">
      <c r="A20" s="11">
        <v>10</v>
      </c>
      <c r="B20" s="5">
        <f ca="1">_xll.qlCalendarAdvance("Null",B19,"1Y","UnAdjusted")</f>
        <v>44779</v>
      </c>
      <c r="C20" s="19">
        <f ca="1"/>
        <v>3.4104730486345991E-2</v>
      </c>
      <c r="D20" s="6">
        <f ca="1">OFFSET('中债收益率曲线（银行间）'!$A$1,'中大 &amp; 中债'!$C$4,'中大 &amp; 中债'!A20+1)</f>
        <v>3.3835999999999998E-2</v>
      </c>
      <c r="E20" s="7">
        <f ca="1"/>
        <v>0.71508019842875059</v>
      </c>
      <c r="F20" s="12">
        <f t="shared" ca="1" si="0"/>
        <v>0.71694112009471411</v>
      </c>
    </row>
    <row r="21" spans="1:6" x14ac:dyDescent="0.25">
      <c r="A21" s="11">
        <v>11</v>
      </c>
      <c r="B21" s="5">
        <f ca="1">_xll.qlCalendarAdvance("Null",B20,"1Y","UnAdjusted")</f>
        <v>45144</v>
      </c>
      <c r="C21" s="19">
        <f ca="1"/>
        <v>3.5378194027037457E-2</v>
      </c>
      <c r="D21" s="6">
        <f ca="1">OFFSET('中债收益率曲线（银行间）'!$A$1,'中大 &amp; 中债'!$C$4,'中大 &amp; 中债'!A21+1)</f>
        <v>3.4294999999999999E-2</v>
      </c>
      <c r="E21" s="7">
        <f ca="1"/>
        <v>0.68219863278016124</v>
      </c>
      <c r="F21" s="12">
        <f t="shared" ca="1" si="0"/>
        <v>0.69009888005651876</v>
      </c>
    </row>
    <row r="22" spans="1:6" x14ac:dyDescent="0.25">
      <c r="A22" s="11">
        <v>12</v>
      </c>
      <c r="B22" s="5">
        <f ca="1">_xll.qlCalendarAdvance("Null",B21,"1Y","UnAdjusted")</f>
        <v>45510</v>
      </c>
      <c r="C22" s="19">
        <f ca="1"/>
        <v>3.6440611512373211E-2</v>
      </c>
      <c r="D22" s="6">
        <f ca="1">OFFSET('中债收益率曲线（银行间）'!$A$1,'中大 &amp; 中债'!$C$4,'中大 &amp; 中债'!A22+1)</f>
        <v>3.5014999999999998E-2</v>
      </c>
      <c r="E22" s="7">
        <f ca="1"/>
        <v>0.65082906167690857</v>
      </c>
      <c r="F22" s="12">
        <f t="shared" ca="1" si="0"/>
        <v>0.66166821638293649</v>
      </c>
    </row>
    <row r="23" spans="1:6" x14ac:dyDescent="0.25">
      <c r="A23" s="11">
        <v>13</v>
      </c>
      <c r="B23" s="5">
        <f ca="1">_xll.qlCalendarAdvance("Null",B22,"1Y","UnAdjusted")</f>
        <v>45875</v>
      </c>
      <c r="C23" s="19">
        <f ca="1"/>
        <v>3.7340431597214341E-2</v>
      </c>
      <c r="D23" s="6">
        <f ca="1">OFFSET('中债收益率曲线（银行间）'!$A$1,'中大 &amp; 中债'!$C$4,'中大 &amp; 中债'!A23+1)</f>
        <v>3.5893000000000001E-2</v>
      </c>
      <c r="E23" s="7">
        <f ca="1"/>
        <v>0.62090195900428247</v>
      </c>
      <c r="F23" s="12">
        <f t="shared" ca="1" si="0"/>
        <v>0.63227545298864785</v>
      </c>
    </row>
    <row r="24" spans="1:6" x14ac:dyDescent="0.25">
      <c r="A24" s="11">
        <v>14</v>
      </c>
      <c r="B24" s="5">
        <f ca="1">_xll.qlCalendarAdvance("Null",B23,"1Y","UnAdjusted")</f>
        <v>46240</v>
      </c>
      <c r="C24" s="19">
        <f ca="1"/>
        <v>3.8112327708120786E-2</v>
      </c>
      <c r="D24" s="6">
        <f ca="1">OFFSET('中债收益率曲线（银行间）'!$A$1,'中大 &amp; 中债'!$C$4,'中大 &amp; 中债'!A24+1)</f>
        <v>3.6823000000000002E-2</v>
      </c>
      <c r="E24" s="7">
        <f ca="1"/>
        <v>0.59235099567010308</v>
      </c>
      <c r="F24" s="12">
        <f t="shared" ca="1" si="0"/>
        <v>0.60274731279925242</v>
      </c>
    </row>
    <row r="25" spans="1:6" x14ac:dyDescent="0.25">
      <c r="A25" s="11">
        <v>15</v>
      </c>
      <c r="B25" s="5">
        <f ca="1">_xll.qlCalendarAdvance("Null",B24,"1Y","UnAdjusted")</f>
        <v>46605</v>
      </c>
      <c r="C25" s="19">
        <f ca="1"/>
        <v>3.878176892869889E-2</v>
      </c>
      <c r="D25" s="6">
        <f ca="1">OFFSET('中债收益率曲线（银行间）'!$A$1,'中大 &amp; 中债'!$C$4,'中大 &amp; 中债'!A25+1)</f>
        <v>3.7687999999999999E-2</v>
      </c>
      <c r="E25" s="7">
        <f ca="1"/>
        <v>0.56511289259588626</v>
      </c>
      <c r="F25" s="12">
        <f t="shared" ca="1" si="0"/>
        <v>0.57411392721076659</v>
      </c>
    </row>
    <row r="26" spans="1:6" x14ac:dyDescent="0.25">
      <c r="A26" s="11">
        <v>16</v>
      </c>
      <c r="B26" s="5">
        <f ca="1">_xll.qlCalendarAdvance("Null",B25,"1Y","UnAdjusted")</f>
        <v>46971</v>
      </c>
      <c r="C26" s="19">
        <f ca="1"/>
        <v>3.9070465454054348E-2</v>
      </c>
      <c r="D26" s="6">
        <f ca="1">OFFSET('中债收益率曲线（银行间）'!$A$1,'中大 &amp; 中债'!$C$4,'中大 &amp; 中债'!A26+1)</f>
        <v>3.8460000000000001E-2</v>
      </c>
      <c r="E26" s="7">
        <f ca="1"/>
        <v>0.54160166434245249</v>
      </c>
      <c r="F26" s="12">
        <f t="shared" ca="1" si="0"/>
        <v>0.54671833065364128</v>
      </c>
    </row>
    <row r="27" spans="1:6" x14ac:dyDescent="0.25">
      <c r="A27" s="11">
        <v>17</v>
      </c>
      <c r="B27" s="5">
        <f ca="1">_xll.qlCalendarAdvance("Null",B26,"1Y","UnAdjusted")</f>
        <v>47336</v>
      </c>
      <c r="C27" s="19">
        <f ca="1"/>
        <v>3.931726571348082E-2</v>
      </c>
      <c r="D27" s="6">
        <f ca="1">OFFSET('中债收益率曲线（银行间）'!$A$1,'中大 &amp; 中债'!$C$4,'中大 &amp; 中债'!A27+1)</f>
        <v>3.9209999999999995E-2</v>
      </c>
      <c r="E27" s="7">
        <f ca="1"/>
        <v>0.51913652359772733</v>
      </c>
      <c r="F27" s="12">
        <f t="shared" ca="1" si="0"/>
        <v>0.52004821271232726</v>
      </c>
    </row>
    <row r="28" spans="1:6" x14ac:dyDescent="0.25">
      <c r="A28" s="11">
        <v>18</v>
      </c>
      <c r="B28" s="5">
        <f ca="1">_xll.qlCalendarAdvance("Null",B27,"1Y","UnAdjusted")</f>
        <v>47701</v>
      </c>
      <c r="C28" s="19">
        <f ca="1"/>
        <v>4.0063962946123466E-2</v>
      </c>
      <c r="D28" s="6">
        <f ca="1">OFFSET('中债收益率曲线（银行间）'!$A$1,'中大 &amp; 中债'!$C$4,'中大 &amp; 中债'!A28+1)</f>
        <v>3.9956999999999999E-2</v>
      </c>
      <c r="E28" s="7">
        <f ca="1"/>
        <v>0.49308196867077364</v>
      </c>
      <c r="F28" s="12">
        <f t="shared" ca="1" si="0"/>
        <v>0.49399563858728418</v>
      </c>
    </row>
    <row r="29" spans="1:6" x14ac:dyDescent="0.25">
      <c r="A29" s="11">
        <v>19</v>
      </c>
      <c r="B29" s="5">
        <f ca="1">_xll.qlCalendarAdvance("Null",B28,"1Y","UnAdjusted")</f>
        <v>48066</v>
      </c>
      <c r="C29" s="19">
        <f ca="1"/>
        <v>4.073628913191718E-2</v>
      </c>
      <c r="D29" s="6">
        <f ca="1">OFFSET('中债收益率曲线（银行间）'!$A$1,'中大 &amp; 中债'!$C$4,'中大 &amp; 中债'!A29+1)</f>
        <v>4.0719999999999999E-2</v>
      </c>
      <c r="E29" s="7">
        <f ca="1"/>
        <v>0.46830277992086505</v>
      </c>
      <c r="F29" s="12">
        <f t="shared" ca="1" si="0"/>
        <v>0.46844206530781157</v>
      </c>
    </row>
    <row r="30" spans="1:6" x14ac:dyDescent="0.25">
      <c r="A30" s="11">
        <v>20</v>
      </c>
      <c r="B30" s="5">
        <f ca="1">_xll.qlCalendarAdvance("Null",B29,"1Y","UnAdjusted")</f>
        <v>48432</v>
      </c>
      <c r="C30" s="19">
        <f ca="1"/>
        <v>4.1272640143617201E-2</v>
      </c>
      <c r="D30" s="6">
        <f ca="1">OFFSET('中债收益率曲线（银行间）'!$A$1,'中大 &amp; 中债'!$C$4,'中大 &amp; 中债'!A30+1)</f>
        <v>4.1521000000000002E-2</v>
      </c>
      <c r="E30" s="7">
        <f ca="1"/>
        <v>0.44535963709982579</v>
      </c>
      <c r="F30" s="12">
        <f t="shared" ca="1" si="0"/>
        <v>0.44324044327541473</v>
      </c>
    </row>
    <row r="31" spans="1:6" x14ac:dyDescent="0.25">
      <c r="A31" s="11">
        <v>21</v>
      </c>
      <c r="B31" s="5">
        <f ca="1">_xll.qlCalendarAdvance("Null",B30,"1Y","UnAdjusted")</f>
        <v>48797</v>
      </c>
      <c r="C31" s="19">
        <f ca="1"/>
        <v>4.175814828116664E-2</v>
      </c>
      <c r="D31" s="6">
        <f ca="1">OFFSET('中债收益率曲线（银行间）'!$A$1,'中大 &amp; 中债'!$C$4,'中大 &amp; 中债'!A31+1)</f>
        <v>4.2268999999999994E-2</v>
      </c>
      <c r="E31" s="7">
        <f ca="1"/>
        <v>0.42354052732978731</v>
      </c>
      <c r="F31" s="12">
        <f t="shared" ca="1" si="0"/>
        <v>0.41920240222949534</v>
      </c>
    </row>
    <row r="32" spans="1:6" x14ac:dyDescent="0.25">
      <c r="A32" s="11">
        <v>22</v>
      </c>
      <c r="B32" s="5">
        <f ca="1">_xll.qlCalendarAdvance("Null",B31,"1Y","UnAdjusted")</f>
        <v>49162</v>
      </c>
      <c r="C32" s="19">
        <f ca="1"/>
        <v>4.2199715753691081E-2</v>
      </c>
      <c r="D32" s="6">
        <f ca="1">OFFSET('中债收益率曲线（银行间）'!$A$1,'中大 &amp; 中债'!$C$4,'中大 &amp; 中债'!A32+1)</f>
        <v>4.2866999999999995E-2</v>
      </c>
      <c r="E32" s="7">
        <f ca="1"/>
        <v>0.40279038185623778</v>
      </c>
      <c r="F32" s="12">
        <f t="shared" ca="1" si="0"/>
        <v>0.39715830508967942</v>
      </c>
    </row>
    <row r="33" spans="1:6" x14ac:dyDescent="0.25">
      <c r="A33" s="11">
        <v>23</v>
      </c>
      <c r="B33" s="5">
        <f ca="1">_xll.qlCalendarAdvance("Null",B32,"1Y","UnAdjusted")</f>
        <v>49527</v>
      </c>
      <c r="C33" s="19">
        <f ca="1"/>
        <v>4.2603049513455504E-2</v>
      </c>
      <c r="D33" s="6">
        <f ca="1">OFFSET('中债收益率曲线（银行间）'!$A$1,'中大 &amp; 中债'!$C$4,'中大 &amp; 中债'!A33+1)</f>
        <v>4.333E-2</v>
      </c>
      <c r="E33" s="7">
        <f ca="1"/>
        <v>0.38305682985932199</v>
      </c>
      <c r="F33" s="12">
        <f t="shared" ca="1" si="0"/>
        <v>0.37696498162474484</v>
      </c>
    </row>
    <row r="34" spans="1:6" x14ac:dyDescent="0.25">
      <c r="A34" s="11">
        <v>24</v>
      </c>
      <c r="B34" s="5">
        <f ca="1">_xll.qlCalendarAdvance("Null",B33,"1Y","UnAdjusted")</f>
        <v>49893</v>
      </c>
      <c r="C34" s="19">
        <f ca="1"/>
        <v>4.2972909246812963E-2</v>
      </c>
      <c r="D34" s="6">
        <f ca="1">OFFSET('中债收益率曲线（银行间）'!$A$1,'中大 &amp; 中债'!$C$4,'中大 &amp; 中债'!A34+1)</f>
        <v>4.3676000000000006E-2</v>
      </c>
      <c r="E34" s="7">
        <f ca="1"/>
        <v>0.3642900662763211</v>
      </c>
      <c r="F34" s="12">
        <f t="shared" ca="1" si="0"/>
        <v>0.35844562102258143</v>
      </c>
    </row>
    <row r="35" spans="1:6" x14ac:dyDescent="0.25">
      <c r="A35" s="11">
        <v>25</v>
      </c>
      <c r="B35" s="5">
        <f ca="1">_xll.qlCalendarAdvance("Null",B34,"1Y","UnAdjusted")</f>
        <v>50258</v>
      </c>
      <c r="C35" s="19">
        <f ca="1"/>
        <v>4.3313296081923136E-2</v>
      </c>
      <c r="D35" s="6">
        <f ca="1">OFFSET('中债收益率曲线（银行间）'!$A$1,'中大 &amp; 中债'!$C$4,'中大 &amp; 中债'!A35+1)</f>
        <v>4.3926E-2</v>
      </c>
      <c r="E35" s="7">
        <f ca="1"/>
        <v>0.34644272609978866</v>
      </c>
      <c r="F35" s="12">
        <f t="shared" ca="1" si="0"/>
        <v>0.34139499018525937</v>
      </c>
    </row>
    <row r="36" spans="1:6" x14ac:dyDescent="0.25">
      <c r="A36" s="11">
        <v>26</v>
      </c>
      <c r="B36" s="5">
        <f ca="1">_xll.qlCalendarAdvance("Null",B35,"1Y","UnAdjusted")</f>
        <v>50623</v>
      </c>
      <c r="C36" s="19">
        <f ca="1"/>
        <v>4.3627597913534988E-2</v>
      </c>
      <c r="D36" s="6">
        <f ca="1">OFFSET('中债收益率曲线（银行间）'!$A$1,'中大 &amp; 中债'!$C$4,'中大 &amp; 中债'!A36+1)</f>
        <v>4.4103000000000003E-2</v>
      </c>
      <c r="E36" s="7">
        <f ca="1"/>
        <v>0.32946976483408613</v>
      </c>
      <c r="F36" s="12">
        <f t="shared" ca="1" si="0"/>
        <v>0.32559150563365902</v>
      </c>
    </row>
    <row r="37" spans="1:6" x14ac:dyDescent="0.25">
      <c r="A37" s="11">
        <v>27</v>
      </c>
      <c r="B37" s="5">
        <f ca="1">_xll.qlCalendarAdvance("Null",B36,"1Y","UnAdjusted")</f>
        <v>50988</v>
      </c>
      <c r="C37" s="19">
        <f ca="1"/>
        <v>4.3918702551165367E-2</v>
      </c>
      <c r="D37" s="6">
        <f ca="1">OFFSET('中债收益率曲线（银行间）'!$A$1,'中大 &amp; 中债'!$C$4,'中大 &amp; 中债'!A37+1)</f>
        <v>4.4231999999999994E-2</v>
      </c>
      <c r="E37" s="7">
        <f ca="1"/>
        <v>0.31332834480860605</v>
      </c>
      <c r="F37" s="12">
        <f t="shared" ca="1" si="0"/>
        <v>0.31080003469289452</v>
      </c>
    </row>
    <row r="38" spans="1:6" x14ac:dyDescent="0.25">
      <c r="A38" s="11">
        <v>28</v>
      </c>
      <c r="B38" s="5">
        <f ca="1">_xll.qlCalendarAdvance("Null",B37,"1Y","UnAdjusted")</f>
        <v>51354</v>
      </c>
      <c r="C38" s="19">
        <f ca="1"/>
        <v>4.4189086706494907E-2</v>
      </c>
      <c r="D38" s="6">
        <f ca="1">OFFSET('中债收益率曲线（银行间）'!$A$1,'中大 &amp; 中债'!$C$4,'中大 &amp; 中债'!A38+1)</f>
        <v>4.4340999999999998E-2</v>
      </c>
      <c r="E38" s="7">
        <f ca="1"/>
        <v>0.29797772706074976</v>
      </c>
      <c r="F38" s="12">
        <f t="shared" ca="1" si="0"/>
        <v>0.29676645227904597</v>
      </c>
    </row>
    <row r="39" spans="1:6" x14ac:dyDescent="0.25">
      <c r="A39" s="11">
        <v>29</v>
      </c>
      <c r="B39" s="5">
        <f ca="1">_xll.qlCalendarAdvance("Null",B38,"1Y","UnAdjusted")</f>
        <v>51719</v>
      </c>
      <c r="C39" s="19">
        <f ca="1"/>
        <v>4.4440886632072463E-2</v>
      </c>
      <c r="D39" s="6">
        <f ca="1">OFFSET('中债收益率曲线（银行间）'!$A$1,'中大 &amp; 中债'!$C$4,'中大 &amp; 中债'!A39+1)</f>
        <v>4.446E-2</v>
      </c>
      <c r="E39" s="7">
        <f ca="1"/>
        <v>0.28337916851578721</v>
      </c>
      <c r="F39" s="12">
        <f t="shared" ca="1" si="0"/>
        <v>0.28322881968106312</v>
      </c>
    </row>
    <row r="40" spans="1:6" x14ac:dyDescent="0.25">
      <c r="A40" s="13">
        <v>30</v>
      </c>
      <c r="B40" s="8">
        <f ca="1">_xll.qlCalendarAdvance("Null",B39,"1Y","UnAdjusted")</f>
        <v>52084</v>
      </c>
      <c r="C40" s="20">
        <f ca="1"/>
        <v>4.4675954678620178E-2</v>
      </c>
      <c r="D40" s="9">
        <f ca="1">OFFSET('中债收益率曲线（银行间）'!$A$1,'中大 &amp; 中债'!$C$4,'中大 &amp; 中债'!A40+1)</f>
        <v>4.4618000000000005E-2</v>
      </c>
      <c r="E40" s="10">
        <f ca="1"/>
        <v>0.26949582420409274</v>
      </c>
      <c r="F40" s="14">
        <f t="shared" ca="1" si="0"/>
        <v>0.26994472843680417</v>
      </c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75"/>
  <sheetViews>
    <sheetView topLeftCell="A10" workbookViewId="0">
      <selection activeCell="L14" sqref="L14"/>
    </sheetView>
  </sheetViews>
  <sheetFormatPr defaultRowHeight="15" x14ac:dyDescent="0.25"/>
  <cols>
    <col min="1" max="2" width="10.5" style="35" bestFit="1" customWidth="1"/>
    <col min="3" max="3" width="15.25" style="35" customWidth="1"/>
    <col min="4" max="4" width="14.125" style="35" customWidth="1"/>
    <col min="5" max="5" width="12.375" style="35" customWidth="1"/>
    <col min="6" max="6" width="14.5" style="35" customWidth="1"/>
    <col min="7" max="7" width="19.375" style="35" customWidth="1"/>
    <col min="8" max="8" width="10.5" style="35" bestFit="1" customWidth="1"/>
    <col min="9" max="9" width="37.125" style="35" bestFit="1" customWidth="1"/>
    <col min="10" max="10" width="10.5" style="35" bestFit="1" customWidth="1"/>
    <col min="11" max="11" width="37.125" style="35" bestFit="1" customWidth="1"/>
    <col min="12" max="13" width="9" style="35"/>
    <col min="14" max="14" width="10.5" style="35" bestFit="1" customWidth="1"/>
    <col min="15" max="15" width="37.125" style="35" bestFit="1" customWidth="1"/>
    <col min="16" max="17" width="9" style="35"/>
    <col min="18" max="18" width="10.5" style="35" bestFit="1" customWidth="1"/>
    <col min="19" max="19" width="37.125" style="35" bestFit="1" customWidth="1"/>
    <col min="20" max="16384" width="9" style="35"/>
  </cols>
  <sheetData>
    <row r="1" spans="1:19" x14ac:dyDescent="0.25">
      <c r="A1" s="35" t="s">
        <v>41</v>
      </c>
      <c r="E1" s="35" t="s">
        <v>42</v>
      </c>
      <c r="I1" s="35" t="s">
        <v>43</v>
      </c>
      <c r="M1" s="35" t="s">
        <v>44</v>
      </c>
      <c r="Q1" s="35" t="s">
        <v>45</v>
      </c>
    </row>
    <row r="2" spans="1:19" x14ac:dyDescent="0.25">
      <c r="A2" s="36">
        <f ca="1">'中大 &amp; 中债'!A2</f>
        <v>41141</v>
      </c>
      <c r="E2" s="36">
        <f ca="1">_xll.qlCalendarAdvance("China",$A$2,"-1W")</f>
        <v>41134</v>
      </c>
      <c r="I2" s="36">
        <f ca="1">_xll.qlCalendarAdvance("China",$A$2,"-1M")</f>
        <v>41110</v>
      </c>
      <c r="M2" s="36">
        <f ca="1">_xll.qlCalendarAdvance("China",$A$2,"-3M")</f>
        <v>41050</v>
      </c>
      <c r="Q2" s="36">
        <f ca="1">_xll.qlCalendarAdvance("China",$A$2,"-1Y")</f>
        <v>40777</v>
      </c>
    </row>
    <row r="4" spans="1:19" x14ac:dyDescent="0.25">
      <c r="B4" s="35" t="b">
        <f ca="1">_xll.qlSettingsSetEvaluationDate(A2)</f>
        <v>1</v>
      </c>
      <c r="C4" s="35" t="str">
        <f ca="1">"CNY_Treasury_Live_Curve_"&amp;YEAR(A2)&amp;"-"&amp;MONTH(A2)&amp;"-"&amp;DAY(A2)</f>
        <v>CNY_Treasury_Live_Curve_2012-8-20</v>
      </c>
      <c r="F4" s="35" t="b">
        <f ca="1">_xll.qlSettingsSetEvaluationDate(E2)</f>
        <v>1</v>
      </c>
      <c r="G4" s="35" t="str">
        <f ca="1">"CNY_Treasury_Live_Curve_"&amp;YEAR(E2)&amp;"-"&amp;MONTH(E2)&amp;"-"&amp;DAY(E2)</f>
        <v>CNY_Treasury_Live_Curve_2012-8-13</v>
      </c>
      <c r="J4" s="35" t="b">
        <f ca="1">_xll.qlSettingsSetEvaluationDate(I2)</f>
        <v>1</v>
      </c>
      <c r="K4" s="35" t="str">
        <f ca="1">"CNY_Treasury_Live_Curve_"&amp;YEAR(I2)&amp;"-"&amp;MONTH(I2)&amp;"-"&amp;DAY(I2)</f>
        <v>CNY_Treasury_Live_Curve_2012-7-20</v>
      </c>
      <c r="N4" s="35" t="b">
        <f ca="1">_xll.qlSettingsSetEvaluationDate(M2)</f>
        <v>1</v>
      </c>
      <c r="O4" s="35" t="str">
        <f ca="1">"CNY_Treasury_Live_Curve_"&amp;YEAR(M2)&amp;"-"&amp;MONTH(M2)&amp;"-"&amp;DAY(M2)</f>
        <v>CNY_Treasury_Live_Curve_2012-5-21</v>
      </c>
      <c r="R4" s="35" t="b">
        <f ca="1">_xll.qlSettingsSetEvaluationDate(Q2)</f>
        <v>1</v>
      </c>
      <c r="S4" s="35" t="str">
        <f ca="1">"CNY_Treasury_Live_Curve_"&amp;YEAR(Q2)&amp;"-"&amp;MONTH(Q2)&amp;"-"&amp;DAY(Q2)</f>
        <v>CNY_Treasury_Live_Curve_2011-8-22</v>
      </c>
    </row>
    <row r="5" spans="1:19" x14ac:dyDescent="0.25">
      <c r="B5" s="35" t="s">
        <v>46</v>
      </c>
      <c r="C5" s="35" t="str">
        <f ca="1">deserializeObject('中大 &amp; 中债'!$C$2,C4&amp;".xml",TRUE)</f>
        <v>CNY_Treasury_Live_Curve_2012-8-20</v>
      </c>
      <c r="F5" s="35" t="s">
        <v>46</v>
      </c>
      <c r="G5" s="35" t="str">
        <f ca="1">deserializeObject('中大 &amp; 中债'!$C$2,G4&amp;".xml",TRUE)</f>
        <v>CNY_Treasury_Live_Curve_2012-8-13</v>
      </c>
      <c r="J5" s="35" t="s">
        <v>46</v>
      </c>
      <c r="K5" s="35" t="str">
        <f ca="1">deserializeObject('中大 &amp; 中债'!$C$2,K4&amp;".xml",TRUE)</f>
        <v>CNY_Treasury_Live_Curve_2012-7-20</v>
      </c>
      <c r="N5" s="35" t="s">
        <v>46</v>
      </c>
      <c r="O5" s="35" t="str">
        <f ca="1">deserializeObject('中大 &amp; 中债'!$C$2,O4&amp;".xml",TRUE)</f>
        <v>CNY_Treasury_Live_Curve_2012-5-21</v>
      </c>
      <c r="R5" s="35" t="s">
        <v>46</v>
      </c>
      <c r="S5" s="35" t="str">
        <f ca="1">deserializeObject('中大 &amp; 中债'!$C$2,S4&amp;".xml",TRUE)</f>
        <v>CNY_Treasury_Live_Curve_2011-8-22</v>
      </c>
    </row>
    <row r="7" spans="1:19" x14ac:dyDescent="0.25">
      <c r="B7" s="35" t="s">
        <v>47</v>
      </c>
      <c r="C7" s="36">
        <f ca="1">A2</f>
        <v>41141</v>
      </c>
      <c r="F7" s="35" t="s">
        <v>47</v>
      </c>
      <c r="G7" s="36">
        <f ca="1">E2</f>
        <v>41134</v>
      </c>
      <c r="J7" s="35" t="s">
        <v>47</v>
      </c>
      <c r="K7" s="36">
        <f ca="1">I2</f>
        <v>41110</v>
      </c>
      <c r="N7" s="35" t="s">
        <v>47</v>
      </c>
      <c r="O7" s="36">
        <f ca="1">M2</f>
        <v>41050</v>
      </c>
      <c r="R7" s="35" t="s">
        <v>47</v>
      </c>
      <c r="S7" s="36">
        <f ca="1">Q2</f>
        <v>40777</v>
      </c>
    </row>
    <row r="8" spans="1:19" x14ac:dyDescent="0.25">
      <c r="A8" s="35">
        <v>0</v>
      </c>
      <c r="B8" s="36">
        <f ca="1">_xll.qlCalendarAdvance("Null",A$2,$A8&amp;"Y","UnAdjusted")</f>
        <v>41141</v>
      </c>
      <c r="C8" s="37">
        <f t="array" aca="1" ref="C8:C38" ca="1">_xll.qlYieldTSZeroRate($C$5,B8:B38,"Bond Basis","Compounded",,TRUE)</f>
        <v>2.1598412615808416E-2</v>
      </c>
      <c r="F8" s="36">
        <f ca="1">_xll.qlCalendarAdvance("Null",E$2,$A8&amp;"Y","UnAdjusted")</f>
        <v>41134</v>
      </c>
      <c r="G8" s="37">
        <f t="array" aca="1" ref="G8:G38" ca="1">_xll.qlYieldTSZeroRate($G$5,F8:F38,"Bond Basis","Compounded",,TRUE)</f>
        <v>2.159841261581108E-2</v>
      </c>
      <c r="J8" s="36">
        <f ca="1">_xll.qlCalendarAdvance("Null",I$2,$A8&amp;"Y","UnAdjusted")</f>
        <v>41110</v>
      </c>
      <c r="K8" s="37">
        <f t="array" aca="1" ref="K8:K38" ca="1">_xll.qlYieldTSZeroRate($K$5,J8:J38,"Bond Basis","Compounded",,TRUE)</f>
        <v>2.1598412614387552E-2</v>
      </c>
      <c r="N8" s="36">
        <f ca="1">_xll.qlCalendarAdvance("Null",M$2,$A8&amp;"Y","UnAdjusted")</f>
        <v>41050</v>
      </c>
      <c r="O8" s="37" t="e">
        <f t="array" aca="1" ref="O8:O38" ca="1">_xll.qlYieldTSZeroRate($O$5,N8:N38,"Bond Basis","Compounded",,TRUE)</f>
        <v>#NUM!</v>
      </c>
      <c r="R8" s="36">
        <f ca="1">_xll.qlCalendarAdvance("Null",Q$2,$A8&amp;"Y","UnAdjusted")</f>
        <v>40777</v>
      </c>
      <c r="S8" s="37" t="e">
        <f t="array" aca="1" ref="S8:S38" ca="1">_xll.qlYieldTSZeroRate($S$5,R8:R38,"Bond Basis","Compounded",,TRUE)</f>
        <v>#NUM!</v>
      </c>
    </row>
    <row r="9" spans="1:19" x14ac:dyDescent="0.25">
      <c r="A9" s="35">
        <v>1</v>
      </c>
      <c r="B9" s="36">
        <f ca="1">_xll.qlCalendarAdvance("Null",A$2,$A9&amp;"Y","UnAdjusted")</f>
        <v>41506</v>
      </c>
      <c r="C9" s="37">
        <f ca="1"/>
        <v>2.7682142735742987E-2</v>
      </c>
      <c r="F9" s="36">
        <f ca="1">_xll.qlCalendarAdvance("Null",E$2,$A9&amp;"Y","UnAdjusted")</f>
        <v>41499</v>
      </c>
      <c r="G9" s="37">
        <f ca="1"/>
        <v>2.7341156745553929E-2</v>
      </c>
      <c r="J9" s="36">
        <f ca="1">_xll.qlCalendarAdvance("Null",I$2,$A9&amp;"Y","UnAdjusted")</f>
        <v>41475</v>
      </c>
      <c r="K9" s="37">
        <f ca="1"/>
        <v>2.2703315380794731E-2</v>
      </c>
      <c r="N9" s="36">
        <f ca="1">_xll.qlCalendarAdvance("Null",M$2,$A9&amp;"Y","UnAdjusted")</f>
        <v>41415</v>
      </c>
      <c r="O9" s="37">
        <f ca="1"/>
        <v>2.2711290307781518E-2</v>
      </c>
      <c r="R9" s="36">
        <f ca="1">_xll.qlCalendarAdvance("Null",Q$2,$A9&amp;"Y","UnAdjusted")</f>
        <v>41143</v>
      </c>
      <c r="S9" s="37">
        <f ca="1"/>
        <v>4.1276251594740243E-2</v>
      </c>
    </row>
    <row r="10" spans="1:19" x14ac:dyDescent="0.25">
      <c r="A10" s="35">
        <v>2</v>
      </c>
      <c r="B10" s="36">
        <f ca="1">_xll.qlCalendarAdvance("Null",A$2,$A10&amp;"Y","UnAdjusted")</f>
        <v>41871</v>
      </c>
      <c r="C10" s="37">
        <f ca="1"/>
        <v>2.7140354630448726E-2</v>
      </c>
      <c r="F10" s="36">
        <f ca="1">_xll.qlCalendarAdvance("Null",E$2,$A10&amp;"Y","UnAdjusted")</f>
        <v>41864</v>
      </c>
      <c r="G10" s="37">
        <f ca="1"/>
        <v>2.4750582993804837E-2</v>
      </c>
      <c r="J10" s="36">
        <f ca="1">_xll.qlCalendarAdvance("Null",I$2,$A10&amp;"Y","UnAdjusted")</f>
        <v>41840</v>
      </c>
      <c r="K10" s="37">
        <f ca="1"/>
        <v>2.2921310922779714E-2</v>
      </c>
      <c r="N10" s="36">
        <f ca="1">_xll.qlCalendarAdvance("Null",M$2,$A10&amp;"Y","UnAdjusted")</f>
        <v>41780</v>
      </c>
      <c r="O10" s="37">
        <f ca="1"/>
        <v>2.4499745368767645E-2</v>
      </c>
      <c r="R10" s="36">
        <f ca="1">_xll.qlCalendarAdvance("Null",Q$2,$A10&amp;"Y","UnAdjusted")</f>
        <v>41508</v>
      </c>
      <c r="S10" s="37">
        <f ca="1"/>
        <v>4.10966584893806E-2</v>
      </c>
    </row>
    <row r="11" spans="1:19" x14ac:dyDescent="0.25">
      <c r="A11" s="35">
        <v>3</v>
      </c>
      <c r="B11" s="36">
        <f ca="1">_xll.qlCalendarAdvance("Null",A$2,$A11&amp;"Y","UnAdjusted")</f>
        <v>42236</v>
      </c>
      <c r="C11" s="37">
        <f ca="1"/>
        <v>2.7807997696922993E-2</v>
      </c>
      <c r="F11" s="36">
        <f ca="1">_xll.qlCalendarAdvance("Null",E$2,$A11&amp;"Y","UnAdjusted")</f>
        <v>42229</v>
      </c>
      <c r="G11" s="37">
        <f ca="1"/>
        <v>2.6639356893737531E-2</v>
      </c>
      <c r="J11" s="36">
        <f ca="1">_xll.qlCalendarAdvance("Null",I$2,$A11&amp;"Y","UnAdjusted")</f>
        <v>42205</v>
      </c>
      <c r="K11" s="37">
        <f ca="1"/>
        <v>2.4071841269600158E-2</v>
      </c>
      <c r="N11" s="36">
        <f ca="1">_xll.qlCalendarAdvance("Null",M$2,$A11&amp;"Y","UnAdjusted")</f>
        <v>42145</v>
      </c>
      <c r="O11" s="37">
        <f ca="1"/>
        <v>2.6159447920657053E-2</v>
      </c>
      <c r="R11" s="36">
        <f ca="1">_xll.qlCalendarAdvance("Null",Q$2,$A11&amp;"Y","UnAdjusted")</f>
        <v>41873</v>
      </c>
      <c r="S11" s="37">
        <f ca="1"/>
        <v>4.1455867662962387E-2</v>
      </c>
    </row>
    <row r="12" spans="1:19" x14ac:dyDescent="0.25">
      <c r="A12" s="35">
        <v>4</v>
      </c>
      <c r="B12" s="36">
        <f ca="1">_xll.qlCalendarAdvance("Null",A$2,$A12&amp;"Y","UnAdjusted")</f>
        <v>42602</v>
      </c>
      <c r="C12" s="37">
        <f ca="1"/>
        <v>2.8649787386786585E-2</v>
      </c>
      <c r="F12" s="36">
        <f ca="1">_xll.qlCalendarAdvance("Null",E$2,$A12&amp;"Y","UnAdjusted")</f>
        <v>42595</v>
      </c>
      <c r="G12" s="37">
        <f ca="1"/>
        <v>2.7933255692868864E-2</v>
      </c>
      <c r="J12" s="36">
        <f ca="1">_xll.qlCalendarAdvance("Null",I$2,$A12&amp;"Y","UnAdjusted")</f>
        <v>42571</v>
      </c>
      <c r="K12" s="37">
        <f ca="1"/>
        <v>2.653794564327705E-2</v>
      </c>
      <c r="N12" s="36">
        <f ca="1">_xll.qlCalendarAdvance("Null",M$2,$A12&amp;"Y","UnAdjusted")</f>
        <v>42511</v>
      </c>
      <c r="O12" s="37">
        <f ca="1"/>
        <v>2.6507450635383734E-2</v>
      </c>
      <c r="R12" s="36">
        <f ca="1">_xll.qlCalendarAdvance("Null",Q$2,$A12&amp;"Y","UnAdjusted")</f>
        <v>42238</v>
      </c>
      <c r="S12" s="37">
        <f ca="1"/>
        <v>3.7007681362640765E-2</v>
      </c>
    </row>
    <row r="13" spans="1:19" x14ac:dyDescent="0.25">
      <c r="A13" s="35">
        <v>5</v>
      </c>
      <c r="B13" s="36">
        <f ca="1">_xll.qlCalendarAdvance("Null",A$2,$A13&amp;"Y","UnAdjusted")</f>
        <v>42967</v>
      </c>
      <c r="C13" s="37">
        <f ca="1"/>
        <v>3.1047073752766607E-2</v>
      </c>
      <c r="F13" s="36">
        <f ca="1">_xll.qlCalendarAdvance("Null",E$2,$A13&amp;"Y","UnAdjusted")</f>
        <v>42960</v>
      </c>
      <c r="G13" s="37">
        <f ca="1"/>
        <v>2.966969376304629E-2</v>
      </c>
      <c r="J13" s="36">
        <f ca="1">_xll.qlCalendarAdvance("Null",I$2,$A13&amp;"Y","UnAdjusted")</f>
        <v>42936</v>
      </c>
      <c r="K13" s="37">
        <f ca="1"/>
        <v>2.841524562759612E-2</v>
      </c>
      <c r="N13" s="36">
        <f ca="1">_xll.qlCalendarAdvance("Null",M$2,$A13&amp;"Y","UnAdjusted")</f>
        <v>42876</v>
      </c>
      <c r="O13" s="37">
        <f ca="1"/>
        <v>2.8489432400669035E-2</v>
      </c>
      <c r="R13" s="36">
        <f ca="1">_xll.qlCalendarAdvance("Null",Q$2,$A13&amp;"Y","UnAdjusted")</f>
        <v>42604</v>
      </c>
      <c r="S13" s="37">
        <f ca="1"/>
        <v>3.964120920737102E-2</v>
      </c>
    </row>
    <row r="14" spans="1:19" x14ac:dyDescent="0.25">
      <c r="A14" s="35">
        <v>6</v>
      </c>
      <c r="B14" s="36">
        <f ca="1">_xll.qlCalendarAdvance("Null",A$2,$A14&amp;"Y","UnAdjusted")</f>
        <v>43332</v>
      </c>
      <c r="C14" s="37">
        <f ca="1"/>
        <v>3.2145669486191464E-2</v>
      </c>
      <c r="F14" s="36">
        <f ca="1">_xll.qlCalendarAdvance("Null",E$2,$A14&amp;"Y","UnAdjusted")</f>
        <v>43325</v>
      </c>
      <c r="G14" s="37">
        <f ca="1"/>
        <v>3.1378706151277802E-2</v>
      </c>
      <c r="J14" s="36">
        <f ca="1">_xll.qlCalendarAdvance("Null",I$2,$A14&amp;"Y","UnAdjusted")</f>
        <v>43301</v>
      </c>
      <c r="K14" s="37">
        <f ca="1"/>
        <v>3.0649931891704174E-2</v>
      </c>
      <c r="N14" s="36">
        <f ca="1">_xll.qlCalendarAdvance("Null",M$2,$A14&amp;"Y","UnAdjusted")</f>
        <v>43241</v>
      </c>
      <c r="O14" s="37">
        <f ca="1"/>
        <v>3.2120404668379843E-2</v>
      </c>
      <c r="R14" s="36">
        <f ca="1">_xll.qlCalendarAdvance("Null",Q$2,$A14&amp;"Y","UnAdjusted")</f>
        <v>42969</v>
      </c>
      <c r="S14" s="37">
        <f ca="1"/>
        <v>3.7702102158865047E-2</v>
      </c>
    </row>
    <row r="15" spans="1:19" x14ac:dyDescent="0.25">
      <c r="A15" s="35">
        <v>7</v>
      </c>
      <c r="B15" s="36">
        <f ca="1">_xll.qlCalendarAdvance("Null",A$2,$A15&amp;"Y","UnAdjusted")</f>
        <v>43697</v>
      </c>
      <c r="C15" s="37">
        <f ca="1"/>
        <v>3.2188948107303883E-2</v>
      </c>
      <c r="F15" s="36">
        <f ca="1">_xll.qlCalendarAdvance("Null",E$2,$A15&amp;"Y","UnAdjusted")</f>
        <v>43690</v>
      </c>
      <c r="G15" s="37">
        <f ca="1"/>
        <v>3.1826931313687856E-2</v>
      </c>
      <c r="J15" s="36">
        <f ca="1">_xll.qlCalendarAdvance("Null",I$2,$A15&amp;"Y","UnAdjusted")</f>
        <v>43666</v>
      </c>
      <c r="K15" s="37">
        <f ca="1"/>
        <v>3.1768746564968087E-2</v>
      </c>
      <c r="N15" s="36">
        <f ca="1">_xll.qlCalendarAdvance("Null",M$2,$A15&amp;"Y","UnAdjusted")</f>
        <v>43606</v>
      </c>
      <c r="O15" s="37">
        <f ca="1"/>
        <v>3.3101969098502604E-2</v>
      </c>
      <c r="R15" s="36">
        <f ca="1">_xll.qlCalendarAdvance("Null",Q$2,$A15&amp;"Y","UnAdjusted")</f>
        <v>43334</v>
      </c>
      <c r="S15" s="37">
        <f ca="1"/>
        <v>4.0321045952536716E-2</v>
      </c>
    </row>
    <row r="16" spans="1:19" x14ac:dyDescent="0.25">
      <c r="A16" s="35">
        <v>8</v>
      </c>
      <c r="B16" s="36">
        <f ca="1">_xll.qlCalendarAdvance("Null",A$2,$A16&amp;"Y","UnAdjusted")</f>
        <v>44063</v>
      </c>
      <c r="C16" s="37">
        <f ca="1"/>
        <v>3.3682359909762871E-2</v>
      </c>
      <c r="F16" s="36">
        <f ca="1">_xll.qlCalendarAdvance("Null",E$2,$A16&amp;"Y","UnAdjusted")</f>
        <v>44056</v>
      </c>
      <c r="G16" s="37">
        <f ca="1"/>
        <v>3.3190460331254501E-2</v>
      </c>
      <c r="J16" s="36">
        <f ca="1">_xll.qlCalendarAdvance("Null",I$2,$A16&amp;"Y","UnAdjusted")</f>
        <v>44032</v>
      </c>
      <c r="K16" s="37">
        <f ca="1"/>
        <v>3.3809967151066767E-2</v>
      </c>
      <c r="N16" s="36">
        <f ca="1">_xll.qlCalendarAdvance("Null",M$2,$A16&amp;"Y","UnAdjusted")</f>
        <v>43972</v>
      </c>
      <c r="O16" s="37">
        <f ca="1"/>
        <v>3.394073416196286E-2</v>
      </c>
      <c r="R16" s="36">
        <f ca="1">_xll.qlCalendarAdvance("Null",Q$2,$A16&amp;"Y","UnAdjusted")</f>
        <v>43699</v>
      </c>
      <c r="S16" s="37">
        <f ca="1"/>
        <v>4.0450176402084592E-2</v>
      </c>
    </row>
    <row r="17" spans="1:19" x14ac:dyDescent="0.25">
      <c r="A17" s="35">
        <v>9</v>
      </c>
      <c r="B17" s="36">
        <f ca="1">_xll.qlCalendarAdvance("Null",A$2,$A17&amp;"Y","UnAdjusted")</f>
        <v>44428</v>
      </c>
      <c r="C17" s="37">
        <f ca="1"/>
        <v>3.4165587057763513E-2</v>
      </c>
      <c r="F17" s="36">
        <f ca="1">_xll.qlCalendarAdvance("Null",E$2,$A17&amp;"Y","UnAdjusted")</f>
        <v>44421</v>
      </c>
      <c r="G17" s="37">
        <f ca="1"/>
        <v>3.4254367930654617E-2</v>
      </c>
      <c r="J17" s="36">
        <f ca="1">_xll.qlCalendarAdvance("Null",I$2,$A17&amp;"Y","UnAdjusted")</f>
        <v>44397</v>
      </c>
      <c r="K17" s="37">
        <f ca="1"/>
        <v>3.3837251235810939E-2</v>
      </c>
      <c r="N17" s="36">
        <f ca="1">_xll.qlCalendarAdvance("Null",M$2,$A17&amp;"Y","UnAdjusted")</f>
        <v>44337</v>
      </c>
      <c r="O17" s="37">
        <f ca="1"/>
        <v>3.4590117050569358E-2</v>
      </c>
      <c r="R17" s="36">
        <f ca="1">_xll.qlCalendarAdvance("Null",Q$2,$A17&amp;"Y","UnAdjusted")</f>
        <v>44065</v>
      </c>
      <c r="S17" s="37">
        <f ca="1"/>
        <v>4.0548668004282362E-2</v>
      </c>
    </row>
    <row r="18" spans="1:19" x14ac:dyDescent="0.25">
      <c r="A18" s="35">
        <v>10</v>
      </c>
      <c r="B18" s="36">
        <f ca="1">_xll.qlCalendarAdvance("Null",A$2,$A18&amp;"Y","UnAdjusted")</f>
        <v>44793</v>
      </c>
      <c r="C18" s="37">
        <f ca="1"/>
        <v>3.4307430876302503E-2</v>
      </c>
      <c r="F18" s="36">
        <f ca="1">_xll.qlCalendarAdvance("Null",E$2,$A18&amp;"Y","UnAdjusted")</f>
        <v>44786</v>
      </c>
      <c r="G18" s="37">
        <f ca="1"/>
        <v>3.4027856927906219E-2</v>
      </c>
      <c r="J18" s="36">
        <f ca="1">_xll.qlCalendarAdvance("Null",I$2,$A18&amp;"Y","UnAdjusted")</f>
        <v>44762</v>
      </c>
      <c r="K18" s="37">
        <f ca="1"/>
        <v>3.3992188329186712E-2</v>
      </c>
      <c r="N18" s="36">
        <f ca="1">_xll.qlCalendarAdvance("Null",M$2,$A18&amp;"Y","UnAdjusted")</f>
        <v>44702</v>
      </c>
      <c r="O18" s="37">
        <f ca="1"/>
        <v>3.464171437196395E-2</v>
      </c>
      <c r="R18" s="36">
        <f ca="1">_xll.qlCalendarAdvance("Null",Q$2,$A18&amp;"Y","UnAdjusted")</f>
        <v>44430</v>
      </c>
      <c r="S18" s="37">
        <f ca="1"/>
        <v>4.0177731698205488E-2</v>
      </c>
    </row>
    <row r="19" spans="1:19" x14ac:dyDescent="0.25">
      <c r="A19" s="35">
        <v>11</v>
      </c>
      <c r="B19" s="36">
        <f ca="1">_xll.qlCalendarAdvance("Null",A$2,$A19&amp;"Y","UnAdjusted")</f>
        <v>45158</v>
      </c>
      <c r="C19" s="37">
        <f ca="1"/>
        <v>3.5480254305945813E-2</v>
      </c>
      <c r="F19" s="36">
        <f ca="1">_xll.qlCalendarAdvance("Null",E$2,$A19&amp;"Y","UnAdjusted")</f>
        <v>45151</v>
      </c>
      <c r="G19" s="37">
        <f ca="1"/>
        <v>3.5313264582284232E-2</v>
      </c>
      <c r="J19" s="36">
        <f ca="1">_xll.qlCalendarAdvance("Null",I$2,$A19&amp;"Y","UnAdjusted")</f>
        <v>45127</v>
      </c>
      <c r="K19" s="37">
        <f ca="1"/>
        <v>3.5419238668408459E-2</v>
      </c>
      <c r="N19" s="36">
        <f ca="1">_xll.qlCalendarAdvance("Null",M$2,$A19&amp;"Y","UnAdjusted")</f>
        <v>45067</v>
      </c>
      <c r="O19" s="37">
        <f ca="1"/>
        <v>3.5805582594272023E-2</v>
      </c>
      <c r="R19" s="36">
        <f ca="1">_xll.qlCalendarAdvance("Null",Q$2,$A19&amp;"Y","UnAdjusted")</f>
        <v>44795</v>
      </c>
      <c r="S19" s="37">
        <f ca="1"/>
        <v>4.019150749665501E-2</v>
      </c>
    </row>
    <row r="20" spans="1:19" x14ac:dyDescent="0.25">
      <c r="A20" s="35">
        <v>12</v>
      </c>
      <c r="B20" s="36">
        <f ca="1">_xll.qlCalendarAdvance("Null",A$2,$A20&amp;"Y","UnAdjusted")</f>
        <v>45524</v>
      </c>
      <c r="C20" s="37">
        <f ca="1"/>
        <v>3.6459973100215537E-2</v>
      </c>
      <c r="F20" s="36">
        <f ca="1">_xll.qlCalendarAdvance("Null",E$2,$A20&amp;"Y","UnAdjusted")</f>
        <v>45517</v>
      </c>
      <c r="G20" s="37">
        <f ca="1"/>
        <v>3.6386794603075812E-2</v>
      </c>
      <c r="J20" s="36">
        <f ca="1">_xll.qlCalendarAdvance("Null",I$2,$A20&amp;"Y","UnAdjusted")</f>
        <v>45493</v>
      </c>
      <c r="K20" s="37">
        <f ca="1"/>
        <v>3.6609951666793927E-2</v>
      </c>
      <c r="N20" s="36">
        <f ca="1">_xll.qlCalendarAdvance("Null",M$2,$A20&amp;"Y","UnAdjusted")</f>
        <v>45433</v>
      </c>
      <c r="O20" s="37">
        <f ca="1"/>
        <v>3.5470907597333845E-2</v>
      </c>
      <c r="R20" s="36">
        <f ca="1">_xll.qlCalendarAdvance("Null",Q$2,$A20&amp;"Y","UnAdjusted")</f>
        <v>45160</v>
      </c>
      <c r="S20" s="37">
        <f ca="1"/>
        <v>4.0860472253315905E-2</v>
      </c>
    </row>
    <row r="21" spans="1:19" x14ac:dyDescent="0.25">
      <c r="A21" s="35">
        <v>13</v>
      </c>
      <c r="B21" s="36">
        <f ca="1">_xll.qlCalendarAdvance("Null",A$2,$A21&amp;"Y","UnAdjusted")</f>
        <v>45889</v>
      </c>
      <c r="C21" s="37">
        <f ca="1"/>
        <v>3.7290651168604638E-2</v>
      </c>
      <c r="F21" s="36">
        <f ca="1">_xll.qlCalendarAdvance("Null",E$2,$A21&amp;"Y","UnAdjusted")</f>
        <v>45882</v>
      </c>
      <c r="G21" s="37">
        <f ca="1"/>
        <v>3.7296844395988904E-2</v>
      </c>
      <c r="J21" s="36">
        <f ca="1">_xll.qlCalendarAdvance("Null",I$2,$A21&amp;"Y","UnAdjusted")</f>
        <v>45858</v>
      </c>
      <c r="K21" s="37">
        <f ca="1"/>
        <v>3.761854749781901E-2</v>
      </c>
      <c r="N21" s="36">
        <f ca="1">_xll.qlCalendarAdvance("Null",M$2,$A21&amp;"Y","UnAdjusted")</f>
        <v>45798</v>
      </c>
      <c r="O21" s="37">
        <f ca="1"/>
        <v>3.6880596837234991E-2</v>
      </c>
      <c r="R21" s="36">
        <f ca="1">_xll.qlCalendarAdvance("Null",Q$2,$A21&amp;"Y","UnAdjusted")</f>
        <v>45526</v>
      </c>
      <c r="S21" s="37">
        <f ca="1"/>
        <v>4.1702161532489512E-2</v>
      </c>
    </row>
    <row r="22" spans="1:19" x14ac:dyDescent="0.25">
      <c r="A22" s="35">
        <v>14</v>
      </c>
      <c r="B22" s="36">
        <f ca="1">_xll.qlCalendarAdvance("Null",A$2,$A22&amp;"Y","UnAdjusted")</f>
        <v>46254</v>
      </c>
      <c r="C22" s="37">
        <f ca="1"/>
        <v>3.8003893749461115E-2</v>
      </c>
      <c r="F22" s="36">
        <f ca="1">_xll.qlCalendarAdvance("Null",E$2,$A22&amp;"Y","UnAdjusted")</f>
        <v>46247</v>
      </c>
      <c r="G22" s="37">
        <f ca="1"/>
        <v>3.8078114373453209E-2</v>
      </c>
      <c r="J22" s="36">
        <f ca="1">_xll.qlCalendarAdvance("Null",I$2,$A22&amp;"Y","UnAdjusted")</f>
        <v>46223</v>
      </c>
      <c r="K22" s="37">
        <f ca="1"/>
        <v>3.8483839239511264E-2</v>
      </c>
      <c r="N22" s="36">
        <f ca="1">_xll.qlCalendarAdvance("Null",M$2,$A22&amp;"Y","UnAdjusted")</f>
        <v>46163</v>
      </c>
      <c r="O22" s="37">
        <f ca="1"/>
        <v>3.8250794534060661E-2</v>
      </c>
      <c r="R22" s="36">
        <f ca="1">_xll.qlCalendarAdvance("Null",Q$2,$A22&amp;"Y","UnAdjusted")</f>
        <v>45891</v>
      </c>
      <c r="S22" s="37">
        <f ca="1"/>
        <v>4.2295674888722212E-2</v>
      </c>
    </row>
    <row r="23" spans="1:19" x14ac:dyDescent="0.25">
      <c r="A23" s="35">
        <v>15</v>
      </c>
      <c r="B23" s="36">
        <f ca="1">_xll.qlCalendarAdvance("Null",A$2,$A23&amp;"Y","UnAdjusted")</f>
        <v>46619</v>
      </c>
      <c r="C23" s="37">
        <f ca="1"/>
        <v>3.8620005173964689E-2</v>
      </c>
      <c r="F23" s="36">
        <f ca="1">_xll.qlCalendarAdvance("Null",E$2,$A23&amp;"Y","UnAdjusted")</f>
        <v>46612</v>
      </c>
      <c r="G23" s="37">
        <f ca="1"/>
        <v>3.8756133241326429E-2</v>
      </c>
      <c r="J23" s="36">
        <f ca="1">_xll.qlCalendarAdvance("Null",I$2,$A23&amp;"Y","UnAdjusted")</f>
        <v>46588</v>
      </c>
      <c r="K23" s="37">
        <f ca="1"/>
        <v>3.9234342409297573E-2</v>
      </c>
      <c r="N23" s="36">
        <f ca="1">_xll.qlCalendarAdvance("Null",M$2,$A23&amp;"Y","UnAdjusted")</f>
        <v>46528</v>
      </c>
      <c r="O23" s="37">
        <f ca="1"/>
        <v>3.9437741960094641E-2</v>
      </c>
      <c r="R23" s="36">
        <f ca="1">_xll.qlCalendarAdvance("Null",Q$2,$A23&amp;"Y","UnAdjusted")</f>
        <v>46256</v>
      </c>
      <c r="S23" s="37">
        <f ca="1"/>
        <v>4.2805205111597022E-2</v>
      </c>
    </row>
    <row r="24" spans="1:19" x14ac:dyDescent="0.25">
      <c r="A24" s="35">
        <v>16</v>
      </c>
      <c r="B24" s="36">
        <f ca="1">_xll.qlCalendarAdvance("Null",A$2,$A24&amp;"Y","UnAdjusted")</f>
        <v>46985</v>
      </c>
      <c r="C24" s="37">
        <f ca="1"/>
        <v>3.8913082455251713E-2</v>
      </c>
      <c r="F24" s="36">
        <f ca="1">_xll.qlCalendarAdvance("Null",E$2,$A24&amp;"Y","UnAdjusted")</f>
        <v>46978</v>
      </c>
      <c r="G24" s="37">
        <f ca="1"/>
        <v>3.9036549734195125E-2</v>
      </c>
      <c r="J24" s="36">
        <f ca="1">_xll.qlCalendarAdvance("Null",I$2,$A24&amp;"Y","UnAdjusted")</f>
        <v>46954</v>
      </c>
      <c r="K24" s="37">
        <f ca="1"/>
        <v>3.9293149752848588E-2</v>
      </c>
      <c r="N24" s="36">
        <f ca="1">_xll.qlCalendarAdvance("Null",M$2,$A24&amp;"Y","UnAdjusted")</f>
        <v>46894</v>
      </c>
      <c r="O24" s="37">
        <f ca="1"/>
        <v>4.0292231821865698E-2</v>
      </c>
      <c r="R24" s="36">
        <f ca="1">_xll.qlCalendarAdvance("Null",Q$2,$A24&amp;"Y","UnAdjusted")</f>
        <v>46621</v>
      </c>
      <c r="S24" s="37">
        <f ca="1"/>
        <v>4.3247399937367925E-2</v>
      </c>
    </row>
    <row r="25" spans="1:19" x14ac:dyDescent="0.25">
      <c r="A25" s="35">
        <v>17</v>
      </c>
      <c r="B25" s="36">
        <f ca="1">_xll.qlCalendarAdvance("Null",A$2,$A25&amp;"Y","UnAdjusted")</f>
        <v>47350</v>
      </c>
      <c r="C25" s="37">
        <f ca="1"/>
        <v>3.9171916993348432E-2</v>
      </c>
      <c r="F25" s="36">
        <f ca="1">_xll.qlCalendarAdvance("Null",E$2,$A25&amp;"Y","UnAdjusted")</f>
        <v>47343</v>
      </c>
      <c r="G25" s="37">
        <f ca="1"/>
        <v>3.9281681799310686E-2</v>
      </c>
      <c r="J25" s="36">
        <f ca="1">_xll.qlCalendarAdvance("Null",I$2,$A25&amp;"Y","UnAdjusted")</f>
        <v>47319</v>
      </c>
      <c r="K25" s="37">
        <f ca="1"/>
        <v>3.9301216069160816E-2</v>
      </c>
      <c r="N25" s="36">
        <f ca="1">_xll.qlCalendarAdvance("Null",M$2,$A25&amp;"Y","UnAdjusted")</f>
        <v>47259</v>
      </c>
      <c r="O25" s="37">
        <f ca="1"/>
        <v>4.0992367401495811E-2</v>
      </c>
      <c r="R25" s="36">
        <f ca="1">_xll.qlCalendarAdvance("Null",Q$2,$A25&amp;"Y","UnAdjusted")</f>
        <v>46987</v>
      </c>
      <c r="S25" s="37">
        <f ca="1"/>
        <v>4.3634779785167277E-2</v>
      </c>
    </row>
    <row r="26" spans="1:19" x14ac:dyDescent="0.25">
      <c r="A26" s="35">
        <v>18</v>
      </c>
      <c r="B26" s="36">
        <f ca="1">_xll.qlCalendarAdvance("Null",A$2,$A26&amp;"Y","UnAdjusted")</f>
        <v>47715</v>
      </c>
      <c r="C26" s="37">
        <f ca="1"/>
        <v>3.9944640092433259E-2</v>
      </c>
      <c r="F26" s="36">
        <f ca="1">_xll.qlCalendarAdvance("Null",E$2,$A26&amp;"Y","UnAdjusted")</f>
        <v>47708</v>
      </c>
      <c r="G26" s="37">
        <f ca="1"/>
        <v>4.0045018035820945E-2</v>
      </c>
      <c r="J26" s="36">
        <f ca="1">_xll.qlCalendarAdvance("Null",I$2,$A26&amp;"Y","UnAdjusted")</f>
        <v>47684</v>
      </c>
      <c r="K26" s="37">
        <f ca="1"/>
        <v>4.0006089242512255E-2</v>
      </c>
      <c r="N26" s="36">
        <f ca="1">_xll.qlCalendarAdvance("Null",M$2,$A26&amp;"Y","UnAdjusted")</f>
        <v>47624</v>
      </c>
      <c r="O26" s="37">
        <f ca="1"/>
        <v>4.1676952754037044E-2</v>
      </c>
      <c r="R26" s="36">
        <f ca="1">_xll.qlCalendarAdvance("Null",Q$2,$A26&amp;"Y","UnAdjusted")</f>
        <v>47352</v>
      </c>
      <c r="S26" s="37">
        <f ca="1"/>
        <v>4.3976942163481914E-2</v>
      </c>
    </row>
    <row r="27" spans="1:19" x14ac:dyDescent="0.25">
      <c r="A27" s="35">
        <v>19</v>
      </c>
      <c r="B27" s="36">
        <f ca="1">_xll.qlCalendarAdvance("Null",A$2,$A27&amp;"Y","UnAdjusted")</f>
        <v>48080</v>
      </c>
      <c r="C27" s="37">
        <f ca="1"/>
        <v>4.0647069349606157E-2</v>
      </c>
      <c r="F27" s="36">
        <f ca="1">_xll.qlCalendarAdvance("Null",E$2,$A27&amp;"Y","UnAdjusted")</f>
        <v>48073</v>
      </c>
      <c r="G27" s="37">
        <f ca="1"/>
        <v>4.073545921541144E-2</v>
      </c>
      <c r="J27" s="36">
        <f ca="1">_xll.qlCalendarAdvance("Null",I$2,$A27&amp;"Y","UnAdjusted")</f>
        <v>48049</v>
      </c>
      <c r="K27" s="37">
        <f ca="1"/>
        <v>4.0680567970095005E-2</v>
      </c>
      <c r="N27" s="36">
        <f ca="1">_xll.qlCalendarAdvance("Null",M$2,$A27&amp;"Y","UnAdjusted")</f>
        <v>47989</v>
      </c>
      <c r="O27" s="37">
        <f ca="1"/>
        <v>4.2284269463782609E-2</v>
      </c>
      <c r="R27" s="36">
        <f ca="1">_xll.qlCalendarAdvance("Null",Q$2,$A27&amp;"Y","UnAdjusted")</f>
        <v>47717</v>
      </c>
      <c r="S27" s="37">
        <f ca="1"/>
        <v>4.4281367580472963E-2</v>
      </c>
    </row>
    <row r="28" spans="1:19" x14ac:dyDescent="0.25">
      <c r="A28" s="35">
        <v>20</v>
      </c>
      <c r="B28" s="36">
        <f ca="1">_xll.qlCalendarAdvance("Null",A$2,$A28&amp;"Y","UnAdjusted")</f>
        <v>48446</v>
      </c>
      <c r="C28" s="37">
        <f ca="1"/>
        <v>4.1279953071006847E-2</v>
      </c>
      <c r="F28" s="36">
        <f ca="1">_xll.qlCalendarAdvance("Null",E$2,$A28&amp;"Y","UnAdjusted")</f>
        <v>48439</v>
      </c>
      <c r="G28" s="37">
        <f ca="1"/>
        <v>4.1324648440205225E-2</v>
      </c>
      <c r="J28" s="36">
        <f ca="1">_xll.qlCalendarAdvance("Null",I$2,$A28&amp;"Y","UnAdjusted")</f>
        <v>48415</v>
      </c>
      <c r="K28" s="37">
        <f ca="1"/>
        <v>4.1183590259718184E-2</v>
      </c>
      <c r="N28" s="36">
        <f ca="1">_xll.qlCalendarAdvance("Null",M$2,$A28&amp;"Y","UnAdjusted")</f>
        <v>48355</v>
      </c>
      <c r="O28" s="37">
        <f ca="1"/>
        <v>4.246158961850055E-2</v>
      </c>
      <c r="R28" s="36">
        <f ca="1">_xll.qlCalendarAdvance("Null",Q$2,$A28&amp;"Y","UnAdjusted")</f>
        <v>48082</v>
      </c>
      <c r="S28" s="37">
        <f ca="1"/>
        <v>4.4553972741960601E-2</v>
      </c>
    </row>
    <row r="29" spans="1:19" x14ac:dyDescent="0.25">
      <c r="A29" s="35">
        <v>21</v>
      </c>
      <c r="B29" s="36">
        <f ca="1">_xll.qlCalendarAdvance("Null",A$2,$A29&amp;"Y","UnAdjusted")</f>
        <v>48811</v>
      </c>
      <c r="C29" s="37">
        <f ca="1"/>
        <v>4.1853132246310043E-2</v>
      </c>
      <c r="F29" s="36">
        <f ca="1">_xll.qlCalendarAdvance("Null",E$2,$A29&amp;"Y","UnAdjusted")</f>
        <v>48804</v>
      </c>
      <c r="G29" s="37">
        <f ca="1"/>
        <v>4.1858182151045975E-2</v>
      </c>
      <c r="J29" s="36">
        <f ca="1">_xll.qlCalendarAdvance("Null",I$2,$A29&amp;"Y","UnAdjusted")</f>
        <v>48780</v>
      </c>
      <c r="K29" s="37">
        <f ca="1"/>
        <v>4.1638915170081114E-2</v>
      </c>
      <c r="N29" s="36">
        <f ca="1">_xll.qlCalendarAdvance("Null",M$2,$A29&amp;"Y","UnAdjusted")</f>
        <v>48720</v>
      </c>
      <c r="O29" s="37">
        <f ca="1"/>
        <v>4.2621915269997368E-2</v>
      </c>
      <c r="R29" s="36">
        <f ca="1">_xll.qlCalendarAdvance("Null",Q$2,$A29&amp;"Y","UnAdjusted")</f>
        <v>48448</v>
      </c>
      <c r="S29" s="37">
        <f ca="1"/>
        <v>4.4799498896471279E-2</v>
      </c>
    </row>
    <row r="30" spans="1:19" x14ac:dyDescent="0.25">
      <c r="A30" s="35">
        <v>22</v>
      </c>
      <c r="B30" s="36">
        <f ca="1">_xll.qlCalendarAdvance("Null",A$2,$A30&amp;"Y","UnAdjusted")</f>
        <v>49176</v>
      </c>
      <c r="C30" s="37">
        <f ca="1"/>
        <v>4.2374674792552636E-2</v>
      </c>
      <c r="F30" s="36">
        <f ca="1">_xll.qlCalendarAdvance("Null",E$2,$A30&amp;"Y","UnAdjusted")</f>
        <v>49169</v>
      </c>
      <c r="G30" s="37">
        <f ca="1"/>
        <v>4.2343590556646049E-2</v>
      </c>
      <c r="J30" s="36">
        <f ca="1">_xll.qlCalendarAdvance("Null",I$2,$A30&amp;"Y","UnAdjusted")</f>
        <v>49145</v>
      </c>
      <c r="K30" s="37">
        <f ca="1"/>
        <v>4.2053019694815674E-2</v>
      </c>
      <c r="N30" s="36">
        <f ca="1">_xll.qlCalendarAdvance("Null",M$2,$A30&amp;"Y","UnAdjusted")</f>
        <v>49085</v>
      </c>
      <c r="O30" s="37">
        <f ca="1"/>
        <v>4.2767577843575433E-2</v>
      </c>
      <c r="R30" s="36">
        <f ca="1">_xll.qlCalendarAdvance("Null",Q$2,$A30&amp;"Y","UnAdjusted")</f>
        <v>48813</v>
      </c>
      <c r="S30" s="37">
        <f ca="1"/>
        <v>4.5021789929216016E-2</v>
      </c>
    </row>
    <row r="31" spans="1:19" x14ac:dyDescent="0.25">
      <c r="A31" s="35">
        <v>23</v>
      </c>
      <c r="B31" s="36">
        <f ca="1">_xll.qlCalendarAdvance("Null",A$2,$A31&amp;"Y","UnAdjusted")</f>
        <v>49541</v>
      </c>
      <c r="C31" s="37">
        <f ca="1"/>
        <v>4.2851257662312792E-2</v>
      </c>
      <c r="F31" s="36">
        <f ca="1">_xll.qlCalendarAdvance("Null",E$2,$A31&amp;"Y","UnAdjusted")</f>
        <v>49534</v>
      </c>
      <c r="G31" s="37">
        <f ca="1"/>
        <v>4.2787104045065805E-2</v>
      </c>
      <c r="J31" s="36">
        <f ca="1">_xll.qlCalendarAdvance("Null",I$2,$A31&amp;"Y","UnAdjusted")</f>
        <v>49510</v>
      </c>
      <c r="K31" s="37">
        <f ca="1"/>
        <v>4.2431258905667679E-2</v>
      </c>
      <c r="N31" s="36">
        <f ca="1">_xll.qlCalendarAdvance("Null",M$2,$A31&amp;"Y","UnAdjusted")</f>
        <v>49450</v>
      </c>
      <c r="O31" s="37">
        <f ca="1"/>
        <v>4.2900500958324983E-2</v>
      </c>
      <c r="R31" s="36">
        <f ca="1">_xll.qlCalendarAdvance("Null",Q$2,$A31&amp;"Y","UnAdjusted")</f>
        <v>49178</v>
      </c>
      <c r="S31" s="37">
        <f ca="1"/>
        <v>4.5223995072114498E-2</v>
      </c>
    </row>
    <row r="32" spans="1:19" x14ac:dyDescent="0.25">
      <c r="A32" s="35">
        <v>24</v>
      </c>
      <c r="B32" s="36">
        <f ca="1">_xll.qlCalendarAdvance("Null",A$2,$A32&amp;"Y","UnAdjusted")</f>
        <v>49907</v>
      </c>
      <c r="C32" s="37">
        <f ca="1"/>
        <v>4.3288454219730044E-2</v>
      </c>
      <c r="F32" s="36">
        <f ca="1">_xll.qlCalendarAdvance("Null",E$2,$A32&amp;"Y","UnAdjusted")</f>
        <v>49900</v>
      </c>
      <c r="G32" s="37">
        <f ca="1"/>
        <v>4.3193922039034716E-2</v>
      </c>
      <c r="J32" s="36">
        <f ca="1">_xll.qlCalendarAdvance("Null",I$2,$A32&amp;"Y","UnAdjusted")</f>
        <v>49876</v>
      </c>
      <c r="K32" s="37">
        <f ca="1"/>
        <v>4.2778098787732644E-2</v>
      </c>
      <c r="N32" s="36">
        <f ca="1">_xll.qlCalendarAdvance("Null",M$2,$A32&amp;"Y","UnAdjusted")</f>
        <v>49816</v>
      </c>
      <c r="O32" s="37">
        <f ca="1"/>
        <v>4.3022285856662457E-2</v>
      </c>
      <c r="R32" s="36">
        <f ca="1">_xll.qlCalendarAdvance("Null",Q$2,$A32&amp;"Y","UnAdjusted")</f>
        <v>49543</v>
      </c>
      <c r="S32" s="37">
        <f ca="1"/>
        <v>4.5408719039684131E-2</v>
      </c>
    </row>
    <row r="33" spans="1:19" x14ac:dyDescent="0.25">
      <c r="A33" s="35">
        <v>25</v>
      </c>
      <c r="B33" s="36">
        <f ca="1">_xll.qlCalendarAdvance("Null",A$2,$A33&amp;"Y","UnAdjusted")</f>
        <v>50272</v>
      </c>
      <c r="C33" s="37">
        <f ca="1"/>
        <v>4.3690953197218496E-2</v>
      </c>
      <c r="F33" s="36">
        <f ca="1">_xll.qlCalendarAdvance("Null",E$2,$A33&amp;"Y","UnAdjusted")</f>
        <v>50265</v>
      </c>
      <c r="G33" s="37">
        <f ca="1"/>
        <v>4.3568417770452728E-2</v>
      </c>
      <c r="J33" s="36">
        <f ca="1">_xll.qlCalendarAdvance("Null",I$2,$A33&amp;"Y","UnAdjusted")</f>
        <v>50241</v>
      </c>
      <c r="K33" s="37">
        <f ca="1"/>
        <v>4.3097293400740533E-2</v>
      </c>
      <c r="N33" s="36">
        <f ca="1">_xll.qlCalendarAdvance("Null",M$2,$A33&amp;"Y","UnAdjusted")</f>
        <v>50181</v>
      </c>
      <c r="O33" s="37">
        <f ca="1"/>
        <v>4.3134276221947099E-2</v>
      </c>
      <c r="R33" s="36">
        <f ca="1">_xll.qlCalendarAdvance("Null",Q$2,$A33&amp;"Y","UnAdjusted")</f>
        <v>49909</v>
      </c>
      <c r="S33" s="37">
        <f ca="1"/>
        <v>4.557813483963713E-2</v>
      </c>
    </row>
    <row r="34" spans="1:19" x14ac:dyDescent="0.25">
      <c r="A34" s="35">
        <v>26</v>
      </c>
      <c r="B34" s="36">
        <f ca="1">_xll.qlCalendarAdvance("Null",A$2,$A34&amp;"Y","UnAdjusted")</f>
        <v>50637</v>
      </c>
      <c r="C34" s="37">
        <f ca="1"/>
        <v>4.4062727511799737E-2</v>
      </c>
      <c r="F34" s="36">
        <f ca="1">_xll.qlCalendarAdvance("Null",E$2,$A34&amp;"Y","UnAdjusted")</f>
        <v>50630</v>
      </c>
      <c r="G34" s="37">
        <f ca="1"/>
        <v>4.39142961122021E-2</v>
      </c>
      <c r="J34" s="36">
        <f ca="1">_xll.qlCalendarAdvance("Null",I$2,$A34&amp;"Y","UnAdjusted")</f>
        <v>50606</v>
      </c>
      <c r="K34" s="37">
        <f ca="1"/>
        <v>4.339202130219455E-2</v>
      </c>
      <c r="N34" s="36">
        <f ca="1">_xll.qlCalendarAdvance("Null",M$2,$A34&amp;"Y","UnAdjusted")</f>
        <v>50546</v>
      </c>
      <c r="O34" s="37">
        <f ca="1"/>
        <v>4.3237607961857494E-2</v>
      </c>
      <c r="R34" s="36">
        <f ca="1">_xll.qlCalendarAdvance("Null",Q$2,$A34&amp;"Y","UnAdjusted")</f>
        <v>50274</v>
      </c>
      <c r="S34" s="37">
        <f ca="1"/>
        <v>4.573406965346094E-2</v>
      </c>
    </row>
    <row r="35" spans="1:19" x14ac:dyDescent="0.25">
      <c r="A35" s="35">
        <v>27</v>
      </c>
      <c r="B35" s="36">
        <f ca="1">_xll.qlCalendarAdvance("Null",A$2,$A35&amp;"Y","UnAdjusted")</f>
        <v>51002</v>
      </c>
      <c r="C35" s="37">
        <f ca="1"/>
        <v>4.440716584415938E-2</v>
      </c>
      <c r="F35" s="36">
        <f ca="1">_xll.qlCalendarAdvance("Null",E$2,$A35&amp;"Y","UnAdjusted")</f>
        <v>50995</v>
      </c>
      <c r="G35" s="37">
        <f ca="1"/>
        <v>4.4234716559893528E-2</v>
      </c>
      <c r="J35" s="36">
        <f ca="1">_xll.qlCalendarAdvance("Null",I$2,$A35&amp;"Y","UnAdjusted")</f>
        <v>50971</v>
      </c>
      <c r="K35" s="37">
        <f ca="1"/>
        <v>4.3660991525309445E-2</v>
      </c>
      <c r="N35" s="36">
        <f ca="1">_xll.qlCalendarAdvance("Null",M$2,$A35&amp;"Y","UnAdjusted")</f>
        <v>50911</v>
      </c>
      <c r="O35" s="37">
        <f ca="1"/>
        <v>4.3333247874439706E-2</v>
      </c>
      <c r="R35" s="36">
        <f ca="1">_xll.qlCalendarAdvance("Null",Q$2,$A35&amp;"Y","UnAdjusted")</f>
        <v>50639</v>
      </c>
      <c r="S35" s="37">
        <f ca="1"/>
        <v>4.587807100014385E-2</v>
      </c>
    </row>
    <row r="36" spans="1:19" x14ac:dyDescent="0.25">
      <c r="A36" s="35">
        <v>28</v>
      </c>
      <c r="B36" s="36">
        <f ca="1">_xll.qlCalendarAdvance("Null",A$2,$A36&amp;"Y","UnAdjusted")</f>
        <v>51368</v>
      </c>
      <c r="C36" s="37">
        <f ca="1"/>
        <v>4.4727176223278597E-2</v>
      </c>
      <c r="F36" s="36">
        <f ca="1">_xll.qlCalendarAdvance("Null",E$2,$A36&amp;"Y","UnAdjusted")</f>
        <v>51361</v>
      </c>
      <c r="G36" s="37">
        <f ca="1"/>
        <v>4.4532390022432367E-2</v>
      </c>
      <c r="J36" s="36">
        <f ca="1">_xll.qlCalendarAdvance("Null",I$2,$A36&amp;"Y","UnAdjusted")</f>
        <v>51337</v>
      </c>
      <c r="K36" s="37">
        <f ca="1"/>
        <v>4.3900639885830373E-2</v>
      </c>
      <c r="N36" s="36">
        <f ca="1">_xll.qlCalendarAdvance("Null",M$2,$A36&amp;"Y","UnAdjusted")</f>
        <v>51277</v>
      </c>
      <c r="O36" s="37">
        <f ca="1"/>
        <v>4.3422023989323044E-2</v>
      </c>
      <c r="R36" s="36">
        <f ca="1">_xll.qlCalendarAdvance("Null",Q$2,$A36&amp;"Y","UnAdjusted")</f>
        <v>51004</v>
      </c>
      <c r="S36" s="37">
        <f ca="1"/>
        <v>4.601145826954145E-2</v>
      </c>
    </row>
    <row r="37" spans="1:19" x14ac:dyDescent="0.25">
      <c r="A37" s="35">
        <v>29</v>
      </c>
      <c r="B37" s="36">
        <f ca="1">_xll.qlCalendarAdvance("Null",A$2,$A37&amp;"Y","UnAdjusted")</f>
        <v>51733</v>
      </c>
      <c r="C37" s="37">
        <f ca="1"/>
        <v>4.5025268327339552E-2</v>
      </c>
      <c r="F37" s="36">
        <f ca="1">_xll.qlCalendarAdvance("Null",E$2,$A37&amp;"Y","UnAdjusted")</f>
        <v>51726</v>
      </c>
      <c r="G37" s="37">
        <f ca="1"/>
        <v>4.4809655705837059E-2</v>
      </c>
      <c r="J37" s="36">
        <f ca="1">_xll.qlCalendarAdvance("Null",I$2,$A37&amp;"Y","UnAdjusted")</f>
        <v>51702</v>
      </c>
      <c r="K37" s="37">
        <f ca="1"/>
        <v>4.412381023991685E-2</v>
      </c>
      <c r="N37" s="36">
        <f ca="1">_xll.qlCalendarAdvance("Null",M$2,$A37&amp;"Y","UnAdjusted")</f>
        <v>51642</v>
      </c>
      <c r="O37" s="37">
        <f ca="1"/>
        <v>4.3504649602738032E-2</v>
      </c>
      <c r="R37" s="36">
        <f ca="1">_xll.qlCalendarAdvance("Null",Q$2,$A37&amp;"Y","UnAdjusted")</f>
        <v>51370</v>
      </c>
      <c r="S37" s="37">
        <f ca="1"/>
        <v>4.6487095694887071E-2</v>
      </c>
    </row>
    <row r="38" spans="1:19" x14ac:dyDescent="0.25">
      <c r="A38" s="35">
        <v>30</v>
      </c>
      <c r="B38" s="36">
        <f ca="1">_xll.qlCalendarAdvance("Null",A$2,$A38&amp;"Y","UnAdjusted")</f>
        <v>52098</v>
      </c>
      <c r="C38" s="37">
        <f ca="1"/>
        <v>4.5303619434013287E-2</v>
      </c>
      <c r="F38" s="36">
        <f ca="1">_xll.qlCalendarAdvance("Null",E$2,$A38&amp;"Y","UnAdjusted")</f>
        <v>52091</v>
      </c>
      <c r="G38" s="37">
        <f ca="1"/>
        <v>4.5068542708541104E-2</v>
      </c>
      <c r="J38" s="36">
        <f ca="1">_xll.qlCalendarAdvance("Null",I$2,$A38&amp;"Y","UnAdjusted")</f>
        <v>52067</v>
      </c>
      <c r="K38" s="37">
        <f ca="1"/>
        <v>4.4332145615653795E-2</v>
      </c>
      <c r="N38" s="36">
        <f ca="1">_xll.qlCalendarAdvance("Null",M$2,$A38&amp;"Y","UnAdjusted")</f>
        <v>52007</v>
      </c>
      <c r="O38" s="37">
        <f ca="1"/>
        <v>4.3581742484279484E-2</v>
      </c>
      <c r="R38" s="36">
        <f ca="1">_xll.qlCalendarAdvance("Null",Q$2,$A38&amp;"Y","UnAdjusted")</f>
        <v>51735</v>
      </c>
      <c r="S38" s="37">
        <f ca="1"/>
        <v>4.8597332736677767E-2</v>
      </c>
    </row>
    <row r="43" spans="1:19" x14ac:dyDescent="0.25">
      <c r="A43" s="25"/>
      <c r="B43" s="26"/>
      <c r="C43" s="29" t="s">
        <v>49</v>
      </c>
      <c r="D43" s="30"/>
      <c r="E43" s="30"/>
      <c r="F43" s="30"/>
      <c r="G43" s="31"/>
    </row>
    <row r="44" spans="1:19" x14ac:dyDescent="0.25">
      <c r="A44" s="27"/>
      <c r="B44" s="28" t="s">
        <v>48</v>
      </c>
      <c r="C44" s="32">
        <f ca="1">C7</f>
        <v>41141</v>
      </c>
      <c r="D44" s="33">
        <f ca="1">G7</f>
        <v>41134</v>
      </c>
      <c r="E44" s="33">
        <f ca="1">K7</f>
        <v>41110</v>
      </c>
      <c r="F44" s="33">
        <f ca="1">O7</f>
        <v>41050</v>
      </c>
      <c r="G44" s="34">
        <f ca="1">S7</f>
        <v>40777</v>
      </c>
    </row>
    <row r="45" spans="1:19" x14ac:dyDescent="0.25">
      <c r="A45" s="39">
        <f ca="1">A8</f>
        <v>0</v>
      </c>
      <c r="B45" s="40" t="str">
        <f t="shared" ref="B45:B75" ca="1" si="0">A45&amp;"Y"</f>
        <v>0Y</v>
      </c>
      <c r="C45" s="41">
        <v>1.9486700996083295E-2</v>
      </c>
      <c r="D45" s="42">
        <v>2.1587395881754068E-2</v>
      </c>
      <c r="E45" s="42">
        <v>2.1602304446447507E-2</v>
      </c>
      <c r="F45" s="42">
        <v>2.4739412350622381E-2</v>
      </c>
      <c r="G45" s="43">
        <v>3.0914761752851128E-2</v>
      </c>
    </row>
    <row r="46" spans="1:19" x14ac:dyDescent="0.25">
      <c r="A46" s="39">
        <f t="shared" ref="A46:A75" ca="1" si="1">A9</f>
        <v>1</v>
      </c>
      <c r="B46" s="40" t="str">
        <f t="shared" ca="1" si="0"/>
        <v>1Y</v>
      </c>
      <c r="C46" s="44">
        <v>2.465574930943748E-2</v>
      </c>
      <c r="D46" s="45">
        <v>2.4820633478512821E-2</v>
      </c>
      <c r="E46" s="45">
        <v>2.3103588698816679E-2</v>
      </c>
      <c r="F46" s="45">
        <v>2.3969305460415091E-2</v>
      </c>
      <c r="G46" s="46">
        <v>3.5977958678154121E-2</v>
      </c>
    </row>
    <row r="47" spans="1:19" x14ac:dyDescent="0.25">
      <c r="A47" s="39">
        <f t="shared" ca="1" si="1"/>
        <v>2</v>
      </c>
      <c r="B47" s="40" t="str">
        <f t="shared" ca="1" si="0"/>
        <v>2Y</v>
      </c>
      <c r="C47" s="44">
        <v>2.6759129289106953E-2</v>
      </c>
      <c r="D47" s="45">
        <v>2.6018160406353852E-2</v>
      </c>
      <c r="E47" s="45">
        <v>2.4995902034512518E-2</v>
      </c>
      <c r="F47" s="45">
        <v>2.5073329260193455E-2</v>
      </c>
      <c r="G47" s="46">
        <v>3.6298613654038192E-2</v>
      </c>
    </row>
    <row r="48" spans="1:19" x14ac:dyDescent="0.25">
      <c r="A48" s="39">
        <f t="shared" ca="1" si="1"/>
        <v>3</v>
      </c>
      <c r="B48" s="40" t="str">
        <f t="shared" ca="1" si="0"/>
        <v>3Y</v>
      </c>
      <c r="C48" s="44">
        <v>2.8003633737023748E-2</v>
      </c>
      <c r="D48" s="45">
        <v>2.7181069774188105E-2</v>
      </c>
      <c r="E48" s="45">
        <v>2.4526504955926232E-2</v>
      </c>
      <c r="F48" s="45">
        <v>2.857084712312874E-2</v>
      </c>
      <c r="G48" s="46">
        <v>3.674579300674452E-2</v>
      </c>
    </row>
    <row r="49" spans="1:7" x14ac:dyDescent="0.25">
      <c r="A49" s="39">
        <f t="shared" ca="1" si="1"/>
        <v>4</v>
      </c>
      <c r="B49" s="40" t="str">
        <f t="shared" ca="1" si="0"/>
        <v>4Y</v>
      </c>
      <c r="C49" s="44">
        <v>2.9174270320064588E-2</v>
      </c>
      <c r="D49" s="45">
        <v>2.8162660726406052E-2</v>
      </c>
      <c r="E49" s="45">
        <v>2.6293351865622983E-2</v>
      </c>
      <c r="F49" s="45">
        <v>3.053188553612185E-2</v>
      </c>
      <c r="G49" s="46">
        <v>3.7574191171632965E-2</v>
      </c>
    </row>
    <row r="50" spans="1:7" x14ac:dyDescent="0.25">
      <c r="A50" s="39">
        <f t="shared" ca="1" si="1"/>
        <v>5</v>
      </c>
      <c r="B50" s="40" t="str">
        <f t="shared" ca="1" si="0"/>
        <v>5Y</v>
      </c>
      <c r="C50" s="44">
        <v>3.0508425101937853E-2</v>
      </c>
      <c r="D50" s="45">
        <v>2.9901822445899562E-2</v>
      </c>
      <c r="E50" s="45">
        <v>2.8047285270486944E-2</v>
      </c>
      <c r="F50" s="45">
        <v>3.1356354326572022E-2</v>
      </c>
      <c r="G50" s="46">
        <v>3.8513599765811701E-2</v>
      </c>
    </row>
    <row r="51" spans="1:7" x14ac:dyDescent="0.25">
      <c r="A51" s="39">
        <f t="shared" ca="1" si="1"/>
        <v>6</v>
      </c>
      <c r="B51" s="40" t="str">
        <f t="shared" ca="1" si="0"/>
        <v>6Y</v>
      </c>
      <c r="C51" s="44">
        <v>3.1602978468950438E-2</v>
      </c>
      <c r="D51" s="45">
        <v>3.1160337363725699E-2</v>
      </c>
      <c r="E51" s="45">
        <v>3.053219802932583E-2</v>
      </c>
      <c r="F51" s="45">
        <v>3.2558856587639795E-2</v>
      </c>
      <c r="G51" s="46">
        <v>3.865149413537794E-2</v>
      </c>
    </row>
    <row r="52" spans="1:7" x14ac:dyDescent="0.25">
      <c r="A52" s="39">
        <f t="shared" ca="1" si="1"/>
        <v>7</v>
      </c>
      <c r="B52" s="40" t="str">
        <f t="shared" ca="1" si="0"/>
        <v>7Y</v>
      </c>
      <c r="C52" s="44">
        <v>3.2482441645473203E-2</v>
      </c>
      <c r="D52" s="45">
        <v>3.2452334000677707E-2</v>
      </c>
      <c r="E52" s="45">
        <v>3.1889664190261291E-2</v>
      </c>
      <c r="F52" s="45">
        <v>3.4381779704744098E-2</v>
      </c>
      <c r="G52" s="46">
        <v>4.044926446881747E-2</v>
      </c>
    </row>
    <row r="53" spans="1:7" x14ac:dyDescent="0.25">
      <c r="A53" s="39">
        <f t="shared" ca="1" si="1"/>
        <v>8</v>
      </c>
      <c r="B53" s="40" t="str">
        <f t="shared" ca="1" si="0"/>
        <v>8Y</v>
      </c>
      <c r="C53" s="44">
        <v>3.3628835672184776E-2</v>
      </c>
      <c r="D53" s="45">
        <v>3.3627241554970988E-2</v>
      </c>
      <c r="E53" s="45">
        <v>3.3209016754762954E-2</v>
      </c>
      <c r="F53" s="45">
        <v>3.4388527047751083E-2</v>
      </c>
      <c r="G53" s="46">
        <v>4.01310728762998E-2</v>
      </c>
    </row>
    <row r="54" spans="1:7" x14ac:dyDescent="0.25">
      <c r="A54" s="39">
        <f t="shared" ca="1" si="1"/>
        <v>9</v>
      </c>
      <c r="B54" s="40" t="str">
        <f t="shared" ca="1" si="0"/>
        <v>9Y</v>
      </c>
      <c r="C54" s="44">
        <v>3.4030170049038411E-2</v>
      </c>
      <c r="D54" s="45">
        <v>3.4370342020836775E-2</v>
      </c>
      <c r="E54" s="45">
        <v>3.4840863816978596E-2</v>
      </c>
      <c r="F54" s="45">
        <v>3.4973227844846244E-2</v>
      </c>
      <c r="G54" s="46">
        <v>3.9883657803985617E-2</v>
      </c>
    </row>
    <row r="55" spans="1:7" x14ac:dyDescent="0.25">
      <c r="A55" s="39">
        <f t="shared" ca="1" si="1"/>
        <v>10</v>
      </c>
      <c r="B55" s="40" t="str">
        <f t="shared" ca="1" si="0"/>
        <v>10Y</v>
      </c>
      <c r="C55" s="44">
        <v>3.4312958974863861E-2</v>
      </c>
      <c r="D55" s="45">
        <v>3.4397872519792205E-2</v>
      </c>
      <c r="E55" s="45">
        <v>3.3585999125128163E-2</v>
      </c>
      <c r="F55" s="45">
        <v>3.5330034524496901E-2</v>
      </c>
      <c r="G55" s="46">
        <v>4.004131681812817E-2</v>
      </c>
    </row>
    <row r="56" spans="1:7" x14ac:dyDescent="0.25">
      <c r="A56" s="39">
        <f t="shared" ca="1" si="1"/>
        <v>11</v>
      </c>
      <c r="B56" s="40" t="str">
        <f t="shared" ca="1" si="0"/>
        <v>11Y</v>
      </c>
      <c r="C56" s="44">
        <v>3.5479959736425482E-2</v>
      </c>
      <c r="D56" s="45">
        <v>3.5552646376293406E-2</v>
      </c>
      <c r="E56" s="45">
        <v>3.535286472764998E-2</v>
      </c>
      <c r="F56" s="45">
        <v>3.8049253873547295E-2</v>
      </c>
      <c r="G56" s="46">
        <v>4.1083228904051028E-2</v>
      </c>
    </row>
    <row r="57" spans="1:7" x14ac:dyDescent="0.25">
      <c r="A57" s="39">
        <f t="shared" ca="1" si="1"/>
        <v>12</v>
      </c>
      <c r="B57" s="40" t="str">
        <f t="shared" ca="1" si="0"/>
        <v>12Y</v>
      </c>
      <c r="C57" s="44">
        <v>3.6453466128587131E-2</v>
      </c>
      <c r="D57" s="45">
        <v>3.6515942636064613E-2</v>
      </c>
      <c r="E57" s="45">
        <v>3.6647357834801886E-2</v>
      </c>
      <c r="F57" s="45">
        <v>3.6149836613659447E-2</v>
      </c>
      <c r="G57" s="46">
        <v>4.1952286267986194E-2</v>
      </c>
    </row>
    <row r="58" spans="1:7" x14ac:dyDescent="0.25">
      <c r="A58" s="39">
        <f t="shared" ca="1" si="1"/>
        <v>13</v>
      </c>
      <c r="B58" s="40" t="str">
        <f t="shared" ca="1" si="0"/>
        <v>13Y</v>
      </c>
      <c r="C58" s="44">
        <v>3.7277917135647209E-2</v>
      </c>
      <c r="D58" s="45">
        <v>3.7331739335940251E-2</v>
      </c>
      <c r="E58" s="45">
        <v>3.764871889268151E-2</v>
      </c>
      <c r="F58" s="45">
        <v>3.6993261270425126E-2</v>
      </c>
      <c r="G58" s="46">
        <v>4.2688209103582953E-2</v>
      </c>
    </row>
    <row r="59" spans="1:7" x14ac:dyDescent="0.25">
      <c r="A59" s="39">
        <f t="shared" ca="1" si="1"/>
        <v>14</v>
      </c>
      <c r="B59" s="40" t="str">
        <f t="shared" ca="1" si="0"/>
        <v>14Y</v>
      </c>
      <c r="C59" s="44">
        <v>3.798511138110916E-2</v>
      </c>
      <c r="D59" s="45">
        <v>3.803150467277594E-2</v>
      </c>
      <c r="E59" s="45">
        <v>3.8507798208087252E-2</v>
      </c>
      <c r="F59" s="45">
        <v>3.8188175408929492E-2</v>
      </c>
      <c r="G59" s="46">
        <v>4.3319413791357064E-2</v>
      </c>
    </row>
    <row r="60" spans="1:7" x14ac:dyDescent="0.25">
      <c r="A60" s="39">
        <f t="shared" ca="1" si="1"/>
        <v>15</v>
      </c>
      <c r="B60" s="40" t="str">
        <f t="shared" ca="1" si="0"/>
        <v>15Y</v>
      </c>
      <c r="C60" s="44">
        <v>3.8598403054591168E-2</v>
      </c>
      <c r="D60" s="45">
        <v>3.8638349788536308E-2</v>
      </c>
      <c r="E60" s="45">
        <v>3.9252908907737583E-2</v>
      </c>
      <c r="F60" s="45">
        <v>3.9224881351737073E-2</v>
      </c>
      <c r="G60" s="46">
        <v>4.3866766928580825E-2</v>
      </c>
    </row>
    <row r="61" spans="1:7" x14ac:dyDescent="0.25">
      <c r="A61" s="39">
        <f t="shared" ca="1" si="1"/>
        <v>16</v>
      </c>
      <c r="B61" s="40" t="str">
        <f t="shared" ca="1" si="0"/>
        <v>16Y</v>
      </c>
      <c r="C61" s="44">
        <v>3.8905046545651523E-2</v>
      </c>
      <c r="D61" s="45">
        <v>3.8941674507784629E-2</v>
      </c>
      <c r="E61" s="45">
        <v>3.9314326079126216E-2</v>
      </c>
      <c r="F61" s="45">
        <v>4.004504688686894E-2</v>
      </c>
      <c r="G61" s="46">
        <v>4.4345936476180903E-2</v>
      </c>
    </row>
    <row r="62" spans="1:7" x14ac:dyDescent="0.25">
      <c r="A62" s="39">
        <f t="shared" ca="1" si="1"/>
        <v>17</v>
      </c>
      <c r="B62" s="40" t="str">
        <f t="shared" ca="1" si="0"/>
        <v>17Y</v>
      </c>
      <c r="C62" s="44">
        <v>3.9175689516365075E-2</v>
      </c>
      <c r="D62" s="45">
        <v>3.9205132442889257E-2</v>
      </c>
      <c r="E62" s="45">
        <v>3.9317967415287036E-2</v>
      </c>
      <c r="F62" s="45">
        <v>4.0741696707442099E-2</v>
      </c>
      <c r="G62" s="46">
        <v>4.4768915793925501E-2</v>
      </c>
    </row>
    <row r="63" spans="1:7" x14ac:dyDescent="0.25">
      <c r="A63" s="39">
        <f t="shared" ca="1" si="1"/>
        <v>18</v>
      </c>
      <c r="B63" s="40" t="str">
        <f t="shared" ca="1" si="0"/>
        <v>18Y</v>
      </c>
      <c r="C63" s="44">
        <v>3.9939384386251886E-2</v>
      </c>
      <c r="D63" s="45">
        <v>3.9959834097861503E-2</v>
      </c>
      <c r="E63" s="45">
        <v>4.001395959784193E-2</v>
      </c>
      <c r="F63" s="45">
        <v>4.1436373800533444E-2</v>
      </c>
      <c r="G63" s="46">
        <v>4.5145041227042437E-2</v>
      </c>
    </row>
    <row r="64" spans="1:7" x14ac:dyDescent="0.25">
      <c r="A64" s="39">
        <f t="shared" ca="1" si="1"/>
        <v>19</v>
      </c>
      <c r="B64" s="40" t="str">
        <f t="shared" ca="1" si="0"/>
        <v>19Y</v>
      </c>
      <c r="C64" s="44">
        <v>4.0638798928442021E-2</v>
      </c>
      <c r="D64" s="45">
        <v>4.0664799682976316E-2</v>
      </c>
      <c r="E64" s="45">
        <v>4.0727197834525608E-2</v>
      </c>
      <c r="F64" s="45">
        <v>4.2066760441827E-2</v>
      </c>
      <c r="G64" s="46">
        <v>4.5481689286048121E-2</v>
      </c>
    </row>
    <row r="65" spans="1:7" x14ac:dyDescent="0.25">
      <c r="A65" s="39">
        <f t="shared" ca="1" si="1"/>
        <v>20</v>
      </c>
      <c r="B65" s="40" t="str">
        <f t="shared" ca="1" si="0"/>
        <v>20Y</v>
      </c>
      <c r="C65" s="44">
        <v>4.1268674193820631E-2</v>
      </c>
      <c r="D65" s="45">
        <v>4.1307641054074473E-2</v>
      </c>
      <c r="E65" s="45">
        <v>4.1337538738185131E-2</v>
      </c>
      <c r="F65" s="45">
        <v>4.2285933043785473E-2</v>
      </c>
      <c r="G65" s="46">
        <v>4.5784765251402737E-2</v>
      </c>
    </row>
    <row r="66" spans="1:7" x14ac:dyDescent="0.25">
      <c r="A66" s="39">
        <f t="shared" ca="1" si="1"/>
        <v>21</v>
      </c>
      <c r="B66" s="40" t="str">
        <f t="shared" ca="1" si="0"/>
        <v>21Y</v>
      </c>
      <c r="C66" s="44">
        <v>4.1838889846541383E-2</v>
      </c>
      <c r="D66" s="45">
        <v>4.1889601600621829E-2</v>
      </c>
      <c r="E66" s="45">
        <v>4.1726262455439089E-2</v>
      </c>
      <c r="F66" s="45">
        <v>4.2484271785506067E-2</v>
      </c>
      <c r="G66" s="46">
        <v>4.6059052544628942E-2</v>
      </c>
    </row>
    <row r="67" spans="1:7" x14ac:dyDescent="0.25">
      <c r="A67" s="39">
        <f t="shared" ca="1" si="1"/>
        <v>22</v>
      </c>
      <c r="B67" s="40" t="str">
        <f t="shared" ca="1" si="0"/>
        <v>22Y</v>
      </c>
      <c r="C67" s="44">
        <v>4.2357538677022299E-2</v>
      </c>
      <c r="D67" s="45">
        <v>4.241893887386694E-2</v>
      </c>
      <c r="E67" s="45">
        <v>4.2079773571450874E-2</v>
      </c>
      <c r="F67" s="45">
        <v>4.2664612483908737E-2</v>
      </c>
      <c r="G67" s="46">
        <v>4.6308467055960367E-2</v>
      </c>
    </row>
    <row r="68" spans="1:7" x14ac:dyDescent="0.25">
      <c r="A68" s="39">
        <f t="shared" ca="1" si="1"/>
        <v>23</v>
      </c>
      <c r="B68" s="40" t="str">
        <f t="shared" ca="1" si="0"/>
        <v>23Y</v>
      </c>
      <c r="C68" s="44">
        <v>4.2831313098677049E-2</v>
      </c>
      <c r="D68" s="45">
        <v>4.2902481686629024E-2</v>
      </c>
      <c r="E68" s="45">
        <v>4.2402649359845057E-2</v>
      </c>
      <c r="F68" s="45">
        <v>4.2829298628409784E-2</v>
      </c>
      <c r="G68" s="46">
        <v>4.6536245285158762E-2</v>
      </c>
    </row>
    <row r="69" spans="1:7" x14ac:dyDescent="0.25">
      <c r="A69" s="39">
        <f t="shared" ca="1" si="1"/>
        <v>24</v>
      </c>
      <c r="B69" s="40" t="str">
        <f t="shared" ca="1" si="0"/>
        <v>24Y</v>
      </c>
      <c r="C69" s="44">
        <v>4.3265795487131609E-2</v>
      </c>
      <c r="D69" s="45">
        <v>4.3345926303003157E-2</v>
      </c>
      <c r="E69" s="45">
        <v>4.2698706713397927E-2</v>
      </c>
      <c r="F69" s="45">
        <v>4.2980283778031314E-2</v>
      </c>
      <c r="G69" s="46">
        <v>4.674508555548007E-2</v>
      </c>
    </row>
    <row r="70" spans="1:7" x14ac:dyDescent="0.25">
      <c r="A70" s="39">
        <f t="shared" ca="1" si="1"/>
        <v>25</v>
      </c>
      <c r="B70" s="40" t="str">
        <f t="shared" ca="1" si="0"/>
        <v>25Y</v>
      </c>
      <c r="C70" s="44">
        <v>4.3665679160970861E-2</v>
      </c>
      <c r="D70" s="45">
        <v>4.3754061878812367E-2</v>
      </c>
      <c r="E70" s="45">
        <v>4.2971153741577561E-2</v>
      </c>
      <c r="F70" s="45">
        <v>4.3119209422586513E-2</v>
      </c>
      <c r="G70" s="46">
        <v>4.6937255411222178E-2</v>
      </c>
    </row>
    <row r="71" spans="1:7" x14ac:dyDescent="0.25">
      <c r="A71" s="39">
        <f t="shared" ca="1" si="1"/>
        <v>26</v>
      </c>
      <c r="B71" s="40" t="str">
        <f t="shared" ca="1" si="0"/>
        <v>26Y</v>
      </c>
      <c r="C71" s="44">
        <v>4.4034938594099682E-2</v>
      </c>
      <c r="D71" s="45">
        <v>4.4130944113894399E-2</v>
      </c>
      <c r="E71" s="45">
        <v>4.3222706490028573E-2</v>
      </c>
      <c r="F71" s="45">
        <v>4.3247464903585886E-2</v>
      </c>
      <c r="G71" s="46">
        <v>4.7114674283904368E-2</v>
      </c>
    </row>
    <row r="72" spans="1:7" x14ac:dyDescent="0.25">
      <c r="A72" s="39">
        <f t="shared" ca="1" si="1"/>
        <v>27</v>
      </c>
      <c r="B72" s="40" t="str">
        <f t="shared" ca="1" si="0"/>
        <v>27Y</v>
      </c>
      <c r="C72" s="44">
        <v>4.4376961965334694E-2</v>
      </c>
      <c r="D72" s="45">
        <v>4.4480030483897037E-2</v>
      </c>
      <c r="E72" s="45">
        <v>4.3487655669782743E-2</v>
      </c>
      <c r="F72" s="45">
        <v>4.3366234039139417E-2</v>
      </c>
      <c r="G72" s="46">
        <v>4.7220499966339924E-2</v>
      </c>
    </row>
    <row r="73" spans="1:7" x14ac:dyDescent="0.25">
      <c r="A73" s="39">
        <f t="shared" ca="1" si="1"/>
        <v>28</v>
      </c>
      <c r="B73" s="40" t="str">
        <f t="shared" ca="1" si="0"/>
        <v>28Y</v>
      </c>
      <c r="C73" s="44">
        <v>4.4694655421928742E-2</v>
      </c>
      <c r="D73" s="45">
        <v>4.4804286616101363E-2</v>
      </c>
      <c r="E73" s="45">
        <v>4.3819775593650467E-2</v>
      </c>
      <c r="F73" s="45">
        <v>4.3476531772099314E-2</v>
      </c>
      <c r="G73" s="46">
        <v>4.7163706754203449E-2</v>
      </c>
    </row>
    <row r="74" spans="1:7" x14ac:dyDescent="0.25">
      <c r="A74" s="39">
        <f t="shared" ca="1" si="1"/>
        <v>29</v>
      </c>
      <c r="B74" s="40" t="str">
        <f t="shared" ca="1" si="0"/>
        <v>29Y</v>
      </c>
      <c r="C74" s="44">
        <v>4.4990525857404595E-2</v>
      </c>
      <c r="D74" s="45">
        <v>4.5106270746089416E-2</v>
      </c>
      <c r="E74" s="45">
        <v>4.412908571740104E-2</v>
      </c>
      <c r="F74" s="45">
        <v>4.3579233246299642E-2</v>
      </c>
      <c r="G74" s="46">
        <v>4.7110833084050618E-2</v>
      </c>
    </row>
    <row r="75" spans="1:7" x14ac:dyDescent="0.25">
      <c r="A75" s="38">
        <f t="shared" ca="1" si="1"/>
        <v>30</v>
      </c>
      <c r="B75" s="47" t="str">
        <f t="shared" ca="1" si="0"/>
        <v>30Y</v>
      </c>
      <c r="C75" s="48">
        <v>4.5266747197662438E-2</v>
      </c>
      <c r="D75" s="49">
        <v>4.5388201349559676E-2</v>
      </c>
      <c r="E75" s="49">
        <v>4.4417857860122423E-2</v>
      </c>
      <c r="F75" s="49">
        <v>4.3675097075309699E-2</v>
      </c>
      <c r="G75" s="50">
        <v>4.7061486733916968E-2</v>
      </c>
    </row>
  </sheetData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159"/>
  <sheetViews>
    <sheetView topLeftCell="A118" workbookViewId="0">
      <selection activeCell="A160" sqref="A160"/>
    </sheetView>
  </sheetViews>
  <sheetFormatPr defaultRowHeight="13.5" x14ac:dyDescent="0.15"/>
  <cols>
    <col min="1" max="1" width="40.25" bestFit="1" customWidth="1"/>
  </cols>
  <sheetData>
    <row r="1" spans="1:32" x14ac:dyDescent="0.15">
      <c r="A1" s="63" t="s">
        <v>0</v>
      </c>
      <c r="B1" s="63" t="s">
        <v>1</v>
      </c>
      <c r="C1" s="63" t="s">
        <v>2</v>
      </c>
      <c r="D1" s="63" t="s">
        <v>3</v>
      </c>
      <c r="E1" s="63" t="s">
        <v>4</v>
      </c>
      <c r="F1" s="63" t="s">
        <v>5</v>
      </c>
      <c r="G1" s="63" t="s">
        <v>6</v>
      </c>
      <c r="H1" s="63" t="s">
        <v>7</v>
      </c>
      <c r="I1" s="63" t="s">
        <v>8</v>
      </c>
      <c r="J1" s="63" t="s">
        <v>9</v>
      </c>
      <c r="K1" s="63" t="s">
        <v>10</v>
      </c>
      <c r="L1" s="63" t="s">
        <v>11</v>
      </c>
      <c r="M1" s="63" t="s">
        <v>12</v>
      </c>
      <c r="N1" s="63" t="s">
        <v>13</v>
      </c>
      <c r="O1" s="63" t="s">
        <v>14</v>
      </c>
      <c r="P1" s="63" t="s">
        <v>15</v>
      </c>
      <c r="Q1" s="63" t="s">
        <v>16</v>
      </c>
      <c r="R1" s="63" t="s">
        <v>17</v>
      </c>
      <c r="S1" s="63" t="s">
        <v>18</v>
      </c>
      <c r="T1" s="63" t="s">
        <v>19</v>
      </c>
      <c r="U1" s="63" t="s">
        <v>20</v>
      </c>
      <c r="V1" s="63" t="s">
        <v>21</v>
      </c>
      <c r="W1" s="63" t="s">
        <v>22</v>
      </c>
      <c r="X1" s="63" t="s">
        <v>23</v>
      </c>
      <c r="Y1" s="63" t="s">
        <v>24</v>
      </c>
      <c r="Z1" s="63" t="s">
        <v>25</v>
      </c>
      <c r="AA1" s="63" t="s">
        <v>26</v>
      </c>
      <c r="AB1" s="63" t="s">
        <v>27</v>
      </c>
      <c r="AC1" s="63" t="s">
        <v>28</v>
      </c>
      <c r="AD1" s="63" t="s">
        <v>29</v>
      </c>
      <c r="AE1" s="63" t="s">
        <v>30</v>
      </c>
      <c r="AF1" s="63" t="s">
        <v>31</v>
      </c>
    </row>
    <row r="2" spans="1:32" x14ac:dyDescent="0.15">
      <c r="A2" s="2">
        <v>40912</v>
      </c>
      <c r="B2" s="63">
        <v>2.3431E-2</v>
      </c>
      <c r="C2" s="63">
        <v>2.7654999999999999E-2</v>
      </c>
      <c r="D2" s="63">
        <v>2.8608999999999999E-2</v>
      </c>
      <c r="E2" s="63">
        <v>2.895E-2</v>
      </c>
      <c r="F2" s="63">
        <v>3.0253000000000002E-2</v>
      </c>
      <c r="G2" s="63">
        <v>3.0842000000000001E-2</v>
      </c>
      <c r="H2" s="63">
        <v>3.3782E-2</v>
      </c>
      <c r="I2" s="63">
        <v>3.4105999999999997E-2</v>
      </c>
      <c r="J2" s="63">
        <v>3.4977000000000001E-2</v>
      </c>
      <c r="K2" s="63">
        <v>3.5062000000000003E-2</v>
      </c>
      <c r="L2" s="63">
        <v>3.5052E-2</v>
      </c>
      <c r="M2" s="63">
        <v>3.5312000000000003E-2</v>
      </c>
      <c r="N2" s="63">
        <v>3.5904999999999999E-2</v>
      </c>
      <c r="O2" s="63">
        <v>3.6698000000000001E-2</v>
      </c>
      <c r="P2" s="63">
        <v>3.7552000000000002E-2</v>
      </c>
      <c r="Q2" s="63">
        <v>3.8314000000000001E-2</v>
      </c>
      <c r="R2" s="63">
        <v>3.8948000000000003E-2</v>
      </c>
      <c r="S2" s="63">
        <v>3.9539999999999999E-2</v>
      </c>
      <c r="T2" s="63">
        <v>4.0114000000000004E-2</v>
      </c>
      <c r="U2" s="63">
        <v>4.0694999999999995E-2</v>
      </c>
      <c r="V2" s="63">
        <v>4.1313000000000002E-2</v>
      </c>
      <c r="W2" s="63">
        <v>4.1877000000000004E-2</v>
      </c>
      <c r="X2" s="63">
        <v>4.2291999999999996E-2</v>
      </c>
      <c r="Y2" s="63">
        <v>4.258E-2</v>
      </c>
      <c r="Z2" s="63">
        <v>4.2765000000000004E-2</v>
      </c>
      <c r="AA2" s="63">
        <v>4.2874999999999996E-2</v>
      </c>
      <c r="AB2" s="63">
        <v>4.2938000000000004E-2</v>
      </c>
      <c r="AC2" s="63">
        <v>4.2984999999999995E-2</v>
      </c>
      <c r="AD2" s="63">
        <v>4.3051000000000006E-2</v>
      </c>
      <c r="AE2" s="63">
        <v>4.317E-2</v>
      </c>
      <c r="AF2" s="63">
        <v>4.3381999999999997E-2</v>
      </c>
    </row>
    <row r="3" spans="1:32" x14ac:dyDescent="0.15">
      <c r="A3" s="1">
        <v>40913</v>
      </c>
      <c r="B3" s="63">
        <v>2.8456000000000002E-2</v>
      </c>
      <c r="C3" s="63">
        <v>2.7785000000000001E-2</v>
      </c>
      <c r="D3" s="63">
        <v>2.8635000000000001E-2</v>
      </c>
      <c r="E3" s="63">
        <v>2.9216000000000002E-2</v>
      </c>
      <c r="F3" s="63">
        <v>3.0265E-2</v>
      </c>
      <c r="G3" s="63">
        <v>3.1141000000000002E-2</v>
      </c>
      <c r="H3" s="63">
        <v>3.3637E-2</v>
      </c>
      <c r="I3" s="63">
        <v>3.4162999999999999E-2</v>
      </c>
      <c r="J3" s="63">
        <v>3.5062999999999997E-2</v>
      </c>
      <c r="K3" s="63">
        <v>3.4988999999999999E-2</v>
      </c>
      <c r="L3" s="63">
        <v>3.4935000000000001E-2</v>
      </c>
      <c r="M3" s="63">
        <v>3.5193000000000002E-2</v>
      </c>
      <c r="N3" s="63">
        <v>3.5809000000000001E-2</v>
      </c>
      <c r="O3" s="63">
        <v>3.6638999999999998E-2</v>
      </c>
      <c r="P3" s="63">
        <v>3.7532999999999997E-2</v>
      </c>
      <c r="Q3" s="63">
        <v>3.8328000000000001E-2</v>
      </c>
      <c r="R3" s="63">
        <v>3.9011999999999998E-2</v>
      </c>
      <c r="S3" s="63">
        <v>3.9683000000000003E-2</v>
      </c>
      <c r="T3" s="63">
        <v>4.0330000000000005E-2</v>
      </c>
      <c r="U3" s="63">
        <v>4.0940999999999998E-2</v>
      </c>
      <c r="V3" s="63">
        <v>4.1501000000000003E-2</v>
      </c>
      <c r="W3" s="63">
        <v>4.1966999999999997E-2</v>
      </c>
      <c r="X3" s="63">
        <v>4.2310999999999994E-2</v>
      </c>
      <c r="Y3" s="63">
        <v>4.2549999999999998E-2</v>
      </c>
      <c r="Z3" s="63">
        <v>4.2704000000000006E-2</v>
      </c>
      <c r="AA3" s="63">
        <v>4.2790999999999996E-2</v>
      </c>
      <c r="AB3" s="63">
        <v>4.2834999999999998E-2</v>
      </c>
      <c r="AC3" s="63">
        <v>4.2858E-2</v>
      </c>
      <c r="AD3" s="63">
        <v>4.2886000000000001E-2</v>
      </c>
      <c r="AE3" s="63">
        <v>4.2944000000000003E-2</v>
      </c>
      <c r="AF3" s="63">
        <v>4.3061999999999996E-2</v>
      </c>
    </row>
    <row r="4" spans="1:32" x14ac:dyDescent="0.15">
      <c r="A4" s="1">
        <v>40914</v>
      </c>
      <c r="B4" s="63">
        <v>2.8435000000000002E-2</v>
      </c>
      <c r="C4" s="63">
        <v>2.7771000000000001E-2</v>
      </c>
      <c r="D4" s="63">
        <v>2.8597999999999998E-2</v>
      </c>
      <c r="E4" s="63">
        <v>2.9037E-2</v>
      </c>
      <c r="F4" s="63">
        <v>3.0044000000000001E-2</v>
      </c>
      <c r="G4" s="63">
        <v>3.0587E-2</v>
      </c>
      <c r="H4" s="63">
        <v>3.3298999999999995E-2</v>
      </c>
      <c r="I4" s="63">
        <v>3.3673000000000002E-2</v>
      </c>
      <c r="J4" s="63">
        <v>3.4700000000000002E-2</v>
      </c>
      <c r="K4" s="63">
        <v>3.4637000000000001E-2</v>
      </c>
      <c r="L4" s="63">
        <v>3.4591999999999998E-2</v>
      </c>
      <c r="M4" s="63">
        <v>3.4869999999999998E-2</v>
      </c>
      <c r="N4" s="63">
        <v>3.5527999999999997E-2</v>
      </c>
      <c r="O4" s="63">
        <v>3.6414000000000002E-2</v>
      </c>
      <c r="P4" s="63">
        <v>3.7368999999999999E-2</v>
      </c>
      <c r="Q4" s="63">
        <v>3.8218999999999996E-2</v>
      </c>
      <c r="R4" s="63">
        <v>3.8960000000000002E-2</v>
      </c>
      <c r="S4" s="63">
        <v>3.9695999999999995E-2</v>
      </c>
      <c r="T4" s="63">
        <v>4.0397999999999996E-2</v>
      </c>
      <c r="U4" s="63">
        <v>4.1033999999999994E-2</v>
      </c>
      <c r="V4" s="63">
        <v>4.1569000000000002E-2</v>
      </c>
      <c r="W4" s="63">
        <v>4.1981999999999998E-2</v>
      </c>
      <c r="X4" s="63">
        <v>4.2289E-2</v>
      </c>
      <c r="Y4" s="63">
        <v>4.2502000000000005E-2</v>
      </c>
      <c r="Z4" s="63">
        <v>4.2637999999999995E-2</v>
      </c>
      <c r="AA4" s="63">
        <v>4.2713000000000001E-2</v>
      </c>
      <c r="AB4" s="63">
        <v>4.2746000000000006E-2</v>
      </c>
      <c r="AC4" s="63">
        <v>4.2758000000000004E-2</v>
      </c>
      <c r="AD4" s="63">
        <v>4.2768E-2</v>
      </c>
      <c r="AE4" s="63">
        <v>4.2798999999999997E-2</v>
      </c>
      <c r="AF4" s="63">
        <v>4.2876000000000004E-2</v>
      </c>
    </row>
    <row r="5" spans="1:32" x14ac:dyDescent="0.15">
      <c r="A5" s="1">
        <v>40917</v>
      </c>
      <c r="B5" s="63">
        <v>2.8456000000000002E-2</v>
      </c>
      <c r="C5" s="63">
        <v>2.7307999999999999E-2</v>
      </c>
      <c r="D5" s="63">
        <v>2.8627E-2</v>
      </c>
      <c r="E5" s="63">
        <v>2.9020999999999998E-2</v>
      </c>
      <c r="F5" s="63">
        <v>2.9992999999999999E-2</v>
      </c>
      <c r="G5" s="63">
        <v>3.0558999999999999E-2</v>
      </c>
      <c r="H5" s="63">
        <v>3.3271999999999996E-2</v>
      </c>
      <c r="I5" s="63">
        <v>3.3589000000000001E-2</v>
      </c>
      <c r="J5" s="63">
        <v>3.4447999999999999E-2</v>
      </c>
      <c r="K5" s="63">
        <v>3.4408000000000001E-2</v>
      </c>
      <c r="L5" s="63">
        <v>3.4382000000000003E-2</v>
      </c>
      <c r="M5" s="63">
        <v>3.4689999999999999E-2</v>
      </c>
      <c r="N5" s="63">
        <v>3.5402000000000003E-2</v>
      </c>
      <c r="O5" s="63">
        <v>3.6357E-2</v>
      </c>
      <c r="P5" s="63">
        <v>3.7385000000000002E-2</v>
      </c>
      <c r="Q5" s="63">
        <v>3.8301000000000002E-2</v>
      </c>
      <c r="R5" s="63">
        <v>3.9108000000000004E-2</v>
      </c>
      <c r="S5" s="63">
        <v>3.9913999999999998E-2</v>
      </c>
      <c r="T5" s="63">
        <v>4.0674999999999996E-2</v>
      </c>
      <c r="U5" s="63">
        <v>4.1341999999999997E-2</v>
      </c>
      <c r="V5" s="63">
        <v>4.1860999999999995E-2</v>
      </c>
      <c r="W5" s="63">
        <v>4.2234000000000001E-2</v>
      </c>
      <c r="X5" s="63">
        <v>4.2510000000000006E-2</v>
      </c>
      <c r="Y5" s="63">
        <v>4.2701999999999997E-2</v>
      </c>
      <c r="Z5" s="63">
        <v>4.2824000000000001E-2</v>
      </c>
      <c r="AA5" s="63">
        <v>4.2888999999999997E-2</v>
      </c>
      <c r="AB5" s="63">
        <v>4.2914000000000001E-2</v>
      </c>
      <c r="AC5" s="63">
        <v>4.2915999999999996E-2</v>
      </c>
      <c r="AD5" s="63">
        <v>4.2914000000000001E-2</v>
      </c>
      <c r="AE5" s="63">
        <v>4.2925999999999999E-2</v>
      </c>
      <c r="AF5" s="63">
        <v>4.2973999999999998E-2</v>
      </c>
    </row>
    <row r="6" spans="1:32" x14ac:dyDescent="0.15">
      <c r="A6" s="1">
        <v>40918</v>
      </c>
      <c r="B6" s="63">
        <v>2.5388999999999998E-2</v>
      </c>
      <c r="C6" s="63">
        <v>2.7282999999999998E-2</v>
      </c>
      <c r="D6" s="63">
        <v>2.8558E-2</v>
      </c>
      <c r="E6" s="63">
        <v>2.9035999999999999E-2</v>
      </c>
      <c r="F6" s="63">
        <v>2.9994E-2</v>
      </c>
      <c r="G6" s="63">
        <v>3.0607000000000002E-2</v>
      </c>
      <c r="H6" s="63">
        <v>3.3334999999999997E-2</v>
      </c>
      <c r="I6" s="63">
        <v>3.3628999999999999E-2</v>
      </c>
      <c r="J6" s="63">
        <v>3.4664E-2</v>
      </c>
      <c r="K6" s="63">
        <v>3.4660000000000003E-2</v>
      </c>
      <c r="L6" s="63">
        <v>3.4636E-2</v>
      </c>
      <c r="M6" s="63">
        <v>3.4918999999999999E-2</v>
      </c>
      <c r="N6" s="63">
        <v>3.5576999999999998E-2</v>
      </c>
      <c r="O6" s="63">
        <v>3.6458999999999998E-2</v>
      </c>
      <c r="P6" s="63">
        <v>3.7408000000000004E-2</v>
      </c>
      <c r="Q6" s="63">
        <v>3.8253000000000002E-2</v>
      </c>
      <c r="R6" s="63">
        <v>3.8997000000000004E-2</v>
      </c>
      <c r="S6" s="63">
        <v>3.9742E-2</v>
      </c>
      <c r="T6" s="63">
        <v>4.0444000000000008E-2</v>
      </c>
      <c r="U6" s="63">
        <v>4.1056000000000002E-2</v>
      </c>
      <c r="V6" s="63">
        <v>4.1528000000000002E-2</v>
      </c>
      <c r="W6" s="63">
        <v>4.1860000000000001E-2</v>
      </c>
      <c r="X6" s="63">
        <v>4.2099999999999999E-2</v>
      </c>
      <c r="Y6" s="63">
        <v>4.2261E-2</v>
      </c>
      <c r="Z6" s="63">
        <v>4.2355999999999998E-2</v>
      </c>
      <c r="AA6" s="63">
        <v>4.2401000000000001E-2</v>
      </c>
      <c r="AB6" s="63">
        <v>4.2412999999999999E-2</v>
      </c>
      <c r="AC6" s="63">
        <v>4.2409000000000002E-2</v>
      </c>
      <c r="AD6" s="63">
        <v>4.2407E-2</v>
      </c>
      <c r="AE6" s="63">
        <v>4.2426999999999999E-2</v>
      </c>
      <c r="AF6" s="63">
        <v>4.2487999999999998E-2</v>
      </c>
    </row>
    <row r="7" spans="1:32" x14ac:dyDescent="0.15">
      <c r="A7" s="1">
        <v>40919</v>
      </c>
      <c r="B7" s="63">
        <v>2.0856E-2</v>
      </c>
      <c r="C7" s="63">
        <v>2.7884000000000003E-2</v>
      </c>
      <c r="D7" s="63">
        <v>2.8742999999999998E-2</v>
      </c>
      <c r="E7" s="63">
        <v>2.8997999999999999E-2</v>
      </c>
      <c r="F7" s="63">
        <v>3.0102000000000004E-2</v>
      </c>
      <c r="G7" s="63">
        <v>3.0609000000000001E-2</v>
      </c>
      <c r="H7" s="63">
        <v>3.3301999999999998E-2</v>
      </c>
      <c r="I7" s="63">
        <v>3.3831E-2</v>
      </c>
      <c r="J7" s="63">
        <v>3.4854999999999997E-2</v>
      </c>
      <c r="K7" s="63">
        <v>3.4852000000000001E-2</v>
      </c>
      <c r="L7" s="63">
        <v>3.4826999999999997E-2</v>
      </c>
      <c r="M7" s="63">
        <v>3.5105999999999998E-2</v>
      </c>
      <c r="N7" s="63">
        <v>3.5751999999999999E-2</v>
      </c>
      <c r="O7" s="63">
        <v>3.6617999999999998E-2</v>
      </c>
      <c r="P7" s="63">
        <v>3.7551000000000001E-2</v>
      </c>
      <c r="Q7" s="63">
        <v>3.8379999999999997E-2</v>
      </c>
      <c r="R7" s="63">
        <v>3.9116999999999999E-2</v>
      </c>
      <c r="S7" s="63">
        <v>3.9861000000000001E-2</v>
      </c>
      <c r="T7" s="63">
        <v>4.0566999999999999E-2</v>
      </c>
      <c r="U7" s="63">
        <v>4.1184999999999999E-2</v>
      </c>
      <c r="V7" s="63">
        <v>4.1661000000000004E-2</v>
      </c>
      <c r="W7" s="63">
        <v>4.1993000000000003E-2</v>
      </c>
      <c r="X7" s="63">
        <v>4.2229000000000003E-2</v>
      </c>
      <c r="Y7" s="63">
        <v>4.2384000000000005E-2</v>
      </c>
      <c r="Z7" s="63">
        <v>4.2472000000000003E-2</v>
      </c>
      <c r="AA7" s="63">
        <v>4.2510000000000006E-2</v>
      </c>
      <c r="AB7" s="63">
        <v>4.2516999999999999E-2</v>
      </c>
      <c r="AC7" s="63">
        <v>4.2511E-2</v>
      </c>
      <c r="AD7" s="63">
        <v>4.2512000000000001E-2</v>
      </c>
      <c r="AE7" s="63">
        <v>4.2542999999999997E-2</v>
      </c>
      <c r="AF7" s="63">
        <v>4.2615999999999994E-2</v>
      </c>
    </row>
    <row r="8" spans="1:32" x14ac:dyDescent="0.15">
      <c r="A8" s="1">
        <v>40920</v>
      </c>
      <c r="B8" s="63">
        <v>2.3206000000000001E-2</v>
      </c>
      <c r="C8" s="63">
        <v>2.7841000000000001E-2</v>
      </c>
      <c r="D8" s="63">
        <v>2.8638E-2</v>
      </c>
      <c r="E8" s="63">
        <v>2.8986000000000001E-2</v>
      </c>
      <c r="F8" s="63">
        <v>2.9990000000000003E-2</v>
      </c>
      <c r="G8" s="63">
        <v>3.0699999999999998E-2</v>
      </c>
      <c r="H8" s="63">
        <v>3.3360000000000001E-2</v>
      </c>
      <c r="I8" s="63">
        <v>3.3466000000000003E-2</v>
      </c>
      <c r="J8" s="63">
        <v>3.4660999999999997E-2</v>
      </c>
      <c r="K8" s="63">
        <v>3.4620000000000005E-2</v>
      </c>
      <c r="L8" s="63">
        <v>3.4624000000000002E-2</v>
      </c>
      <c r="M8" s="63">
        <v>3.4992000000000002E-2</v>
      </c>
      <c r="N8" s="63">
        <v>3.5687000000000003E-2</v>
      </c>
      <c r="O8" s="63">
        <v>3.6575000000000003E-2</v>
      </c>
      <c r="P8" s="63">
        <v>3.7512999999999998E-2</v>
      </c>
      <c r="Q8" s="63">
        <v>3.8344999999999997E-2</v>
      </c>
      <c r="R8" s="63">
        <v>3.9085999999999996E-2</v>
      </c>
      <c r="S8" s="63">
        <v>3.9834000000000001E-2</v>
      </c>
      <c r="T8" s="63">
        <v>4.0541000000000001E-2</v>
      </c>
      <c r="U8" s="63">
        <v>4.1154999999999997E-2</v>
      </c>
      <c r="V8" s="63">
        <v>4.1619999999999997E-2</v>
      </c>
      <c r="W8" s="63">
        <v>4.1944000000000002E-2</v>
      </c>
      <c r="X8" s="63">
        <v>4.2183999999999999E-2</v>
      </c>
      <c r="Y8" s="63">
        <v>4.2350000000000006E-2</v>
      </c>
      <c r="Z8" s="63">
        <v>4.2453000000000005E-2</v>
      </c>
      <c r="AA8" s="63">
        <v>4.2507999999999997E-2</v>
      </c>
      <c r="AB8" s="63">
        <v>4.2527000000000002E-2</v>
      </c>
      <c r="AC8" s="63">
        <v>4.2526000000000001E-2</v>
      </c>
      <c r="AD8" s="63">
        <v>4.2519000000000001E-2</v>
      </c>
      <c r="AE8" s="63">
        <v>4.2525000000000007E-2</v>
      </c>
      <c r="AF8" s="63">
        <v>4.2560000000000001E-2</v>
      </c>
    </row>
    <row r="9" spans="1:32" x14ac:dyDescent="0.15">
      <c r="A9" s="1">
        <v>40921</v>
      </c>
      <c r="B9" s="63">
        <v>2.7077E-2</v>
      </c>
      <c r="C9" s="63">
        <v>2.7938000000000001E-2</v>
      </c>
      <c r="D9" s="63">
        <v>2.8732999999999998E-2</v>
      </c>
      <c r="E9" s="63">
        <v>2.9033000000000003E-2</v>
      </c>
      <c r="F9" s="63">
        <v>3.0215000000000002E-2</v>
      </c>
      <c r="G9" s="63">
        <v>3.0697000000000002E-2</v>
      </c>
      <c r="H9" s="63">
        <v>3.3397000000000003E-2</v>
      </c>
      <c r="I9" s="63">
        <v>3.3614000000000005E-2</v>
      </c>
      <c r="J9" s="63">
        <v>3.4672000000000001E-2</v>
      </c>
      <c r="K9" s="63">
        <v>3.4728000000000002E-2</v>
      </c>
      <c r="L9" s="63">
        <v>3.4714999999999996E-2</v>
      </c>
      <c r="M9" s="63">
        <v>3.5012000000000001E-2</v>
      </c>
      <c r="N9" s="63">
        <v>3.5682999999999999E-2</v>
      </c>
      <c r="O9" s="63">
        <v>3.6577999999999999E-2</v>
      </c>
      <c r="P9" s="63">
        <v>3.7539999999999997E-2</v>
      </c>
      <c r="Q9" s="63">
        <v>3.8397000000000001E-2</v>
      </c>
      <c r="R9" s="63">
        <v>3.9149999999999997E-2</v>
      </c>
      <c r="S9" s="63">
        <v>3.9893999999999999E-2</v>
      </c>
      <c r="T9" s="63">
        <v>4.0591999999999996E-2</v>
      </c>
      <c r="U9" s="63">
        <v>4.1201000000000002E-2</v>
      </c>
      <c r="V9" s="63">
        <v>4.1673000000000002E-2</v>
      </c>
      <c r="W9" s="63">
        <v>4.2009999999999999E-2</v>
      </c>
      <c r="X9" s="63">
        <v>4.2253999999999993E-2</v>
      </c>
      <c r="Y9" s="63">
        <v>4.2416000000000002E-2</v>
      </c>
      <c r="Z9" s="63">
        <v>4.2512999999999995E-2</v>
      </c>
      <c r="AA9" s="63">
        <v>4.2558999999999993E-2</v>
      </c>
      <c r="AB9" s="63">
        <v>4.2569999999999997E-2</v>
      </c>
      <c r="AC9" s="63">
        <v>4.2566E-2</v>
      </c>
      <c r="AD9" s="63">
        <v>4.2564999999999999E-2</v>
      </c>
      <c r="AE9" s="63">
        <v>4.2587E-2</v>
      </c>
      <c r="AF9" s="63">
        <v>4.2649999999999993E-2</v>
      </c>
    </row>
    <row r="10" spans="1:32" x14ac:dyDescent="0.15">
      <c r="A10" s="1">
        <v>40924</v>
      </c>
      <c r="B10" s="63">
        <v>3.0438999999999997E-2</v>
      </c>
      <c r="C10" s="63">
        <v>2.8250999999999998E-2</v>
      </c>
      <c r="D10" s="63">
        <v>2.8957E-2</v>
      </c>
      <c r="E10" s="63">
        <v>2.921E-2</v>
      </c>
      <c r="F10" s="63">
        <v>3.031E-2</v>
      </c>
      <c r="G10" s="63">
        <v>3.0903E-2</v>
      </c>
      <c r="H10" s="63">
        <v>3.3551000000000004E-2</v>
      </c>
      <c r="I10" s="63">
        <v>3.3765999999999997E-2</v>
      </c>
      <c r="J10" s="63">
        <v>3.4790000000000001E-2</v>
      </c>
      <c r="K10" s="63">
        <v>3.4851E-2</v>
      </c>
      <c r="L10" s="63">
        <v>3.4840000000000003E-2</v>
      </c>
      <c r="M10" s="63">
        <v>3.5135E-2</v>
      </c>
      <c r="N10" s="63">
        <v>3.5795E-2</v>
      </c>
      <c r="O10" s="63">
        <v>3.6674000000000005E-2</v>
      </c>
      <c r="P10" s="63">
        <v>3.7617999999999999E-2</v>
      </c>
      <c r="Q10" s="63">
        <v>3.8459E-2</v>
      </c>
      <c r="R10" s="63">
        <v>3.9203999999999996E-2</v>
      </c>
      <c r="S10" s="63">
        <v>3.9951E-2</v>
      </c>
      <c r="T10" s="63">
        <v>4.0655999999999998E-2</v>
      </c>
      <c r="U10" s="63">
        <v>4.1270000000000001E-2</v>
      </c>
      <c r="V10" s="63">
        <v>4.1740000000000006E-2</v>
      </c>
      <c r="W10" s="63">
        <v>4.2072000000000005E-2</v>
      </c>
      <c r="X10" s="63">
        <v>4.2317999999999995E-2</v>
      </c>
      <c r="Y10" s="63">
        <v>4.2488999999999999E-2</v>
      </c>
      <c r="Z10" s="63">
        <v>4.2595000000000001E-2</v>
      </c>
      <c r="AA10" s="63">
        <v>4.2652000000000002E-2</v>
      </c>
      <c r="AB10" s="63">
        <v>4.2672999999999996E-2</v>
      </c>
      <c r="AC10" s="63">
        <v>4.2672000000000002E-2</v>
      </c>
      <c r="AD10" s="63">
        <v>4.2667999999999998E-2</v>
      </c>
      <c r="AE10" s="63">
        <v>4.2675999999999999E-2</v>
      </c>
      <c r="AF10" s="63">
        <v>4.2714000000000002E-2</v>
      </c>
    </row>
    <row r="11" spans="1:32" x14ac:dyDescent="0.15">
      <c r="A11" s="1">
        <v>40925</v>
      </c>
      <c r="B11" s="63">
        <v>4.2381000000000002E-2</v>
      </c>
      <c r="C11" s="63">
        <v>2.8208E-2</v>
      </c>
      <c r="D11" s="63">
        <v>2.8772000000000002E-2</v>
      </c>
      <c r="E11" s="63">
        <v>2.9302999999999999E-2</v>
      </c>
      <c r="F11" s="63">
        <v>3.0438999999999997E-2</v>
      </c>
      <c r="G11" s="63">
        <v>3.0872999999999998E-2</v>
      </c>
      <c r="H11" s="63">
        <v>3.3446999999999998E-2</v>
      </c>
      <c r="I11" s="63">
        <v>3.3584000000000003E-2</v>
      </c>
      <c r="J11" s="63">
        <v>3.4641999999999999E-2</v>
      </c>
      <c r="K11" s="63">
        <v>3.4648999999999999E-2</v>
      </c>
      <c r="L11" s="63">
        <v>3.4630999999999995E-2</v>
      </c>
      <c r="M11" s="63">
        <v>3.4937999999999997E-2</v>
      </c>
      <c r="N11" s="63">
        <v>3.5630999999999996E-2</v>
      </c>
      <c r="O11" s="63">
        <v>3.6554999999999997E-2</v>
      </c>
      <c r="P11" s="63">
        <v>3.7548999999999999E-2</v>
      </c>
      <c r="Q11" s="63">
        <v>3.8433000000000002E-2</v>
      </c>
      <c r="R11" s="63">
        <v>3.9201E-2</v>
      </c>
      <c r="S11" s="63">
        <v>3.9951E-2</v>
      </c>
      <c r="T11" s="63">
        <v>4.0645000000000001E-2</v>
      </c>
      <c r="U11" s="63">
        <v>4.1243999999999996E-2</v>
      </c>
      <c r="V11" s="63">
        <v>4.1707000000000001E-2</v>
      </c>
      <c r="W11" s="63">
        <v>4.2037999999999999E-2</v>
      </c>
      <c r="X11" s="63">
        <v>4.2283999999999995E-2</v>
      </c>
      <c r="Y11" s="63">
        <v>4.2453000000000005E-2</v>
      </c>
      <c r="Z11" s="63">
        <v>4.2558999999999993E-2</v>
      </c>
      <c r="AA11" s="63">
        <v>4.2615E-2</v>
      </c>
      <c r="AB11" s="63">
        <v>4.2636E-2</v>
      </c>
      <c r="AC11" s="63">
        <v>4.2634999999999999E-2</v>
      </c>
      <c r="AD11" s="63">
        <v>4.2630000000000001E-2</v>
      </c>
      <c r="AE11" s="63">
        <v>4.2637000000000001E-2</v>
      </c>
      <c r="AF11" s="63">
        <v>4.2675999999999999E-2</v>
      </c>
    </row>
    <row r="12" spans="1:32" x14ac:dyDescent="0.15">
      <c r="A12" s="1">
        <v>40926</v>
      </c>
      <c r="B12" s="63">
        <v>5.0381000000000002E-2</v>
      </c>
      <c r="C12" s="63">
        <v>2.8614000000000001E-2</v>
      </c>
      <c r="D12" s="63">
        <v>2.9002E-2</v>
      </c>
      <c r="E12" s="63">
        <v>2.9373E-2</v>
      </c>
      <c r="F12" s="63">
        <v>3.0405999999999999E-2</v>
      </c>
      <c r="G12" s="63">
        <v>3.0979E-2</v>
      </c>
      <c r="H12" s="63">
        <v>3.3217999999999998E-2</v>
      </c>
      <c r="I12" s="63">
        <v>3.3576999999999996E-2</v>
      </c>
      <c r="J12" s="63">
        <v>3.4540000000000001E-2</v>
      </c>
      <c r="K12" s="63">
        <v>3.4548000000000002E-2</v>
      </c>
      <c r="L12" s="63">
        <v>3.4530999999999999E-2</v>
      </c>
      <c r="M12" s="63">
        <v>3.4844E-2</v>
      </c>
      <c r="N12" s="63">
        <v>3.5548000000000003E-2</v>
      </c>
      <c r="O12" s="63">
        <v>3.6485999999999998E-2</v>
      </c>
      <c r="P12" s="63">
        <v>3.7494E-2</v>
      </c>
      <c r="Q12" s="63">
        <v>3.8391000000000002E-2</v>
      </c>
      <c r="R12" s="63">
        <v>3.9163000000000003E-2</v>
      </c>
      <c r="S12" s="63">
        <v>3.9909E-2</v>
      </c>
      <c r="T12" s="63">
        <v>4.0605000000000002E-2</v>
      </c>
      <c r="U12" s="63">
        <v>4.1223000000000003E-2</v>
      </c>
      <c r="V12" s="63">
        <v>4.1734E-2</v>
      </c>
      <c r="W12" s="63">
        <v>4.2126000000000004E-2</v>
      </c>
      <c r="X12" s="63">
        <v>4.2416000000000002E-2</v>
      </c>
      <c r="Y12" s="63">
        <v>4.2618000000000003E-2</v>
      </c>
      <c r="Z12" s="63">
        <v>4.2746000000000006E-2</v>
      </c>
      <c r="AA12" s="63">
        <v>4.2816E-2</v>
      </c>
      <c r="AB12" s="63">
        <v>4.2846000000000002E-2</v>
      </c>
      <c r="AC12" s="63">
        <v>4.2853000000000002E-2</v>
      </c>
      <c r="AD12" s="63">
        <v>4.2859000000000001E-2</v>
      </c>
      <c r="AE12" s="63">
        <v>4.2882999999999998E-2</v>
      </c>
      <c r="AF12" s="63">
        <v>4.2948000000000007E-2</v>
      </c>
    </row>
    <row r="13" spans="1:32" x14ac:dyDescent="0.15">
      <c r="A13" s="1">
        <v>40927</v>
      </c>
      <c r="B13" s="63">
        <v>3.5688999999999999E-2</v>
      </c>
      <c r="C13" s="63">
        <v>2.8439000000000002E-2</v>
      </c>
      <c r="D13" s="63">
        <v>2.9005E-2</v>
      </c>
      <c r="E13" s="63">
        <v>2.9301000000000001E-2</v>
      </c>
      <c r="F13" s="63">
        <v>3.0234999999999998E-2</v>
      </c>
      <c r="G13" s="63">
        <v>3.0659000000000002E-2</v>
      </c>
      <c r="H13" s="63">
        <v>3.2996999999999999E-2</v>
      </c>
      <c r="I13" s="63">
        <v>3.3368000000000002E-2</v>
      </c>
      <c r="J13" s="63">
        <v>3.4373999999999995E-2</v>
      </c>
      <c r="K13" s="63">
        <v>3.4345000000000001E-2</v>
      </c>
      <c r="L13" s="63">
        <v>3.4324E-2</v>
      </c>
      <c r="M13" s="63">
        <v>3.4647999999999998E-2</v>
      </c>
      <c r="N13" s="63">
        <v>3.5375000000000004E-2</v>
      </c>
      <c r="O13" s="63">
        <v>3.6343E-2</v>
      </c>
      <c r="P13" s="63">
        <v>3.7384000000000001E-2</v>
      </c>
      <c r="Q13" s="63">
        <v>3.8311000000000005E-2</v>
      </c>
      <c r="R13" s="63">
        <v>3.9099000000000002E-2</v>
      </c>
      <c r="S13" s="63">
        <v>3.9845999999999999E-2</v>
      </c>
      <c r="T13" s="63">
        <v>4.0533E-2</v>
      </c>
      <c r="U13" s="63">
        <v>4.1139999999999996E-2</v>
      </c>
      <c r="V13" s="63">
        <v>4.1645000000000001E-2</v>
      </c>
      <c r="W13" s="63">
        <v>4.2035999999999997E-2</v>
      </c>
      <c r="X13" s="63">
        <v>4.2325000000000002E-2</v>
      </c>
      <c r="Y13" s="63">
        <v>4.2526000000000001E-2</v>
      </c>
      <c r="Z13" s="63">
        <v>4.2653999999999997E-2</v>
      </c>
      <c r="AA13" s="63">
        <v>4.2723000000000004E-2</v>
      </c>
      <c r="AB13" s="63">
        <v>4.2751999999999998E-2</v>
      </c>
      <c r="AC13" s="63">
        <v>4.2759999999999999E-2</v>
      </c>
      <c r="AD13" s="63">
        <v>4.2765000000000004E-2</v>
      </c>
      <c r="AE13" s="63">
        <v>4.2789000000000001E-2</v>
      </c>
      <c r="AF13" s="63">
        <v>4.2854000000000003E-2</v>
      </c>
    </row>
    <row r="14" spans="1:32" x14ac:dyDescent="0.15">
      <c r="A14" s="1">
        <v>40928</v>
      </c>
      <c r="B14" s="63">
        <v>2.1488999999999998E-2</v>
      </c>
      <c r="C14" s="63">
        <v>2.8154999999999999E-2</v>
      </c>
      <c r="D14" s="63">
        <v>2.8853E-2</v>
      </c>
      <c r="E14" s="63">
        <v>2.9170999999999999E-2</v>
      </c>
      <c r="F14" s="63">
        <v>3.0077E-2</v>
      </c>
      <c r="G14" s="63">
        <v>3.0615E-2</v>
      </c>
      <c r="H14" s="63">
        <v>3.2896000000000002E-2</v>
      </c>
      <c r="I14" s="63">
        <v>3.3352E-2</v>
      </c>
      <c r="J14" s="63">
        <v>3.4444000000000002E-2</v>
      </c>
      <c r="K14" s="63">
        <v>3.4412999999999999E-2</v>
      </c>
      <c r="L14" s="63">
        <v>3.4390000000000004E-2</v>
      </c>
      <c r="M14" s="63">
        <v>3.4710999999999999E-2</v>
      </c>
      <c r="N14" s="63">
        <v>3.5431999999999998E-2</v>
      </c>
      <c r="O14" s="63">
        <v>3.6392000000000001E-2</v>
      </c>
      <c r="P14" s="63">
        <v>3.7423999999999999E-2</v>
      </c>
      <c r="Q14" s="63">
        <v>3.8342000000000001E-2</v>
      </c>
      <c r="R14" s="63">
        <v>3.9125E-2</v>
      </c>
      <c r="S14" s="63">
        <v>3.9871999999999998E-2</v>
      </c>
      <c r="T14" s="63">
        <v>4.0559999999999999E-2</v>
      </c>
      <c r="U14" s="63">
        <v>4.1169999999999998E-2</v>
      </c>
      <c r="V14" s="63">
        <v>4.1676000000000005E-2</v>
      </c>
      <c r="W14" s="63">
        <v>4.2066999999999993E-2</v>
      </c>
      <c r="X14" s="63">
        <v>4.2356999999999999E-2</v>
      </c>
      <c r="Y14" s="63">
        <v>4.2557999999999999E-2</v>
      </c>
      <c r="Z14" s="63">
        <v>4.2685000000000001E-2</v>
      </c>
      <c r="AA14" s="63">
        <v>4.2754E-2</v>
      </c>
      <c r="AB14" s="63">
        <v>4.2782999999999995E-2</v>
      </c>
      <c r="AC14" s="63">
        <v>4.2790000000000002E-2</v>
      </c>
      <c r="AD14" s="63">
        <v>4.2795E-2</v>
      </c>
      <c r="AE14" s="63">
        <v>4.2819000000000003E-2</v>
      </c>
      <c r="AF14" s="63">
        <v>4.2884000000000005E-2</v>
      </c>
    </row>
    <row r="15" spans="1:32" x14ac:dyDescent="0.15">
      <c r="A15" s="1">
        <v>40929</v>
      </c>
      <c r="B15" s="63">
        <v>2.1406000000000001E-2</v>
      </c>
      <c r="C15" s="63">
        <v>2.8169E-2</v>
      </c>
      <c r="D15" s="63">
        <v>2.8794E-2</v>
      </c>
      <c r="E15" s="63">
        <v>2.9182E-2</v>
      </c>
      <c r="F15" s="63">
        <v>3.0147E-2</v>
      </c>
      <c r="G15" s="63">
        <v>3.0679999999999999E-2</v>
      </c>
      <c r="H15" s="63">
        <v>3.2915E-2</v>
      </c>
      <c r="I15" s="63">
        <v>3.3315999999999998E-2</v>
      </c>
      <c r="J15" s="63">
        <v>3.4327000000000003E-2</v>
      </c>
      <c r="K15" s="63">
        <v>3.4419999999999999E-2</v>
      </c>
      <c r="L15" s="63">
        <v>3.4397000000000004E-2</v>
      </c>
      <c r="M15" s="63">
        <v>3.4717999999999999E-2</v>
      </c>
      <c r="N15" s="63">
        <v>3.5437999999999997E-2</v>
      </c>
      <c r="O15" s="63">
        <v>3.6396999999999999E-2</v>
      </c>
      <c r="P15" s="63">
        <v>3.7427000000000002E-2</v>
      </c>
      <c r="Q15" s="63">
        <v>3.8342999999999995E-2</v>
      </c>
      <c r="R15" s="63">
        <v>3.9126000000000001E-2</v>
      </c>
      <c r="S15" s="63">
        <v>3.9871999999999998E-2</v>
      </c>
      <c r="T15" s="63">
        <v>4.0561E-2</v>
      </c>
      <c r="U15" s="63">
        <v>4.1170999999999999E-2</v>
      </c>
      <c r="V15" s="63">
        <v>4.1676999999999999E-2</v>
      </c>
      <c r="W15" s="63">
        <v>4.2069000000000002E-2</v>
      </c>
      <c r="X15" s="63">
        <v>4.2358E-2</v>
      </c>
      <c r="Y15" s="63">
        <v>4.2558999999999993E-2</v>
      </c>
      <c r="Z15" s="63">
        <v>4.2686000000000002E-2</v>
      </c>
      <c r="AA15" s="63">
        <v>4.2755000000000001E-2</v>
      </c>
      <c r="AB15" s="63">
        <v>4.2784000000000003E-2</v>
      </c>
      <c r="AC15" s="63">
        <v>4.2790999999999996E-2</v>
      </c>
      <c r="AD15" s="63">
        <v>4.2796000000000001E-2</v>
      </c>
      <c r="AE15" s="63">
        <v>4.2819999999999997E-2</v>
      </c>
      <c r="AF15" s="63">
        <v>4.2885E-2</v>
      </c>
    </row>
    <row r="16" spans="1:32" x14ac:dyDescent="0.15">
      <c r="A16" s="1">
        <v>40937</v>
      </c>
      <c r="B16" s="63">
        <v>1.9705999999999998E-2</v>
      </c>
      <c r="C16" s="63">
        <v>2.7757E-2</v>
      </c>
      <c r="D16" s="63">
        <v>2.8706999999999996E-2</v>
      </c>
      <c r="E16" s="63">
        <v>2.9045999999999999E-2</v>
      </c>
      <c r="F16" s="63">
        <v>3.0207000000000001E-2</v>
      </c>
      <c r="G16" s="63">
        <v>3.0647000000000001E-2</v>
      </c>
      <c r="H16" s="63">
        <v>3.2927999999999999E-2</v>
      </c>
      <c r="I16" s="63">
        <v>3.3350999999999999E-2</v>
      </c>
      <c r="J16" s="63">
        <v>3.4327999999999997E-2</v>
      </c>
      <c r="K16" s="63">
        <v>3.4403999999999997E-2</v>
      </c>
      <c r="L16" s="63">
        <v>3.4401000000000001E-2</v>
      </c>
      <c r="M16" s="63">
        <v>3.4738999999999999E-2</v>
      </c>
      <c r="N16" s="63">
        <v>3.5460999999999999E-2</v>
      </c>
      <c r="O16" s="63">
        <v>3.6412E-2</v>
      </c>
      <c r="P16" s="63">
        <v>3.7430999999999999E-2</v>
      </c>
      <c r="Q16" s="63">
        <v>3.8341E-2</v>
      </c>
      <c r="R16" s="63">
        <v>3.9121000000000003E-2</v>
      </c>
      <c r="S16" s="63">
        <v>3.9867E-2</v>
      </c>
      <c r="T16" s="63">
        <v>4.0556999999999996E-2</v>
      </c>
      <c r="U16" s="63">
        <v>4.1167999999999996E-2</v>
      </c>
      <c r="V16" s="63">
        <v>4.1675000000000004E-2</v>
      </c>
      <c r="W16" s="63">
        <v>4.2065999999999999E-2</v>
      </c>
      <c r="X16" s="63">
        <v>4.2355999999999998E-2</v>
      </c>
      <c r="Y16" s="63">
        <v>4.2556999999999998E-2</v>
      </c>
      <c r="Z16" s="63">
        <v>4.2684E-2</v>
      </c>
      <c r="AA16" s="63">
        <v>4.2752999999999999E-2</v>
      </c>
      <c r="AB16" s="63">
        <v>4.2782000000000001E-2</v>
      </c>
      <c r="AC16" s="63">
        <v>4.2789000000000001E-2</v>
      </c>
      <c r="AD16" s="63">
        <v>4.2793999999999999E-2</v>
      </c>
      <c r="AE16" s="63">
        <v>4.2817999999999995E-2</v>
      </c>
      <c r="AF16" s="63">
        <v>4.2882999999999998E-2</v>
      </c>
    </row>
    <row r="17" spans="1:32" x14ac:dyDescent="0.15">
      <c r="A17" s="1">
        <v>40938</v>
      </c>
      <c r="B17" s="63">
        <v>1.6292000000000001E-2</v>
      </c>
      <c r="C17" s="63">
        <v>2.7757E-2</v>
      </c>
      <c r="D17" s="63">
        <v>2.8579E-2</v>
      </c>
      <c r="E17" s="63">
        <v>2.9090999999999999E-2</v>
      </c>
      <c r="F17" s="63">
        <v>3.0249999999999999E-2</v>
      </c>
      <c r="G17" s="63">
        <v>3.0896E-2</v>
      </c>
      <c r="H17" s="63">
        <v>3.3089E-2</v>
      </c>
      <c r="I17" s="63">
        <v>3.3427999999999999E-2</v>
      </c>
      <c r="J17" s="63">
        <v>3.4453999999999999E-2</v>
      </c>
      <c r="K17" s="63">
        <v>3.4597000000000003E-2</v>
      </c>
      <c r="L17" s="63">
        <v>3.4611999999999997E-2</v>
      </c>
      <c r="M17" s="63">
        <v>3.4949000000000001E-2</v>
      </c>
      <c r="N17" s="63">
        <v>3.5638000000000003E-2</v>
      </c>
      <c r="O17" s="63">
        <v>3.6539000000000002E-2</v>
      </c>
      <c r="P17" s="63">
        <v>3.7502000000000001E-2</v>
      </c>
      <c r="Q17" s="63">
        <v>3.8365999999999997E-2</v>
      </c>
      <c r="R17" s="63">
        <v>3.9122999999999998E-2</v>
      </c>
      <c r="S17" s="63">
        <v>3.9867E-2</v>
      </c>
      <c r="T17" s="63">
        <v>4.0566999999999999E-2</v>
      </c>
      <c r="U17" s="63">
        <v>4.1193E-2</v>
      </c>
      <c r="V17" s="63">
        <v>4.1707999999999995E-2</v>
      </c>
      <c r="W17" s="63">
        <v>4.2099999999999999E-2</v>
      </c>
      <c r="X17" s="63">
        <v>4.2389999999999997E-2</v>
      </c>
      <c r="Y17" s="63">
        <v>4.2591999999999998E-2</v>
      </c>
      <c r="Z17" s="63">
        <v>4.2720000000000001E-2</v>
      </c>
      <c r="AA17" s="63">
        <v>4.2790000000000002E-2</v>
      </c>
      <c r="AB17" s="63">
        <v>4.2819000000000003E-2</v>
      </c>
      <c r="AC17" s="63">
        <v>4.2827000000000004E-2</v>
      </c>
      <c r="AD17" s="63">
        <v>4.2832000000000002E-2</v>
      </c>
      <c r="AE17" s="63">
        <v>4.2855999999999998E-2</v>
      </c>
      <c r="AF17" s="63">
        <v>4.2922000000000002E-2</v>
      </c>
    </row>
    <row r="18" spans="1:32" x14ac:dyDescent="0.15">
      <c r="A18" s="1">
        <v>40939</v>
      </c>
      <c r="B18" s="63">
        <v>1.7388999999999998E-2</v>
      </c>
      <c r="C18" s="63">
        <v>2.7658000000000002E-2</v>
      </c>
      <c r="D18" s="63">
        <v>2.8624999999999998E-2</v>
      </c>
      <c r="E18" s="63">
        <v>2.9127E-2</v>
      </c>
      <c r="F18" s="63">
        <v>3.0394000000000001E-2</v>
      </c>
      <c r="G18" s="63">
        <v>3.0825000000000002E-2</v>
      </c>
      <c r="H18" s="63">
        <v>3.3146000000000002E-2</v>
      </c>
      <c r="I18" s="63">
        <v>3.3533E-2</v>
      </c>
      <c r="J18" s="63">
        <v>3.4557000000000004E-2</v>
      </c>
      <c r="K18" s="63">
        <v>3.4666999999999996E-2</v>
      </c>
      <c r="L18" s="63">
        <v>3.4672000000000001E-2</v>
      </c>
      <c r="M18" s="63">
        <v>3.4998999999999995E-2</v>
      </c>
      <c r="N18" s="63">
        <v>3.5680999999999997E-2</v>
      </c>
      <c r="O18" s="63">
        <v>3.6575999999999997E-2</v>
      </c>
      <c r="P18" s="63">
        <v>3.7533999999999998E-2</v>
      </c>
      <c r="Q18" s="63">
        <v>3.8391000000000002E-2</v>
      </c>
      <c r="R18" s="63">
        <v>3.9147000000000001E-2</v>
      </c>
      <c r="S18" s="63">
        <v>3.9900999999999999E-2</v>
      </c>
      <c r="T18" s="63">
        <v>4.0612000000000002E-2</v>
      </c>
      <c r="U18" s="63">
        <v>4.1238000000000004E-2</v>
      </c>
      <c r="V18" s="63">
        <v>4.1732999999999999E-2</v>
      </c>
      <c r="W18" s="63">
        <v>4.2091999999999997E-2</v>
      </c>
      <c r="X18" s="63">
        <v>4.2350000000000006E-2</v>
      </c>
      <c r="Y18" s="63">
        <v>4.2522999999999998E-2</v>
      </c>
      <c r="Z18" s="63">
        <v>4.2625000000000003E-2</v>
      </c>
      <c r="AA18" s="63">
        <v>4.2674000000000004E-2</v>
      </c>
      <c r="AB18" s="63">
        <v>4.2687999999999997E-2</v>
      </c>
      <c r="AC18" s="63">
        <v>4.2686000000000002E-2</v>
      </c>
      <c r="AD18" s="63">
        <v>4.2689000000000005E-2</v>
      </c>
      <c r="AE18" s="63">
        <v>4.2718999999999993E-2</v>
      </c>
      <c r="AF18" s="63">
        <v>4.2790999999999996E-2</v>
      </c>
    </row>
    <row r="19" spans="1:32" x14ac:dyDescent="0.15">
      <c r="A19" s="1">
        <v>40940</v>
      </c>
      <c r="B19" s="63">
        <v>1.7364000000000001E-2</v>
      </c>
      <c r="C19" s="63">
        <v>2.7829000000000003E-2</v>
      </c>
      <c r="D19" s="63">
        <v>2.8767999999999998E-2</v>
      </c>
      <c r="E19" s="63">
        <v>2.9312999999999999E-2</v>
      </c>
      <c r="F19" s="63">
        <v>3.0447000000000002E-2</v>
      </c>
      <c r="G19" s="63">
        <v>3.15E-2</v>
      </c>
      <c r="H19" s="63">
        <v>3.3576000000000002E-2</v>
      </c>
      <c r="I19" s="63">
        <v>3.4098000000000003E-2</v>
      </c>
      <c r="J19" s="63">
        <v>3.4901000000000001E-2</v>
      </c>
      <c r="K19" s="63">
        <v>3.4966999999999998E-2</v>
      </c>
      <c r="L19" s="63">
        <v>3.4915000000000002E-2</v>
      </c>
      <c r="M19" s="63">
        <v>3.5215999999999997E-2</v>
      </c>
      <c r="N19" s="63">
        <v>3.5874000000000003E-2</v>
      </c>
      <c r="O19" s="63">
        <v>3.6746000000000001E-2</v>
      </c>
      <c r="P19" s="63">
        <v>3.7679999999999998E-2</v>
      </c>
      <c r="Q19" s="63">
        <v>3.8509000000000002E-2</v>
      </c>
      <c r="R19" s="63">
        <v>3.9251000000000001E-2</v>
      </c>
      <c r="S19" s="63">
        <v>4.0007000000000001E-2</v>
      </c>
      <c r="T19" s="63">
        <v>4.0730000000000002E-2</v>
      </c>
      <c r="U19" s="63">
        <v>4.1368000000000002E-2</v>
      </c>
      <c r="V19" s="63">
        <v>4.1863000000000004E-2</v>
      </c>
      <c r="W19" s="63">
        <v>4.2217999999999999E-2</v>
      </c>
      <c r="X19" s="63">
        <v>4.2480000000000004E-2</v>
      </c>
      <c r="Y19" s="63">
        <v>4.2662000000000005E-2</v>
      </c>
      <c r="Z19" s="63">
        <v>4.2777000000000003E-2</v>
      </c>
      <c r="AA19" s="63">
        <v>4.2839000000000002E-2</v>
      </c>
      <c r="AB19" s="63">
        <v>4.2862999999999998E-2</v>
      </c>
      <c r="AC19" s="63">
        <v>4.2865E-2</v>
      </c>
      <c r="AD19" s="63">
        <v>4.2864000000000006E-2</v>
      </c>
      <c r="AE19" s="63">
        <v>4.2876000000000004E-2</v>
      </c>
      <c r="AF19" s="63">
        <v>4.2923000000000003E-2</v>
      </c>
    </row>
    <row r="20" spans="1:32" x14ac:dyDescent="0.15">
      <c r="A20" s="1">
        <v>40941</v>
      </c>
      <c r="B20" s="63">
        <v>1.7388999999999998E-2</v>
      </c>
      <c r="C20" s="63">
        <v>2.7732999999999997E-2</v>
      </c>
      <c r="D20" s="63">
        <v>2.8946999999999997E-2</v>
      </c>
      <c r="E20" s="63">
        <v>2.9293E-2</v>
      </c>
      <c r="F20" s="63">
        <v>3.0516999999999999E-2</v>
      </c>
      <c r="G20" s="63">
        <v>3.1433000000000003E-2</v>
      </c>
      <c r="H20" s="63">
        <v>3.3793000000000004E-2</v>
      </c>
      <c r="I20" s="63">
        <v>3.4162999999999999E-2</v>
      </c>
      <c r="J20" s="63">
        <v>3.4992999999999996E-2</v>
      </c>
      <c r="K20" s="63">
        <v>3.5034999999999997E-2</v>
      </c>
      <c r="L20" s="63">
        <v>3.5012000000000001E-2</v>
      </c>
      <c r="M20" s="63">
        <v>3.5309E-2</v>
      </c>
      <c r="N20" s="63">
        <v>3.5956999999999996E-2</v>
      </c>
      <c r="O20" s="63">
        <v>3.6814E-2</v>
      </c>
      <c r="P20" s="63">
        <v>3.7732000000000002E-2</v>
      </c>
      <c r="Q20" s="63">
        <v>3.8547999999999999E-2</v>
      </c>
      <c r="R20" s="63">
        <v>3.9281999999999997E-2</v>
      </c>
      <c r="S20" s="63">
        <v>4.0037000000000003E-2</v>
      </c>
      <c r="T20" s="63">
        <v>4.0763999999999995E-2</v>
      </c>
      <c r="U20" s="63">
        <v>4.1407999999999993E-2</v>
      </c>
      <c r="V20" s="63">
        <v>4.1905999999999999E-2</v>
      </c>
      <c r="W20" s="63">
        <v>4.2259999999999999E-2</v>
      </c>
      <c r="X20" s="63">
        <v>4.2522999999999998E-2</v>
      </c>
      <c r="Y20" s="63">
        <v>4.2705E-2</v>
      </c>
      <c r="Z20" s="63">
        <v>4.2819999999999997E-2</v>
      </c>
      <c r="AA20" s="63">
        <v>4.2881999999999997E-2</v>
      </c>
      <c r="AB20" s="63">
        <v>4.2907000000000001E-2</v>
      </c>
      <c r="AC20" s="63">
        <v>4.2908999999999996E-2</v>
      </c>
      <c r="AD20" s="63">
        <v>4.2908000000000002E-2</v>
      </c>
      <c r="AE20" s="63">
        <v>4.2920999999999994E-2</v>
      </c>
      <c r="AF20" s="63">
        <v>4.2967000000000005E-2</v>
      </c>
    </row>
    <row r="21" spans="1:32" x14ac:dyDescent="0.15">
      <c r="A21" s="1">
        <v>40942</v>
      </c>
      <c r="B21" s="63">
        <v>1.6955999999999999E-2</v>
      </c>
      <c r="C21" s="63">
        <v>2.7803000000000001E-2</v>
      </c>
      <c r="D21" s="63">
        <v>2.8961000000000001E-2</v>
      </c>
      <c r="E21" s="63">
        <v>2.9291000000000001E-2</v>
      </c>
      <c r="F21" s="63">
        <v>3.0520000000000002E-2</v>
      </c>
      <c r="G21" s="63">
        <v>3.1475000000000003E-2</v>
      </c>
      <c r="H21" s="63">
        <v>3.3696999999999998E-2</v>
      </c>
      <c r="I21" s="63">
        <v>3.4203000000000004E-2</v>
      </c>
      <c r="J21" s="63">
        <v>3.4959999999999998E-2</v>
      </c>
      <c r="K21" s="63">
        <v>3.5012000000000001E-2</v>
      </c>
      <c r="L21" s="63">
        <v>3.4955E-2</v>
      </c>
      <c r="M21" s="63">
        <v>3.5255999999999996E-2</v>
      </c>
      <c r="N21" s="63">
        <v>3.5910000000000004E-2</v>
      </c>
      <c r="O21" s="63">
        <v>3.6775000000000002E-2</v>
      </c>
      <c r="P21" s="63">
        <v>3.7700999999999998E-2</v>
      </c>
      <c r="Q21" s="63">
        <v>3.8523999999999996E-2</v>
      </c>
      <c r="R21" s="63">
        <v>3.9260999999999997E-2</v>
      </c>
      <c r="S21" s="63">
        <v>4.0016999999999997E-2</v>
      </c>
      <c r="T21" s="63">
        <v>4.0742E-2</v>
      </c>
      <c r="U21" s="63">
        <v>4.1383000000000003E-2</v>
      </c>
      <c r="V21" s="63">
        <v>4.1880000000000001E-2</v>
      </c>
      <c r="W21" s="63">
        <v>4.2234000000000001E-2</v>
      </c>
      <c r="X21" s="63">
        <v>4.2497E-2</v>
      </c>
      <c r="Y21" s="63">
        <v>4.2679000000000002E-2</v>
      </c>
      <c r="Z21" s="63">
        <v>4.2793999999999999E-2</v>
      </c>
      <c r="AA21" s="63">
        <v>4.2855999999999998E-2</v>
      </c>
      <c r="AB21" s="63">
        <v>4.2881000000000002E-2</v>
      </c>
      <c r="AC21" s="63">
        <v>4.2882999999999998E-2</v>
      </c>
      <c r="AD21" s="63">
        <v>4.2881999999999997E-2</v>
      </c>
      <c r="AE21" s="63">
        <v>4.2895000000000003E-2</v>
      </c>
      <c r="AF21" s="63">
        <v>4.2941E-2</v>
      </c>
    </row>
    <row r="22" spans="1:32" x14ac:dyDescent="0.15">
      <c r="A22" s="1">
        <v>40945</v>
      </c>
      <c r="B22" s="63">
        <v>1.5464E-2</v>
      </c>
      <c r="C22" s="63">
        <v>2.8131E-2</v>
      </c>
      <c r="D22" s="63">
        <v>2.8976000000000002E-2</v>
      </c>
      <c r="E22" s="63">
        <v>2.9382999999999999E-2</v>
      </c>
      <c r="F22" s="63">
        <v>3.1015999999999998E-2</v>
      </c>
      <c r="G22" s="63">
        <v>3.1780000000000003E-2</v>
      </c>
      <c r="H22" s="63">
        <v>3.4119999999999998E-2</v>
      </c>
      <c r="I22" s="63">
        <v>3.4550999999999998E-2</v>
      </c>
      <c r="J22" s="63">
        <v>3.5371E-2</v>
      </c>
      <c r="K22" s="63">
        <v>3.5445999999999998E-2</v>
      </c>
      <c r="L22" s="63">
        <v>3.5404999999999999E-2</v>
      </c>
      <c r="M22" s="63">
        <v>3.5682999999999999E-2</v>
      </c>
      <c r="N22" s="63">
        <v>3.6287E-2</v>
      </c>
      <c r="O22" s="63">
        <v>3.7087000000000002E-2</v>
      </c>
      <c r="P22" s="63">
        <v>3.7942000000000004E-2</v>
      </c>
      <c r="Q22" s="63">
        <v>3.8700999999999999E-2</v>
      </c>
      <c r="R22" s="63">
        <v>3.9403000000000001E-2</v>
      </c>
      <c r="S22" s="63">
        <v>4.0156999999999998E-2</v>
      </c>
      <c r="T22" s="63">
        <v>4.0899999999999999E-2</v>
      </c>
      <c r="U22" s="63">
        <v>4.1563999999999997E-2</v>
      </c>
      <c r="V22" s="63">
        <v>4.2074E-2</v>
      </c>
      <c r="W22" s="63">
        <v>4.2430000000000002E-2</v>
      </c>
      <c r="X22" s="63">
        <v>4.2694000000000003E-2</v>
      </c>
      <c r="Y22" s="63">
        <v>4.2877999999999999E-2</v>
      </c>
      <c r="Z22" s="63">
        <v>4.2994000000000004E-2</v>
      </c>
      <c r="AA22" s="63">
        <v>4.3056999999999998E-2</v>
      </c>
      <c r="AB22" s="63">
        <v>4.3082000000000002E-2</v>
      </c>
      <c r="AC22" s="63">
        <v>4.3085000000000005E-2</v>
      </c>
      <c r="AD22" s="63">
        <v>4.3085000000000005E-2</v>
      </c>
      <c r="AE22" s="63">
        <v>4.3097999999999997E-2</v>
      </c>
      <c r="AF22" s="63">
        <v>4.3146000000000004E-2</v>
      </c>
    </row>
    <row r="23" spans="1:32" x14ac:dyDescent="0.15">
      <c r="A23" s="1">
        <v>40946</v>
      </c>
      <c r="B23" s="63">
        <v>1.5481E-2</v>
      </c>
      <c r="C23" s="63">
        <v>2.8176E-2</v>
      </c>
      <c r="D23" s="63">
        <v>2.8988E-2</v>
      </c>
      <c r="E23" s="63">
        <v>2.9352E-2</v>
      </c>
      <c r="F23" s="63">
        <v>3.0889000000000003E-2</v>
      </c>
      <c r="G23" s="63">
        <v>3.1738000000000002E-2</v>
      </c>
      <c r="H23" s="63">
        <v>3.4028999999999997E-2</v>
      </c>
      <c r="I23" s="63">
        <v>3.4571999999999999E-2</v>
      </c>
      <c r="J23" s="63">
        <v>3.5388000000000003E-2</v>
      </c>
      <c r="K23" s="63">
        <v>3.5464999999999997E-2</v>
      </c>
      <c r="L23" s="63">
        <v>3.5441E-2</v>
      </c>
      <c r="M23" s="63">
        <v>3.5718E-2</v>
      </c>
      <c r="N23" s="63">
        <v>3.6323000000000001E-2</v>
      </c>
      <c r="O23" s="63">
        <v>3.7122000000000002E-2</v>
      </c>
      <c r="P23" s="63">
        <v>3.7976000000000003E-2</v>
      </c>
      <c r="Q23" s="63">
        <v>3.8734999999999999E-2</v>
      </c>
      <c r="R23" s="63">
        <v>3.9437E-2</v>
      </c>
      <c r="S23" s="63">
        <v>4.0190999999999998E-2</v>
      </c>
      <c r="T23" s="63">
        <v>4.0933999999999998E-2</v>
      </c>
      <c r="U23" s="63">
        <v>4.1597999999999996E-2</v>
      </c>
      <c r="V23" s="63">
        <v>4.2108E-2</v>
      </c>
      <c r="W23" s="63">
        <v>4.2464000000000002E-2</v>
      </c>
      <c r="X23" s="63">
        <v>4.2727000000000001E-2</v>
      </c>
      <c r="Y23" s="63">
        <v>4.2911000000000005E-2</v>
      </c>
      <c r="Z23" s="63">
        <v>4.3026999999999996E-2</v>
      </c>
      <c r="AA23" s="63">
        <v>4.3089000000000002E-2</v>
      </c>
      <c r="AB23" s="63">
        <v>4.3114E-2</v>
      </c>
      <c r="AC23" s="63">
        <v>4.3117000000000003E-2</v>
      </c>
      <c r="AD23" s="63">
        <v>4.3116000000000002E-2</v>
      </c>
      <c r="AE23" s="63">
        <v>4.3129999999999995E-2</v>
      </c>
      <c r="AF23" s="63">
        <v>4.3177E-2</v>
      </c>
    </row>
    <row r="24" spans="1:32" x14ac:dyDescent="0.15">
      <c r="A24" s="1">
        <v>40947</v>
      </c>
      <c r="B24" s="63">
        <v>1.5381000000000001E-2</v>
      </c>
      <c r="C24" s="63">
        <v>2.9275000000000002E-2</v>
      </c>
      <c r="D24" s="63">
        <v>2.9628000000000002E-2</v>
      </c>
      <c r="E24" s="63">
        <v>3.0001000000000003E-2</v>
      </c>
      <c r="F24" s="63">
        <v>3.1181E-2</v>
      </c>
      <c r="G24" s="63">
        <v>3.2028000000000001E-2</v>
      </c>
      <c r="H24" s="63">
        <v>3.4211999999999999E-2</v>
      </c>
      <c r="I24" s="63">
        <v>3.4706000000000001E-2</v>
      </c>
      <c r="J24" s="63">
        <v>3.5716999999999999E-2</v>
      </c>
      <c r="K24" s="63">
        <v>3.5761000000000001E-2</v>
      </c>
      <c r="L24" s="63">
        <v>3.5729000000000004E-2</v>
      </c>
      <c r="M24" s="63">
        <v>3.5992000000000003E-2</v>
      </c>
      <c r="N24" s="63">
        <v>3.6562000000000004E-2</v>
      </c>
      <c r="O24" s="63">
        <v>3.7317000000000003E-2</v>
      </c>
      <c r="P24" s="63">
        <v>3.8122999999999997E-2</v>
      </c>
      <c r="Q24" s="63">
        <v>3.8837999999999998E-2</v>
      </c>
      <c r="R24" s="63">
        <v>3.9516000000000003E-2</v>
      </c>
      <c r="S24" s="63">
        <v>4.0266999999999997E-2</v>
      </c>
      <c r="T24" s="63">
        <v>4.1021999999999996E-2</v>
      </c>
      <c r="U24" s="63">
        <v>4.1703000000000004E-2</v>
      </c>
      <c r="V24" s="63">
        <v>4.2224000000000005E-2</v>
      </c>
      <c r="W24" s="63">
        <v>4.2583000000000003E-2</v>
      </c>
      <c r="X24" s="63">
        <v>4.2840999999999997E-2</v>
      </c>
      <c r="Y24" s="63">
        <v>4.3014999999999998E-2</v>
      </c>
      <c r="Z24" s="63">
        <v>4.3117999999999997E-2</v>
      </c>
      <c r="AA24" s="63">
        <v>4.3167999999999998E-2</v>
      </c>
      <c r="AB24" s="63">
        <v>4.3182999999999999E-2</v>
      </c>
      <c r="AC24" s="63">
        <v>4.3182999999999999E-2</v>
      </c>
      <c r="AD24" s="63">
        <v>4.3186999999999996E-2</v>
      </c>
      <c r="AE24" s="63">
        <v>4.3216999999999998E-2</v>
      </c>
      <c r="AF24" s="63">
        <v>4.3289000000000001E-2</v>
      </c>
    </row>
    <row r="25" spans="1:32" x14ac:dyDescent="0.15">
      <c r="A25" s="1">
        <v>40948</v>
      </c>
      <c r="B25" s="63">
        <v>1.5381000000000001E-2</v>
      </c>
      <c r="C25" s="63">
        <v>2.9588999999999997E-2</v>
      </c>
      <c r="D25" s="63">
        <v>3.0240999999999997E-2</v>
      </c>
      <c r="E25" s="63">
        <v>3.0529999999999998E-2</v>
      </c>
      <c r="F25" s="63">
        <v>3.1669000000000003E-2</v>
      </c>
      <c r="G25" s="63">
        <v>3.2059000000000004E-2</v>
      </c>
      <c r="H25" s="63">
        <v>3.4556000000000003E-2</v>
      </c>
      <c r="I25" s="63">
        <v>3.4992000000000002E-2</v>
      </c>
      <c r="J25" s="63">
        <v>3.6019999999999996E-2</v>
      </c>
      <c r="K25" s="63">
        <v>3.6072E-2</v>
      </c>
      <c r="L25" s="63">
        <v>3.6046999999999996E-2</v>
      </c>
      <c r="M25" s="63">
        <v>3.6291999999999998E-2</v>
      </c>
      <c r="N25" s="63">
        <v>3.6825000000000004E-2</v>
      </c>
      <c r="O25" s="63">
        <v>3.7530000000000001E-2</v>
      </c>
      <c r="P25" s="63">
        <v>3.8282999999999998E-2</v>
      </c>
      <c r="Q25" s="63">
        <v>3.8951E-2</v>
      </c>
      <c r="R25" s="63">
        <v>3.9581999999999999E-2</v>
      </c>
      <c r="S25" s="63">
        <v>4.0281000000000004E-2</v>
      </c>
      <c r="T25" s="63">
        <v>4.0984999999999994E-2</v>
      </c>
      <c r="U25" s="63">
        <v>4.1624999999999995E-2</v>
      </c>
      <c r="V25" s="63">
        <v>4.2125000000000003E-2</v>
      </c>
      <c r="W25" s="63">
        <v>4.2477999999999995E-2</v>
      </c>
      <c r="X25" s="63">
        <v>4.2741000000000001E-2</v>
      </c>
      <c r="Y25" s="63">
        <v>4.2923000000000003E-2</v>
      </c>
      <c r="Z25" s="63">
        <v>4.3038999999999994E-2</v>
      </c>
      <c r="AA25" s="63">
        <v>4.3102999999999995E-2</v>
      </c>
      <c r="AB25" s="63">
        <v>4.3129999999999995E-2</v>
      </c>
      <c r="AC25" s="63">
        <v>4.3137000000000002E-2</v>
      </c>
      <c r="AD25" s="63">
        <v>4.3139999999999998E-2</v>
      </c>
      <c r="AE25" s="63">
        <v>4.3159000000000003E-2</v>
      </c>
      <c r="AF25" s="63">
        <v>4.3213000000000001E-2</v>
      </c>
    </row>
    <row r="26" spans="1:32" x14ac:dyDescent="0.15">
      <c r="A26" s="1">
        <v>40949</v>
      </c>
      <c r="B26" s="63">
        <v>1.6680999999999998E-2</v>
      </c>
      <c r="C26" s="63">
        <v>2.9547E-2</v>
      </c>
      <c r="D26" s="63">
        <v>3.0320999999999997E-2</v>
      </c>
      <c r="E26" s="63">
        <v>3.0494E-2</v>
      </c>
      <c r="F26" s="63">
        <v>3.1567999999999999E-2</v>
      </c>
      <c r="G26" s="63">
        <v>3.1925000000000002E-2</v>
      </c>
      <c r="H26" s="63">
        <v>3.4359000000000001E-2</v>
      </c>
      <c r="I26" s="63">
        <v>3.4792000000000003E-2</v>
      </c>
      <c r="J26" s="63">
        <v>3.5844000000000001E-2</v>
      </c>
      <c r="K26" s="63">
        <v>3.5922000000000003E-2</v>
      </c>
      <c r="L26" s="63">
        <v>3.5830000000000001E-2</v>
      </c>
      <c r="M26" s="63">
        <v>3.6088000000000002E-2</v>
      </c>
      <c r="N26" s="63">
        <v>3.6645999999999998E-2</v>
      </c>
      <c r="O26" s="63">
        <v>3.7381000000000005E-2</v>
      </c>
      <c r="P26" s="63">
        <v>3.8166000000000005E-2</v>
      </c>
      <c r="Q26" s="63">
        <v>3.8863000000000002E-2</v>
      </c>
      <c r="R26" s="63">
        <v>3.9510999999999998E-2</v>
      </c>
      <c r="S26" s="63">
        <v>4.0210999999999997E-2</v>
      </c>
      <c r="T26" s="63">
        <v>4.0906000000000005E-2</v>
      </c>
      <c r="U26" s="63">
        <v>4.1535999999999997E-2</v>
      </c>
      <c r="V26" s="63">
        <v>4.2030000000000005E-2</v>
      </c>
      <c r="W26" s="63">
        <v>4.2382999999999997E-2</v>
      </c>
      <c r="X26" s="63">
        <v>4.2644000000000001E-2</v>
      </c>
      <c r="Y26" s="63">
        <v>4.2827000000000004E-2</v>
      </c>
      <c r="Z26" s="63">
        <v>4.2942000000000001E-2</v>
      </c>
      <c r="AA26" s="63">
        <v>4.3006000000000003E-2</v>
      </c>
      <c r="AB26" s="63">
        <v>4.3033000000000002E-2</v>
      </c>
      <c r="AC26" s="63">
        <v>4.3038999999999994E-2</v>
      </c>
      <c r="AD26" s="63">
        <v>4.3041999999999997E-2</v>
      </c>
      <c r="AE26" s="63">
        <v>4.3060000000000001E-2</v>
      </c>
      <c r="AF26" s="63">
        <v>4.3114E-2</v>
      </c>
    </row>
    <row r="27" spans="1:32" x14ac:dyDescent="0.15">
      <c r="A27" s="1">
        <v>40952</v>
      </c>
      <c r="B27" s="63">
        <v>1.6697E-2</v>
      </c>
      <c r="C27" s="63">
        <v>2.9037E-2</v>
      </c>
      <c r="D27" s="63">
        <v>2.997E-2</v>
      </c>
      <c r="E27" s="63">
        <v>3.0497999999999997E-2</v>
      </c>
      <c r="F27" s="63">
        <v>3.1206000000000001E-2</v>
      </c>
      <c r="G27" s="63">
        <v>3.1606999999999996E-2</v>
      </c>
      <c r="H27" s="63">
        <v>3.4002999999999999E-2</v>
      </c>
      <c r="I27" s="63">
        <v>3.4564999999999999E-2</v>
      </c>
      <c r="J27" s="63">
        <v>3.5869999999999999E-2</v>
      </c>
      <c r="K27" s="63">
        <v>3.5924999999999999E-2</v>
      </c>
      <c r="L27" s="63">
        <v>3.5790000000000002E-2</v>
      </c>
      <c r="M27" s="63">
        <v>3.6047999999999997E-2</v>
      </c>
      <c r="N27" s="63">
        <v>3.6603999999999998E-2</v>
      </c>
      <c r="O27" s="63">
        <v>3.7336999999999995E-2</v>
      </c>
      <c r="P27" s="63">
        <v>3.8120000000000001E-2</v>
      </c>
      <c r="Q27" s="63">
        <v>3.8814000000000001E-2</v>
      </c>
      <c r="R27" s="63">
        <v>3.9459000000000001E-2</v>
      </c>
      <c r="S27" s="63">
        <v>4.0155000000000003E-2</v>
      </c>
      <c r="T27" s="63">
        <v>4.0849000000000003E-2</v>
      </c>
      <c r="U27" s="63">
        <v>4.1478000000000001E-2</v>
      </c>
      <c r="V27" s="63">
        <v>4.1978000000000001E-2</v>
      </c>
      <c r="W27" s="63">
        <v>4.2332000000000002E-2</v>
      </c>
      <c r="X27" s="63">
        <v>4.2583999999999997E-2</v>
      </c>
      <c r="Y27" s="63">
        <v>4.2748999999999995E-2</v>
      </c>
      <c r="Z27" s="63">
        <v>4.2842999999999999E-2</v>
      </c>
      <c r="AA27" s="63">
        <v>4.2886000000000001E-2</v>
      </c>
      <c r="AB27" s="63">
        <v>4.2897999999999999E-2</v>
      </c>
      <c r="AC27" s="63">
        <v>4.2899E-2</v>
      </c>
      <c r="AD27" s="63">
        <v>4.2913E-2</v>
      </c>
      <c r="AE27" s="63">
        <v>4.2962999999999994E-2</v>
      </c>
      <c r="AF27" s="63">
        <v>4.3052E-2</v>
      </c>
    </row>
    <row r="28" spans="1:32" x14ac:dyDescent="0.15">
      <c r="A28" s="1">
        <v>40953</v>
      </c>
      <c r="B28" s="63">
        <v>1.9786999999999999E-2</v>
      </c>
      <c r="C28" s="63">
        <v>2.9325E-2</v>
      </c>
      <c r="D28" s="63">
        <v>3.0099000000000001E-2</v>
      </c>
      <c r="E28" s="63">
        <v>3.0404E-2</v>
      </c>
      <c r="F28" s="63">
        <v>3.1206000000000001E-2</v>
      </c>
      <c r="G28" s="63">
        <v>3.1702000000000001E-2</v>
      </c>
      <c r="H28" s="63">
        <v>3.3794999999999999E-2</v>
      </c>
      <c r="I28" s="63">
        <v>3.4543999999999998E-2</v>
      </c>
      <c r="J28" s="63">
        <v>3.5859000000000002E-2</v>
      </c>
      <c r="K28" s="63">
        <v>3.5931999999999999E-2</v>
      </c>
      <c r="L28" s="63">
        <v>3.5804999999999997E-2</v>
      </c>
      <c r="M28" s="63">
        <v>3.6062999999999998E-2</v>
      </c>
      <c r="N28" s="63">
        <v>3.6617000000000004E-2</v>
      </c>
      <c r="O28" s="63">
        <v>3.7349E-2</v>
      </c>
      <c r="P28" s="63">
        <v>3.8128999999999996E-2</v>
      </c>
      <c r="Q28" s="63">
        <v>3.8821000000000001E-2</v>
      </c>
      <c r="R28" s="63">
        <v>3.9467000000000002E-2</v>
      </c>
      <c r="S28" s="63">
        <v>4.0167000000000001E-2</v>
      </c>
      <c r="T28" s="63">
        <v>4.0864000000000004E-2</v>
      </c>
      <c r="U28" s="63">
        <v>4.1493000000000002E-2</v>
      </c>
      <c r="V28" s="63">
        <v>4.1984E-2</v>
      </c>
      <c r="W28" s="63">
        <v>4.2332000000000002E-2</v>
      </c>
      <c r="X28" s="63">
        <v>4.2588999999999995E-2</v>
      </c>
      <c r="Y28" s="63">
        <v>4.2769000000000001E-2</v>
      </c>
      <c r="Z28" s="63">
        <v>4.2881999999999997E-2</v>
      </c>
      <c r="AA28" s="63">
        <v>4.2945000000000004E-2</v>
      </c>
      <c r="AB28" s="63">
        <v>4.2969999999999994E-2</v>
      </c>
      <c r="AC28" s="63">
        <v>4.2975000000000006E-2</v>
      </c>
      <c r="AD28" s="63">
        <v>4.2977000000000001E-2</v>
      </c>
      <c r="AE28" s="63">
        <v>4.2994000000000004E-2</v>
      </c>
      <c r="AF28" s="63">
        <v>4.3045E-2</v>
      </c>
    </row>
    <row r="29" spans="1:32" x14ac:dyDescent="0.15">
      <c r="A29" s="1">
        <v>40954</v>
      </c>
      <c r="B29" s="63">
        <v>1.9889E-2</v>
      </c>
      <c r="C29" s="63">
        <v>2.9437000000000001E-2</v>
      </c>
      <c r="D29" s="63">
        <v>3.0377999999999999E-2</v>
      </c>
      <c r="E29" s="63">
        <v>3.0495000000000001E-2</v>
      </c>
      <c r="F29" s="63">
        <v>3.1620000000000002E-2</v>
      </c>
      <c r="G29" s="63">
        <v>3.1928999999999999E-2</v>
      </c>
      <c r="H29" s="63">
        <v>3.3995000000000004E-2</v>
      </c>
      <c r="I29" s="63">
        <v>3.4937999999999997E-2</v>
      </c>
      <c r="J29" s="63">
        <v>3.6061999999999997E-2</v>
      </c>
      <c r="K29" s="63">
        <v>3.6083999999999998E-2</v>
      </c>
      <c r="L29" s="63">
        <v>3.5976000000000001E-2</v>
      </c>
      <c r="M29" s="63">
        <v>3.6226000000000001E-2</v>
      </c>
      <c r="N29" s="63">
        <v>3.6763999999999998E-2</v>
      </c>
      <c r="O29" s="63">
        <v>3.7472999999999999E-2</v>
      </c>
      <c r="P29" s="63">
        <v>3.8228999999999999E-2</v>
      </c>
      <c r="Q29" s="63">
        <v>3.8900000000000004E-2</v>
      </c>
      <c r="R29" s="63">
        <v>3.9532999999999999E-2</v>
      </c>
      <c r="S29" s="63">
        <v>4.0232999999999998E-2</v>
      </c>
      <c r="T29" s="63">
        <v>4.0937000000000001E-2</v>
      </c>
      <c r="U29" s="63">
        <v>4.1575000000000001E-2</v>
      </c>
      <c r="V29" s="63">
        <v>4.2069999999999996E-2</v>
      </c>
      <c r="W29" s="63">
        <v>4.2419000000000005E-2</v>
      </c>
      <c r="X29" s="63">
        <v>4.2678000000000001E-2</v>
      </c>
      <c r="Y29" s="63">
        <v>4.2858E-2</v>
      </c>
      <c r="Z29" s="63">
        <v>4.2972000000000003E-2</v>
      </c>
      <c r="AA29" s="63">
        <v>4.3034999999999997E-2</v>
      </c>
      <c r="AB29" s="63">
        <v>4.3060999999999995E-2</v>
      </c>
      <c r="AC29" s="63">
        <v>4.3067000000000001E-2</v>
      </c>
      <c r="AD29" s="63">
        <v>4.3068999999999996E-2</v>
      </c>
      <c r="AE29" s="63">
        <v>4.3085999999999999E-2</v>
      </c>
      <c r="AF29" s="63">
        <v>4.3137999999999996E-2</v>
      </c>
    </row>
    <row r="30" spans="1:32" x14ac:dyDescent="0.15">
      <c r="A30" s="1">
        <v>40955</v>
      </c>
      <c r="B30" s="63">
        <v>2.5739000000000001E-2</v>
      </c>
      <c r="C30" s="63">
        <v>2.9695999999999997E-2</v>
      </c>
      <c r="D30" s="63">
        <v>3.0435E-2</v>
      </c>
      <c r="E30" s="63">
        <v>3.0613000000000001E-2</v>
      </c>
      <c r="F30" s="63">
        <v>3.1709999999999995E-2</v>
      </c>
      <c r="G30" s="63">
        <v>3.2031999999999998E-2</v>
      </c>
      <c r="H30" s="63">
        <v>3.4027000000000002E-2</v>
      </c>
      <c r="I30" s="63">
        <v>3.5025000000000001E-2</v>
      </c>
      <c r="J30" s="63">
        <v>3.601E-2</v>
      </c>
      <c r="K30" s="63">
        <v>3.6014999999999998E-2</v>
      </c>
      <c r="L30" s="63">
        <v>3.5997000000000001E-2</v>
      </c>
      <c r="M30" s="63">
        <v>3.6248999999999997E-2</v>
      </c>
      <c r="N30" s="63">
        <v>3.6783999999999997E-2</v>
      </c>
      <c r="O30" s="63">
        <v>3.7488E-2</v>
      </c>
      <c r="P30" s="63">
        <v>3.8239000000000002E-2</v>
      </c>
      <c r="Q30" s="63">
        <v>3.8906000000000003E-2</v>
      </c>
      <c r="R30" s="63">
        <v>3.9535000000000001E-2</v>
      </c>
      <c r="S30" s="63">
        <v>4.0232000000000004E-2</v>
      </c>
      <c r="T30" s="63">
        <v>4.0933000000000004E-2</v>
      </c>
      <c r="U30" s="63">
        <v>4.1572999999999999E-2</v>
      </c>
      <c r="V30" s="63">
        <v>4.2079000000000005E-2</v>
      </c>
      <c r="W30" s="63">
        <v>4.2436000000000001E-2</v>
      </c>
      <c r="X30" s="63">
        <v>4.2694000000000003E-2</v>
      </c>
      <c r="Y30" s="63">
        <v>4.2866999999999995E-2</v>
      </c>
      <c r="Z30" s="63">
        <v>4.2969999999999994E-2</v>
      </c>
      <c r="AA30" s="63">
        <v>4.3021000000000004E-2</v>
      </c>
      <c r="AB30" s="63">
        <v>4.3038E-2</v>
      </c>
      <c r="AC30" s="63">
        <v>4.3041000000000003E-2</v>
      </c>
      <c r="AD30" s="63">
        <v>4.3051000000000006E-2</v>
      </c>
      <c r="AE30" s="63">
        <v>4.3089000000000002E-2</v>
      </c>
      <c r="AF30" s="63">
        <v>4.317E-2</v>
      </c>
    </row>
    <row r="31" spans="1:32" x14ac:dyDescent="0.15">
      <c r="A31" s="1">
        <v>40956</v>
      </c>
      <c r="B31" s="63">
        <v>3.0705E-2</v>
      </c>
      <c r="C31" s="63">
        <v>2.9855999999999997E-2</v>
      </c>
      <c r="D31" s="63">
        <v>3.0594E-2</v>
      </c>
      <c r="E31" s="63">
        <v>3.0852000000000001E-2</v>
      </c>
      <c r="F31" s="63">
        <v>3.1896000000000001E-2</v>
      </c>
      <c r="G31" s="63">
        <v>3.2312E-2</v>
      </c>
      <c r="H31" s="63">
        <v>3.4387000000000001E-2</v>
      </c>
      <c r="I31" s="63">
        <v>3.5104000000000003E-2</v>
      </c>
      <c r="J31" s="63">
        <v>3.5992000000000003E-2</v>
      </c>
      <c r="K31" s="63">
        <v>3.5990000000000001E-2</v>
      </c>
      <c r="L31" s="63">
        <v>3.5973999999999999E-2</v>
      </c>
      <c r="M31" s="63">
        <v>3.6227999999999996E-2</v>
      </c>
      <c r="N31" s="63">
        <v>3.6764999999999999E-2</v>
      </c>
      <c r="O31" s="63">
        <v>3.7469999999999996E-2</v>
      </c>
      <c r="P31" s="63">
        <v>3.8220999999999998E-2</v>
      </c>
      <c r="Q31" s="63">
        <v>3.8887999999999999E-2</v>
      </c>
      <c r="R31" s="63">
        <v>3.9535000000000001E-2</v>
      </c>
      <c r="S31" s="63">
        <v>4.0271999999999995E-2</v>
      </c>
      <c r="T31" s="63">
        <v>4.1021999999999996E-2</v>
      </c>
      <c r="U31" s="63">
        <v>4.1702000000000003E-2</v>
      </c>
      <c r="V31" s="63">
        <v>4.2220000000000008E-2</v>
      </c>
      <c r="W31" s="63">
        <v>4.2571000000000005E-2</v>
      </c>
      <c r="X31" s="63">
        <v>4.2824000000000001E-2</v>
      </c>
      <c r="Y31" s="63">
        <v>4.2994000000000004E-2</v>
      </c>
      <c r="Z31" s="63">
        <v>4.3095000000000001E-2</v>
      </c>
      <c r="AA31" s="63">
        <v>4.3144000000000002E-2</v>
      </c>
      <c r="AB31" s="63">
        <v>4.3159000000000003E-2</v>
      </c>
      <c r="AC31" s="63">
        <v>4.3159000000000003E-2</v>
      </c>
      <c r="AD31" s="63">
        <v>4.3164000000000001E-2</v>
      </c>
      <c r="AE31" s="63">
        <v>4.3194999999999997E-2</v>
      </c>
      <c r="AF31" s="63">
        <v>4.3268000000000001E-2</v>
      </c>
    </row>
    <row r="32" spans="1:32" x14ac:dyDescent="0.15">
      <c r="A32" s="1">
        <v>40959</v>
      </c>
      <c r="B32" s="63">
        <v>3.0539E-2</v>
      </c>
      <c r="C32" s="63">
        <v>2.9218999999999998E-2</v>
      </c>
      <c r="D32" s="63">
        <v>3.0096999999999999E-2</v>
      </c>
      <c r="E32" s="63">
        <v>3.0301999999999999E-2</v>
      </c>
      <c r="F32" s="63">
        <v>3.1307999999999996E-2</v>
      </c>
      <c r="G32" s="63">
        <v>3.1809999999999998E-2</v>
      </c>
      <c r="H32" s="63">
        <v>3.4264000000000003E-2</v>
      </c>
      <c r="I32" s="63">
        <v>3.4787999999999999E-2</v>
      </c>
      <c r="J32" s="63">
        <v>3.5674000000000004E-2</v>
      </c>
      <c r="K32" s="63">
        <v>3.5743999999999998E-2</v>
      </c>
      <c r="L32" s="63">
        <v>3.5742999999999997E-2</v>
      </c>
      <c r="M32" s="63">
        <v>3.6019999999999996E-2</v>
      </c>
      <c r="N32" s="63">
        <v>3.6584999999999999E-2</v>
      </c>
      <c r="O32" s="63">
        <v>3.7321E-2</v>
      </c>
      <c r="P32" s="63">
        <v>3.8105E-2</v>
      </c>
      <c r="Q32" s="63">
        <v>3.8803000000000004E-2</v>
      </c>
      <c r="R32" s="63">
        <v>3.9473000000000001E-2</v>
      </c>
      <c r="S32" s="63">
        <v>4.0217999999999997E-2</v>
      </c>
      <c r="T32" s="63">
        <v>4.0965000000000001E-2</v>
      </c>
      <c r="U32" s="63">
        <v>4.1628999999999999E-2</v>
      </c>
      <c r="V32" s="63">
        <v>4.2119999999999998E-2</v>
      </c>
      <c r="W32" s="63">
        <v>4.2443000000000002E-2</v>
      </c>
      <c r="X32" s="63">
        <v>4.2674999999999998E-2</v>
      </c>
      <c r="Y32" s="63">
        <v>4.2830000000000007E-2</v>
      </c>
      <c r="Z32" s="63">
        <v>4.2920999999999994E-2</v>
      </c>
      <c r="AA32" s="63">
        <v>4.2964000000000002E-2</v>
      </c>
      <c r="AB32" s="63">
        <v>4.2973999999999998E-2</v>
      </c>
      <c r="AC32" s="63">
        <v>4.2967999999999999E-2</v>
      </c>
      <c r="AD32" s="63">
        <v>4.2965999999999997E-2</v>
      </c>
      <c r="AE32" s="63">
        <v>4.2987000000000004E-2</v>
      </c>
      <c r="AF32" s="63">
        <v>4.3047000000000002E-2</v>
      </c>
    </row>
    <row r="33" spans="1:32" x14ac:dyDescent="0.15">
      <c r="A33" s="1">
        <v>40960</v>
      </c>
      <c r="B33" s="63">
        <v>3.1063999999999998E-2</v>
      </c>
      <c r="C33" s="63">
        <v>2.9360000000000001E-2</v>
      </c>
      <c r="D33" s="63">
        <v>3.0203999999999998E-2</v>
      </c>
      <c r="E33" s="63">
        <v>3.0629E-2</v>
      </c>
      <c r="F33" s="63">
        <v>3.1299E-2</v>
      </c>
      <c r="G33" s="63">
        <v>3.1779000000000002E-2</v>
      </c>
      <c r="H33" s="63">
        <v>3.4130000000000001E-2</v>
      </c>
      <c r="I33" s="63">
        <v>3.4929999999999996E-2</v>
      </c>
      <c r="J33" s="63">
        <v>3.5663E-2</v>
      </c>
      <c r="K33" s="63">
        <v>3.5800999999999999E-2</v>
      </c>
      <c r="L33" s="63">
        <v>3.5792999999999998E-2</v>
      </c>
      <c r="M33" s="63">
        <v>3.6062999999999998E-2</v>
      </c>
      <c r="N33" s="63">
        <v>3.6622000000000002E-2</v>
      </c>
      <c r="O33" s="63">
        <v>3.7352999999999997E-2</v>
      </c>
      <c r="P33" s="63">
        <v>3.8131999999999999E-2</v>
      </c>
      <c r="Q33" s="63">
        <v>3.8823999999999997E-2</v>
      </c>
      <c r="R33" s="63">
        <v>3.9483999999999998E-2</v>
      </c>
      <c r="S33" s="63">
        <v>4.0217000000000003E-2</v>
      </c>
      <c r="T33" s="63">
        <v>4.0955999999999999E-2</v>
      </c>
      <c r="U33" s="63">
        <v>4.1626999999999997E-2</v>
      </c>
      <c r="V33" s="63">
        <v>4.2145999999999996E-2</v>
      </c>
      <c r="W33" s="63">
        <v>4.2510000000000006E-2</v>
      </c>
      <c r="X33" s="63">
        <v>4.2779999999999999E-2</v>
      </c>
      <c r="Y33" s="63">
        <v>4.2967999999999999E-2</v>
      </c>
      <c r="Z33" s="63">
        <v>4.3087999999999994E-2</v>
      </c>
      <c r="AA33" s="63">
        <v>4.3154000000000005E-2</v>
      </c>
      <c r="AB33" s="63">
        <v>4.3181000000000004E-2</v>
      </c>
      <c r="AC33" s="63">
        <v>4.3186999999999996E-2</v>
      </c>
      <c r="AD33" s="63">
        <v>4.3189999999999999E-2</v>
      </c>
      <c r="AE33" s="63">
        <v>4.3208000000000003E-2</v>
      </c>
      <c r="AF33" s="63">
        <v>4.3261000000000001E-2</v>
      </c>
    </row>
    <row r="34" spans="1:32" x14ac:dyDescent="0.15">
      <c r="A34" s="1">
        <v>40961</v>
      </c>
      <c r="B34" s="63">
        <v>2.9789E-2</v>
      </c>
      <c r="C34" s="63">
        <v>2.9394999999999998E-2</v>
      </c>
      <c r="D34" s="63">
        <v>3.0262999999999998E-2</v>
      </c>
      <c r="E34" s="63">
        <v>3.0748000000000001E-2</v>
      </c>
      <c r="F34" s="63">
        <v>3.1448000000000004E-2</v>
      </c>
      <c r="G34" s="63">
        <v>3.2074999999999999E-2</v>
      </c>
      <c r="H34" s="63">
        <v>3.4113999999999998E-2</v>
      </c>
      <c r="I34" s="63">
        <v>3.4884999999999999E-2</v>
      </c>
      <c r="J34" s="63">
        <v>3.5666000000000003E-2</v>
      </c>
      <c r="K34" s="63">
        <v>3.5861000000000004E-2</v>
      </c>
      <c r="L34" s="63">
        <v>3.5916999999999998E-2</v>
      </c>
      <c r="M34" s="63">
        <v>3.6226000000000001E-2</v>
      </c>
      <c r="N34" s="63">
        <v>3.6762999999999997E-2</v>
      </c>
      <c r="O34" s="63">
        <v>3.7436999999999998E-2</v>
      </c>
      <c r="P34" s="63">
        <v>3.8149000000000002E-2</v>
      </c>
      <c r="Q34" s="63">
        <v>3.8795999999999997E-2</v>
      </c>
      <c r="R34" s="63">
        <v>3.9441000000000004E-2</v>
      </c>
      <c r="S34" s="63">
        <v>4.0172999999999993E-2</v>
      </c>
      <c r="T34" s="63">
        <v>4.0919999999999998E-2</v>
      </c>
      <c r="U34" s="63">
        <v>4.1599999999999998E-2</v>
      </c>
      <c r="V34" s="63">
        <v>4.2123999999999995E-2</v>
      </c>
      <c r="W34" s="63">
        <v>4.2488999999999999E-2</v>
      </c>
      <c r="X34" s="63">
        <v>4.2759999999999999E-2</v>
      </c>
      <c r="Y34" s="63">
        <v>4.2949000000000001E-2</v>
      </c>
      <c r="Z34" s="63">
        <v>4.3068999999999996E-2</v>
      </c>
      <c r="AA34" s="63">
        <v>4.3135000000000007E-2</v>
      </c>
      <c r="AB34" s="63">
        <v>4.3163E-2</v>
      </c>
      <c r="AC34" s="63">
        <v>4.317E-2</v>
      </c>
      <c r="AD34" s="63">
        <v>4.3173000000000003E-2</v>
      </c>
      <c r="AE34" s="63">
        <v>4.3191E-2</v>
      </c>
      <c r="AF34" s="63">
        <v>4.3246E-2</v>
      </c>
    </row>
    <row r="35" spans="1:32" x14ac:dyDescent="0.15">
      <c r="A35" s="1">
        <v>40962</v>
      </c>
      <c r="B35" s="63">
        <v>3.0394000000000001E-2</v>
      </c>
      <c r="C35" s="63">
        <v>2.9411999999999997E-2</v>
      </c>
      <c r="D35" s="63">
        <v>3.0282E-2</v>
      </c>
      <c r="E35" s="63">
        <v>3.0743999999999997E-2</v>
      </c>
      <c r="F35" s="63">
        <v>3.1509999999999996E-2</v>
      </c>
      <c r="G35" s="63">
        <v>3.2072999999999997E-2</v>
      </c>
      <c r="H35" s="63">
        <v>3.4306000000000003E-2</v>
      </c>
      <c r="I35" s="63">
        <v>3.4787999999999999E-2</v>
      </c>
      <c r="J35" s="63">
        <v>3.5671000000000001E-2</v>
      </c>
      <c r="K35" s="63">
        <v>3.5846000000000003E-2</v>
      </c>
      <c r="L35" s="63">
        <v>3.5889000000000004E-2</v>
      </c>
      <c r="M35" s="63">
        <v>3.6211E-2</v>
      </c>
      <c r="N35" s="63">
        <v>3.6759E-2</v>
      </c>
      <c r="O35" s="63">
        <v>3.7437999999999999E-2</v>
      </c>
      <c r="P35" s="63">
        <v>3.8147E-2</v>
      </c>
      <c r="Q35" s="63">
        <v>3.8780999999999996E-2</v>
      </c>
      <c r="R35" s="63">
        <v>3.9411000000000002E-2</v>
      </c>
      <c r="S35" s="63">
        <v>4.0141999999999997E-2</v>
      </c>
      <c r="T35" s="63">
        <v>4.0894000000000007E-2</v>
      </c>
      <c r="U35" s="63">
        <v>4.1582000000000001E-2</v>
      </c>
      <c r="V35" s="63">
        <v>4.2110000000000002E-2</v>
      </c>
      <c r="W35" s="63">
        <v>4.2474999999999999E-2</v>
      </c>
      <c r="X35" s="63">
        <v>4.2746000000000006E-2</v>
      </c>
      <c r="Y35" s="63">
        <v>4.2934E-2</v>
      </c>
      <c r="Z35" s="63">
        <v>4.3055000000000003E-2</v>
      </c>
      <c r="AA35" s="63">
        <v>4.3121E-2</v>
      </c>
      <c r="AB35" s="63">
        <v>4.3150000000000001E-2</v>
      </c>
      <c r="AC35" s="63">
        <v>4.3156E-2</v>
      </c>
      <c r="AD35" s="63">
        <v>4.3159000000000003E-2</v>
      </c>
      <c r="AE35" s="63">
        <v>4.3178000000000001E-2</v>
      </c>
      <c r="AF35" s="63">
        <v>4.3232E-2</v>
      </c>
    </row>
    <row r="36" spans="1:32" x14ac:dyDescent="0.15">
      <c r="A36" s="1">
        <v>40963</v>
      </c>
      <c r="B36" s="63">
        <v>2.8774000000000001E-2</v>
      </c>
      <c r="C36" s="63">
        <v>2.9269E-2</v>
      </c>
      <c r="D36" s="63">
        <v>3.0217000000000001E-2</v>
      </c>
      <c r="E36" s="63">
        <v>3.0757E-2</v>
      </c>
      <c r="F36" s="63">
        <v>3.1497999999999998E-2</v>
      </c>
      <c r="G36" s="63">
        <v>3.2155000000000003E-2</v>
      </c>
      <c r="H36" s="63">
        <v>3.4336999999999999E-2</v>
      </c>
      <c r="I36" s="63">
        <v>3.4786000000000004E-2</v>
      </c>
      <c r="J36" s="63">
        <v>3.5693999999999997E-2</v>
      </c>
      <c r="K36" s="63">
        <v>3.5789000000000001E-2</v>
      </c>
      <c r="L36" s="63">
        <v>3.5781E-2</v>
      </c>
      <c r="M36" s="63">
        <v>3.6046999999999996E-2</v>
      </c>
      <c r="N36" s="63">
        <v>3.6596000000000004E-2</v>
      </c>
      <c r="O36" s="63">
        <v>3.7314E-2</v>
      </c>
      <c r="P36" s="63">
        <v>3.8077E-2</v>
      </c>
      <c r="Q36" s="63">
        <v>3.8755000000000005E-2</v>
      </c>
      <c r="R36" s="63">
        <v>3.9406999999999998E-2</v>
      </c>
      <c r="S36" s="63">
        <v>4.0138999999999994E-2</v>
      </c>
      <c r="T36" s="63">
        <v>4.0883000000000003E-2</v>
      </c>
      <c r="U36" s="63">
        <v>4.1558000000000005E-2</v>
      </c>
      <c r="V36" s="63">
        <v>4.2079999999999999E-2</v>
      </c>
      <c r="W36" s="63">
        <v>4.2443999999999996E-2</v>
      </c>
      <c r="X36" s="63">
        <v>4.2714999999999996E-2</v>
      </c>
      <c r="Y36" s="63">
        <v>4.2903999999999998E-2</v>
      </c>
      <c r="Z36" s="63">
        <v>4.3023999999999993E-2</v>
      </c>
      <c r="AA36" s="63">
        <v>4.3090000000000003E-2</v>
      </c>
      <c r="AB36" s="63">
        <v>4.3117999999999997E-2</v>
      </c>
      <c r="AC36" s="63">
        <v>4.3124999999999997E-2</v>
      </c>
      <c r="AD36" s="63">
        <v>4.3128E-2</v>
      </c>
      <c r="AE36" s="63">
        <v>4.3146000000000004E-2</v>
      </c>
      <c r="AF36" s="63">
        <v>4.3200000000000002E-2</v>
      </c>
    </row>
    <row r="37" spans="1:32" x14ac:dyDescent="0.15">
      <c r="A37" s="1">
        <v>40966</v>
      </c>
      <c r="B37" s="63">
        <v>2.0622999999999999E-2</v>
      </c>
      <c r="C37" s="63">
        <v>2.9371000000000001E-2</v>
      </c>
      <c r="D37" s="63">
        <v>3.0261E-2</v>
      </c>
      <c r="E37" s="63">
        <v>3.0898999999999999E-2</v>
      </c>
      <c r="F37" s="63">
        <v>3.1696000000000002E-2</v>
      </c>
      <c r="G37" s="63">
        <v>3.2425999999999996E-2</v>
      </c>
      <c r="H37" s="63">
        <v>3.4596000000000002E-2</v>
      </c>
      <c r="I37" s="63">
        <v>3.5076999999999997E-2</v>
      </c>
      <c r="J37" s="63">
        <v>3.6087000000000001E-2</v>
      </c>
      <c r="K37" s="63">
        <v>3.6166000000000004E-2</v>
      </c>
      <c r="L37" s="63">
        <v>3.6137999999999997E-2</v>
      </c>
      <c r="M37" s="63">
        <v>3.6391E-2</v>
      </c>
      <c r="N37" s="63">
        <v>3.6920000000000001E-2</v>
      </c>
      <c r="O37" s="63">
        <v>3.7613000000000001E-2</v>
      </c>
      <c r="P37" s="63">
        <v>3.8350000000000002E-2</v>
      </c>
      <c r="Q37" s="63">
        <v>3.9003000000000003E-2</v>
      </c>
      <c r="R37" s="63">
        <v>3.9640000000000002E-2</v>
      </c>
      <c r="S37" s="63">
        <v>4.0372999999999999E-2</v>
      </c>
      <c r="T37" s="63">
        <v>4.1124000000000001E-2</v>
      </c>
      <c r="U37" s="63">
        <v>4.181E-2</v>
      </c>
      <c r="V37" s="63">
        <v>4.2339000000000002E-2</v>
      </c>
      <c r="W37" s="63">
        <v>4.2704000000000006E-2</v>
      </c>
      <c r="X37" s="63">
        <v>4.2975000000000006E-2</v>
      </c>
      <c r="Y37" s="63">
        <v>4.3164999999999995E-2</v>
      </c>
      <c r="Z37" s="63">
        <v>4.3285999999999998E-2</v>
      </c>
      <c r="AA37" s="63">
        <v>4.3352000000000002E-2</v>
      </c>
      <c r="AB37" s="63">
        <v>4.3380000000000002E-2</v>
      </c>
      <c r="AC37" s="63">
        <v>4.3387000000000002E-2</v>
      </c>
      <c r="AD37" s="63">
        <v>4.3390000000000005E-2</v>
      </c>
      <c r="AE37" s="63">
        <v>4.3409000000000003E-2</v>
      </c>
      <c r="AF37" s="63">
        <v>4.3463000000000002E-2</v>
      </c>
    </row>
    <row r="38" spans="1:32" x14ac:dyDescent="0.15">
      <c r="A38" s="1">
        <v>40967</v>
      </c>
      <c r="B38" s="63">
        <v>1.7309000000000001E-2</v>
      </c>
      <c r="C38" s="63">
        <v>2.9468000000000001E-2</v>
      </c>
      <c r="D38" s="63">
        <v>3.0369999999999998E-2</v>
      </c>
      <c r="E38" s="63">
        <v>3.0956000000000001E-2</v>
      </c>
      <c r="F38" s="63">
        <v>3.1948999999999998E-2</v>
      </c>
      <c r="G38" s="63">
        <v>3.2634999999999997E-2</v>
      </c>
      <c r="H38" s="63">
        <v>3.4515999999999998E-2</v>
      </c>
      <c r="I38" s="63">
        <v>3.5242000000000002E-2</v>
      </c>
      <c r="J38" s="63">
        <v>3.6070999999999999E-2</v>
      </c>
      <c r="K38" s="63">
        <v>3.6093E-2</v>
      </c>
      <c r="L38" s="63">
        <v>3.6082999999999997E-2</v>
      </c>
      <c r="M38" s="63">
        <v>3.6332000000000003E-2</v>
      </c>
      <c r="N38" s="63">
        <v>3.6852999999999997E-2</v>
      </c>
      <c r="O38" s="63">
        <v>3.7551000000000001E-2</v>
      </c>
      <c r="P38" s="63">
        <v>3.8323000000000003E-2</v>
      </c>
      <c r="Q38" s="63">
        <v>3.9060000000000004E-2</v>
      </c>
      <c r="R38" s="63">
        <v>3.9698999999999998E-2</v>
      </c>
      <c r="S38" s="63">
        <v>4.0412999999999998E-2</v>
      </c>
      <c r="T38" s="63">
        <v>4.1161000000000003E-2</v>
      </c>
      <c r="U38" s="63">
        <v>4.1855000000000003E-2</v>
      </c>
      <c r="V38" s="63">
        <v>4.2396000000000003E-2</v>
      </c>
      <c r="W38" s="63">
        <v>4.2746000000000006E-2</v>
      </c>
      <c r="X38" s="63">
        <v>4.2954999999999993E-2</v>
      </c>
      <c r="Y38" s="63">
        <v>4.3056999999999998E-2</v>
      </c>
      <c r="Z38" s="63">
        <v>4.3087999999999994E-2</v>
      </c>
      <c r="AA38" s="63">
        <v>4.3085999999999999E-2</v>
      </c>
      <c r="AB38" s="63">
        <v>4.3094E-2</v>
      </c>
      <c r="AC38" s="63">
        <v>4.3149E-2</v>
      </c>
      <c r="AD38" s="63">
        <v>4.3238000000000006E-2</v>
      </c>
      <c r="AE38" s="63">
        <v>4.3348999999999999E-2</v>
      </c>
      <c r="AF38" s="63">
        <v>4.3479000000000004E-2</v>
      </c>
    </row>
    <row r="39" spans="1:32" x14ac:dyDescent="0.15">
      <c r="A39" s="1">
        <v>40968</v>
      </c>
      <c r="B39" s="63">
        <v>1.6425000000000002E-2</v>
      </c>
      <c r="C39" s="63">
        <v>2.9474999999999998E-2</v>
      </c>
      <c r="D39" s="63">
        <v>3.0394999999999998E-2</v>
      </c>
      <c r="E39" s="63">
        <v>3.0859999999999999E-2</v>
      </c>
      <c r="F39" s="63">
        <v>3.1604E-2</v>
      </c>
      <c r="G39" s="63">
        <v>3.2379999999999999E-2</v>
      </c>
      <c r="H39" s="63">
        <v>3.4397999999999998E-2</v>
      </c>
      <c r="I39" s="63">
        <v>3.4953999999999999E-2</v>
      </c>
      <c r="J39" s="63">
        <v>3.5956000000000002E-2</v>
      </c>
      <c r="K39" s="63">
        <v>3.5971999999999997E-2</v>
      </c>
      <c r="L39" s="63">
        <v>3.5962000000000001E-2</v>
      </c>
      <c r="M39" s="63">
        <v>3.6233000000000001E-2</v>
      </c>
      <c r="N39" s="63">
        <v>3.6788000000000001E-2</v>
      </c>
      <c r="O39" s="63">
        <v>3.7511000000000003E-2</v>
      </c>
      <c r="P39" s="63">
        <v>3.8280000000000002E-2</v>
      </c>
      <c r="Q39" s="63">
        <v>3.8962999999999998E-2</v>
      </c>
      <c r="R39" s="63">
        <v>3.9631E-2</v>
      </c>
      <c r="S39" s="63">
        <v>4.0392000000000004E-2</v>
      </c>
      <c r="T39" s="63">
        <v>4.1151E-2</v>
      </c>
      <c r="U39" s="63">
        <v>4.1806000000000003E-2</v>
      </c>
      <c r="V39" s="63">
        <v>4.2295999999999993E-2</v>
      </c>
      <c r="W39" s="63">
        <v>4.2672999999999996E-2</v>
      </c>
      <c r="X39" s="63">
        <v>4.2950999999999996E-2</v>
      </c>
      <c r="Y39" s="63">
        <v>4.3144000000000002E-2</v>
      </c>
      <c r="Z39" s="63">
        <v>4.3268000000000001E-2</v>
      </c>
      <c r="AA39" s="63">
        <v>4.3338999999999996E-2</v>
      </c>
      <c r="AB39" s="63">
        <v>4.3376999999999999E-2</v>
      </c>
      <c r="AC39" s="63">
        <v>4.3400000000000001E-2</v>
      </c>
      <c r="AD39" s="63">
        <v>4.3429999999999996E-2</v>
      </c>
      <c r="AE39" s="63">
        <v>4.3487999999999999E-2</v>
      </c>
      <c r="AF39" s="63">
        <v>4.3598999999999999E-2</v>
      </c>
    </row>
    <row r="40" spans="1:32" x14ac:dyDescent="0.15">
      <c r="A40" s="1">
        <v>40969</v>
      </c>
      <c r="B40" s="63">
        <v>1.5559E-2</v>
      </c>
      <c r="C40" s="63">
        <v>2.9304999999999998E-2</v>
      </c>
      <c r="D40" s="63">
        <v>3.0223E-2</v>
      </c>
      <c r="E40" s="63">
        <v>3.0890000000000001E-2</v>
      </c>
      <c r="F40" s="63">
        <v>3.1720999999999999E-2</v>
      </c>
      <c r="G40" s="63">
        <v>3.2375000000000001E-2</v>
      </c>
      <c r="H40" s="63">
        <v>3.4502999999999999E-2</v>
      </c>
      <c r="I40" s="63">
        <v>3.5038E-2</v>
      </c>
      <c r="J40" s="63">
        <v>3.6101000000000001E-2</v>
      </c>
      <c r="K40" s="63">
        <v>3.6159999999999998E-2</v>
      </c>
      <c r="L40" s="63">
        <v>3.6142000000000001E-2</v>
      </c>
      <c r="M40" s="63">
        <v>3.6327999999999999E-2</v>
      </c>
      <c r="N40" s="63">
        <v>3.6831999999999997E-2</v>
      </c>
      <c r="O40" s="63">
        <v>3.7526999999999998E-2</v>
      </c>
      <c r="P40" s="63">
        <v>3.8282999999999998E-2</v>
      </c>
      <c r="Q40" s="63">
        <v>3.8956999999999999E-2</v>
      </c>
      <c r="R40" s="63">
        <v>3.9597E-2</v>
      </c>
      <c r="S40" s="63">
        <v>4.0315000000000004E-2</v>
      </c>
      <c r="T40" s="63">
        <v>4.1051000000000004E-2</v>
      </c>
      <c r="U40" s="63">
        <v>4.1737999999999997E-2</v>
      </c>
      <c r="V40" s="63">
        <v>4.2303E-2</v>
      </c>
      <c r="W40" s="63">
        <v>4.2717999999999999E-2</v>
      </c>
      <c r="X40" s="63">
        <v>4.3018000000000001E-2</v>
      </c>
      <c r="Y40" s="63">
        <v>4.3217999999999999E-2</v>
      </c>
      <c r="Z40" s="63">
        <v>4.3338999999999996E-2</v>
      </c>
      <c r="AA40" s="63">
        <v>4.3400999999999995E-2</v>
      </c>
      <c r="AB40" s="63">
        <v>4.3425000000000005E-2</v>
      </c>
      <c r="AC40" s="63">
        <v>4.3436000000000002E-2</v>
      </c>
      <c r="AD40" s="63">
        <v>4.3456999999999996E-2</v>
      </c>
      <c r="AE40" s="63">
        <v>4.3517E-2</v>
      </c>
      <c r="AF40" s="63">
        <v>4.3631000000000003E-2</v>
      </c>
    </row>
    <row r="41" spans="1:32" x14ac:dyDescent="0.15">
      <c r="A41" s="1">
        <v>40970</v>
      </c>
      <c r="B41" s="63">
        <v>1.5783999999999999E-2</v>
      </c>
      <c r="C41" s="63">
        <v>2.9256000000000001E-2</v>
      </c>
      <c r="D41" s="63">
        <v>3.0278999999999997E-2</v>
      </c>
      <c r="E41" s="63">
        <v>3.0890000000000001E-2</v>
      </c>
      <c r="F41" s="63">
        <v>3.1829999999999997E-2</v>
      </c>
      <c r="G41" s="63">
        <v>3.2596E-2</v>
      </c>
      <c r="H41" s="63">
        <v>3.4715999999999997E-2</v>
      </c>
      <c r="I41" s="63">
        <v>3.5369000000000005E-2</v>
      </c>
      <c r="J41" s="63">
        <v>3.6201999999999998E-2</v>
      </c>
      <c r="K41" s="63">
        <v>3.6260000000000001E-2</v>
      </c>
      <c r="L41" s="63">
        <v>3.6255999999999997E-2</v>
      </c>
      <c r="M41" s="63">
        <v>3.6505999999999997E-2</v>
      </c>
      <c r="N41" s="63">
        <v>3.7010000000000001E-2</v>
      </c>
      <c r="O41" s="63">
        <v>3.7665000000000004E-2</v>
      </c>
      <c r="P41" s="63">
        <v>3.8360999999999999E-2</v>
      </c>
      <c r="Q41" s="63">
        <v>3.8980000000000001E-2</v>
      </c>
      <c r="R41" s="63">
        <v>3.9592999999999996E-2</v>
      </c>
      <c r="S41" s="63">
        <v>4.0311000000000007E-2</v>
      </c>
      <c r="T41" s="63">
        <v>4.1062000000000001E-2</v>
      </c>
      <c r="U41" s="63">
        <v>4.1765999999999998E-2</v>
      </c>
      <c r="V41" s="63">
        <v>4.2333999999999997E-2</v>
      </c>
      <c r="W41" s="63">
        <v>4.2746000000000006E-2</v>
      </c>
      <c r="X41" s="63">
        <v>4.3052E-2</v>
      </c>
      <c r="Y41" s="63">
        <v>4.3267E-2</v>
      </c>
      <c r="Z41" s="63">
        <v>4.3403999999999998E-2</v>
      </c>
      <c r="AA41" s="63">
        <v>4.3482E-2</v>
      </c>
      <c r="AB41" s="63">
        <v>4.3518000000000001E-2</v>
      </c>
      <c r="AC41" s="63">
        <v>4.3533000000000002E-2</v>
      </c>
      <c r="AD41" s="63">
        <v>4.3545E-2</v>
      </c>
      <c r="AE41" s="63">
        <v>4.3579E-2</v>
      </c>
      <c r="AF41" s="63">
        <v>4.3657000000000001E-2</v>
      </c>
    </row>
    <row r="42" spans="1:32" x14ac:dyDescent="0.15">
      <c r="A42" s="1">
        <v>40973</v>
      </c>
      <c r="B42" s="63">
        <v>1.4957E-2</v>
      </c>
      <c r="C42" s="63">
        <v>2.9307E-2</v>
      </c>
      <c r="D42" s="63">
        <v>3.0334E-2</v>
      </c>
      <c r="E42" s="63">
        <v>3.0889000000000003E-2</v>
      </c>
      <c r="F42" s="63">
        <v>3.1918000000000002E-2</v>
      </c>
      <c r="G42" s="63">
        <v>3.2652E-2</v>
      </c>
      <c r="H42" s="63">
        <v>3.4638000000000002E-2</v>
      </c>
      <c r="I42" s="63">
        <v>3.5559E-2</v>
      </c>
      <c r="J42" s="63">
        <v>3.6275000000000002E-2</v>
      </c>
      <c r="K42" s="63">
        <v>3.6260000000000001E-2</v>
      </c>
      <c r="L42" s="63">
        <v>3.6242999999999997E-2</v>
      </c>
      <c r="M42" s="63">
        <v>3.6488E-2</v>
      </c>
      <c r="N42" s="63">
        <v>3.6993999999999999E-2</v>
      </c>
      <c r="O42" s="63">
        <v>3.7652999999999999E-2</v>
      </c>
      <c r="P42" s="63">
        <v>3.8352999999999998E-2</v>
      </c>
      <c r="Q42" s="63">
        <v>3.8973000000000001E-2</v>
      </c>
      <c r="R42" s="63">
        <v>3.9586000000000003E-2</v>
      </c>
      <c r="S42" s="63">
        <v>4.0305000000000001E-2</v>
      </c>
      <c r="T42" s="63">
        <v>4.1056000000000002E-2</v>
      </c>
      <c r="U42" s="63">
        <v>4.1759999999999999E-2</v>
      </c>
      <c r="V42" s="63">
        <v>4.2328999999999999E-2</v>
      </c>
      <c r="W42" s="63">
        <v>4.2741000000000001E-2</v>
      </c>
      <c r="X42" s="63">
        <v>4.3047000000000002E-2</v>
      </c>
      <c r="Y42" s="63">
        <v>4.3262000000000002E-2</v>
      </c>
      <c r="Z42" s="63">
        <v>4.3399E-2</v>
      </c>
      <c r="AA42" s="63">
        <v>4.3476999999999995E-2</v>
      </c>
      <c r="AB42" s="63">
        <v>4.3513999999999997E-2</v>
      </c>
      <c r="AC42" s="63">
        <v>4.3528000000000004E-2</v>
      </c>
      <c r="AD42" s="63">
        <v>4.3540999999999996E-2</v>
      </c>
      <c r="AE42" s="63">
        <v>4.3575000000000003E-2</v>
      </c>
      <c r="AF42" s="63">
        <v>4.3653000000000004E-2</v>
      </c>
    </row>
    <row r="43" spans="1:32" x14ac:dyDescent="0.15">
      <c r="A43" s="1">
        <v>40974</v>
      </c>
      <c r="B43" s="63">
        <v>1.3646E-2</v>
      </c>
      <c r="C43" s="63">
        <v>2.9322000000000001E-2</v>
      </c>
      <c r="D43" s="63">
        <v>3.0335000000000001E-2</v>
      </c>
      <c r="E43" s="63">
        <v>3.0575999999999999E-2</v>
      </c>
      <c r="F43" s="63">
        <v>3.1775999999999999E-2</v>
      </c>
      <c r="G43" s="63">
        <v>3.2495999999999997E-2</v>
      </c>
      <c r="H43" s="63">
        <v>3.4582000000000002E-2</v>
      </c>
      <c r="I43" s="63">
        <v>3.5224999999999999E-2</v>
      </c>
      <c r="J43" s="63">
        <v>3.6091999999999999E-2</v>
      </c>
      <c r="K43" s="63">
        <v>3.6103999999999997E-2</v>
      </c>
      <c r="L43" s="63">
        <v>3.6094000000000001E-2</v>
      </c>
      <c r="M43" s="63">
        <v>3.6351000000000001E-2</v>
      </c>
      <c r="N43" s="63">
        <v>3.6873999999999997E-2</v>
      </c>
      <c r="O43" s="63">
        <v>3.7553999999999997E-2</v>
      </c>
      <c r="P43" s="63">
        <v>3.8275000000000003E-2</v>
      </c>
      <c r="Q43" s="63">
        <v>3.8915999999999999E-2</v>
      </c>
      <c r="R43" s="63">
        <v>3.9539999999999999E-2</v>
      </c>
      <c r="S43" s="63">
        <v>4.0259000000000003E-2</v>
      </c>
      <c r="T43" s="63">
        <v>4.1005E-2</v>
      </c>
      <c r="U43" s="63">
        <v>4.1700999999999995E-2</v>
      </c>
      <c r="V43" s="63">
        <v>4.2264999999999997E-2</v>
      </c>
      <c r="W43" s="63">
        <v>4.2675999999999999E-2</v>
      </c>
      <c r="X43" s="63">
        <v>4.2981999999999992E-2</v>
      </c>
      <c r="Y43" s="63">
        <v>4.3196000000000005E-2</v>
      </c>
      <c r="Z43" s="63">
        <v>4.3333000000000003E-2</v>
      </c>
      <c r="AA43" s="63">
        <v>4.3410000000000004E-2</v>
      </c>
      <c r="AB43" s="63">
        <v>4.3445999999999999E-2</v>
      </c>
      <c r="AC43" s="63">
        <v>4.3459999999999999E-2</v>
      </c>
      <c r="AD43" s="63">
        <v>4.3472999999999998E-2</v>
      </c>
      <c r="AE43" s="63">
        <v>4.3506000000000003E-2</v>
      </c>
      <c r="AF43" s="63">
        <v>4.3583999999999998E-2</v>
      </c>
    </row>
    <row r="44" spans="1:32" x14ac:dyDescent="0.15">
      <c r="A44" s="1">
        <v>40975</v>
      </c>
      <c r="B44" s="63">
        <v>1.3646E-2</v>
      </c>
      <c r="C44" s="63">
        <v>2.9013000000000001E-2</v>
      </c>
      <c r="D44" s="63">
        <v>3.0352999999999998E-2</v>
      </c>
      <c r="E44" s="63">
        <v>3.0591E-2</v>
      </c>
      <c r="F44" s="63">
        <v>3.1865000000000004E-2</v>
      </c>
      <c r="G44" s="63">
        <v>3.2238000000000003E-2</v>
      </c>
      <c r="H44" s="63">
        <v>3.4264999999999997E-2</v>
      </c>
      <c r="I44" s="63">
        <v>3.4904000000000004E-2</v>
      </c>
      <c r="J44" s="63">
        <v>3.5952000000000005E-2</v>
      </c>
      <c r="K44" s="63">
        <v>3.5955000000000001E-2</v>
      </c>
      <c r="L44" s="63">
        <v>3.5943999999999997E-2</v>
      </c>
      <c r="M44" s="63">
        <v>3.6208999999999998E-2</v>
      </c>
      <c r="N44" s="63">
        <v>3.6749999999999998E-2</v>
      </c>
      <c r="O44" s="63">
        <v>3.7451999999999999E-2</v>
      </c>
      <c r="P44" s="63">
        <v>3.8197999999999996E-2</v>
      </c>
      <c r="Q44" s="63">
        <v>3.8858999999999998E-2</v>
      </c>
      <c r="R44" s="63">
        <v>3.9495000000000002E-2</v>
      </c>
      <c r="S44" s="63">
        <v>4.0214999999999994E-2</v>
      </c>
      <c r="T44" s="63">
        <v>4.0953999999999997E-2</v>
      </c>
      <c r="U44" s="63">
        <v>4.1641999999999998E-2</v>
      </c>
      <c r="V44" s="63">
        <v>4.2202000000000003E-2</v>
      </c>
      <c r="W44" s="63">
        <v>4.2611999999999997E-2</v>
      </c>
      <c r="X44" s="63">
        <v>4.2916999999999997E-2</v>
      </c>
      <c r="Y44" s="63">
        <v>4.3129999999999995E-2</v>
      </c>
      <c r="Z44" s="63">
        <v>4.3267E-2</v>
      </c>
      <c r="AA44" s="63">
        <v>4.3343999999999994E-2</v>
      </c>
      <c r="AB44" s="63">
        <v>4.3379000000000001E-2</v>
      </c>
      <c r="AC44" s="63">
        <v>4.3392999999999994E-2</v>
      </c>
      <c r="AD44" s="63">
        <v>4.3404999999999999E-2</v>
      </c>
      <c r="AE44" s="63">
        <v>4.3437999999999997E-2</v>
      </c>
      <c r="AF44" s="63">
        <v>4.3516000000000006E-2</v>
      </c>
    </row>
    <row r="45" spans="1:32" x14ac:dyDescent="0.15">
      <c r="A45" s="1">
        <v>40976</v>
      </c>
      <c r="B45" s="63">
        <v>1.3637999999999999E-2</v>
      </c>
      <c r="C45" s="63">
        <v>2.8957999999999998E-2</v>
      </c>
      <c r="D45" s="63">
        <v>2.9881999999999999E-2</v>
      </c>
      <c r="E45" s="63">
        <v>3.0272999999999998E-2</v>
      </c>
      <c r="F45" s="63">
        <v>3.1709999999999995E-2</v>
      </c>
      <c r="G45" s="63">
        <v>3.2226999999999999E-2</v>
      </c>
      <c r="H45" s="63">
        <v>3.4179000000000001E-2</v>
      </c>
      <c r="I45" s="63">
        <v>3.4938999999999998E-2</v>
      </c>
      <c r="J45" s="63">
        <v>3.5977000000000002E-2</v>
      </c>
      <c r="K45" s="63">
        <v>3.5968E-2</v>
      </c>
      <c r="L45" s="63">
        <v>3.5955000000000001E-2</v>
      </c>
      <c r="M45" s="63">
        <v>3.6219000000000001E-2</v>
      </c>
      <c r="N45" s="63">
        <v>3.6759E-2</v>
      </c>
      <c r="O45" s="63">
        <v>3.7461000000000001E-2</v>
      </c>
      <c r="P45" s="63">
        <v>3.8206999999999998E-2</v>
      </c>
      <c r="Q45" s="63">
        <v>3.8866999999999999E-2</v>
      </c>
      <c r="R45" s="63">
        <v>3.9501000000000001E-2</v>
      </c>
      <c r="S45" s="63">
        <v>4.0217000000000003E-2</v>
      </c>
      <c r="T45" s="63">
        <v>4.0953999999999997E-2</v>
      </c>
      <c r="U45" s="63">
        <v>4.1642999999999999E-2</v>
      </c>
      <c r="V45" s="63">
        <v>4.2209000000000003E-2</v>
      </c>
      <c r="W45" s="63">
        <v>4.2624000000000002E-2</v>
      </c>
      <c r="X45" s="63">
        <v>4.2923000000000003E-2</v>
      </c>
      <c r="Y45" s="63">
        <v>4.3124000000000003E-2</v>
      </c>
      <c r="Z45" s="63">
        <v>4.3243999999999998E-2</v>
      </c>
      <c r="AA45" s="63">
        <v>4.3304999999999996E-2</v>
      </c>
      <c r="AB45" s="63">
        <v>4.3329000000000006E-2</v>
      </c>
      <c r="AC45" s="63">
        <v>4.3338999999999996E-2</v>
      </c>
      <c r="AD45" s="63">
        <v>4.3361000000000004E-2</v>
      </c>
      <c r="AE45" s="63">
        <v>4.3422000000000002E-2</v>
      </c>
      <c r="AF45" s="63">
        <v>4.3535999999999998E-2</v>
      </c>
    </row>
    <row r="46" spans="1:32" x14ac:dyDescent="0.15">
      <c r="A46" s="1">
        <v>40977</v>
      </c>
      <c r="B46" s="63">
        <v>1.3580000000000002E-2</v>
      </c>
      <c r="C46" s="63">
        <v>2.8922E-2</v>
      </c>
      <c r="D46" s="63">
        <v>2.9916000000000002E-2</v>
      </c>
      <c r="E46" s="63">
        <v>3.0287999999999999E-2</v>
      </c>
      <c r="F46" s="63">
        <v>3.1830999999999998E-2</v>
      </c>
      <c r="G46" s="63">
        <v>3.2053999999999999E-2</v>
      </c>
      <c r="H46" s="63">
        <v>3.4344E-2</v>
      </c>
      <c r="I46" s="63">
        <v>3.4898999999999999E-2</v>
      </c>
      <c r="J46" s="63">
        <v>3.5947E-2</v>
      </c>
      <c r="K46" s="63">
        <v>3.6024E-2</v>
      </c>
      <c r="L46" s="63">
        <v>3.6015999999999999E-2</v>
      </c>
      <c r="M46" s="63">
        <v>3.6278999999999999E-2</v>
      </c>
      <c r="N46" s="63">
        <v>3.6811999999999998E-2</v>
      </c>
      <c r="O46" s="63">
        <v>3.7505000000000004E-2</v>
      </c>
      <c r="P46" s="63">
        <v>3.8239999999999996E-2</v>
      </c>
      <c r="Q46" s="63">
        <v>3.8892999999999997E-2</v>
      </c>
      <c r="R46" s="63">
        <v>3.9513E-2</v>
      </c>
      <c r="S46" s="63">
        <v>4.0209000000000002E-2</v>
      </c>
      <c r="T46" s="63">
        <v>4.0932000000000003E-2</v>
      </c>
      <c r="U46" s="63">
        <v>4.1628999999999999E-2</v>
      </c>
      <c r="V46" s="63">
        <v>4.2241000000000001E-2</v>
      </c>
      <c r="W46" s="63">
        <v>4.2721000000000002E-2</v>
      </c>
      <c r="X46" s="63">
        <v>4.3076999999999997E-2</v>
      </c>
      <c r="Y46" s="63">
        <v>4.3326000000000003E-2</v>
      </c>
      <c r="Z46" s="63">
        <v>4.3486999999999998E-2</v>
      </c>
      <c r="AA46" s="63">
        <v>4.3579E-2</v>
      </c>
      <c r="AB46" s="63">
        <v>4.3625999999999998E-2</v>
      </c>
      <c r="AC46" s="63">
        <v>4.3651000000000002E-2</v>
      </c>
      <c r="AD46" s="63">
        <v>4.3680000000000004E-2</v>
      </c>
      <c r="AE46" s="63">
        <v>4.3739999999999994E-2</v>
      </c>
      <c r="AF46" s="63">
        <v>4.3859000000000002E-2</v>
      </c>
    </row>
    <row r="47" spans="1:32" x14ac:dyDescent="0.15">
      <c r="A47" s="1">
        <v>40980</v>
      </c>
      <c r="B47" s="63">
        <v>1.355E-2</v>
      </c>
      <c r="C47" s="63">
        <v>2.8595000000000002E-2</v>
      </c>
      <c r="D47" s="63">
        <v>2.9655999999999998E-2</v>
      </c>
      <c r="E47" s="63">
        <v>3.0247000000000003E-2</v>
      </c>
      <c r="F47" s="63">
        <v>3.1640000000000001E-2</v>
      </c>
      <c r="G47" s="63">
        <v>3.1830999999999998E-2</v>
      </c>
      <c r="H47" s="63">
        <v>3.4148999999999999E-2</v>
      </c>
      <c r="I47" s="63">
        <v>3.4793999999999999E-2</v>
      </c>
      <c r="J47" s="63">
        <v>3.5969000000000001E-2</v>
      </c>
      <c r="K47" s="63">
        <v>3.5910000000000004E-2</v>
      </c>
      <c r="L47" s="63">
        <v>3.5886999999999995E-2</v>
      </c>
      <c r="M47" s="63">
        <v>3.6157000000000002E-2</v>
      </c>
      <c r="N47" s="63">
        <v>3.6705999999999996E-2</v>
      </c>
      <c r="O47" s="63">
        <v>3.7418E-2</v>
      </c>
      <c r="P47" s="63">
        <v>3.8174E-2</v>
      </c>
      <c r="Q47" s="63">
        <v>3.8843999999999997E-2</v>
      </c>
      <c r="R47" s="63">
        <v>3.9473000000000001E-2</v>
      </c>
      <c r="S47" s="63">
        <v>4.0168999999999996E-2</v>
      </c>
      <c r="T47" s="63">
        <v>4.0888000000000001E-2</v>
      </c>
      <c r="U47" s="63">
        <v>4.1578999999999998E-2</v>
      </c>
      <c r="V47" s="63">
        <v>4.2187000000000002E-2</v>
      </c>
      <c r="W47" s="63">
        <v>4.2666000000000003E-2</v>
      </c>
      <c r="X47" s="63">
        <v>4.3021999999999998E-2</v>
      </c>
      <c r="Y47" s="63">
        <v>4.3270000000000003E-2</v>
      </c>
      <c r="Z47" s="63">
        <v>4.3429999999999996E-2</v>
      </c>
      <c r="AA47" s="63">
        <v>4.3522999999999999E-2</v>
      </c>
      <c r="AB47" s="63">
        <v>4.3569000000000004E-2</v>
      </c>
      <c r="AC47" s="63">
        <v>4.3594000000000001E-2</v>
      </c>
      <c r="AD47" s="63">
        <v>4.3621999999999994E-2</v>
      </c>
      <c r="AE47" s="63">
        <v>4.3680999999999998E-2</v>
      </c>
      <c r="AF47" s="63">
        <v>4.3801E-2</v>
      </c>
    </row>
    <row r="48" spans="1:32" x14ac:dyDescent="0.15">
      <c r="A48" s="1">
        <v>40981</v>
      </c>
      <c r="B48" s="63">
        <v>1.4666999999999999E-2</v>
      </c>
      <c r="C48" s="63">
        <v>2.8654000000000002E-2</v>
      </c>
      <c r="D48" s="63">
        <v>2.9807999999999998E-2</v>
      </c>
      <c r="E48" s="63">
        <v>3.0058999999999999E-2</v>
      </c>
      <c r="F48" s="63">
        <v>3.1505999999999999E-2</v>
      </c>
      <c r="G48" s="63">
        <v>3.1919000000000003E-2</v>
      </c>
      <c r="H48" s="63">
        <v>3.4195000000000003E-2</v>
      </c>
      <c r="I48" s="63">
        <v>3.4820999999999998E-2</v>
      </c>
      <c r="J48" s="63">
        <v>3.5962999999999995E-2</v>
      </c>
      <c r="K48" s="63">
        <v>3.6089999999999997E-2</v>
      </c>
      <c r="L48" s="63">
        <v>3.6073000000000001E-2</v>
      </c>
      <c r="M48" s="63">
        <v>3.6269999999999997E-2</v>
      </c>
      <c r="N48" s="63">
        <v>3.6778999999999999E-2</v>
      </c>
      <c r="O48" s="63">
        <v>3.7475999999999995E-2</v>
      </c>
      <c r="P48" s="63">
        <v>3.8231000000000001E-2</v>
      </c>
      <c r="Q48" s="63">
        <v>3.8904999999999995E-2</v>
      </c>
      <c r="R48" s="63">
        <v>3.9535000000000001E-2</v>
      </c>
      <c r="S48" s="63">
        <v>4.0232000000000004E-2</v>
      </c>
      <c r="T48" s="63">
        <v>4.0951000000000001E-2</v>
      </c>
      <c r="U48" s="63">
        <v>4.1641000000000004E-2</v>
      </c>
      <c r="V48" s="63">
        <v>4.2249000000000002E-2</v>
      </c>
      <c r="W48" s="63">
        <v>4.2728999999999996E-2</v>
      </c>
      <c r="X48" s="63">
        <v>4.3085000000000005E-2</v>
      </c>
      <c r="Y48" s="63">
        <v>4.3334000000000004E-2</v>
      </c>
      <c r="Z48" s="63">
        <v>4.3494000000000005E-2</v>
      </c>
      <c r="AA48" s="63">
        <v>4.3586E-2</v>
      </c>
      <c r="AB48" s="63">
        <v>4.3632999999999998E-2</v>
      </c>
      <c r="AC48" s="63">
        <v>4.3658000000000002E-2</v>
      </c>
      <c r="AD48" s="63">
        <v>4.3685999999999996E-2</v>
      </c>
      <c r="AE48" s="63">
        <v>4.3745000000000006E-2</v>
      </c>
      <c r="AF48" s="63">
        <v>4.3865000000000001E-2</v>
      </c>
    </row>
    <row r="49" spans="1:32" x14ac:dyDescent="0.15">
      <c r="A49" s="1">
        <v>40982</v>
      </c>
      <c r="B49" s="63">
        <v>1.4631E-2</v>
      </c>
      <c r="C49" s="63">
        <v>2.8784999999999998E-2</v>
      </c>
      <c r="D49" s="63">
        <v>2.9876E-2</v>
      </c>
      <c r="E49" s="63">
        <v>3.0171E-2</v>
      </c>
      <c r="F49" s="63">
        <v>3.1642999999999998E-2</v>
      </c>
      <c r="G49" s="63">
        <v>3.2101999999999999E-2</v>
      </c>
      <c r="H49" s="63">
        <v>3.4201000000000002E-2</v>
      </c>
      <c r="I49" s="63">
        <v>3.5070999999999998E-2</v>
      </c>
      <c r="J49" s="63">
        <v>3.5998000000000002E-2</v>
      </c>
      <c r="K49" s="63">
        <v>3.6139000000000004E-2</v>
      </c>
      <c r="L49" s="63">
        <v>3.6112999999999999E-2</v>
      </c>
      <c r="M49" s="63">
        <v>3.6305999999999998E-2</v>
      </c>
      <c r="N49" s="63">
        <v>3.6815000000000001E-2</v>
      </c>
      <c r="O49" s="63">
        <v>3.7515E-2</v>
      </c>
      <c r="P49" s="63">
        <v>3.8274000000000002E-2</v>
      </c>
      <c r="Q49" s="63">
        <v>3.8949999999999999E-2</v>
      </c>
      <c r="R49" s="63">
        <v>3.9572999999999997E-2</v>
      </c>
      <c r="S49" s="63">
        <v>4.0252999999999997E-2</v>
      </c>
      <c r="T49" s="63">
        <v>4.095E-2</v>
      </c>
      <c r="U49" s="63">
        <v>4.1622000000000006E-2</v>
      </c>
      <c r="V49" s="63">
        <v>4.2222000000000003E-2</v>
      </c>
      <c r="W49" s="63">
        <v>4.2701999999999997E-2</v>
      </c>
      <c r="X49" s="63">
        <v>4.3056999999999998E-2</v>
      </c>
      <c r="Y49" s="63">
        <v>4.3304999999999996E-2</v>
      </c>
      <c r="Z49" s="63">
        <v>4.3464999999999997E-2</v>
      </c>
      <c r="AA49" s="63">
        <v>4.3558000000000006E-2</v>
      </c>
      <c r="AB49" s="63">
        <v>4.3604000000000004E-2</v>
      </c>
      <c r="AC49" s="63">
        <v>4.3630000000000002E-2</v>
      </c>
      <c r="AD49" s="63">
        <v>4.3661000000000005E-2</v>
      </c>
      <c r="AE49" s="63">
        <v>4.3722999999999998E-2</v>
      </c>
      <c r="AF49" s="63">
        <v>4.3845999999999996E-2</v>
      </c>
    </row>
    <row r="50" spans="1:32" x14ac:dyDescent="0.15">
      <c r="A50" s="1">
        <v>40983</v>
      </c>
      <c r="B50" s="63">
        <v>1.5969000000000001E-2</v>
      </c>
      <c r="C50" s="63">
        <v>2.8871999999999998E-2</v>
      </c>
      <c r="D50" s="63">
        <v>3.0030999999999999E-2</v>
      </c>
      <c r="E50" s="63">
        <v>3.0196000000000001E-2</v>
      </c>
      <c r="F50" s="63">
        <v>3.1959000000000001E-2</v>
      </c>
      <c r="G50" s="63">
        <v>3.2254999999999999E-2</v>
      </c>
      <c r="H50" s="63">
        <v>3.4521999999999997E-2</v>
      </c>
      <c r="I50" s="63">
        <v>3.5164000000000001E-2</v>
      </c>
      <c r="J50" s="63">
        <v>3.6206999999999996E-2</v>
      </c>
      <c r="K50" s="63">
        <v>3.6296000000000002E-2</v>
      </c>
      <c r="L50" s="63">
        <v>3.6249999999999998E-2</v>
      </c>
      <c r="M50" s="63">
        <v>3.6436999999999997E-2</v>
      </c>
      <c r="N50" s="63">
        <v>3.6937999999999999E-2</v>
      </c>
      <c r="O50" s="63">
        <v>3.7628000000000002E-2</v>
      </c>
      <c r="P50" s="63">
        <v>3.8376E-2</v>
      </c>
      <c r="Q50" s="63">
        <v>3.9039999999999998E-2</v>
      </c>
      <c r="R50" s="63">
        <v>3.9655000000000003E-2</v>
      </c>
      <c r="S50" s="63">
        <v>4.0330000000000005E-2</v>
      </c>
      <c r="T50" s="63">
        <v>4.1026999999999994E-2</v>
      </c>
      <c r="U50" s="63">
        <v>4.1704999999999999E-2</v>
      </c>
      <c r="V50" s="63">
        <v>4.2319000000000002E-2</v>
      </c>
      <c r="W50" s="63">
        <v>4.2809E-2</v>
      </c>
      <c r="X50" s="63">
        <v>4.3162000000000006E-2</v>
      </c>
      <c r="Y50" s="63">
        <v>4.3396999999999998E-2</v>
      </c>
      <c r="Z50" s="63">
        <v>4.3540000000000002E-2</v>
      </c>
      <c r="AA50" s="63">
        <v>4.3615000000000001E-2</v>
      </c>
      <c r="AB50" s="63">
        <v>4.3651000000000002E-2</v>
      </c>
      <c r="AC50" s="63">
        <v>4.3678000000000002E-2</v>
      </c>
      <c r="AD50" s="63">
        <v>4.3727000000000002E-2</v>
      </c>
      <c r="AE50" s="63">
        <v>4.3833000000000004E-2</v>
      </c>
      <c r="AF50" s="63">
        <v>4.3998000000000002E-2</v>
      </c>
    </row>
    <row r="51" spans="1:32" x14ac:dyDescent="0.15">
      <c r="A51" s="1">
        <v>40984</v>
      </c>
      <c r="B51" s="63">
        <v>1.6774999999999998E-2</v>
      </c>
      <c r="C51" s="63">
        <v>2.8690000000000004E-2</v>
      </c>
      <c r="D51" s="63">
        <v>2.9944999999999999E-2</v>
      </c>
      <c r="E51" s="63">
        <v>3.0118999999999996E-2</v>
      </c>
      <c r="F51" s="63">
        <v>3.1732999999999997E-2</v>
      </c>
      <c r="G51" s="63">
        <v>3.2240999999999999E-2</v>
      </c>
      <c r="H51" s="63">
        <v>3.4263000000000002E-2</v>
      </c>
      <c r="I51" s="63">
        <v>3.5067000000000001E-2</v>
      </c>
      <c r="J51" s="63">
        <v>3.6104999999999998E-2</v>
      </c>
      <c r="K51" s="63">
        <v>3.6149000000000001E-2</v>
      </c>
      <c r="L51" s="63">
        <v>3.6143999999999996E-2</v>
      </c>
      <c r="M51" s="63">
        <v>3.6406000000000001E-2</v>
      </c>
      <c r="N51" s="63">
        <v>3.6927000000000001E-2</v>
      </c>
      <c r="O51" s="63">
        <v>3.7599999999999995E-2</v>
      </c>
      <c r="P51" s="63">
        <v>3.8313E-2</v>
      </c>
      <c r="Q51" s="63">
        <v>3.8946000000000001E-2</v>
      </c>
      <c r="R51" s="63">
        <v>3.9579000000000003E-2</v>
      </c>
      <c r="S51" s="63">
        <v>4.0321999999999997E-2</v>
      </c>
      <c r="T51" s="63">
        <v>4.1081000000000006E-2</v>
      </c>
      <c r="U51" s="63">
        <v>4.1756000000000001E-2</v>
      </c>
      <c r="V51" s="63">
        <v>4.2268E-2</v>
      </c>
      <c r="W51" s="63">
        <v>4.2633000000000004E-2</v>
      </c>
      <c r="X51" s="63">
        <v>4.2873999999999995E-2</v>
      </c>
      <c r="Y51" s="63">
        <v>4.3017E-2</v>
      </c>
      <c r="Z51" s="63">
        <v>4.3090999999999997E-2</v>
      </c>
      <c r="AA51" s="63">
        <v>4.3125999999999998E-2</v>
      </c>
      <c r="AB51" s="63">
        <v>4.3154999999999999E-2</v>
      </c>
      <c r="AC51" s="63">
        <v>4.3212E-2</v>
      </c>
      <c r="AD51" s="63">
        <v>4.3334999999999999E-2</v>
      </c>
      <c r="AE51" s="63">
        <v>4.3499999999999997E-2</v>
      </c>
      <c r="AF51" s="63">
        <v>4.3665000000000002E-2</v>
      </c>
    </row>
    <row r="52" spans="1:32" x14ac:dyDescent="0.15">
      <c r="A52" s="1">
        <v>40987</v>
      </c>
      <c r="B52" s="63">
        <v>1.6941999999999999E-2</v>
      </c>
      <c r="C52" s="63">
        <v>2.8452000000000002E-2</v>
      </c>
      <c r="D52" s="63">
        <v>2.9868000000000002E-2</v>
      </c>
      <c r="E52" s="63">
        <v>3.0157E-2</v>
      </c>
      <c r="F52" s="63">
        <v>3.1865000000000004E-2</v>
      </c>
      <c r="G52" s="63">
        <v>3.2181000000000001E-2</v>
      </c>
      <c r="H52" s="63">
        <v>3.4306999999999997E-2</v>
      </c>
      <c r="I52" s="63">
        <v>3.5009999999999999E-2</v>
      </c>
      <c r="J52" s="63">
        <v>3.6223999999999999E-2</v>
      </c>
      <c r="K52" s="63">
        <v>3.6287E-2</v>
      </c>
      <c r="L52" s="63">
        <v>3.6266E-2</v>
      </c>
      <c r="M52" s="63">
        <v>3.6458999999999998E-2</v>
      </c>
      <c r="N52" s="63">
        <v>3.6953E-2</v>
      </c>
      <c r="O52" s="63">
        <v>3.7627000000000001E-2</v>
      </c>
      <c r="P52" s="63">
        <v>3.8357999999999996E-2</v>
      </c>
      <c r="Q52" s="63">
        <v>3.9008000000000001E-2</v>
      </c>
      <c r="R52" s="63">
        <v>3.9634000000000003E-2</v>
      </c>
      <c r="S52" s="63">
        <v>4.0349000000000003E-2</v>
      </c>
      <c r="T52" s="63">
        <v>4.1085999999999998E-2</v>
      </c>
      <c r="U52" s="63">
        <v>4.1773999999999999E-2</v>
      </c>
      <c r="V52" s="63">
        <v>4.2337E-2</v>
      </c>
      <c r="W52" s="63">
        <v>4.2750000000000003E-2</v>
      </c>
      <c r="X52" s="63">
        <v>4.3056999999999998E-2</v>
      </c>
      <c r="Y52" s="63">
        <v>4.3272000000000005E-2</v>
      </c>
      <c r="Z52" s="63">
        <v>4.3409000000000003E-2</v>
      </c>
      <c r="AA52" s="63">
        <v>4.3486999999999998E-2</v>
      </c>
      <c r="AB52" s="63">
        <v>4.3522999999999999E-2</v>
      </c>
      <c r="AC52" s="63">
        <v>4.3536999999999999E-2</v>
      </c>
      <c r="AD52" s="63">
        <v>4.3550000000000005E-2</v>
      </c>
      <c r="AE52" s="63">
        <v>4.3583999999999998E-2</v>
      </c>
      <c r="AF52" s="63">
        <v>4.3663999999999994E-2</v>
      </c>
    </row>
    <row r="53" spans="1:32" x14ac:dyDescent="0.15">
      <c r="A53" s="1">
        <v>40988</v>
      </c>
      <c r="B53" s="63">
        <v>1.7984E-2</v>
      </c>
      <c r="C53" s="63">
        <v>2.8711E-2</v>
      </c>
      <c r="D53" s="63">
        <v>2.9949E-2</v>
      </c>
      <c r="E53" s="63">
        <v>3.0110999999999999E-2</v>
      </c>
      <c r="F53" s="63">
        <v>3.1671999999999999E-2</v>
      </c>
      <c r="G53" s="63">
        <v>3.2413999999999998E-2</v>
      </c>
      <c r="H53" s="63">
        <v>3.4277000000000002E-2</v>
      </c>
      <c r="I53" s="63">
        <v>3.5128E-2</v>
      </c>
      <c r="J53" s="63">
        <v>3.6305999999999998E-2</v>
      </c>
      <c r="K53" s="63">
        <v>3.6309000000000001E-2</v>
      </c>
      <c r="L53" s="63">
        <v>3.6270999999999998E-2</v>
      </c>
      <c r="M53" s="63">
        <v>3.6457000000000003E-2</v>
      </c>
      <c r="N53" s="63">
        <v>3.6949999999999997E-2</v>
      </c>
      <c r="O53" s="63">
        <v>3.7626E-2</v>
      </c>
      <c r="P53" s="63">
        <v>3.8357999999999996E-2</v>
      </c>
      <c r="Q53" s="63">
        <v>3.9008000000000001E-2</v>
      </c>
      <c r="R53" s="63">
        <v>3.9634000000000003E-2</v>
      </c>
      <c r="S53" s="63">
        <v>4.0347999999999995E-2</v>
      </c>
      <c r="T53" s="63">
        <v>4.1085999999999998E-2</v>
      </c>
      <c r="U53" s="63">
        <v>4.1775E-2</v>
      </c>
      <c r="V53" s="63">
        <v>4.2337999999999994E-2</v>
      </c>
      <c r="W53" s="63">
        <v>4.2751999999999998E-2</v>
      </c>
      <c r="X53" s="63">
        <v>4.3059E-2</v>
      </c>
      <c r="Y53" s="63">
        <v>4.3274E-2</v>
      </c>
      <c r="Z53" s="63">
        <v>4.3410999999999998E-2</v>
      </c>
      <c r="AA53" s="63">
        <v>4.3489000000000007E-2</v>
      </c>
      <c r="AB53" s="63">
        <v>4.3525000000000001E-2</v>
      </c>
      <c r="AC53" s="63">
        <v>4.3539000000000001E-2</v>
      </c>
      <c r="AD53" s="63">
        <v>4.3552E-2</v>
      </c>
      <c r="AE53" s="63">
        <v>4.3587000000000001E-2</v>
      </c>
      <c r="AF53" s="63">
        <v>4.3666999999999997E-2</v>
      </c>
    </row>
    <row r="54" spans="1:32" x14ac:dyDescent="0.15">
      <c r="A54" s="1">
        <v>40989</v>
      </c>
      <c r="B54" s="63">
        <v>1.847E-2</v>
      </c>
      <c r="C54" s="63">
        <v>2.8774999999999998E-2</v>
      </c>
      <c r="D54" s="63">
        <v>2.9929000000000001E-2</v>
      </c>
      <c r="E54" s="63">
        <v>3.0144999999999998E-2</v>
      </c>
      <c r="F54" s="63">
        <v>3.168E-2</v>
      </c>
      <c r="G54" s="63">
        <v>3.2532999999999999E-2</v>
      </c>
      <c r="H54" s="63">
        <v>3.4440999999999999E-2</v>
      </c>
      <c r="I54" s="63">
        <v>3.5076000000000003E-2</v>
      </c>
      <c r="J54" s="63">
        <v>3.6240999999999995E-2</v>
      </c>
      <c r="K54" s="63">
        <v>3.6282999999999996E-2</v>
      </c>
      <c r="L54" s="63">
        <v>3.6276999999999997E-2</v>
      </c>
      <c r="M54" s="63">
        <v>3.6531000000000001E-2</v>
      </c>
      <c r="N54" s="63">
        <v>3.7033999999999997E-2</v>
      </c>
      <c r="O54" s="63">
        <v>3.7683000000000001E-2</v>
      </c>
      <c r="P54" s="63">
        <v>3.8371000000000002E-2</v>
      </c>
      <c r="Q54" s="63">
        <v>3.8981000000000002E-2</v>
      </c>
      <c r="R54" s="63">
        <v>3.9647000000000002E-2</v>
      </c>
      <c r="S54" s="63">
        <v>4.0490000000000005E-2</v>
      </c>
      <c r="T54" s="63">
        <v>4.1355000000000003E-2</v>
      </c>
      <c r="U54" s="63">
        <v>4.2069999999999996E-2</v>
      </c>
      <c r="V54" s="63">
        <v>4.2566E-2</v>
      </c>
      <c r="W54" s="63">
        <v>4.2949000000000001E-2</v>
      </c>
      <c r="X54" s="63">
        <v>4.3230999999999999E-2</v>
      </c>
      <c r="Y54" s="63">
        <v>4.3429000000000002E-2</v>
      </c>
      <c r="Z54" s="63">
        <v>4.3555000000000003E-2</v>
      </c>
      <c r="AA54" s="63">
        <v>4.3628E-2</v>
      </c>
      <c r="AB54" s="63">
        <v>4.3666000000000003E-2</v>
      </c>
      <c r="AC54" s="63">
        <v>4.3688999999999999E-2</v>
      </c>
      <c r="AD54" s="63">
        <v>4.3715999999999998E-2</v>
      </c>
      <c r="AE54" s="63">
        <v>4.3769999999999996E-2</v>
      </c>
      <c r="AF54" s="63">
        <v>4.3875000000000004E-2</v>
      </c>
    </row>
    <row r="55" spans="1:32" x14ac:dyDescent="0.15">
      <c r="A55" s="1">
        <v>40990</v>
      </c>
      <c r="B55" s="63">
        <v>1.9975E-2</v>
      </c>
      <c r="C55" s="63">
        <v>2.8816000000000001E-2</v>
      </c>
      <c r="D55" s="63">
        <v>2.9923999999999999E-2</v>
      </c>
      <c r="E55" s="63">
        <v>3.0192999999999998E-2</v>
      </c>
      <c r="F55" s="63">
        <v>3.177E-2</v>
      </c>
      <c r="G55" s="63">
        <v>3.2217999999999997E-2</v>
      </c>
      <c r="H55" s="63">
        <v>3.4266999999999999E-2</v>
      </c>
      <c r="I55" s="63">
        <v>3.5131000000000003E-2</v>
      </c>
      <c r="J55" s="63">
        <v>3.6131000000000003E-2</v>
      </c>
      <c r="K55" s="63">
        <v>3.6180999999999998E-2</v>
      </c>
      <c r="L55" s="63">
        <v>3.6159999999999998E-2</v>
      </c>
      <c r="M55" s="63">
        <v>3.6361999999999998E-2</v>
      </c>
      <c r="N55" s="63">
        <v>3.687E-2</v>
      </c>
      <c r="O55" s="63">
        <v>3.7562000000000005E-2</v>
      </c>
      <c r="P55" s="63">
        <v>3.8311000000000005E-2</v>
      </c>
      <c r="Q55" s="63">
        <v>3.8977999999999999E-2</v>
      </c>
      <c r="R55" s="63">
        <v>3.9692999999999999E-2</v>
      </c>
      <c r="S55" s="63">
        <v>4.0579000000000004E-2</v>
      </c>
      <c r="T55" s="63">
        <v>4.1468999999999999E-2</v>
      </c>
      <c r="U55" s="63">
        <v>4.2176999999999999E-2</v>
      </c>
      <c r="V55" s="63">
        <v>4.2645000000000002E-2</v>
      </c>
      <c r="W55" s="63">
        <v>4.3005000000000002E-2</v>
      </c>
      <c r="X55" s="63">
        <v>4.3272000000000005E-2</v>
      </c>
      <c r="Y55" s="63">
        <v>4.3457999999999997E-2</v>
      </c>
      <c r="Z55" s="63">
        <v>4.3575999999999997E-2</v>
      </c>
      <c r="AA55" s="63">
        <v>4.3643999999999995E-2</v>
      </c>
      <c r="AB55" s="63">
        <v>4.3676000000000006E-2</v>
      </c>
      <c r="AC55" s="63">
        <v>4.3692000000000002E-2</v>
      </c>
      <c r="AD55" s="63">
        <v>4.3708999999999998E-2</v>
      </c>
      <c r="AE55" s="63">
        <v>4.3749000000000003E-2</v>
      </c>
      <c r="AF55" s="63">
        <v>4.3833000000000004E-2</v>
      </c>
    </row>
    <row r="56" spans="1:32" x14ac:dyDescent="0.15">
      <c r="A56" s="1">
        <v>40991</v>
      </c>
      <c r="B56" s="63">
        <v>2.0116999999999999E-2</v>
      </c>
      <c r="C56" s="63">
        <v>2.8527999999999998E-2</v>
      </c>
      <c r="D56" s="63">
        <v>2.9672E-2</v>
      </c>
      <c r="E56" s="63">
        <v>3.0034000000000002E-2</v>
      </c>
      <c r="F56" s="63">
        <v>3.1503999999999997E-2</v>
      </c>
      <c r="G56" s="63">
        <v>3.1945000000000001E-2</v>
      </c>
      <c r="H56" s="63">
        <v>3.4321999999999998E-2</v>
      </c>
      <c r="I56" s="63">
        <v>3.4914000000000001E-2</v>
      </c>
      <c r="J56" s="63">
        <v>3.5899E-2</v>
      </c>
      <c r="K56" s="63">
        <v>3.5935000000000002E-2</v>
      </c>
      <c r="L56" s="63">
        <v>3.5913E-2</v>
      </c>
      <c r="M56" s="63">
        <v>3.6131000000000003E-2</v>
      </c>
      <c r="N56" s="63">
        <v>3.6678999999999996E-2</v>
      </c>
      <c r="O56" s="63">
        <v>3.7426000000000001E-2</v>
      </c>
      <c r="P56" s="63">
        <v>3.8233999999999997E-2</v>
      </c>
      <c r="Q56" s="63">
        <v>3.8954000000000003E-2</v>
      </c>
      <c r="R56" s="63">
        <v>3.9727999999999999E-2</v>
      </c>
      <c r="S56" s="63">
        <v>4.0684999999999999E-2</v>
      </c>
      <c r="T56" s="63">
        <v>4.1624999999999995E-2</v>
      </c>
      <c r="U56" s="63">
        <v>4.2328999999999999E-2</v>
      </c>
      <c r="V56" s="63">
        <v>4.2748999999999995E-2</v>
      </c>
      <c r="W56" s="63">
        <v>4.3073E-2</v>
      </c>
      <c r="X56" s="63">
        <v>4.3311999999999996E-2</v>
      </c>
      <c r="Y56" s="63">
        <v>4.3478000000000003E-2</v>
      </c>
      <c r="Z56" s="63">
        <v>4.3582999999999997E-2</v>
      </c>
      <c r="AA56" s="63">
        <v>4.3639999999999998E-2</v>
      </c>
      <c r="AB56" s="63">
        <v>4.3663999999999994E-2</v>
      </c>
      <c r="AC56" s="63">
        <v>4.3668999999999999E-2</v>
      </c>
      <c r="AD56" s="63">
        <v>4.3673000000000003E-2</v>
      </c>
      <c r="AE56" s="63">
        <v>4.3692000000000002E-2</v>
      </c>
      <c r="AF56" s="63">
        <v>4.3746E-2</v>
      </c>
    </row>
    <row r="57" spans="1:32" x14ac:dyDescent="0.15">
      <c r="A57" s="1">
        <v>40994</v>
      </c>
      <c r="B57" s="63">
        <v>1.9834000000000001E-2</v>
      </c>
      <c r="C57" s="63">
        <v>2.8435999999999999E-2</v>
      </c>
      <c r="D57" s="63">
        <v>2.9695999999999997E-2</v>
      </c>
      <c r="E57" s="63">
        <v>2.9950999999999998E-2</v>
      </c>
      <c r="F57" s="63">
        <v>3.1365999999999998E-2</v>
      </c>
      <c r="G57" s="63">
        <v>3.2037000000000003E-2</v>
      </c>
      <c r="H57" s="63">
        <v>3.4264999999999997E-2</v>
      </c>
      <c r="I57" s="63">
        <v>3.4865E-2</v>
      </c>
      <c r="J57" s="63">
        <v>3.5906E-2</v>
      </c>
      <c r="K57" s="63">
        <v>3.5901000000000002E-2</v>
      </c>
      <c r="L57" s="63">
        <v>3.5894000000000002E-2</v>
      </c>
      <c r="M57" s="63">
        <v>3.6181999999999999E-2</v>
      </c>
      <c r="N57" s="63">
        <v>3.6749000000000004E-2</v>
      </c>
      <c r="O57" s="63">
        <v>3.7478999999999998E-2</v>
      </c>
      <c r="P57" s="63">
        <v>3.8252000000000001E-2</v>
      </c>
      <c r="Q57" s="63">
        <v>3.8938E-2</v>
      </c>
      <c r="R57" s="63">
        <v>3.9641999999999997E-2</v>
      </c>
      <c r="S57" s="63">
        <v>4.0492999999999994E-2</v>
      </c>
      <c r="T57" s="63">
        <v>4.1378999999999999E-2</v>
      </c>
      <c r="U57" s="63">
        <v>4.2172000000000001E-2</v>
      </c>
      <c r="V57" s="63">
        <v>4.2733999999999994E-2</v>
      </c>
      <c r="W57" s="63">
        <v>4.3080999999999994E-2</v>
      </c>
      <c r="X57" s="63">
        <v>4.3338999999999996E-2</v>
      </c>
      <c r="Y57" s="63">
        <v>4.3518999999999995E-2</v>
      </c>
      <c r="Z57" s="63">
        <v>4.3631999999999997E-2</v>
      </c>
      <c r="AA57" s="63">
        <v>4.3693000000000003E-2</v>
      </c>
      <c r="AB57" s="63">
        <v>4.3715000000000004E-2</v>
      </c>
      <c r="AC57" s="63">
        <v>4.3712999999999995E-2</v>
      </c>
      <c r="AD57" s="63">
        <v>4.3705000000000001E-2</v>
      </c>
      <c r="AE57" s="63">
        <v>4.3707000000000003E-2</v>
      </c>
      <c r="AF57" s="63">
        <v>4.3739E-2</v>
      </c>
    </row>
    <row r="58" spans="1:32" x14ac:dyDescent="0.15">
      <c r="A58" s="1">
        <v>40995</v>
      </c>
      <c r="B58" s="63">
        <v>1.8474999999999998E-2</v>
      </c>
      <c r="C58" s="63">
        <v>2.8435999999999999E-2</v>
      </c>
      <c r="D58" s="63">
        <v>2.9618999999999999E-2</v>
      </c>
      <c r="E58" s="63">
        <v>2.9977E-2</v>
      </c>
      <c r="F58" s="63">
        <v>3.1505999999999999E-2</v>
      </c>
      <c r="G58" s="63">
        <v>3.2046999999999999E-2</v>
      </c>
      <c r="H58" s="63">
        <v>3.4394000000000001E-2</v>
      </c>
      <c r="I58" s="63">
        <v>3.4943000000000002E-2</v>
      </c>
      <c r="J58" s="63">
        <v>3.6014999999999998E-2</v>
      </c>
      <c r="K58" s="63">
        <v>3.6082999999999997E-2</v>
      </c>
      <c r="L58" s="63">
        <v>3.6066000000000001E-2</v>
      </c>
      <c r="M58" s="63">
        <v>3.6284000000000004E-2</v>
      </c>
      <c r="N58" s="63">
        <v>3.6817999999999997E-2</v>
      </c>
      <c r="O58" s="63">
        <v>3.7543E-2</v>
      </c>
      <c r="P58" s="63">
        <v>3.8327E-2</v>
      </c>
      <c r="Q58" s="63">
        <v>3.9024999999999997E-2</v>
      </c>
      <c r="R58" s="63">
        <v>3.9772000000000002E-2</v>
      </c>
      <c r="S58" s="63">
        <v>4.0689999999999997E-2</v>
      </c>
      <c r="T58" s="63">
        <v>4.1596000000000001E-2</v>
      </c>
      <c r="U58" s="63">
        <v>4.2285000000000003E-2</v>
      </c>
      <c r="V58" s="63">
        <v>4.2713000000000001E-2</v>
      </c>
      <c r="W58" s="63">
        <v>4.3042999999999998E-2</v>
      </c>
      <c r="X58" s="63">
        <v>4.3287000000000006E-2</v>
      </c>
      <c r="Y58" s="63">
        <v>4.3456000000000002E-2</v>
      </c>
      <c r="Z58" s="63">
        <v>4.3562999999999998E-2</v>
      </c>
      <c r="AA58" s="63">
        <v>4.3621999999999994E-2</v>
      </c>
      <c r="AB58" s="63">
        <v>4.3647999999999999E-2</v>
      </c>
      <c r="AC58" s="63">
        <v>4.3656E-2</v>
      </c>
      <c r="AD58" s="63">
        <v>4.3663999999999994E-2</v>
      </c>
      <c r="AE58" s="63">
        <v>4.3688999999999999E-2</v>
      </c>
      <c r="AF58" s="63">
        <v>4.3752000000000006E-2</v>
      </c>
    </row>
    <row r="59" spans="1:32" x14ac:dyDescent="0.15">
      <c r="A59" s="1">
        <v>40996</v>
      </c>
      <c r="B59" s="63">
        <v>1.9341999999999998E-2</v>
      </c>
      <c r="C59" s="63">
        <v>2.8485E-2</v>
      </c>
      <c r="D59" s="63">
        <v>2.9357999999999999E-2</v>
      </c>
      <c r="E59" s="63">
        <v>2.9876999999999997E-2</v>
      </c>
      <c r="F59" s="63">
        <v>3.1525999999999998E-2</v>
      </c>
      <c r="G59" s="63">
        <v>3.1869999999999996E-2</v>
      </c>
      <c r="H59" s="63">
        <v>3.4131000000000002E-2</v>
      </c>
      <c r="I59" s="63">
        <v>3.4853000000000002E-2</v>
      </c>
      <c r="J59" s="63">
        <v>3.5886000000000001E-2</v>
      </c>
      <c r="K59" s="63">
        <v>3.5880000000000002E-2</v>
      </c>
      <c r="L59" s="63">
        <v>3.5874000000000003E-2</v>
      </c>
      <c r="M59" s="63">
        <v>3.6172000000000003E-2</v>
      </c>
      <c r="N59" s="63">
        <v>3.6753000000000001E-2</v>
      </c>
      <c r="O59" s="63">
        <v>3.7499999999999999E-2</v>
      </c>
      <c r="P59" s="63">
        <v>3.8292E-2</v>
      </c>
      <c r="Q59" s="63">
        <v>3.8993E-2</v>
      </c>
      <c r="R59" s="63">
        <v>3.9697000000000003E-2</v>
      </c>
      <c r="S59" s="63">
        <v>4.0528000000000002E-2</v>
      </c>
      <c r="T59" s="63">
        <v>4.1382000000000002E-2</v>
      </c>
      <c r="U59" s="63">
        <v>4.2145999999999996E-2</v>
      </c>
      <c r="V59" s="63">
        <v>4.2694999999999997E-2</v>
      </c>
      <c r="W59" s="63">
        <v>4.3042999999999998E-2</v>
      </c>
      <c r="X59" s="63">
        <v>4.3301999999999993E-2</v>
      </c>
      <c r="Y59" s="63">
        <v>4.3482E-2</v>
      </c>
      <c r="Z59" s="63">
        <v>4.3594999999999995E-2</v>
      </c>
      <c r="AA59" s="63">
        <v>4.3656E-2</v>
      </c>
      <c r="AB59" s="63">
        <v>4.3678000000000002E-2</v>
      </c>
      <c r="AC59" s="63">
        <v>4.3677000000000001E-2</v>
      </c>
      <c r="AD59" s="63">
        <v>4.367E-2</v>
      </c>
      <c r="AE59" s="63">
        <v>4.3673999999999998E-2</v>
      </c>
      <c r="AF59" s="63">
        <v>4.3707999999999997E-2</v>
      </c>
    </row>
    <row r="60" spans="1:32" x14ac:dyDescent="0.15">
      <c r="A60" s="1">
        <v>40997</v>
      </c>
      <c r="B60" s="63">
        <v>1.9E-2</v>
      </c>
      <c r="C60" s="63">
        <v>2.8336E-2</v>
      </c>
      <c r="D60" s="63">
        <v>2.8816000000000001E-2</v>
      </c>
      <c r="E60" s="63">
        <v>2.9521000000000002E-2</v>
      </c>
      <c r="F60" s="63">
        <v>3.1055000000000003E-2</v>
      </c>
      <c r="G60" s="63">
        <v>3.1788999999999998E-2</v>
      </c>
      <c r="H60" s="63">
        <v>3.4103000000000001E-2</v>
      </c>
      <c r="I60" s="63">
        <v>3.4714999999999996E-2</v>
      </c>
      <c r="J60" s="63">
        <v>3.5680999999999997E-2</v>
      </c>
      <c r="K60" s="63">
        <v>3.5811999999999997E-2</v>
      </c>
      <c r="L60" s="63">
        <v>3.5810000000000002E-2</v>
      </c>
      <c r="M60" s="63">
        <v>3.6061000000000003E-2</v>
      </c>
      <c r="N60" s="63">
        <v>3.6638000000000004E-2</v>
      </c>
      <c r="O60" s="63">
        <v>3.7413000000000002E-2</v>
      </c>
      <c r="P60" s="63">
        <v>3.8248000000000004E-2</v>
      </c>
      <c r="Q60" s="63">
        <v>3.8996000000000003E-2</v>
      </c>
      <c r="R60" s="63">
        <v>3.9726999999999998E-2</v>
      </c>
      <c r="S60" s="63">
        <v>4.0559000000000005E-2</v>
      </c>
      <c r="T60" s="63">
        <v>4.1401E-2</v>
      </c>
      <c r="U60" s="63">
        <v>4.2148000000000005E-2</v>
      </c>
      <c r="V60" s="63">
        <v>4.2687999999999997E-2</v>
      </c>
      <c r="W60" s="63">
        <v>4.3036000000000005E-2</v>
      </c>
      <c r="X60" s="63">
        <v>4.3292999999999998E-2</v>
      </c>
      <c r="Y60" s="63">
        <v>4.3471999999999997E-2</v>
      </c>
      <c r="Z60" s="63">
        <v>4.3585000000000006E-2</v>
      </c>
      <c r="AA60" s="63">
        <v>4.3644999999999996E-2</v>
      </c>
      <c r="AB60" s="63">
        <v>4.3666000000000003E-2</v>
      </c>
      <c r="AC60" s="63">
        <v>4.3665000000000002E-2</v>
      </c>
      <c r="AD60" s="63">
        <v>4.3657000000000001E-2</v>
      </c>
      <c r="AE60" s="63">
        <v>4.3659999999999997E-2</v>
      </c>
      <c r="AF60" s="63">
        <v>4.3693999999999997E-2</v>
      </c>
    </row>
    <row r="61" spans="1:32" x14ac:dyDescent="0.15">
      <c r="A61" s="1">
        <v>40998</v>
      </c>
      <c r="B61" s="63">
        <v>1.9758999999999999E-2</v>
      </c>
      <c r="C61" s="63">
        <v>2.8355000000000002E-2</v>
      </c>
      <c r="D61" s="63">
        <v>2.8799000000000002E-2</v>
      </c>
      <c r="E61" s="63">
        <v>2.9575000000000001E-2</v>
      </c>
      <c r="F61" s="63">
        <v>3.1152000000000003E-2</v>
      </c>
      <c r="G61" s="63">
        <v>3.1585999999999996E-2</v>
      </c>
      <c r="H61" s="63">
        <v>3.4037000000000005E-2</v>
      </c>
      <c r="I61" s="63">
        <v>3.4651999999999995E-2</v>
      </c>
      <c r="J61" s="63">
        <v>3.5632999999999998E-2</v>
      </c>
      <c r="K61" s="63">
        <v>3.5704E-2</v>
      </c>
      <c r="L61" s="63">
        <v>3.5714000000000003E-2</v>
      </c>
      <c r="M61" s="63">
        <v>3.6032000000000002E-2</v>
      </c>
      <c r="N61" s="63">
        <v>3.6636000000000002E-2</v>
      </c>
      <c r="O61" s="63">
        <v>3.7408999999999998E-2</v>
      </c>
      <c r="P61" s="63">
        <v>3.8227000000000004E-2</v>
      </c>
      <c r="Q61" s="63">
        <v>3.8954000000000003E-2</v>
      </c>
      <c r="R61" s="63">
        <v>3.9674000000000001E-2</v>
      </c>
      <c r="S61" s="63">
        <v>4.0505000000000006E-2</v>
      </c>
      <c r="T61" s="63">
        <v>4.1351000000000006E-2</v>
      </c>
      <c r="U61" s="63">
        <v>4.2104000000000003E-2</v>
      </c>
      <c r="V61" s="63">
        <v>4.2647000000000004E-2</v>
      </c>
      <c r="W61" s="63">
        <v>4.2994000000000004E-2</v>
      </c>
      <c r="X61" s="63">
        <v>4.3251999999999999E-2</v>
      </c>
      <c r="Y61" s="63">
        <v>4.3430999999999997E-2</v>
      </c>
      <c r="Z61" s="63">
        <v>4.3543000000000005E-2</v>
      </c>
      <c r="AA61" s="63">
        <v>4.3602999999999996E-2</v>
      </c>
      <c r="AB61" s="63">
        <v>4.3624000000000003E-2</v>
      </c>
      <c r="AC61" s="63">
        <v>4.3623000000000002E-2</v>
      </c>
      <c r="AD61" s="63">
        <v>4.3615000000000001E-2</v>
      </c>
      <c r="AE61" s="63">
        <v>4.3617999999999997E-2</v>
      </c>
      <c r="AF61" s="63">
        <v>4.3651999999999996E-2</v>
      </c>
    </row>
    <row r="62" spans="1:32" x14ac:dyDescent="0.15">
      <c r="A62" s="1">
        <v>40999</v>
      </c>
      <c r="B62" s="63">
        <v>1.9724999999999999E-2</v>
      </c>
      <c r="C62" s="63">
        <v>2.8355000000000002E-2</v>
      </c>
      <c r="D62" s="63">
        <v>2.8753000000000001E-2</v>
      </c>
      <c r="E62" s="63">
        <v>2.9467E-2</v>
      </c>
      <c r="F62" s="63">
        <v>3.1153E-2</v>
      </c>
      <c r="G62" s="63">
        <v>3.1587999999999998E-2</v>
      </c>
      <c r="H62" s="63">
        <v>3.3972000000000002E-2</v>
      </c>
      <c r="I62" s="63">
        <v>3.4630000000000001E-2</v>
      </c>
      <c r="J62" s="63">
        <v>3.5571999999999999E-2</v>
      </c>
      <c r="K62" s="63">
        <v>3.5668999999999999E-2</v>
      </c>
      <c r="L62" s="63">
        <v>3.5659999999999997E-2</v>
      </c>
      <c r="M62" s="63">
        <v>3.5913E-2</v>
      </c>
      <c r="N62" s="63">
        <v>3.6507999999999999E-2</v>
      </c>
      <c r="O62" s="63">
        <v>3.7309999999999996E-2</v>
      </c>
      <c r="P62" s="63">
        <v>3.8174E-2</v>
      </c>
      <c r="Q62" s="63">
        <v>3.8946999999999996E-2</v>
      </c>
      <c r="R62" s="63">
        <v>3.9689999999999996E-2</v>
      </c>
      <c r="S62" s="63">
        <v>4.0523999999999998E-2</v>
      </c>
      <c r="T62" s="63">
        <v>4.1359000000000007E-2</v>
      </c>
      <c r="U62" s="63">
        <v>4.2098000000000003E-2</v>
      </c>
      <c r="V62" s="63">
        <v>4.2633999999999998E-2</v>
      </c>
      <c r="W62" s="63">
        <v>4.2979999999999997E-2</v>
      </c>
      <c r="X62" s="63">
        <v>4.3238000000000006E-2</v>
      </c>
      <c r="Y62" s="63">
        <v>4.3415999999999996E-2</v>
      </c>
      <c r="Z62" s="63">
        <v>4.3528999999999998E-2</v>
      </c>
      <c r="AA62" s="63">
        <v>4.3587999999999995E-2</v>
      </c>
      <c r="AB62" s="63">
        <v>4.3609000000000002E-2</v>
      </c>
      <c r="AC62" s="63">
        <v>4.3606999999999993E-2</v>
      </c>
      <c r="AD62" s="63">
        <v>4.3598999999999999E-2</v>
      </c>
      <c r="AE62" s="63">
        <v>4.3602999999999996E-2</v>
      </c>
      <c r="AF62" s="63">
        <v>4.3636000000000001E-2</v>
      </c>
    </row>
    <row r="63" spans="1:32" x14ac:dyDescent="0.15">
      <c r="A63" s="1">
        <v>41000</v>
      </c>
      <c r="B63" s="63">
        <v>1.9383999999999998E-2</v>
      </c>
      <c r="C63" s="63">
        <v>2.8551000000000003E-2</v>
      </c>
      <c r="D63" s="63">
        <v>2.8969999999999999E-2</v>
      </c>
      <c r="E63" s="63">
        <v>2.9489000000000001E-2</v>
      </c>
      <c r="F63" s="63">
        <v>3.1359999999999999E-2</v>
      </c>
      <c r="G63" s="63">
        <v>3.1796000000000005E-2</v>
      </c>
      <c r="H63" s="63">
        <v>3.4171E-2</v>
      </c>
      <c r="I63" s="63">
        <v>3.4868000000000003E-2</v>
      </c>
      <c r="J63" s="63">
        <v>3.5714000000000003E-2</v>
      </c>
      <c r="K63" s="63">
        <v>3.5880000000000002E-2</v>
      </c>
      <c r="L63" s="63">
        <v>3.5868000000000004E-2</v>
      </c>
      <c r="M63" s="63">
        <v>3.6109000000000002E-2</v>
      </c>
      <c r="N63" s="63">
        <v>3.6680999999999998E-2</v>
      </c>
      <c r="O63" s="63">
        <v>3.7453E-2</v>
      </c>
      <c r="P63" s="63">
        <v>3.8285E-2</v>
      </c>
      <c r="Q63" s="63">
        <v>3.9028E-2</v>
      </c>
      <c r="R63" s="63">
        <v>3.9754999999999999E-2</v>
      </c>
      <c r="S63" s="63">
        <v>4.0586999999999998E-2</v>
      </c>
      <c r="T63" s="63">
        <v>4.1430999999999996E-2</v>
      </c>
      <c r="U63" s="63">
        <v>4.2182000000000004E-2</v>
      </c>
      <c r="V63" s="63">
        <v>4.2723000000000004E-2</v>
      </c>
      <c r="W63" s="63">
        <v>4.3070999999999998E-2</v>
      </c>
      <c r="X63" s="63">
        <v>4.3329000000000006E-2</v>
      </c>
      <c r="Y63" s="63">
        <v>4.3508999999999999E-2</v>
      </c>
      <c r="Z63" s="63">
        <v>4.3621E-2</v>
      </c>
      <c r="AA63" s="63">
        <v>4.3680999999999998E-2</v>
      </c>
      <c r="AB63" s="63">
        <v>4.3703000000000006E-2</v>
      </c>
      <c r="AC63" s="63">
        <v>4.3700999999999997E-2</v>
      </c>
      <c r="AD63" s="63">
        <v>4.3693999999999997E-2</v>
      </c>
      <c r="AE63" s="63">
        <v>4.3697E-2</v>
      </c>
      <c r="AF63" s="63">
        <v>4.3730999999999999E-2</v>
      </c>
    </row>
    <row r="64" spans="1:32" x14ac:dyDescent="0.15">
      <c r="A64" s="1">
        <v>41004</v>
      </c>
      <c r="B64" s="63">
        <v>2.3025000000000004E-2</v>
      </c>
      <c r="C64" s="63">
        <v>2.8595000000000002E-2</v>
      </c>
      <c r="D64" s="63">
        <v>2.8946999999999997E-2</v>
      </c>
      <c r="E64" s="63">
        <v>2.9395999999999999E-2</v>
      </c>
      <c r="F64" s="63">
        <v>3.1488999999999996E-2</v>
      </c>
      <c r="G64" s="63">
        <v>3.1713999999999999E-2</v>
      </c>
      <c r="H64" s="63">
        <v>3.4201000000000002E-2</v>
      </c>
      <c r="I64" s="63">
        <v>3.4844E-2</v>
      </c>
      <c r="J64" s="63">
        <v>3.5861000000000004E-2</v>
      </c>
      <c r="K64" s="63">
        <v>3.5893000000000001E-2</v>
      </c>
      <c r="L64" s="63">
        <v>3.585E-2</v>
      </c>
      <c r="M64" s="63">
        <v>3.6083999999999998E-2</v>
      </c>
      <c r="N64" s="63">
        <v>3.6659000000000004E-2</v>
      </c>
      <c r="O64" s="63">
        <v>3.7437999999999999E-2</v>
      </c>
      <c r="P64" s="63">
        <v>3.8280000000000002E-2</v>
      </c>
      <c r="Q64" s="63">
        <v>3.9028E-2</v>
      </c>
      <c r="R64" s="63">
        <v>3.9756E-2</v>
      </c>
      <c r="S64" s="63">
        <v>4.0589000000000007E-2</v>
      </c>
      <c r="T64" s="63">
        <v>4.1432000000000004E-2</v>
      </c>
      <c r="U64" s="63">
        <v>4.2182000000000004E-2</v>
      </c>
      <c r="V64" s="63">
        <v>4.2723000000000004E-2</v>
      </c>
      <c r="W64" s="63">
        <v>4.3070999999999998E-2</v>
      </c>
      <c r="X64" s="63">
        <v>4.3329000000000006E-2</v>
      </c>
      <c r="Y64" s="63">
        <v>4.3507999999999998E-2</v>
      </c>
      <c r="Z64" s="63">
        <v>4.3621E-2</v>
      </c>
      <c r="AA64" s="63">
        <v>4.3680999999999998E-2</v>
      </c>
      <c r="AB64" s="63">
        <v>4.3703000000000006E-2</v>
      </c>
      <c r="AC64" s="63">
        <v>4.3700999999999997E-2</v>
      </c>
      <c r="AD64" s="63">
        <v>4.3693999999999997E-2</v>
      </c>
      <c r="AE64" s="63">
        <v>4.3697E-2</v>
      </c>
      <c r="AF64" s="63">
        <v>4.3730999999999999E-2</v>
      </c>
    </row>
    <row r="65" spans="1:32" x14ac:dyDescent="0.15">
      <c r="A65" s="1">
        <v>41005</v>
      </c>
      <c r="B65" s="63">
        <v>2.528E-2</v>
      </c>
      <c r="C65" s="63">
        <v>2.8731E-2</v>
      </c>
      <c r="D65" s="63">
        <v>2.9031999999999999E-2</v>
      </c>
      <c r="E65" s="63">
        <v>2.9381000000000001E-2</v>
      </c>
      <c r="F65" s="63">
        <v>3.1543999999999996E-2</v>
      </c>
      <c r="G65" s="63">
        <v>3.1764000000000001E-2</v>
      </c>
      <c r="H65" s="63">
        <v>3.4172000000000001E-2</v>
      </c>
      <c r="I65" s="63">
        <v>3.4904000000000004E-2</v>
      </c>
      <c r="J65" s="63">
        <v>3.5864E-2</v>
      </c>
      <c r="K65" s="63">
        <v>3.5894000000000002E-2</v>
      </c>
      <c r="L65" s="63">
        <v>3.5859000000000002E-2</v>
      </c>
      <c r="M65" s="63">
        <v>3.6094000000000001E-2</v>
      </c>
      <c r="N65" s="63">
        <v>3.6669E-2</v>
      </c>
      <c r="O65" s="63">
        <v>3.7448000000000002E-2</v>
      </c>
      <c r="P65" s="63">
        <v>3.8288999999999997E-2</v>
      </c>
      <c r="Q65" s="63">
        <v>3.9036000000000001E-2</v>
      </c>
      <c r="R65" s="63">
        <v>3.9764000000000001E-2</v>
      </c>
      <c r="S65" s="63">
        <v>4.0595999999999993E-2</v>
      </c>
      <c r="T65" s="63">
        <v>4.1440000000000005E-2</v>
      </c>
      <c r="U65" s="63">
        <v>4.2190000000000005E-2</v>
      </c>
      <c r="V65" s="63">
        <v>4.2731999999999999E-2</v>
      </c>
      <c r="W65" s="63">
        <v>4.308E-2</v>
      </c>
      <c r="X65" s="63">
        <v>4.3338000000000002E-2</v>
      </c>
      <c r="Y65" s="63">
        <v>4.3517E-2</v>
      </c>
      <c r="Z65" s="63">
        <v>4.3630000000000002E-2</v>
      </c>
      <c r="AA65" s="63">
        <v>4.369E-2</v>
      </c>
      <c r="AB65" s="63">
        <v>4.3712000000000001E-2</v>
      </c>
      <c r="AC65" s="63">
        <v>4.3711E-2</v>
      </c>
      <c r="AD65" s="63">
        <v>4.3703000000000006E-2</v>
      </c>
      <c r="AE65" s="63">
        <v>4.3707000000000003E-2</v>
      </c>
      <c r="AF65" s="63">
        <v>4.3741000000000002E-2</v>
      </c>
    </row>
    <row r="66" spans="1:32" x14ac:dyDescent="0.15">
      <c r="A66" s="1">
        <v>41008</v>
      </c>
      <c r="B66" s="63">
        <v>2.2117000000000001E-2</v>
      </c>
      <c r="C66" s="63">
        <v>2.8698000000000001E-2</v>
      </c>
      <c r="D66" s="63">
        <v>2.9005999999999997E-2</v>
      </c>
      <c r="E66" s="63">
        <v>2.9538999999999999E-2</v>
      </c>
      <c r="F66" s="63">
        <v>3.1466000000000001E-2</v>
      </c>
      <c r="G66" s="63">
        <v>3.1771000000000001E-2</v>
      </c>
      <c r="H66" s="63">
        <v>3.4331E-2</v>
      </c>
      <c r="I66" s="63">
        <v>3.4952000000000004E-2</v>
      </c>
      <c r="J66" s="63">
        <v>3.5964000000000003E-2</v>
      </c>
      <c r="K66" s="63">
        <v>3.6031000000000001E-2</v>
      </c>
      <c r="L66" s="63">
        <v>3.6027000000000003E-2</v>
      </c>
      <c r="M66" s="63">
        <v>3.6334999999999999E-2</v>
      </c>
      <c r="N66" s="63">
        <v>3.6924999999999999E-2</v>
      </c>
      <c r="O66" s="63">
        <v>3.7680999999999999E-2</v>
      </c>
      <c r="P66" s="63">
        <v>3.848E-2</v>
      </c>
      <c r="Q66" s="63">
        <v>3.9188000000000001E-2</v>
      </c>
      <c r="R66" s="63">
        <v>3.9890000000000002E-2</v>
      </c>
      <c r="S66" s="63">
        <v>4.0709000000000002E-2</v>
      </c>
      <c r="T66" s="63">
        <v>4.1551999999999999E-2</v>
      </c>
      <c r="U66" s="63">
        <v>4.2317999999999995E-2</v>
      </c>
      <c r="V66" s="63">
        <v>4.2895000000000003E-2</v>
      </c>
      <c r="W66" s="63">
        <v>4.3277000000000003E-2</v>
      </c>
      <c r="X66" s="63">
        <v>4.3552E-2</v>
      </c>
      <c r="Y66" s="63">
        <v>4.3734000000000002E-2</v>
      </c>
      <c r="Z66" s="63">
        <v>4.3840000000000004E-2</v>
      </c>
      <c r="AA66" s="63">
        <v>4.3888999999999997E-2</v>
      </c>
      <c r="AB66" s="63">
        <v>4.3902000000000004E-2</v>
      </c>
      <c r="AC66" s="63">
        <v>4.3899000000000001E-2</v>
      </c>
      <c r="AD66" s="63">
        <v>4.3902999999999998E-2</v>
      </c>
      <c r="AE66" s="63">
        <v>4.3939000000000006E-2</v>
      </c>
      <c r="AF66" s="63">
        <v>4.4010999999999995E-2</v>
      </c>
    </row>
    <row r="67" spans="1:32" x14ac:dyDescent="0.15">
      <c r="A67" s="1">
        <v>41009</v>
      </c>
      <c r="B67" s="63">
        <v>2.2938E-2</v>
      </c>
      <c r="C67" s="63">
        <v>2.8712000000000001E-2</v>
      </c>
      <c r="D67" s="63">
        <v>2.9087999999999999E-2</v>
      </c>
      <c r="E67" s="63">
        <v>2.9346999999999998E-2</v>
      </c>
      <c r="F67" s="63">
        <v>3.1116999999999999E-2</v>
      </c>
      <c r="G67" s="63">
        <v>3.1661999999999996E-2</v>
      </c>
      <c r="H67" s="63">
        <v>3.4331E-2</v>
      </c>
      <c r="I67" s="63">
        <v>3.4847999999999997E-2</v>
      </c>
      <c r="J67" s="63">
        <v>3.5966999999999999E-2</v>
      </c>
      <c r="K67" s="63">
        <v>3.6059000000000001E-2</v>
      </c>
      <c r="L67" s="63">
        <v>3.6055999999999998E-2</v>
      </c>
      <c r="M67" s="63">
        <v>3.6362999999999999E-2</v>
      </c>
      <c r="N67" s="63">
        <v>3.6950999999999998E-2</v>
      </c>
      <c r="O67" s="63">
        <v>3.7703E-2</v>
      </c>
      <c r="P67" s="63">
        <v>3.8498000000000004E-2</v>
      </c>
      <c r="Q67" s="63">
        <v>3.9203000000000002E-2</v>
      </c>
      <c r="R67" s="63">
        <v>3.9906000000000004E-2</v>
      </c>
      <c r="S67" s="63">
        <v>4.0728999999999994E-2</v>
      </c>
      <c r="T67" s="63">
        <v>4.1577000000000003E-2</v>
      </c>
      <c r="U67" s="63">
        <v>4.2342000000000005E-2</v>
      </c>
      <c r="V67" s="63">
        <v>4.2908000000000002E-2</v>
      </c>
      <c r="W67" s="63">
        <v>4.3281E-2</v>
      </c>
      <c r="X67" s="63">
        <v>4.3556999999999998E-2</v>
      </c>
      <c r="Y67" s="63">
        <v>4.3749999999999997E-2</v>
      </c>
      <c r="Z67" s="63">
        <v>4.3871E-2</v>
      </c>
      <c r="AA67" s="63">
        <v>4.3936999999999997E-2</v>
      </c>
      <c r="AB67" s="63">
        <v>4.3962000000000001E-2</v>
      </c>
      <c r="AC67" s="63">
        <v>4.3963999999999996E-2</v>
      </c>
      <c r="AD67" s="63">
        <v>4.3959999999999999E-2</v>
      </c>
      <c r="AE67" s="63">
        <v>4.3970000000000002E-2</v>
      </c>
      <c r="AF67" s="63">
        <v>4.4013999999999998E-2</v>
      </c>
    </row>
    <row r="68" spans="1:32" x14ac:dyDescent="0.15">
      <c r="A68" s="1">
        <v>41010</v>
      </c>
      <c r="B68" s="63">
        <v>2.2967000000000001E-2</v>
      </c>
      <c r="C68" s="63">
        <v>2.8714E-2</v>
      </c>
      <c r="D68" s="63">
        <v>2.9090999999999999E-2</v>
      </c>
      <c r="E68" s="63">
        <v>2.9363999999999998E-2</v>
      </c>
      <c r="F68" s="63">
        <v>3.1147999999999999E-2</v>
      </c>
      <c r="G68" s="63">
        <v>3.1587999999999998E-2</v>
      </c>
      <c r="H68" s="63">
        <v>3.4159999999999996E-2</v>
      </c>
      <c r="I68" s="63">
        <v>3.4986999999999997E-2</v>
      </c>
      <c r="J68" s="63">
        <v>3.5851000000000001E-2</v>
      </c>
      <c r="K68" s="63">
        <v>3.5987999999999999E-2</v>
      </c>
      <c r="L68" s="63">
        <v>3.5992000000000003E-2</v>
      </c>
      <c r="M68" s="63">
        <v>3.6261000000000002E-2</v>
      </c>
      <c r="N68" s="63">
        <v>3.6847999999999999E-2</v>
      </c>
      <c r="O68" s="63">
        <v>3.7626E-2</v>
      </c>
      <c r="P68" s="63">
        <v>3.8462999999999997E-2</v>
      </c>
      <c r="Q68" s="63">
        <v>3.9212999999999998E-2</v>
      </c>
      <c r="R68" s="63">
        <v>3.9942999999999999E-2</v>
      </c>
      <c r="S68" s="63">
        <v>4.0770000000000001E-2</v>
      </c>
      <c r="T68" s="63">
        <v>4.1604999999999996E-2</v>
      </c>
      <c r="U68" s="63">
        <v>4.2354000000000003E-2</v>
      </c>
      <c r="V68" s="63">
        <v>4.2911999999999999E-2</v>
      </c>
      <c r="W68" s="63">
        <v>4.3284000000000003E-2</v>
      </c>
      <c r="X68" s="63">
        <v>4.3560000000000001E-2</v>
      </c>
      <c r="Y68" s="63">
        <v>4.3752000000000006E-2</v>
      </c>
      <c r="Z68" s="63">
        <v>4.3874000000000003E-2</v>
      </c>
      <c r="AA68" s="63">
        <v>4.3939000000000006E-2</v>
      </c>
      <c r="AB68" s="63">
        <v>4.3963999999999996E-2</v>
      </c>
      <c r="AC68" s="63">
        <v>4.3964999999999997E-2</v>
      </c>
      <c r="AD68" s="63">
        <v>4.3961E-2</v>
      </c>
      <c r="AE68" s="63">
        <v>4.3971000000000003E-2</v>
      </c>
      <c r="AF68" s="63">
        <v>4.4015000000000006E-2</v>
      </c>
    </row>
    <row r="69" spans="1:32" x14ac:dyDescent="0.15">
      <c r="A69" s="1">
        <v>41011</v>
      </c>
      <c r="B69" s="63">
        <v>2.3466999999999998E-2</v>
      </c>
      <c r="C69" s="63">
        <v>2.8993999999999999E-2</v>
      </c>
      <c r="D69" s="63">
        <v>2.9271999999999999E-2</v>
      </c>
      <c r="E69" s="63">
        <v>2.9447999999999998E-2</v>
      </c>
      <c r="F69" s="63">
        <v>3.125E-2</v>
      </c>
      <c r="G69" s="63">
        <v>3.1796000000000005E-2</v>
      </c>
      <c r="H69" s="63">
        <v>3.4451000000000002E-2</v>
      </c>
      <c r="I69" s="63">
        <v>3.4893E-2</v>
      </c>
      <c r="J69" s="63">
        <v>3.5952000000000005E-2</v>
      </c>
      <c r="K69" s="63">
        <v>3.6091000000000005E-2</v>
      </c>
      <c r="L69" s="63">
        <v>3.6091999999999999E-2</v>
      </c>
      <c r="M69" s="63">
        <v>3.6348999999999999E-2</v>
      </c>
      <c r="N69" s="63">
        <v>3.6915000000000003E-2</v>
      </c>
      <c r="O69" s="63">
        <v>3.7668E-2</v>
      </c>
      <c r="P69" s="63">
        <v>3.8477000000000004E-2</v>
      </c>
      <c r="Q69" s="63">
        <v>3.9202000000000001E-2</v>
      </c>
      <c r="R69" s="63">
        <v>3.9902E-2</v>
      </c>
      <c r="S69" s="63">
        <v>4.0694999999999995E-2</v>
      </c>
      <c r="T69" s="63">
        <v>4.1513000000000001E-2</v>
      </c>
      <c r="U69" s="63">
        <v>4.2281000000000006E-2</v>
      </c>
      <c r="V69" s="63">
        <v>4.2915000000000002E-2</v>
      </c>
      <c r="W69" s="63">
        <v>4.3380999999999996E-2</v>
      </c>
      <c r="X69" s="63">
        <v>4.3715999999999998E-2</v>
      </c>
      <c r="Y69" s="63">
        <v>4.3939000000000006E-2</v>
      </c>
      <c r="Z69" s="63">
        <v>4.4070999999999999E-2</v>
      </c>
      <c r="AA69" s="63">
        <v>4.4137000000000003E-2</v>
      </c>
      <c r="AB69" s="63">
        <v>4.4162E-2</v>
      </c>
      <c r="AC69" s="63">
        <v>4.4173999999999998E-2</v>
      </c>
      <c r="AD69" s="63">
        <v>4.4202000000000005E-2</v>
      </c>
      <c r="AE69" s="63">
        <v>4.4276999999999997E-2</v>
      </c>
      <c r="AF69" s="63">
        <v>4.4394999999999997E-2</v>
      </c>
    </row>
    <row r="70" spans="1:32" x14ac:dyDescent="0.15">
      <c r="A70" s="1">
        <v>41012</v>
      </c>
      <c r="B70" s="63">
        <v>2.5708000000000002E-2</v>
      </c>
      <c r="C70" s="63">
        <v>2.8799000000000002E-2</v>
      </c>
      <c r="D70" s="63">
        <v>2.9159999999999998E-2</v>
      </c>
      <c r="E70" s="63">
        <v>2.9504000000000002E-2</v>
      </c>
      <c r="F70" s="63">
        <v>3.1377999999999996E-2</v>
      </c>
      <c r="G70" s="63">
        <v>3.1872999999999999E-2</v>
      </c>
      <c r="H70" s="63">
        <v>3.4487999999999998E-2</v>
      </c>
      <c r="I70" s="63">
        <v>3.4826000000000003E-2</v>
      </c>
      <c r="J70" s="63">
        <v>3.5722000000000004E-2</v>
      </c>
      <c r="K70" s="63">
        <v>3.5916999999999998E-2</v>
      </c>
      <c r="L70" s="63">
        <v>3.5944999999999998E-2</v>
      </c>
      <c r="M70" s="63">
        <v>3.6234999999999996E-2</v>
      </c>
      <c r="N70" s="63">
        <v>3.6819999999999999E-2</v>
      </c>
      <c r="O70" s="63">
        <v>3.7581999999999997E-2</v>
      </c>
      <c r="P70" s="63">
        <v>3.8399000000000003E-2</v>
      </c>
      <c r="Q70" s="63">
        <v>3.9136000000000004E-2</v>
      </c>
      <c r="R70" s="63">
        <v>3.9867E-2</v>
      </c>
      <c r="S70" s="63">
        <v>4.0709999999999996E-2</v>
      </c>
      <c r="T70" s="63">
        <v>4.1588E-2</v>
      </c>
      <c r="U70" s="63">
        <v>4.2416999999999996E-2</v>
      </c>
      <c r="V70" s="63">
        <v>4.3102000000000001E-2</v>
      </c>
      <c r="W70" s="63">
        <v>4.3604000000000004E-2</v>
      </c>
      <c r="X70" s="63">
        <v>4.3964999999999997E-2</v>
      </c>
      <c r="Y70" s="63">
        <v>4.4206000000000002E-2</v>
      </c>
      <c r="Z70" s="63">
        <v>4.4349E-2</v>
      </c>
      <c r="AA70" s="63">
        <v>4.4421999999999996E-2</v>
      </c>
      <c r="AB70" s="63">
        <v>4.4450000000000003E-2</v>
      </c>
      <c r="AC70" s="63">
        <v>4.4463999999999997E-2</v>
      </c>
      <c r="AD70" s="63">
        <v>4.4496000000000001E-2</v>
      </c>
      <c r="AE70" s="63">
        <v>4.4578E-2</v>
      </c>
      <c r="AF70" s="63">
        <v>4.4706999999999997E-2</v>
      </c>
    </row>
    <row r="71" spans="1:32" x14ac:dyDescent="0.15">
      <c r="A71" s="1">
        <v>41015</v>
      </c>
      <c r="B71" s="63">
        <v>2.4680000000000001E-2</v>
      </c>
      <c r="C71" s="63">
        <v>2.8835000000000003E-2</v>
      </c>
      <c r="D71" s="63">
        <v>2.9167000000000002E-2</v>
      </c>
      <c r="E71" s="63">
        <v>2.9479999999999999E-2</v>
      </c>
      <c r="F71" s="63">
        <v>3.1307000000000001E-2</v>
      </c>
      <c r="G71" s="63">
        <v>3.1895E-2</v>
      </c>
      <c r="H71" s="63">
        <v>3.4472000000000003E-2</v>
      </c>
      <c r="I71" s="63">
        <v>3.4946000000000005E-2</v>
      </c>
      <c r="J71" s="63">
        <v>3.5720999999999996E-2</v>
      </c>
      <c r="K71" s="63">
        <v>3.5942000000000002E-2</v>
      </c>
      <c r="L71" s="63">
        <v>3.5992000000000003E-2</v>
      </c>
      <c r="M71" s="63">
        <v>3.6303999999999996E-2</v>
      </c>
      <c r="N71" s="63">
        <v>3.6886999999999996E-2</v>
      </c>
      <c r="O71" s="63">
        <v>3.7633E-2</v>
      </c>
      <c r="P71" s="63">
        <v>3.8429000000000005E-2</v>
      </c>
      <c r="Q71" s="63">
        <v>3.9153E-2</v>
      </c>
      <c r="R71" s="63">
        <v>3.9883000000000002E-2</v>
      </c>
      <c r="S71" s="63">
        <v>4.0730000000000002E-2</v>
      </c>
      <c r="T71" s="63">
        <v>4.1614000000000005E-2</v>
      </c>
      <c r="U71" s="63">
        <v>4.2443999999999996E-2</v>
      </c>
      <c r="V71" s="63">
        <v>4.3118999999999998E-2</v>
      </c>
      <c r="W71" s="63">
        <v>4.3612000000000005E-2</v>
      </c>
      <c r="X71" s="63">
        <v>4.3978999999999997E-2</v>
      </c>
      <c r="Y71" s="63">
        <v>4.4236999999999999E-2</v>
      </c>
      <c r="Z71" s="63">
        <v>4.4401999999999997E-2</v>
      </c>
      <c r="AA71" s="63">
        <v>4.4496000000000001E-2</v>
      </c>
      <c r="AB71" s="63">
        <v>4.4539999999999996E-2</v>
      </c>
      <c r="AC71" s="63">
        <v>4.4556999999999999E-2</v>
      </c>
      <c r="AD71" s="63">
        <v>4.4573000000000002E-2</v>
      </c>
      <c r="AE71" s="63">
        <v>4.4615000000000002E-2</v>
      </c>
      <c r="AF71" s="63">
        <v>4.4711000000000001E-2</v>
      </c>
    </row>
    <row r="72" spans="1:32" x14ac:dyDescent="0.15">
      <c r="A72" s="1">
        <v>41016</v>
      </c>
      <c r="B72" s="63">
        <v>2.1783E-2</v>
      </c>
      <c r="C72" s="63">
        <v>2.8719999999999999E-2</v>
      </c>
      <c r="D72" s="63">
        <v>2.9041999999999998E-2</v>
      </c>
      <c r="E72" s="63">
        <v>2.9468000000000001E-2</v>
      </c>
      <c r="F72" s="63">
        <v>3.1275999999999998E-2</v>
      </c>
      <c r="G72" s="63">
        <v>3.1899999999999998E-2</v>
      </c>
      <c r="H72" s="63">
        <v>3.4306999999999997E-2</v>
      </c>
      <c r="I72" s="63">
        <v>3.4819000000000003E-2</v>
      </c>
      <c r="J72" s="63">
        <v>3.5708000000000004E-2</v>
      </c>
      <c r="K72" s="63">
        <v>3.5928000000000002E-2</v>
      </c>
      <c r="L72" s="63">
        <v>3.5969000000000001E-2</v>
      </c>
      <c r="M72" s="63">
        <v>3.6273E-2</v>
      </c>
      <c r="N72" s="63">
        <v>3.6857000000000001E-2</v>
      </c>
      <c r="O72" s="63">
        <v>3.7612E-2</v>
      </c>
      <c r="P72" s="63">
        <v>3.8418000000000001E-2</v>
      </c>
      <c r="Q72" s="63">
        <v>3.9148999999999996E-2</v>
      </c>
      <c r="R72" s="63">
        <v>3.9879999999999999E-2</v>
      </c>
      <c r="S72" s="63">
        <v>4.0726999999999999E-2</v>
      </c>
      <c r="T72" s="63">
        <v>4.1609999999999994E-2</v>
      </c>
      <c r="U72" s="63">
        <v>4.2438000000000003E-2</v>
      </c>
      <c r="V72" s="63">
        <v>4.3112000000000004E-2</v>
      </c>
      <c r="W72" s="63">
        <v>4.3604999999999998E-2</v>
      </c>
      <c r="X72" s="63">
        <v>4.3971999999999997E-2</v>
      </c>
      <c r="Y72" s="63">
        <v>4.4229999999999998E-2</v>
      </c>
      <c r="Z72" s="63">
        <v>4.4394999999999997E-2</v>
      </c>
      <c r="AA72" s="63">
        <v>4.4489000000000001E-2</v>
      </c>
      <c r="AB72" s="63">
        <v>4.4531999999999995E-2</v>
      </c>
      <c r="AC72" s="63">
        <v>4.4549000000000005E-2</v>
      </c>
      <c r="AD72" s="63">
        <v>4.4565E-2</v>
      </c>
      <c r="AE72" s="63">
        <v>4.4607000000000001E-2</v>
      </c>
      <c r="AF72" s="63">
        <v>4.4701999999999999E-2</v>
      </c>
    </row>
    <row r="73" spans="1:32" x14ac:dyDescent="0.15">
      <c r="A73" s="1">
        <v>41017</v>
      </c>
      <c r="B73" s="63">
        <v>2.1762E-2</v>
      </c>
      <c r="C73" s="63">
        <v>2.8544999999999997E-2</v>
      </c>
      <c r="D73" s="63">
        <v>2.9007000000000002E-2</v>
      </c>
      <c r="E73" s="63">
        <v>2.9461000000000001E-2</v>
      </c>
      <c r="F73" s="63">
        <v>3.1472E-2</v>
      </c>
      <c r="G73" s="63">
        <v>3.1977000000000005E-2</v>
      </c>
      <c r="H73" s="63">
        <v>3.4540000000000001E-2</v>
      </c>
      <c r="I73" s="63">
        <v>3.4856999999999999E-2</v>
      </c>
      <c r="J73" s="63">
        <v>3.5790000000000002E-2</v>
      </c>
      <c r="K73" s="63">
        <v>3.6006999999999997E-2</v>
      </c>
      <c r="L73" s="63">
        <v>3.6045000000000001E-2</v>
      </c>
      <c r="M73" s="63">
        <v>3.6344000000000001E-2</v>
      </c>
      <c r="N73" s="63">
        <v>3.6927000000000001E-2</v>
      </c>
      <c r="O73" s="63">
        <v>3.7679999999999998E-2</v>
      </c>
      <c r="P73" s="63">
        <v>3.8484999999999998E-2</v>
      </c>
      <c r="Q73" s="63">
        <v>3.9213999999999999E-2</v>
      </c>
      <c r="R73" s="63">
        <v>3.9927999999999998E-2</v>
      </c>
      <c r="S73" s="63">
        <v>4.0742E-2</v>
      </c>
      <c r="T73" s="63">
        <v>4.1599999999999998E-2</v>
      </c>
      <c r="U73" s="63">
        <v>4.2438999999999998E-2</v>
      </c>
      <c r="V73" s="63">
        <v>4.3189000000000005E-2</v>
      </c>
      <c r="W73" s="63">
        <v>4.3705999999999995E-2</v>
      </c>
      <c r="X73" s="63">
        <v>4.3952999999999999E-2</v>
      </c>
      <c r="Y73" s="63">
        <v>4.4032999999999996E-2</v>
      </c>
      <c r="Z73" s="63">
        <v>4.4054999999999997E-2</v>
      </c>
      <c r="AA73" s="63">
        <v>4.4138000000000004E-2</v>
      </c>
      <c r="AB73" s="63">
        <v>4.4297000000000003E-2</v>
      </c>
      <c r="AC73" s="63">
        <v>4.4435000000000002E-2</v>
      </c>
      <c r="AD73" s="63">
        <v>4.4554000000000003E-2</v>
      </c>
      <c r="AE73" s="63">
        <v>4.4654999999999993E-2</v>
      </c>
      <c r="AF73" s="63">
        <v>4.4741999999999997E-2</v>
      </c>
    </row>
    <row r="74" spans="1:32" x14ac:dyDescent="0.15">
      <c r="A74" s="1">
        <v>41018</v>
      </c>
      <c r="B74" s="63">
        <v>2.3772000000000001E-2</v>
      </c>
      <c r="C74" s="63">
        <v>2.8459999999999999E-2</v>
      </c>
      <c r="D74" s="63">
        <v>2.8887999999999997E-2</v>
      </c>
      <c r="E74" s="63">
        <v>2.9614999999999999E-2</v>
      </c>
      <c r="F74" s="63">
        <v>3.1537000000000003E-2</v>
      </c>
      <c r="G74" s="63">
        <v>3.2113999999999997E-2</v>
      </c>
      <c r="H74" s="63">
        <v>3.4583000000000003E-2</v>
      </c>
      <c r="I74" s="63">
        <v>3.4938999999999998E-2</v>
      </c>
      <c r="J74" s="63">
        <v>3.5926E-2</v>
      </c>
      <c r="K74" s="63">
        <v>3.6166000000000004E-2</v>
      </c>
      <c r="L74" s="63">
        <v>3.6212000000000001E-2</v>
      </c>
      <c r="M74" s="63">
        <v>3.6511000000000002E-2</v>
      </c>
      <c r="N74" s="63">
        <v>3.7075999999999998E-2</v>
      </c>
      <c r="O74" s="63">
        <v>3.7801000000000001E-2</v>
      </c>
      <c r="P74" s="63">
        <v>3.8575999999999999E-2</v>
      </c>
      <c r="Q74" s="63">
        <v>3.9280000000000002E-2</v>
      </c>
      <c r="R74" s="63">
        <v>4.0003000000000004E-2</v>
      </c>
      <c r="S74" s="63">
        <v>4.0861000000000001E-2</v>
      </c>
      <c r="T74" s="63">
        <v>4.1761E-2</v>
      </c>
      <c r="U74" s="63">
        <v>4.2595999999999995E-2</v>
      </c>
      <c r="V74" s="63">
        <v>4.3249000000000003E-2</v>
      </c>
      <c r="W74" s="63">
        <v>4.3700000000000003E-2</v>
      </c>
      <c r="X74" s="63">
        <v>4.4024000000000001E-2</v>
      </c>
      <c r="Y74" s="63">
        <v>4.4239000000000001E-2</v>
      </c>
      <c r="Z74" s="63">
        <v>4.4366000000000003E-2</v>
      </c>
      <c r="AA74" s="63">
        <v>4.4428000000000002E-2</v>
      </c>
      <c r="AB74" s="63">
        <v>4.4448000000000001E-2</v>
      </c>
      <c r="AC74" s="63">
        <v>4.4452999999999993E-2</v>
      </c>
      <c r="AD74" s="63">
        <v>4.4470000000000003E-2</v>
      </c>
      <c r="AE74" s="63">
        <v>4.4527999999999998E-2</v>
      </c>
      <c r="AF74" s="63">
        <v>4.4625999999999999E-2</v>
      </c>
    </row>
    <row r="75" spans="1:32" x14ac:dyDescent="0.15">
      <c r="A75" s="1">
        <v>41019</v>
      </c>
      <c r="B75" s="63">
        <v>2.5779999999999997E-2</v>
      </c>
      <c r="C75" s="63">
        <v>2.8370000000000003E-2</v>
      </c>
      <c r="D75" s="63">
        <v>2.8841000000000002E-2</v>
      </c>
      <c r="E75" s="63">
        <v>2.9547E-2</v>
      </c>
      <c r="F75" s="63">
        <v>3.1454000000000003E-2</v>
      </c>
      <c r="G75" s="63">
        <v>3.1977999999999999E-2</v>
      </c>
      <c r="H75" s="63">
        <v>3.4447999999999999E-2</v>
      </c>
      <c r="I75" s="63">
        <v>3.4901000000000001E-2</v>
      </c>
      <c r="J75" s="63">
        <v>3.5879000000000001E-2</v>
      </c>
      <c r="K75" s="63">
        <v>3.6074999999999996E-2</v>
      </c>
      <c r="L75" s="63">
        <v>3.61E-2</v>
      </c>
      <c r="M75" s="63">
        <v>3.6381000000000004E-2</v>
      </c>
      <c r="N75" s="63">
        <v>3.6943999999999998E-2</v>
      </c>
      <c r="O75" s="63">
        <v>3.7677000000000002E-2</v>
      </c>
      <c r="P75" s="63">
        <v>3.8462000000000003E-2</v>
      </c>
      <c r="Q75" s="63">
        <v>3.9169000000000002E-2</v>
      </c>
      <c r="R75" s="63">
        <v>3.9843000000000003E-2</v>
      </c>
      <c r="S75" s="63">
        <v>4.0591000000000002E-2</v>
      </c>
      <c r="T75" s="63">
        <v>4.1371999999999999E-2</v>
      </c>
      <c r="U75" s="63">
        <v>4.2140000000000004E-2</v>
      </c>
      <c r="V75" s="63">
        <v>4.2846000000000002E-2</v>
      </c>
      <c r="W75" s="63">
        <v>4.3414000000000001E-2</v>
      </c>
      <c r="X75" s="63">
        <v>4.3821000000000006E-2</v>
      </c>
      <c r="Y75" s="63">
        <v>4.4090999999999998E-2</v>
      </c>
      <c r="Z75" s="63">
        <v>4.4253999999999995E-2</v>
      </c>
      <c r="AA75" s="63">
        <v>4.4339000000000003E-2</v>
      </c>
      <c r="AB75" s="63">
        <v>4.4381000000000004E-2</v>
      </c>
      <c r="AC75" s="63">
        <v>4.4416000000000004E-2</v>
      </c>
      <c r="AD75" s="63">
        <v>4.4482000000000001E-2</v>
      </c>
      <c r="AE75" s="63">
        <v>4.462E-2</v>
      </c>
      <c r="AF75" s="63">
        <v>4.4812000000000005E-2</v>
      </c>
    </row>
    <row r="76" spans="1:32" x14ac:dyDescent="0.15">
      <c r="A76" s="1">
        <v>41022</v>
      </c>
      <c r="B76" s="63">
        <v>2.5047E-2</v>
      </c>
      <c r="C76" s="63">
        <v>2.8473000000000002E-2</v>
      </c>
      <c r="D76" s="63">
        <v>2.8982999999999998E-2</v>
      </c>
      <c r="E76" s="63">
        <v>2.9454999999999999E-2</v>
      </c>
      <c r="F76" s="63">
        <v>3.1244999999999998E-2</v>
      </c>
      <c r="G76" s="63">
        <v>3.2024999999999998E-2</v>
      </c>
      <c r="H76" s="63">
        <v>3.4348000000000004E-2</v>
      </c>
      <c r="I76" s="63">
        <v>3.483E-2</v>
      </c>
      <c r="J76" s="63">
        <v>3.5969000000000001E-2</v>
      </c>
      <c r="K76" s="63">
        <v>3.6109000000000002E-2</v>
      </c>
      <c r="L76" s="63">
        <v>3.6095000000000002E-2</v>
      </c>
      <c r="M76" s="63">
        <v>3.6341999999999999E-2</v>
      </c>
      <c r="N76" s="63">
        <v>3.6901999999999997E-2</v>
      </c>
      <c r="O76" s="63">
        <v>3.7650000000000003E-2</v>
      </c>
      <c r="P76" s="63">
        <v>3.8452E-2</v>
      </c>
      <c r="Q76" s="63">
        <v>3.9168000000000001E-2</v>
      </c>
      <c r="R76" s="63">
        <v>3.9838999999999999E-2</v>
      </c>
      <c r="S76" s="63">
        <v>4.0586999999999998E-2</v>
      </c>
      <c r="T76" s="63">
        <v>4.1368000000000002E-2</v>
      </c>
      <c r="U76" s="63">
        <v>4.2138000000000002E-2</v>
      </c>
      <c r="V76" s="63">
        <v>4.2844E-2</v>
      </c>
      <c r="W76" s="63">
        <v>4.3410999999999998E-2</v>
      </c>
      <c r="X76" s="63">
        <v>4.3818000000000003E-2</v>
      </c>
      <c r="Y76" s="63">
        <v>4.4088000000000002E-2</v>
      </c>
      <c r="Z76" s="63">
        <v>4.4249999999999998E-2</v>
      </c>
      <c r="AA76" s="63">
        <v>4.4335000000000006E-2</v>
      </c>
      <c r="AB76" s="63">
        <v>4.4377000000000007E-2</v>
      </c>
      <c r="AC76" s="63">
        <v>4.4410999999999999E-2</v>
      </c>
      <c r="AD76" s="63">
        <v>4.4477000000000003E-2</v>
      </c>
      <c r="AE76" s="63">
        <v>4.4615999999999996E-2</v>
      </c>
      <c r="AF76" s="63">
        <v>4.4808000000000001E-2</v>
      </c>
    </row>
    <row r="77" spans="1:32" x14ac:dyDescent="0.15">
      <c r="A77" s="1">
        <v>41023</v>
      </c>
      <c r="B77" s="63">
        <v>2.3942000000000001E-2</v>
      </c>
      <c r="C77" s="63">
        <v>2.8439000000000002E-2</v>
      </c>
      <c r="D77" s="63">
        <v>2.9003000000000001E-2</v>
      </c>
      <c r="E77" s="63">
        <v>2.9538999999999999E-2</v>
      </c>
      <c r="F77" s="63">
        <v>3.1158000000000002E-2</v>
      </c>
      <c r="G77" s="63">
        <v>3.1981999999999997E-2</v>
      </c>
      <c r="H77" s="63">
        <v>3.4388999999999996E-2</v>
      </c>
      <c r="I77" s="63">
        <v>3.4768E-2</v>
      </c>
      <c r="J77" s="63">
        <v>3.5771999999999998E-2</v>
      </c>
      <c r="K77" s="63">
        <v>3.5958000000000004E-2</v>
      </c>
      <c r="L77" s="63">
        <v>3.5979999999999998E-2</v>
      </c>
      <c r="M77" s="63">
        <v>3.6255000000000003E-2</v>
      </c>
      <c r="N77" s="63">
        <v>3.6808E-2</v>
      </c>
      <c r="O77" s="63">
        <v>3.7527999999999999E-2</v>
      </c>
      <c r="P77" s="63">
        <v>3.8296999999999998E-2</v>
      </c>
      <c r="Q77" s="63">
        <v>3.8989999999999997E-2</v>
      </c>
      <c r="R77" s="63">
        <v>3.9650999999999999E-2</v>
      </c>
      <c r="S77" s="63">
        <v>4.0389000000000001E-2</v>
      </c>
      <c r="T77" s="63">
        <v>4.1166000000000001E-2</v>
      </c>
      <c r="U77" s="63">
        <v>4.1940999999999999E-2</v>
      </c>
      <c r="V77" s="63">
        <v>4.2667999999999998E-2</v>
      </c>
      <c r="W77" s="63">
        <v>4.3270000000000003E-2</v>
      </c>
      <c r="X77" s="63">
        <v>4.3715999999999998E-2</v>
      </c>
      <c r="Y77" s="63">
        <v>4.4027999999999998E-2</v>
      </c>
      <c r="Z77" s="63">
        <v>4.4229000000000004E-2</v>
      </c>
      <c r="AA77" s="63">
        <v>4.4347999999999999E-2</v>
      </c>
      <c r="AB77" s="63">
        <v>4.4412E-2</v>
      </c>
      <c r="AC77" s="63">
        <v>4.4454E-2</v>
      </c>
      <c r="AD77" s="63">
        <v>4.4505999999999997E-2</v>
      </c>
      <c r="AE77" s="63">
        <v>4.4606000000000007E-2</v>
      </c>
      <c r="AF77" s="63">
        <v>4.4790999999999997E-2</v>
      </c>
    </row>
    <row r="78" spans="1:32" x14ac:dyDescent="0.15">
      <c r="A78" s="1">
        <v>41024</v>
      </c>
      <c r="B78" s="63">
        <v>2.6436999999999999E-2</v>
      </c>
      <c r="C78" s="63">
        <v>2.8454999999999998E-2</v>
      </c>
      <c r="D78" s="63">
        <v>2.9127E-2</v>
      </c>
      <c r="E78" s="63">
        <v>2.9693999999999998E-2</v>
      </c>
      <c r="F78" s="63">
        <v>3.1412000000000002E-2</v>
      </c>
      <c r="G78" s="63">
        <v>3.1941999999999998E-2</v>
      </c>
      <c r="H78" s="63">
        <v>3.4463000000000001E-2</v>
      </c>
      <c r="I78" s="63">
        <v>3.4897999999999998E-2</v>
      </c>
      <c r="J78" s="63">
        <v>3.5785999999999998E-2</v>
      </c>
      <c r="K78" s="63">
        <v>3.6004000000000001E-2</v>
      </c>
      <c r="L78" s="63">
        <v>3.6046999999999996E-2</v>
      </c>
      <c r="M78" s="63">
        <v>3.6339000000000003E-2</v>
      </c>
      <c r="N78" s="63">
        <v>3.6886999999999996E-2</v>
      </c>
      <c r="O78" s="63">
        <v>3.7587999999999996E-2</v>
      </c>
      <c r="P78" s="63">
        <v>3.8336000000000002E-2</v>
      </c>
      <c r="Q78" s="63">
        <v>3.9015000000000001E-2</v>
      </c>
      <c r="R78" s="63">
        <v>3.9670999999999998E-2</v>
      </c>
      <c r="S78" s="63">
        <v>4.0409E-2</v>
      </c>
      <c r="T78" s="63">
        <v>4.1189000000000003E-2</v>
      </c>
      <c r="U78" s="63">
        <v>4.1966999999999997E-2</v>
      </c>
      <c r="V78" s="63">
        <v>4.2695999999999998E-2</v>
      </c>
      <c r="W78" s="63">
        <v>4.3297999999999996E-2</v>
      </c>
      <c r="X78" s="63">
        <v>4.3745000000000006E-2</v>
      </c>
      <c r="Y78" s="63">
        <v>4.4057000000000006E-2</v>
      </c>
      <c r="Z78" s="63">
        <v>4.4259000000000007E-2</v>
      </c>
      <c r="AA78" s="63">
        <v>4.4377000000000007E-2</v>
      </c>
      <c r="AB78" s="63">
        <v>4.4442000000000002E-2</v>
      </c>
      <c r="AC78" s="63">
        <v>4.4484000000000003E-2</v>
      </c>
      <c r="AD78" s="63">
        <v>4.4537000000000007E-2</v>
      </c>
      <c r="AE78" s="63">
        <v>4.4637000000000003E-2</v>
      </c>
      <c r="AF78" s="63">
        <v>4.4822000000000001E-2</v>
      </c>
    </row>
    <row r="79" spans="1:32" x14ac:dyDescent="0.15">
      <c r="A79" s="1">
        <v>41025</v>
      </c>
      <c r="B79" s="63">
        <v>2.5838E-2</v>
      </c>
      <c r="C79" s="63">
        <v>2.8489E-2</v>
      </c>
      <c r="D79" s="63">
        <v>2.9192999999999997E-2</v>
      </c>
      <c r="E79" s="63">
        <v>2.9815999999999999E-2</v>
      </c>
      <c r="F79" s="63">
        <v>3.1522000000000001E-2</v>
      </c>
      <c r="G79" s="63">
        <v>3.1899999999999998E-2</v>
      </c>
      <c r="H79" s="63">
        <v>3.4203000000000004E-2</v>
      </c>
      <c r="I79" s="63">
        <v>3.4883000000000004E-2</v>
      </c>
      <c r="J79" s="63">
        <v>3.5684E-2</v>
      </c>
      <c r="K79" s="63">
        <v>3.6041999999999998E-2</v>
      </c>
      <c r="L79" s="63">
        <v>3.6037E-2</v>
      </c>
      <c r="M79" s="63">
        <v>3.6278000000000005E-2</v>
      </c>
      <c r="N79" s="63">
        <v>3.6823000000000002E-2</v>
      </c>
      <c r="O79" s="63">
        <v>3.755E-2</v>
      </c>
      <c r="P79" s="63">
        <v>3.8330999999999997E-2</v>
      </c>
      <c r="Q79" s="63">
        <v>3.9024999999999997E-2</v>
      </c>
      <c r="R79" s="63">
        <v>3.9681000000000001E-2</v>
      </c>
      <c r="S79" s="63">
        <v>4.0418000000000003E-2</v>
      </c>
      <c r="T79" s="63">
        <v>4.1197999999999999E-2</v>
      </c>
      <c r="U79" s="63">
        <v>4.1976000000000006E-2</v>
      </c>
      <c r="V79" s="63">
        <v>4.2705E-2</v>
      </c>
      <c r="W79" s="63">
        <v>4.3307000000000005E-2</v>
      </c>
      <c r="X79" s="63">
        <v>4.3753E-2</v>
      </c>
      <c r="Y79" s="63">
        <v>4.4065E-2</v>
      </c>
      <c r="Z79" s="63">
        <v>4.4267000000000001E-2</v>
      </c>
      <c r="AA79" s="63">
        <v>4.4385000000000001E-2</v>
      </c>
      <c r="AB79" s="63">
        <v>4.4448999999999995E-2</v>
      </c>
      <c r="AC79" s="63">
        <v>4.4490999999999996E-2</v>
      </c>
      <c r="AD79" s="63">
        <v>4.4544E-2</v>
      </c>
      <c r="AE79" s="63">
        <v>4.4642999999999995E-2</v>
      </c>
      <c r="AF79" s="63">
        <v>4.4829000000000001E-2</v>
      </c>
    </row>
    <row r="80" spans="1:32" x14ac:dyDescent="0.15">
      <c r="A80" s="1">
        <v>41026</v>
      </c>
      <c r="B80" s="63">
        <v>2.4329999999999997E-2</v>
      </c>
      <c r="C80" s="63">
        <v>2.8540999999999997E-2</v>
      </c>
      <c r="D80" s="63">
        <v>2.9272999999999997E-2</v>
      </c>
      <c r="E80" s="63">
        <v>2.9772E-2</v>
      </c>
      <c r="F80" s="63">
        <v>3.1486E-2</v>
      </c>
      <c r="G80" s="63">
        <v>3.1892999999999998E-2</v>
      </c>
      <c r="H80" s="63">
        <v>3.4034000000000002E-2</v>
      </c>
      <c r="I80" s="63">
        <v>3.4765999999999998E-2</v>
      </c>
      <c r="J80" s="63">
        <v>3.5632999999999998E-2</v>
      </c>
      <c r="K80" s="63">
        <v>3.5964000000000003E-2</v>
      </c>
      <c r="L80" s="63">
        <v>3.6087000000000001E-2</v>
      </c>
      <c r="M80" s="63">
        <v>3.6457000000000003E-2</v>
      </c>
      <c r="N80" s="63">
        <v>3.7007999999999999E-2</v>
      </c>
      <c r="O80" s="63">
        <v>3.7668E-2</v>
      </c>
      <c r="P80" s="63">
        <v>3.8363999999999995E-2</v>
      </c>
      <c r="Q80" s="63">
        <v>3.9016000000000002E-2</v>
      </c>
      <c r="R80" s="63">
        <v>3.9671999999999999E-2</v>
      </c>
      <c r="S80" s="63">
        <v>4.0409E-2</v>
      </c>
      <c r="T80" s="63">
        <v>4.1189000000000003E-2</v>
      </c>
      <c r="U80" s="63">
        <v>4.1967999999999998E-2</v>
      </c>
      <c r="V80" s="63">
        <v>4.2697000000000006E-2</v>
      </c>
      <c r="W80" s="63">
        <v>4.3299000000000004E-2</v>
      </c>
      <c r="X80" s="63">
        <v>4.3745000000000006E-2</v>
      </c>
      <c r="Y80" s="63">
        <v>4.4058E-2</v>
      </c>
      <c r="Z80" s="63">
        <v>4.4260000000000001E-2</v>
      </c>
      <c r="AA80" s="63">
        <v>4.4378000000000001E-2</v>
      </c>
      <c r="AB80" s="63">
        <v>4.4443000000000003E-2</v>
      </c>
      <c r="AC80" s="63">
        <v>4.4485000000000004E-2</v>
      </c>
      <c r="AD80" s="63">
        <v>4.4537000000000007E-2</v>
      </c>
      <c r="AE80" s="63">
        <v>4.4637000000000003E-2</v>
      </c>
      <c r="AF80" s="63">
        <v>4.4823000000000002E-2</v>
      </c>
    </row>
    <row r="81" spans="1:32" x14ac:dyDescent="0.15">
      <c r="A81" s="1">
        <v>41027</v>
      </c>
      <c r="B81" s="63">
        <v>1.9447000000000002E-2</v>
      </c>
      <c r="C81" s="63">
        <v>2.8561999999999997E-2</v>
      </c>
      <c r="D81" s="63">
        <v>2.9304E-2</v>
      </c>
      <c r="E81" s="63">
        <v>2.9826000000000002E-2</v>
      </c>
      <c r="F81" s="63">
        <v>3.1579000000000003E-2</v>
      </c>
      <c r="G81" s="63">
        <v>3.1857000000000003E-2</v>
      </c>
      <c r="H81" s="63">
        <v>3.4098000000000003E-2</v>
      </c>
      <c r="I81" s="63">
        <v>3.4721000000000002E-2</v>
      </c>
      <c r="J81" s="63">
        <v>3.5615000000000001E-2</v>
      </c>
      <c r="K81" s="63">
        <v>3.5958000000000004E-2</v>
      </c>
      <c r="L81" s="63">
        <v>3.6088000000000002E-2</v>
      </c>
      <c r="M81" s="63">
        <v>3.6464999999999997E-2</v>
      </c>
      <c r="N81" s="63">
        <v>3.7014999999999999E-2</v>
      </c>
      <c r="O81" s="63">
        <v>3.7671999999999997E-2</v>
      </c>
      <c r="P81" s="63">
        <v>3.8363999999999995E-2</v>
      </c>
      <c r="Q81" s="63">
        <v>3.9014E-2</v>
      </c>
      <c r="R81" s="63">
        <v>3.9670000000000004E-2</v>
      </c>
      <c r="S81" s="63">
        <v>4.0406999999999998E-2</v>
      </c>
      <c r="T81" s="63">
        <v>4.1186999999999994E-2</v>
      </c>
      <c r="U81" s="63">
        <v>4.1966000000000003E-2</v>
      </c>
      <c r="V81" s="63">
        <v>4.2694999999999997E-2</v>
      </c>
      <c r="W81" s="63">
        <v>4.3297000000000002E-2</v>
      </c>
      <c r="X81" s="63">
        <v>4.3743999999999998E-2</v>
      </c>
      <c r="Y81" s="63">
        <v>4.4055999999999998E-2</v>
      </c>
      <c r="Z81" s="63">
        <v>4.4257999999999999E-2</v>
      </c>
      <c r="AA81" s="63">
        <v>4.4377000000000007E-2</v>
      </c>
      <c r="AB81" s="63">
        <v>4.4440999999999994E-2</v>
      </c>
      <c r="AC81" s="63">
        <v>4.4482999999999995E-2</v>
      </c>
      <c r="AD81" s="63">
        <v>4.4535999999999999E-2</v>
      </c>
      <c r="AE81" s="63">
        <v>4.4635999999999995E-2</v>
      </c>
      <c r="AF81" s="63">
        <v>4.4822000000000001E-2</v>
      </c>
    </row>
    <row r="82" spans="1:32" x14ac:dyDescent="0.15">
      <c r="A82" s="1">
        <v>41031</v>
      </c>
      <c r="B82" s="63">
        <v>1.9847E-2</v>
      </c>
      <c r="C82" s="63">
        <v>2.8450000000000003E-2</v>
      </c>
      <c r="D82" s="63">
        <v>2.9275000000000002E-2</v>
      </c>
      <c r="E82" s="63">
        <v>2.9922000000000001E-2</v>
      </c>
      <c r="F82" s="63">
        <v>3.1521E-2</v>
      </c>
      <c r="G82" s="63">
        <v>3.1946000000000002E-2</v>
      </c>
      <c r="H82" s="63">
        <v>3.4014000000000003E-2</v>
      </c>
      <c r="I82" s="63">
        <v>3.4849999999999999E-2</v>
      </c>
      <c r="J82" s="63">
        <v>3.5657999999999995E-2</v>
      </c>
      <c r="K82" s="63">
        <v>3.6000000000000004E-2</v>
      </c>
      <c r="L82" s="63">
        <v>3.6152000000000004E-2</v>
      </c>
      <c r="M82" s="63">
        <v>3.6545999999999995E-2</v>
      </c>
      <c r="N82" s="63">
        <v>3.7094999999999996E-2</v>
      </c>
      <c r="O82" s="63">
        <v>3.7738999999999995E-2</v>
      </c>
      <c r="P82" s="63">
        <v>3.8415999999999999E-2</v>
      </c>
      <c r="Q82" s="63">
        <v>3.9057000000000001E-2</v>
      </c>
      <c r="R82" s="63">
        <v>3.9711999999999997E-2</v>
      </c>
      <c r="S82" s="63">
        <v>4.0453999999999997E-2</v>
      </c>
      <c r="T82" s="63">
        <v>4.1238000000000004E-2</v>
      </c>
      <c r="U82" s="63">
        <v>4.2018000000000007E-2</v>
      </c>
      <c r="V82" s="63">
        <v>4.2738999999999999E-2</v>
      </c>
      <c r="W82" s="63">
        <v>4.3329000000000006E-2</v>
      </c>
      <c r="X82" s="63">
        <v>4.3765999999999999E-2</v>
      </c>
      <c r="Y82" s="63">
        <v>4.4071999999999993E-2</v>
      </c>
      <c r="Z82" s="63">
        <v>4.4269999999999997E-2</v>
      </c>
      <c r="AA82" s="63">
        <v>4.4386000000000002E-2</v>
      </c>
      <c r="AB82" s="63">
        <v>4.4448999999999995E-2</v>
      </c>
      <c r="AC82" s="63">
        <v>4.4489000000000001E-2</v>
      </c>
      <c r="AD82" s="63">
        <v>4.4539999999999996E-2</v>
      </c>
      <c r="AE82" s="63">
        <v>4.4635999999999995E-2</v>
      </c>
      <c r="AF82" s="63">
        <v>4.4814999999999994E-2</v>
      </c>
    </row>
    <row r="83" spans="1:32" x14ac:dyDescent="0.15">
      <c r="A83" s="1">
        <v>41032</v>
      </c>
      <c r="B83" s="63">
        <v>2.1030000000000004E-2</v>
      </c>
      <c r="C83" s="63">
        <v>2.8496E-2</v>
      </c>
      <c r="D83" s="63">
        <v>2.9347999999999999E-2</v>
      </c>
      <c r="E83" s="63">
        <v>3.0148000000000001E-2</v>
      </c>
      <c r="F83" s="63">
        <v>3.1482000000000003E-2</v>
      </c>
      <c r="G83" s="63">
        <v>3.1962000000000004E-2</v>
      </c>
      <c r="H83" s="63">
        <v>3.4237000000000004E-2</v>
      </c>
      <c r="I83" s="63">
        <v>3.4741000000000001E-2</v>
      </c>
      <c r="J83" s="63">
        <v>3.5595000000000002E-2</v>
      </c>
      <c r="K83" s="63">
        <v>3.5969000000000001E-2</v>
      </c>
      <c r="L83" s="63">
        <v>3.6156000000000001E-2</v>
      </c>
      <c r="M83" s="63">
        <v>3.6568999999999997E-2</v>
      </c>
      <c r="N83" s="63">
        <v>3.7118000000000005E-2</v>
      </c>
      <c r="O83" s="63">
        <v>3.7753000000000002E-2</v>
      </c>
      <c r="P83" s="63">
        <v>3.8418000000000001E-2</v>
      </c>
      <c r="Q83" s="63">
        <v>3.9052999999999997E-2</v>
      </c>
      <c r="R83" s="63">
        <v>3.9705999999999998E-2</v>
      </c>
      <c r="S83" s="63">
        <v>4.0441999999999999E-2</v>
      </c>
      <c r="T83" s="63">
        <v>4.122E-2</v>
      </c>
      <c r="U83" s="63">
        <v>4.1996000000000006E-2</v>
      </c>
      <c r="V83" s="63">
        <v>4.2718999999999993E-2</v>
      </c>
      <c r="W83" s="63">
        <v>4.3314000000000005E-2</v>
      </c>
      <c r="X83" s="63">
        <v>4.3754999999999995E-2</v>
      </c>
      <c r="Y83" s="63">
        <v>4.4063999999999999E-2</v>
      </c>
      <c r="Z83" s="63">
        <v>4.4263999999999998E-2</v>
      </c>
      <c r="AA83" s="63">
        <v>4.4381000000000004E-2</v>
      </c>
      <c r="AB83" s="63">
        <v>4.4443999999999997E-2</v>
      </c>
      <c r="AC83" s="63">
        <v>4.4485000000000004E-2</v>
      </c>
      <c r="AD83" s="63">
        <v>4.4535999999999999E-2</v>
      </c>
      <c r="AE83" s="63">
        <v>4.4634E-2</v>
      </c>
      <c r="AF83" s="63">
        <v>4.4814999999999994E-2</v>
      </c>
    </row>
    <row r="84" spans="1:32" x14ac:dyDescent="0.15">
      <c r="A84" s="1">
        <v>41033</v>
      </c>
      <c r="B84" s="63">
        <v>2.1054E-2</v>
      </c>
      <c r="C84" s="63">
        <v>2.8618000000000001E-2</v>
      </c>
      <c r="D84" s="63">
        <v>2.9388000000000001E-2</v>
      </c>
      <c r="E84" s="63">
        <v>3.0308000000000002E-2</v>
      </c>
      <c r="F84" s="63">
        <v>3.1519999999999999E-2</v>
      </c>
      <c r="G84" s="63">
        <v>3.2002999999999997E-2</v>
      </c>
      <c r="H84" s="63">
        <v>3.4082000000000001E-2</v>
      </c>
      <c r="I84" s="63">
        <v>3.4891999999999999E-2</v>
      </c>
      <c r="J84" s="63">
        <v>3.5564999999999999E-2</v>
      </c>
      <c r="K84" s="63">
        <v>3.5948000000000001E-2</v>
      </c>
      <c r="L84" s="63">
        <v>3.6222999999999998E-2</v>
      </c>
      <c r="M84" s="63">
        <v>3.6651999999999997E-2</v>
      </c>
      <c r="N84" s="63">
        <v>3.7184000000000002E-2</v>
      </c>
      <c r="O84" s="63">
        <v>3.7782000000000003E-2</v>
      </c>
      <c r="P84" s="63">
        <v>3.8404000000000001E-2</v>
      </c>
      <c r="Q84" s="63">
        <v>3.9008000000000001E-2</v>
      </c>
      <c r="R84" s="63">
        <v>3.9647999999999996E-2</v>
      </c>
      <c r="S84" s="63">
        <v>4.0382999999999995E-2</v>
      </c>
      <c r="T84" s="63">
        <v>4.1167999999999996E-2</v>
      </c>
      <c r="U84" s="63">
        <v>4.1951000000000002E-2</v>
      </c>
      <c r="V84" s="63">
        <v>4.2676999999999993E-2</v>
      </c>
      <c r="W84" s="63">
        <v>4.3272999999999999E-2</v>
      </c>
      <c r="X84" s="63">
        <v>4.3714000000000003E-2</v>
      </c>
      <c r="Y84" s="63">
        <v>4.4023000000000007E-2</v>
      </c>
      <c r="Z84" s="63">
        <v>4.4223999999999999E-2</v>
      </c>
      <c r="AA84" s="63">
        <v>4.4340999999999998E-2</v>
      </c>
      <c r="AB84" s="63">
        <v>4.4405E-2</v>
      </c>
      <c r="AC84" s="63">
        <v>4.4446000000000006E-2</v>
      </c>
      <c r="AD84" s="63">
        <v>4.4497999999999996E-2</v>
      </c>
      <c r="AE84" s="63">
        <v>4.4595999999999997E-2</v>
      </c>
      <c r="AF84" s="63">
        <v>4.4776999999999997E-2</v>
      </c>
    </row>
    <row r="85" spans="1:32" x14ac:dyDescent="0.15">
      <c r="A85" s="1">
        <v>41036</v>
      </c>
      <c r="B85" s="63">
        <v>2.1104999999999999E-2</v>
      </c>
      <c r="C85" s="63">
        <v>2.8612000000000002E-2</v>
      </c>
      <c r="D85" s="63">
        <v>2.9331999999999997E-2</v>
      </c>
      <c r="E85" s="63">
        <v>3.0232999999999999E-2</v>
      </c>
      <c r="F85" s="63">
        <v>3.1490999999999998E-2</v>
      </c>
      <c r="G85" s="63">
        <v>3.1987999999999996E-2</v>
      </c>
      <c r="H85" s="63">
        <v>3.3959000000000003E-2</v>
      </c>
      <c r="I85" s="63">
        <v>3.4826999999999997E-2</v>
      </c>
      <c r="J85" s="63">
        <v>3.5539999999999995E-2</v>
      </c>
      <c r="K85" s="63">
        <v>3.5947E-2</v>
      </c>
      <c r="L85" s="63">
        <v>3.6237999999999999E-2</v>
      </c>
      <c r="M85" s="63">
        <v>3.6678000000000002E-2</v>
      </c>
      <c r="N85" s="63">
        <v>3.721E-2</v>
      </c>
      <c r="O85" s="63">
        <v>3.78E-2</v>
      </c>
      <c r="P85" s="63">
        <v>3.8414000000000004E-2</v>
      </c>
      <c r="Q85" s="63">
        <v>3.9012999999999999E-2</v>
      </c>
      <c r="R85" s="63">
        <v>3.9653999999999995E-2</v>
      </c>
      <c r="S85" s="63">
        <v>4.0389000000000001E-2</v>
      </c>
      <c r="T85" s="63">
        <v>4.1173000000000001E-2</v>
      </c>
      <c r="U85" s="63">
        <v>4.1956E-2</v>
      </c>
      <c r="V85" s="63">
        <v>4.2682999999999999E-2</v>
      </c>
      <c r="W85" s="63">
        <v>4.3277999999999997E-2</v>
      </c>
      <c r="X85" s="63">
        <v>4.3720000000000002E-2</v>
      </c>
      <c r="Y85" s="63">
        <v>4.4027999999999998E-2</v>
      </c>
      <c r="Z85" s="63">
        <v>4.4227999999999996E-2</v>
      </c>
      <c r="AA85" s="63">
        <v>4.4345999999999997E-2</v>
      </c>
      <c r="AB85" s="63">
        <v>4.4409999999999998E-2</v>
      </c>
      <c r="AC85" s="63">
        <v>4.4450999999999997E-2</v>
      </c>
      <c r="AD85" s="63">
        <v>4.4503000000000001E-2</v>
      </c>
      <c r="AE85" s="63">
        <v>4.4600000000000001E-2</v>
      </c>
      <c r="AF85" s="63">
        <v>4.4782000000000002E-2</v>
      </c>
    </row>
    <row r="86" spans="1:32" x14ac:dyDescent="0.15">
      <c r="A86" s="1">
        <v>41037</v>
      </c>
      <c r="B86" s="63">
        <v>1.6163E-2</v>
      </c>
      <c r="C86" s="63">
        <v>2.8572E-2</v>
      </c>
      <c r="D86" s="63">
        <v>2.9336999999999998E-2</v>
      </c>
      <c r="E86" s="63">
        <v>3.0243000000000003E-2</v>
      </c>
      <c r="F86" s="63">
        <v>3.1383000000000001E-2</v>
      </c>
      <c r="G86" s="63">
        <v>3.1946000000000002E-2</v>
      </c>
      <c r="H86" s="63">
        <v>3.4102E-2</v>
      </c>
      <c r="I86" s="63">
        <v>3.4811000000000002E-2</v>
      </c>
      <c r="J86" s="63">
        <v>3.5521999999999998E-2</v>
      </c>
      <c r="K86" s="63">
        <v>3.5934000000000001E-2</v>
      </c>
      <c r="L86" s="63">
        <v>3.6242000000000003E-2</v>
      </c>
      <c r="M86" s="63">
        <v>3.6688999999999999E-2</v>
      </c>
      <c r="N86" s="63">
        <v>3.7221000000000004E-2</v>
      </c>
      <c r="O86" s="63">
        <v>3.7808000000000001E-2</v>
      </c>
      <c r="P86" s="63">
        <v>3.8417E-2</v>
      </c>
      <c r="Q86" s="63">
        <v>3.9014E-2</v>
      </c>
      <c r="R86" s="63">
        <v>3.9653999999999995E-2</v>
      </c>
      <c r="S86" s="63">
        <v>4.0389000000000001E-2</v>
      </c>
      <c r="T86" s="63">
        <v>4.1173000000000001E-2</v>
      </c>
      <c r="U86" s="63">
        <v>4.1956E-2</v>
      </c>
      <c r="V86" s="63">
        <v>4.2682999999999999E-2</v>
      </c>
      <c r="W86" s="63">
        <v>4.3278999999999998E-2</v>
      </c>
      <c r="X86" s="63">
        <v>4.3720000000000002E-2</v>
      </c>
      <c r="Y86" s="63">
        <v>4.4028999999999999E-2</v>
      </c>
      <c r="Z86" s="63">
        <v>4.4229000000000004E-2</v>
      </c>
      <c r="AA86" s="63">
        <v>4.4347000000000004E-2</v>
      </c>
      <c r="AB86" s="63">
        <v>4.4409999999999998E-2</v>
      </c>
      <c r="AC86" s="63">
        <v>4.4451999999999998E-2</v>
      </c>
      <c r="AD86" s="63">
        <v>4.4503000000000001E-2</v>
      </c>
      <c r="AE86" s="63">
        <v>4.4600999999999995E-2</v>
      </c>
      <c r="AF86" s="63">
        <v>4.4782000000000002E-2</v>
      </c>
    </row>
    <row r="87" spans="1:32" x14ac:dyDescent="0.15">
      <c r="A87" s="1">
        <v>41038</v>
      </c>
      <c r="B87" s="63">
        <v>1.5429999999999999E-2</v>
      </c>
      <c r="C87" s="63">
        <v>2.8399000000000001E-2</v>
      </c>
      <c r="D87" s="63">
        <v>2.9258000000000003E-2</v>
      </c>
      <c r="E87" s="63">
        <v>3.0034000000000002E-2</v>
      </c>
      <c r="F87" s="63">
        <v>3.1153E-2</v>
      </c>
      <c r="G87" s="63">
        <v>3.1953999999999996E-2</v>
      </c>
      <c r="H87" s="63">
        <v>3.4251000000000004E-2</v>
      </c>
      <c r="I87" s="63">
        <v>3.4699000000000001E-2</v>
      </c>
      <c r="J87" s="63">
        <v>3.5504000000000001E-2</v>
      </c>
      <c r="K87" s="63">
        <v>3.5889000000000004E-2</v>
      </c>
      <c r="L87" s="63">
        <v>3.6122999999999995E-2</v>
      </c>
      <c r="M87" s="63">
        <v>3.6547999999999997E-2</v>
      </c>
      <c r="N87" s="63">
        <v>3.7092E-2</v>
      </c>
      <c r="O87" s="63">
        <v>3.7708999999999999E-2</v>
      </c>
      <c r="P87" s="63">
        <v>3.8352999999999998E-2</v>
      </c>
      <c r="Q87" s="63">
        <v>3.8973000000000001E-2</v>
      </c>
      <c r="R87" s="63">
        <v>3.9613000000000002E-2</v>
      </c>
      <c r="S87" s="63">
        <v>4.0330000000000005E-2</v>
      </c>
      <c r="T87" s="63">
        <v>4.1097000000000002E-2</v>
      </c>
      <c r="U87" s="63">
        <v>4.1880000000000001E-2</v>
      </c>
      <c r="V87" s="63">
        <v>4.2643000000000007E-2</v>
      </c>
      <c r="W87" s="63">
        <v>4.3274999999999994E-2</v>
      </c>
      <c r="X87" s="63">
        <v>4.3714000000000003E-2</v>
      </c>
      <c r="Y87" s="63">
        <v>4.3993000000000004E-2</v>
      </c>
      <c r="Z87" s="63">
        <v>4.4151999999999997E-2</v>
      </c>
      <c r="AA87" s="63">
        <v>4.4233000000000001E-2</v>
      </c>
      <c r="AB87" s="63">
        <v>4.4282000000000002E-2</v>
      </c>
      <c r="AC87" s="63">
        <v>4.4347999999999999E-2</v>
      </c>
      <c r="AD87" s="63">
        <v>4.4485000000000004E-2</v>
      </c>
      <c r="AE87" s="63">
        <v>4.4728000000000004E-2</v>
      </c>
      <c r="AF87" s="63">
        <v>4.4947000000000001E-2</v>
      </c>
    </row>
    <row r="88" spans="1:32" x14ac:dyDescent="0.15">
      <c r="A88" s="1">
        <v>41039</v>
      </c>
      <c r="B88" s="63">
        <v>1.5146E-2</v>
      </c>
      <c r="C88" s="63">
        <v>2.7977999999999999E-2</v>
      </c>
      <c r="D88" s="63">
        <v>2.8782000000000002E-2</v>
      </c>
      <c r="E88" s="63">
        <v>2.9907E-2</v>
      </c>
      <c r="F88" s="63">
        <v>3.0718000000000002E-2</v>
      </c>
      <c r="G88" s="63">
        <v>3.1602999999999999E-2</v>
      </c>
      <c r="H88" s="63">
        <v>3.4190999999999999E-2</v>
      </c>
      <c r="I88" s="63">
        <v>3.4603999999999996E-2</v>
      </c>
      <c r="J88" s="63">
        <v>3.5421999999999995E-2</v>
      </c>
      <c r="K88" s="63">
        <v>3.5796000000000001E-2</v>
      </c>
      <c r="L88" s="63">
        <v>3.6001999999999999E-2</v>
      </c>
      <c r="M88" s="63">
        <v>3.6423000000000004E-2</v>
      </c>
      <c r="N88" s="63">
        <v>3.6977000000000003E-2</v>
      </c>
      <c r="O88" s="63">
        <v>3.7614000000000002E-2</v>
      </c>
      <c r="P88" s="63">
        <v>3.8280000000000002E-2</v>
      </c>
      <c r="Q88" s="63">
        <v>3.8917E-2</v>
      </c>
      <c r="R88" s="63">
        <v>3.9574999999999999E-2</v>
      </c>
      <c r="S88" s="63">
        <v>4.0320000000000002E-2</v>
      </c>
      <c r="T88" s="63">
        <v>4.1116E-2</v>
      </c>
      <c r="U88" s="63">
        <v>4.1921999999999994E-2</v>
      </c>
      <c r="V88" s="63">
        <v>4.2693000000000002E-2</v>
      </c>
      <c r="W88" s="63">
        <v>4.3324000000000001E-2</v>
      </c>
      <c r="X88" s="63">
        <v>4.3762999999999996E-2</v>
      </c>
      <c r="Y88" s="63">
        <v>4.4042000000000005E-2</v>
      </c>
      <c r="Z88" s="63">
        <v>4.4199999999999996E-2</v>
      </c>
      <c r="AA88" s="63">
        <v>4.428E-2</v>
      </c>
      <c r="AB88" s="63">
        <v>4.4325999999999997E-2</v>
      </c>
      <c r="AC88" s="63">
        <v>4.4387999999999997E-2</v>
      </c>
      <c r="AD88" s="63">
        <v>4.4517000000000001E-2</v>
      </c>
      <c r="AE88" s="63">
        <v>4.4748999999999997E-2</v>
      </c>
      <c r="AF88" s="63">
        <v>4.4958999999999999E-2</v>
      </c>
    </row>
    <row r="89" spans="1:32" x14ac:dyDescent="0.15">
      <c r="A89" s="1">
        <v>41040</v>
      </c>
      <c r="B89" s="63">
        <v>1.5128999999999998E-2</v>
      </c>
      <c r="C89" s="63">
        <v>2.7531E-2</v>
      </c>
      <c r="D89" s="63">
        <v>2.8312E-2</v>
      </c>
      <c r="E89" s="63">
        <v>2.9508999999999997E-2</v>
      </c>
      <c r="F89" s="63">
        <v>2.9950999999999998E-2</v>
      </c>
      <c r="G89" s="63">
        <v>3.1268999999999998E-2</v>
      </c>
      <c r="H89" s="63">
        <v>3.3562000000000002E-2</v>
      </c>
      <c r="I89" s="63">
        <v>3.4311000000000001E-2</v>
      </c>
      <c r="J89" s="63">
        <v>3.5110999999999996E-2</v>
      </c>
      <c r="K89" s="63">
        <v>3.5458999999999997E-2</v>
      </c>
      <c r="L89" s="63">
        <v>3.5617000000000003E-2</v>
      </c>
      <c r="M89" s="63">
        <v>3.6033000000000003E-2</v>
      </c>
      <c r="N89" s="63">
        <v>3.6618999999999999E-2</v>
      </c>
      <c r="O89" s="63">
        <v>3.7307E-2</v>
      </c>
      <c r="P89" s="63">
        <v>3.8029E-2</v>
      </c>
      <c r="Q89" s="63">
        <v>3.8711999999999996E-2</v>
      </c>
      <c r="R89" s="63">
        <v>3.9399999999999998E-2</v>
      </c>
      <c r="S89" s="63">
        <v>4.0166000000000007E-2</v>
      </c>
      <c r="T89" s="63">
        <v>4.0971E-2</v>
      </c>
      <c r="U89" s="63">
        <v>4.1775E-2</v>
      </c>
      <c r="V89" s="63">
        <v>4.2529999999999998E-2</v>
      </c>
      <c r="W89" s="63">
        <v>4.3156E-2</v>
      </c>
      <c r="X89" s="63">
        <v>4.3621E-2</v>
      </c>
      <c r="Y89" s="63">
        <v>4.3944999999999998E-2</v>
      </c>
      <c r="Z89" s="63">
        <v>4.4156000000000001E-2</v>
      </c>
      <c r="AA89" s="63">
        <v>4.4278999999999999E-2</v>
      </c>
      <c r="AB89" s="63">
        <v>4.4345999999999997E-2</v>
      </c>
      <c r="AC89" s="63">
        <v>4.4389999999999999E-2</v>
      </c>
      <c r="AD89" s="63">
        <v>4.4444999999999998E-2</v>
      </c>
      <c r="AE89" s="63">
        <v>4.4549000000000005E-2</v>
      </c>
      <c r="AF89" s="63">
        <v>4.4741999999999997E-2</v>
      </c>
    </row>
    <row r="90" spans="1:32" x14ac:dyDescent="0.15">
      <c r="A90" s="1">
        <v>41043</v>
      </c>
      <c r="B90" s="63">
        <v>1.1600999999999998E-2</v>
      </c>
      <c r="C90" s="63">
        <v>2.5488E-2</v>
      </c>
      <c r="D90" s="63">
        <v>2.7068999999999999E-2</v>
      </c>
      <c r="E90" s="63">
        <v>2.8292999999999999E-2</v>
      </c>
      <c r="F90" s="63">
        <v>2.8591999999999999E-2</v>
      </c>
      <c r="G90" s="63">
        <v>3.0640999999999998E-2</v>
      </c>
      <c r="H90" s="63">
        <v>3.2896999999999996E-2</v>
      </c>
      <c r="I90" s="63">
        <v>3.4218999999999999E-2</v>
      </c>
      <c r="J90" s="63">
        <v>3.4661999999999998E-2</v>
      </c>
      <c r="K90" s="63">
        <v>3.4979000000000003E-2</v>
      </c>
      <c r="L90" s="63">
        <v>3.5194000000000003E-2</v>
      </c>
      <c r="M90" s="63">
        <v>3.5632999999999998E-2</v>
      </c>
      <c r="N90" s="63">
        <v>3.6261999999999996E-2</v>
      </c>
      <c r="O90" s="63">
        <v>3.7007999999999999E-2</v>
      </c>
      <c r="P90" s="63">
        <v>3.7791999999999999E-2</v>
      </c>
      <c r="Q90" s="63">
        <v>3.8530000000000002E-2</v>
      </c>
      <c r="R90" s="63">
        <v>3.9247000000000004E-2</v>
      </c>
      <c r="S90" s="63">
        <v>4.0014000000000001E-2</v>
      </c>
      <c r="T90" s="63">
        <v>4.0801999999999998E-2</v>
      </c>
      <c r="U90" s="63">
        <v>4.1582999999999995E-2</v>
      </c>
      <c r="V90" s="63">
        <v>4.2325000000000002E-2</v>
      </c>
      <c r="W90" s="63">
        <v>4.2949000000000001E-2</v>
      </c>
      <c r="X90" s="63">
        <v>4.3410000000000004E-2</v>
      </c>
      <c r="Y90" s="63">
        <v>4.3733000000000001E-2</v>
      </c>
      <c r="Z90" s="63">
        <v>4.3941000000000001E-2</v>
      </c>
      <c r="AA90" s="63">
        <v>4.4062000000000004E-2</v>
      </c>
      <c r="AB90" s="63">
        <v>4.4127E-2</v>
      </c>
      <c r="AC90" s="63">
        <v>4.4169E-2</v>
      </c>
      <c r="AD90" s="63">
        <v>4.4222999999999998E-2</v>
      </c>
      <c r="AE90" s="63">
        <v>4.4325000000000003E-2</v>
      </c>
      <c r="AF90" s="63">
        <v>4.4517000000000001E-2</v>
      </c>
    </row>
    <row r="91" spans="1:32" x14ac:dyDescent="0.15">
      <c r="A91" s="1">
        <v>41044</v>
      </c>
      <c r="B91" s="63">
        <v>1.1105E-2</v>
      </c>
      <c r="C91" s="63">
        <v>2.4766E-2</v>
      </c>
      <c r="D91" s="63">
        <v>2.5873E-2</v>
      </c>
      <c r="E91" s="63">
        <v>2.6651999999999999E-2</v>
      </c>
      <c r="F91" s="63">
        <v>2.7694E-2</v>
      </c>
      <c r="G91" s="63">
        <v>2.8690000000000004E-2</v>
      </c>
      <c r="H91" s="63">
        <v>3.2277E-2</v>
      </c>
      <c r="I91" s="63">
        <v>3.3279999999999997E-2</v>
      </c>
      <c r="J91" s="63">
        <v>3.4373999999999995E-2</v>
      </c>
      <c r="K91" s="63">
        <v>3.4730999999999998E-2</v>
      </c>
      <c r="L91" s="63">
        <v>3.4844E-2</v>
      </c>
      <c r="M91" s="63">
        <v>3.5257999999999998E-2</v>
      </c>
      <c r="N91" s="63">
        <v>3.5916000000000003E-2</v>
      </c>
      <c r="O91" s="63">
        <v>3.6724E-2</v>
      </c>
      <c r="P91" s="63">
        <v>3.7579000000000001E-2</v>
      </c>
      <c r="Q91" s="63">
        <v>3.8370000000000001E-2</v>
      </c>
      <c r="R91" s="63">
        <v>3.9118E-2</v>
      </c>
      <c r="S91" s="63">
        <v>3.9902E-2</v>
      </c>
      <c r="T91" s="63">
        <v>4.0689999999999997E-2</v>
      </c>
      <c r="U91" s="63">
        <v>4.1447000000000005E-2</v>
      </c>
      <c r="V91" s="63">
        <v>4.2135999999999993E-2</v>
      </c>
      <c r="W91" s="63">
        <v>4.2698E-2</v>
      </c>
      <c r="X91" s="63">
        <v>4.3114E-2</v>
      </c>
      <c r="Y91" s="63">
        <v>4.3403999999999998E-2</v>
      </c>
      <c r="Z91" s="63">
        <v>4.3589999999999997E-2</v>
      </c>
      <c r="AA91" s="63">
        <v>4.3695999999999999E-2</v>
      </c>
      <c r="AB91" s="63">
        <v>4.3749000000000003E-2</v>
      </c>
      <c r="AC91" s="63">
        <v>4.3777999999999997E-2</v>
      </c>
      <c r="AD91" s="63">
        <v>4.3813000000000005E-2</v>
      </c>
      <c r="AE91" s="63">
        <v>4.3886000000000001E-2</v>
      </c>
      <c r="AF91" s="63">
        <v>4.4032999999999996E-2</v>
      </c>
    </row>
    <row r="92" spans="1:32" x14ac:dyDescent="0.15">
      <c r="A92" s="1">
        <v>41045</v>
      </c>
      <c r="B92" s="63">
        <v>1.0653999999999999E-2</v>
      </c>
      <c r="C92" s="63">
        <v>2.4041999999999997E-2</v>
      </c>
      <c r="D92" s="63">
        <v>2.5253000000000001E-2</v>
      </c>
      <c r="E92" s="63">
        <v>2.6046E-2</v>
      </c>
      <c r="F92" s="63">
        <v>2.7161000000000001E-2</v>
      </c>
      <c r="G92" s="63">
        <v>2.8393999999999999E-2</v>
      </c>
      <c r="H92" s="63">
        <v>3.1803999999999999E-2</v>
      </c>
      <c r="I92" s="63">
        <v>3.2736000000000001E-2</v>
      </c>
      <c r="J92" s="63">
        <v>3.4249000000000002E-2</v>
      </c>
      <c r="K92" s="63">
        <v>3.4394000000000001E-2</v>
      </c>
      <c r="L92" s="63">
        <v>3.4391999999999999E-2</v>
      </c>
      <c r="M92" s="63">
        <v>3.4730999999999998E-2</v>
      </c>
      <c r="N92" s="63">
        <v>3.5438999999999998E-2</v>
      </c>
      <c r="O92" s="63">
        <v>3.6367999999999998E-2</v>
      </c>
      <c r="P92" s="63">
        <v>3.7360999999999998E-2</v>
      </c>
      <c r="Q92" s="63">
        <v>3.8249999999999999E-2</v>
      </c>
      <c r="R92" s="63">
        <v>3.9031999999999997E-2</v>
      </c>
      <c r="S92" s="63">
        <v>3.9817999999999999E-2</v>
      </c>
      <c r="T92" s="63">
        <v>4.0587999999999999E-2</v>
      </c>
      <c r="U92" s="63">
        <v>4.1321000000000004E-2</v>
      </c>
      <c r="V92" s="63">
        <v>4.1997E-2</v>
      </c>
      <c r="W92" s="63">
        <v>4.2556000000000004E-2</v>
      </c>
      <c r="X92" s="63">
        <v>4.2969999999999994E-2</v>
      </c>
      <c r="Y92" s="63">
        <v>4.3257999999999998E-2</v>
      </c>
      <c r="Z92" s="63">
        <v>4.3442000000000001E-2</v>
      </c>
      <c r="AA92" s="63">
        <v>4.3545999999999994E-2</v>
      </c>
      <c r="AB92" s="63">
        <v>4.3597999999999998E-2</v>
      </c>
      <c r="AC92" s="63">
        <v>4.3624999999999997E-2</v>
      </c>
      <c r="AD92" s="63">
        <v>4.3658999999999996E-2</v>
      </c>
      <c r="AE92" s="63">
        <v>4.3730999999999999E-2</v>
      </c>
      <c r="AF92" s="63">
        <v>4.3876999999999999E-2</v>
      </c>
    </row>
    <row r="93" spans="1:32" x14ac:dyDescent="0.15">
      <c r="A93" s="1">
        <v>41046</v>
      </c>
      <c r="B93" s="63">
        <v>1.0494000000000002E-2</v>
      </c>
      <c r="C93" s="63">
        <v>2.4266999999999997E-2</v>
      </c>
      <c r="D93" s="63">
        <v>2.5708999999999999E-2</v>
      </c>
      <c r="E93" s="63">
        <v>2.7080000000000003E-2</v>
      </c>
      <c r="F93" s="63">
        <v>2.7696000000000002E-2</v>
      </c>
      <c r="G93" s="63">
        <v>2.9266E-2</v>
      </c>
      <c r="H93" s="63">
        <v>3.2709000000000002E-2</v>
      </c>
      <c r="I93" s="63">
        <v>3.3016999999999998E-2</v>
      </c>
      <c r="J93" s="63">
        <v>3.4548999999999996E-2</v>
      </c>
      <c r="K93" s="63">
        <v>3.4862000000000004E-2</v>
      </c>
      <c r="L93" s="63">
        <v>3.4897999999999998E-2</v>
      </c>
      <c r="M93" s="63">
        <v>3.524E-2</v>
      </c>
      <c r="N93" s="63">
        <v>3.5892E-2</v>
      </c>
      <c r="O93" s="63">
        <v>3.6731E-2</v>
      </c>
      <c r="P93" s="63">
        <v>3.7626E-2</v>
      </c>
      <c r="Q93" s="63">
        <v>3.8433000000000002E-2</v>
      </c>
      <c r="R93" s="63">
        <v>3.9176999999999997E-2</v>
      </c>
      <c r="S93" s="63">
        <v>3.9960000000000002E-2</v>
      </c>
      <c r="T93" s="63">
        <v>4.0751000000000002E-2</v>
      </c>
      <c r="U93" s="63">
        <v>4.1512E-2</v>
      </c>
      <c r="V93" s="63">
        <v>4.2202000000000003E-2</v>
      </c>
      <c r="W93" s="63">
        <v>4.2765000000000004E-2</v>
      </c>
      <c r="X93" s="63">
        <v>4.3181000000000004E-2</v>
      </c>
      <c r="Y93" s="63">
        <v>4.3471000000000003E-2</v>
      </c>
      <c r="Z93" s="63">
        <v>4.3657000000000001E-2</v>
      </c>
      <c r="AA93" s="63">
        <v>4.3762999999999996E-2</v>
      </c>
      <c r="AB93" s="63">
        <v>4.3817000000000002E-2</v>
      </c>
      <c r="AC93" s="63">
        <v>4.3845000000000002E-2</v>
      </c>
      <c r="AD93" s="63">
        <v>4.3880000000000002E-2</v>
      </c>
      <c r="AE93" s="63">
        <v>4.3954000000000007E-2</v>
      </c>
      <c r="AF93" s="63">
        <v>4.4101000000000001E-2</v>
      </c>
    </row>
    <row r="94" spans="1:32" x14ac:dyDescent="0.15">
      <c r="A94" s="1">
        <v>41047</v>
      </c>
      <c r="B94" s="63">
        <v>1.0653999999999999E-2</v>
      </c>
      <c r="C94" s="63">
        <v>2.4195999999999999E-2</v>
      </c>
      <c r="D94" s="63">
        <v>2.5476000000000002E-2</v>
      </c>
      <c r="E94" s="63">
        <v>2.6587999999999997E-2</v>
      </c>
      <c r="F94" s="63">
        <v>2.7315999999999997E-2</v>
      </c>
      <c r="G94" s="63">
        <v>2.8513E-2</v>
      </c>
      <c r="H94" s="63">
        <v>3.2365999999999999E-2</v>
      </c>
      <c r="I94" s="63">
        <v>3.2722000000000001E-2</v>
      </c>
      <c r="J94" s="63">
        <v>3.4373000000000001E-2</v>
      </c>
      <c r="K94" s="63">
        <v>3.4383999999999998E-2</v>
      </c>
      <c r="L94" s="63">
        <v>3.4358E-2</v>
      </c>
      <c r="M94" s="63">
        <v>3.4689999999999999E-2</v>
      </c>
      <c r="N94" s="63">
        <v>3.5410999999999998E-2</v>
      </c>
      <c r="O94" s="63">
        <v>3.6365000000000001E-2</v>
      </c>
      <c r="P94" s="63">
        <v>3.7386000000000003E-2</v>
      </c>
      <c r="Q94" s="63">
        <v>3.8294999999999996E-2</v>
      </c>
      <c r="R94" s="63">
        <v>3.9078000000000002E-2</v>
      </c>
      <c r="S94" s="63">
        <v>3.9847E-2</v>
      </c>
      <c r="T94" s="63">
        <v>4.0599999999999997E-2</v>
      </c>
      <c r="U94" s="63">
        <v>4.1334000000000003E-2</v>
      </c>
      <c r="V94" s="63">
        <v>4.2047999999999995E-2</v>
      </c>
      <c r="W94" s="63">
        <v>4.2655000000000005E-2</v>
      </c>
      <c r="X94" s="63">
        <v>4.3085999999999999E-2</v>
      </c>
      <c r="Y94" s="63">
        <v>4.3369999999999999E-2</v>
      </c>
      <c r="Z94" s="63">
        <v>4.3536999999999999E-2</v>
      </c>
      <c r="AA94" s="63">
        <v>4.3623000000000002E-2</v>
      </c>
      <c r="AB94" s="63">
        <v>4.3665000000000002E-2</v>
      </c>
      <c r="AC94" s="63">
        <v>4.3704E-2</v>
      </c>
      <c r="AD94" s="63">
        <v>4.3781999999999995E-2</v>
      </c>
      <c r="AE94" s="63">
        <v>4.3944999999999998E-2</v>
      </c>
      <c r="AF94" s="63">
        <v>4.4160999999999999E-2</v>
      </c>
    </row>
    <row r="95" spans="1:32" x14ac:dyDescent="0.15">
      <c r="A95" s="1">
        <v>41050</v>
      </c>
      <c r="B95" s="63">
        <v>1.0522E-2</v>
      </c>
      <c r="C95" s="63">
        <v>2.4317000000000002E-2</v>
      </c>
      <c r="D95" s="63">
        <v>2.5716000000000003E-2</v>
      </c>
      <c r="E95" s="63">
        <v>2.6897000000000001E-2</v>
      </c>
      <c r="F95" s="63">
        <v>2.7469999999999998E-2</v>
      </c>
      <c r="G95" s="63">
        <v>2.8691000000000001E-2</v>
      </c>
      <c r="H95" s="63">
        <v>3.2566999999999999E-2</v>
      </c>
      <c r="I95" s="63">
        <v>3.2715000000000001E-2</v>
      </c>
      <c r="J95" s="63">
        <v>3.4549999999999997E-2</v>
      </c>
      <c r="K95" s="63">
        <v>3.4647000000000004E-2</v>
      </c>
      <c r="L95" s="63">
        <v>3.4632999999999997E-2</v>
      </c>
      <c r="M95" s="63">
        <v>3.4958000000000003E-2</v>
      </c>
      <c r="N95" s="63">
        <v>3.5647000000000005E-2</v>
      </c>
      <c r="O95" s="63">
        <v>3.6554000000000003E-2</v>
      </c>
      <c r="P95" s="63">
        <v>3.7523000000000001E-2</v>
      </c>
      <c r="Q95" s="63">
        <v>3.8387999999999999E-2</v>
      </c>
      <c r="R95" s="63">
        <v>3.9148999999999996E-2</v>
      </c>
      <c r="S95" s="63">
        <v>3.9919999999999997E-2</v>
      </c>
      <c r="T95" s="63">
        <v>4.0687000000000001E-2</v>
      </c>
      <c r="U95" s="63">
        <v>4.1436000000000001E-2</v>
      </c>
      <c r="V95" s="63">
        <v>4.215E-2</v>
      </c>
      <c r="W95" s="63">
        <v>4.2755999999999995E-2</v>
      </c>
      <c r="X95" s="63">
        <v>4.3203999999999999E-2</v>
      </c>
      <c r="Y95" s="63">
        <v>4.3516000000000006E-2</v>
      </c>
      <c r="Z95" s="63">
        <v>4.3715999999999998E-2</v>
      </c>
      <c r="AA95" s="63">
        <v>4.3830999999999995E-2</v>
      </c>
      <c r="AB95" s="63">
        <v>4.3890999999999999E-2</v>
      </c>
      <c r="AC95" s="63">
        <v>4.3926999999999994E-2</v>
      </c>
      <c r="AD95" s="63">
        <v>4.3973999999999999E-2</v>
      </c>
      <c r="AE95" s="63">
        <v>4.4066999999999995E-2</v>
      </c>
      <c r="AF95" s="63">
        <v>4.4246000000000001E-2</v>
      </c>
    </row>
    <row r="96" spans="1:32" x14ac:dyDescent="0.15">
      <c r="A96" s="1">
        <v>41051</v>
      </c>
      <c r="B96" s="63">
        <v>1.0588E-2</v>
      </c>
      <c r="C96" s="63">
        <v>2.3816999999999998E-2</v>
      </c>
      <c r="D96" s="63">
        <v>2.5798999999999999E-2</v>
      </c>
      <c r="E96" s="63">
        <v>2.6596999999999999E-2</v>
      </c>
      <c r="F96" s="63">
        <v>2.7614999999999997E-2</v>
      </c>
      <c r="G96" s="63">
        <v>2.8774999999999998E-2</v>
      </c>
      <c r="H96" s="63">
        <v>3.2675999999999997E-2</v>
      </c>
      <c r="I96" s="63">
        <v>3.2904000000000003E-2</v>
      </c>
      <c r="J96" s="63">
        <v>3.4481999999999999E-2</v>
      </c>
      <c r="K96" s="63">
        <v>3.4712E-2</v>
      </c>
      <c r="L96" s="63">
        <v>3.4724999999999999E-2</v>
      </c>
      <c r="M96" s="63">
        <v>3.5064000000000005E-2</v>
      </c>
      <c r="N96" s="63">
        <v>3.5741000000000002E-2</v>
      </c>
      <c r="O96" s="63">
        <v>3.6622000000000002E-2</v>
      </c>
      <c r="P96" s="63">
        <v>3.7560999999999997E-2</v>
      </c>
      <c r="Q96" s="63">
        <v>3.8404000000000001E-2</v>
      </c>
      <c r="R96" s="63">
        <v>3.9155999999999996E-2</v>
      </c>
      <c r="S96" s="63">
        <v>3.9925999999999996E-2</v>
      </c>
      <c r="T96" s="63">
        <v>4.0697999999999998E-2</v>
      </c>
      <c r="U96" s="63">
        <v>4.1452000000000003E-2</v>
      </c>
      <c r="V96" s="63">
        <v>4.2168999999999998E-2</v>
      </c>
      <c r="W96" s="63">
        <v>4.2775000000000001E-2</v>
      </c>
      <c r="X96" s="63">
        <v>4.3223999999999999E-2</v>
      </c>
      <c r="Y96" s="63">
        <v>4.3535999999999998E-2</v>
      </c>
      <c r="Z96" s="63">
        <v>4.3735999999999997E-2</v>
      </c>
      <c r="AA96" s="63">
        <v>4.3851000000000001E-2</v>
      </c>
      <c r="AB96" s="63">
        <v>4.3910999999999999E-2</v>
      </c>
      <c r="AC96" s="63">
        <v>4.3948000000000001E-2</v>
      </c>
      <c r="AD96" s="63">
        <v>4.3994999999999999E-2</v>
      </c>
      <c r="AE96" s="63">
        <v>4.4089000000000003E-2</v>
      </c>
      <c r="AF96" s="63">
        <v>4.4268000000000002E-2</v>
      </c>
    </row>
    <row r="97" spans="1:32" x14ac:dyDescent="0.15">
      <c r="A97" s="1">
        <v>41052</v>
      </c>
      <c r="B97" s="63">
        <v>1.0829999999999999E-2</v>
      </c>
      <c r="C97" s="63">
        <v>2.3517E-2</v>
      </c>
      <c r="D97" s="63">
        <v>2.5800999999999998E-2</v>
      </c>
      <c r="E97" s="63">
        <v>2.6631999999999999E-2</v>
      </c>
      <c r="F97" s="63">
        <v>2.7726000000000001E-2</v>
      </c>
      <c r="G97" s="63">
        <v>2.8732999999999998E-2</v>
      </c>
      <c r="H97" s="63">
        <v>3.2648999999999997E-2</v>
      </c>
      <c r="I97" s="63">
        <v>3.2799000000000002E-2</v>
      </c>
      <c r="J97" s="63">
        <v>3.4366000000000001E-2</v>
      </c>
      <c r="K97" s="63">
        <v>3.4569000000000003E-2</v>
      </c>
      <c r="L97" s="63">
        <v>3.4588000000000001E-2</v>
      </c>
      <c r="M97" s="63">
        <v>3.4937999999999997E-2</v>
      </c>
      <c r="N97" s="63">
        <v>3.5630999999999996E-2</v>
      </c>
      <c r="O97" s="63">
        <v>3.6527999999999998E-2</v>
      </c>
      <c r="P97" s="63">
        <v>3.7484999999999997E-2</v>
      </c>
      <c r="Q97" s="63">
        <v>3.8344999999999997E-2</v>
      </c>
      <c r="R97" s="63">
        <v>3.9108000000000004E-2</v>
      </c>
      <c r="S97" s="63">
        <v>3.9877999999999997E-2</v>
      </c>
      <c r="T97" s="63">
        <v>4.0645000000000001E-2</v>
      </c>
      <c r="U97" s="63">
        <v>4.1391999999999998E-2</v>
      </c>
      <c r="V97" s="63">
        <v>4.2106000000000005E-2</v>
      </c>
      <c r="W97" s="63">
        <v>4.2712E-2</v>
      </c>
      <c r="X97" s="63">
        <v>4.3159999999999997E-2</v>
      </c>
      <c r="Y97" s="63">
        <v>4.3471000000000003E-2</v>
      </c>
      <c r="Z97" s="63">
        <v>4.3670999999999995E-2</v>
      </c>
      <c r="AA97" s="63">
        <v>4.3787E-2</v>
      </c>
      <c r="AB97" s="63">
        <v>4.3846999999999997E-2</v>
      </c>
      <c r="AC97" s="63">
        <v>4.3882999999999998E-2</v>
      </c>
      <c r="AD97" s="63">
        <v>4.3929999999999997E-2</v>
      </c>
      <c r="AE97" s="63">
        <v>4.4024000000000001E-2</v>
      </c>
      <c r="AF97" s="63">
        <v>4.4202000000000005E-2</v>
      </c>
    </row>
    <row r="98" spans="1:32" x14ac:dyDescent="0.15">
      <c r="A98" s="1">
        <v>41053</v>
      </c>
      <c r="B98" s="63">
        <v>1.1212999999999999E-2</v>
      </c>
      <c r="C98" s="63">
        <v>2.2610000000000002E-2</v>
      </c>
      <c r="D98" s="63">
        <v>2.4931000000000002E-2</v>
      </c>
      <c r="E98" s="63">
        <v>2.511E-2</v>
      </c>
      <c r="F98" s="63">
        <v>2.6997E-2</v>
      </c>
      <c r="G98" s="63">
        <v>2.7651999999999999E-2</v>
      </c>
      <c r="H98" s="63">
        <v>3.2046999999999999E-2</v>
      </c>
      <c r="I98" s="63">
        <v>3.2403000000000001E-2</v>
      </c>
      <c r="J98" s="63">
        <v>3.4328999999999998E-2</v>
      </c>
      <c r="K98" s="63">
        <v>3.4445999999999997E-2</v>
      </c>
      <c r="L98" s="63">
        <v>3.4432999999999998E-2</v>
      </c>
      <c r="M98" s="63">
        <v>3.4771999999999997E-2</v>
      </c>
      <c r="N98" s="63">
        <v>3.5484000000000002E-2</v>
      </c>
      <c r="O98" s="63">
        <v>3.6420000000000001E-2</v>
      </c>
      <c r="P98" s="63">
        <v>3.7421000000000003E-2</v>
      </c>
      <c r="Q98" s="63">
        <v>3.8314000000000001E-2</v>
      </c>
      <c r="R98" s="63">
        <v>3.909E-2</v>
      </c>
      <c r="S98" s="63">
        <v>3.986E-2</v>
      </c>
      <c r="T98" s="63">
        <v>4.0617E-2</v>
      </c>
      <c r="U98" s="63">
        <v>4.1353000000000001E-2</v>
      </c>
      <c r="V98" s="63">
        <v>4.2060000000000007E-2</v>
      </c>
      <c r="W98" s="63">
        <v>4.2663E-2</v>
      </c>
      <c r="X98" s="63">
        <v>4.3109000000000001E-2</v>
      </c>
      <c r="Y98" s="63">
        <v>4.3418999999999999E-2</v>
      </c>
      <c r="Z98" s="63">
        <v>4.3616999999999996E-2</v>
      </c>
      <c r="AA98" s="63">
        <v>4.3730000000000005E-2</v>
      </c>
      <c r="AB98" s="63">
        <v>4.3788000000000001E-2</v>
      </c>
      <c r="AC98" s="63">
        <v>4.3823000000000001E-2</v>
      </c>
      <c r="AD98" s="63">
        <v>4.3868999999999998E-2</v>
      </c>
      <c r="AE98" s="63">
        <v>4.3959999999999999E-2</v>
      </c>
      <c r="AF98" s="63">
        <v>4.4138000000000004E-2</v>
      </c>
    </row>
    <row r="99" spans="1:32" x14ac:dyDescent="0.15">
      <c r="A99" s="1">
        <v>41054</v>
      </c>
      <c r="B99" s="63">
        <v>1.1396E-2</v>
      </c>
      <c r="C99" s="63">
        <v>2.2347000000000002E-2</v>
      </c>
      <c r="D99" s="63">
        <v>2.4357000000000004E-2</v>
      </c>
      <c r="E99" s="63">
        <v>2.4722000000000001E-2</v>
      </c>
      <c r="F99" s="63">
        <v>2.6164E-2</v>
      </c>
      <c r="G99" s="63">
        <v>2.6726E-2</v>
      </c>
      <c r="H99" s="63">
        <v>3.1005999999999999E-2</v>
      </c>
      <c r="I99" s="63">
        <v>3.1879999999999999E-2</v>
      </c>
      <c r="J99" s="63">
        <v>3.3799000000000003E-2</v>
      </c>
      <c r="K99" s="63">
        <v>3.3841999999999997E-2</v>
      </c>
      <c r="L99" s="63">
        <v>3.3819000000000002E-2</v>
      </c>
      <c r="M99" s="63">
        <v>3.4188000000000003E-2</v>
      </c>
      <c r="N99" s="63">
        <v>3.4971999999999996E-2</v>
      </c>
      <c r="O99" s="63">
        <v>3.6004999999999995E-2</v>
      </c>
      <c r="P99" s="63">
        <v>3.7109999999999997E-2</v>
      </c>
      <c r="Q99" s="63">
        <v>3.8095999999999998E-2</v>
      </c>
      <c r="R99" s="63">
        <v>3.8921999999999998E-2</v>
      </c>
      <c r="S99" s="63">
        <v>3.9694E-2</v>
      </c>
      <c r="T99" s="63">
        <v>4.0425000000000003E-2</v>
      </c>
      <c r="U99" s="63">
        <v>4.1127999999999998E-2</v>
      </c>
      <c r="V99" s="63">
        <v>4.1814999999999998E-2</v>
      </c>
      <c r="W99" s="63">
        <v>4.2416000000000002E-2</v>
      </c>
      <c r="X99" s="63">
        <v>4.2858E-2</v>
      </c>
      <c r="Y99" s="63">
        <v>4.3164999999999995E-2</v>
      </c>
      <c r="Z99" s="63">
        <v>4.3361000000000004E-2</v>
      </c>
      <c r="AA99" s="63">
        <v>4.3472999999999998E-2</v>
      </c>
      <c r="AB99" s="63">
        <v>4.3528999999999998E-2</v>
      </c>
      <c r="AC99" s="63">
        <v>4.3562000000000003E-2</v>
      </c>
      <c r="AD99" s="63">
        <v>4.3605999999999999E-2</v>
      </c>
      <c r="AE99" s="63">
        <v>4.3695999999999999E-2</v>
      </c>
      <c r="AF99" s="63">
        <v>4.3872000000000001E-2</v>
      </c>
    </row>
    <row r="100" spans="1:32" x14ac:dyDescent="0.15">
      <c r="A100" s="1">
        <v>41057</v>
      </c>
      <c r="B100" s="63">
        <v>1.1497E-2</v>
      </c>
      <c r="C100" s="63">
        <v>2.2499999999999999E-2</v>
      </c>
      <c r="D100" s="63">
        <v>2.4304000000000003E-2</v>
      </c>
      <c r="E100" s="63">
        <v>2.4676999999999998E-2</v>
      </c>
      <c r="F100" s="63">
        <v>2.6661000000000001E-2</v>
      </c>
      <c r="G100" s="63">
        <v>2.717E-2</v>
      </c>
      <c r="H100" s="63">
        <v>3.1333E-2</v>
      </c>
      <c r="I100" s="63">
        <v>3.2412999999999997E-2</v>
      </c>
      <c r="J100" s="63">
        <v>3.4224999999999998E-2</v>
      </c>
      <c r="K100" s="63">
        <v>3.4266999999999999E-2</v>
      </c>
      <c r="L100" s="63">
        <v>3.424E-2</v>
      </c>
      <c r="M100" s="63">
        <v>3.4587E-2</v>
      </c>
      <c r="N100" s="63">
        <v>3.5324000000000001E-2</v>
      </c>
      <c r="O100" s="63">
        <v>3.6294E-2</v>
      </c>
      <c r="P100" s="63">
        <v>3.7330999999999996E-2</v>
      </c>
      <c r="Q100" s="63">
        <v>3.8254999999999997E-2</v>
      </c>
      <c r="R100" s="63">
        <v>3.9046999999999998E-2</v>
      </c>
      <c r="S100" s="63">
        <v>3.9817999999999999E-2</v>
      </c>
      <c r="T100" s="63">
        <v>4.0566000000000005E-2</v>
      </c>
      <c r="U100" s="63">
        <v>4.1291000000000001E-2</v>
      </c>
      <c r="V100" s="63">
        <v>4.1990999999999994E-2</v>
      </c>
      <c r="W100" s="63">
        <v>4.2592999999999999E-2</v>
      </c>
      <c r="X100" s="63">
        <v>4.3038E-2</v>
      </c>
      <c r="Y100" s="63">
        <v>4.3346000000000003E-2</v>
      </c>
      <c r="Z100" s="63">
        <v>4.3543000000000005E-2</v>
      </c>
      <c r="AA100" s="63">
        <v>4.3656E-2</v>
      </c>
      <c r="AB100" s="63">
        <v>4.3712999999999995E-2</v>
      </c>
      <c r="AC100" s="63">
        <v>4.3747000000000001E-2</v>
      </c>
      <c r="AD100" s="63">
        <v>4.3791999999999998E-2</v>
      </c>
      <c r="AE100" s="63">
        <v>4.3882999999999998E-2</v>
      </c>
      <c r="AF100" s="63">
        <v>4.4059999999999995E-2</v>
      </c>
    </row>
    <row r="101" spans="1:32" x14ac:dyDescent="0.15">
      <c r="A101" s="1">
        <v>41058</v>
      </c>
      <c r="B101" s="63">
        <v>1.1422000000000002E-2</v>
      </c>
      <c r="C101" s="63">
        <v>2.2499999999999999E-2</v>
      </c>
      <c r="D101" s="63">
        <v>2.4426E-2</v>
      </c>
      <c r="E101" s="63">
        <v>2.4670999999999998E-2</v>
      </c>
      <c r="F101" s="63">
        <v>2.7049E-2</v>
      </c>
      <c r="G101" s="63">
        <v>2.7651999999999999E-2</v>
      </c>
      <c r="H101" s="63">
        <v>3.1615000000000004E-2</v>
      </c>
      <c r="I101" s="63">
        <v>3.2548000000000001E-2</v>
      </c>
      <c r="J101" s="63">
        <v>3.4520000000000002E-2</v>
      </c>
      <c r="K101" s="63">
        <v>3.4583000000000003E-2</v>
      </c>
      <c r="L101" s="63">
        <v>3.4558999999999999E-2</v>
      </c>
      <c r="M101" s="63">
        <v>3.4889000000000003E-2</v>
      </c>
      <c r="N101" s="63">
        <v>3.5590999999999998E-2</v>
      </c>
      <c r="O101" s="63">
        <v>3.6514000000000005E-2</v>
      </c>
      <c r="P101" s="63">
        <v>3.7501E-2</v>
      </c>
      <c r="Q101" s="63">
        <v>3.8380999999999998E-2</v>
      </c>
      <c r="R101" s="63">
        <v>3.9148000000000002E-2</v>
      </c>
      <c r="S101" s="63">
        <v>3.9917000000000001E-2</v>
      </c>
      <c r="T101" s="63">
        <v>4.0677999999999999E-2</v>
      </c>
      <c r="U101" s="63">
        <v>4.1418999999999997E-2</v>
      </c>
      <c r="V101" s="63">
        <v>4.2129E-2</v>
      </c>
      <c r="W101" s="63">
        <v>4.2731999999999999E-2</v>
      </c>
      <c r="X101" s="63">
        <v>4.3178000000000001E-2</v>
      </c>
      <c r="Y101" s="63">
        <v>4.3487999999999999E-2</v>
      </c>
      <c r="Z101" s="63">
        <v>4.3685999999999996E-2</v>
      </c>
      <c r="AA101" s="63">
        <v>4.3799000000000005E-2</v>
      </c>
      <c r="AB101" s="63">
        <v>4.3857E-2</v>
      </c>
      <c r="AC101" s="63">
        <v>4.3892E-2</v>
      </c>
      <c r="AD101" s="63">
        <v>4.3936999999999997E-2</v>
      </c>
      <c r="AE101" s="63">
        <v>4.4027999999999998E-2</v>
      </c>
      <c r="AF101" s="63">
        <v>4.4206000000000002E-2</v>
      </c>
    </row>
    <row r="102" spans="1:32" x14ac:dyDescent="0.15">
      <c r="A102" s="1">
        <v>41059</v>
      </c>
      <c r="B102" s="63">
        <v>1.1437999999999999E-2</v>
      </c>
      <c r="C102" s="63">
        <v>2.2534000000000002E-2</v>
      </c>
      <c r="D102" s="63">
        <v>2.4521000000000001E-2</v>
      </c>
      <c r="E102" s="63">
        <v>2.5285000000000002E-2</v>
      </c>
      <c r="F102" s="63">
        <v>2.7434E-2</v>
      </c>
      <c r="G102" s="63">
        <v>2.8130000000000002E-2</v>
      </c>
      <c r="H102" s="63">
        <v>3.1829999999999997E-2</v>
      </c>
      <c r="I102" s="63">
        <v>3.2714E-2</v>
      </c>
      <c r="J102" s="63">
        <v>3.4608E-2</v>
      </c>
      <c r="K102" s="63">
        <v>3.4613999999999999E-2</v>
      </c>
      <c r="L102" s="63">
        <v>3.4581000000000001E-2</v>
      </c>
      <c r="M102" s="63">
        <v>3.4908999999999996E-2</v>
      </c>
      <c r="N102" s="63">
        <v>3.5612999999999999E-2</v>
      </c>
      <c r="O102" s="63">
        <v>3.6539999999999996E-2</v>
      </c>
      <c r="P102" s="63">
        <v>3.7531000000000002E-2</v>
      </c>
      <c r="Q102" s="63">
        <v>3.8413000000000003E-2</v>
      </c>
      <c r="R102" s="63">
        <v>3.9191999999999998E-2</v>
      </c>
      <c r="S102" s="63">
        <v>3.9985E-2</v>
      </c>
      <c r="T102" s="63">
        <v>4.0763999999999995E-2</v>
      </c>
      <c r="U102" s="63">
        <v>4.1500000000000002E-2</v>
      </c>
      <c r="V102" s="63">
        <v>4.2160000000000003E-2</v>
      </c>
      <c r="W102" s="63">
        <v>4.2694000000000003E-2</v>
      </c>
      <c r="X102" s="63">
        <v>4.3089000000000002E-2</v>
      </c>
      <c r="Y102" s="63">
        <v>4.3364E-2</v>
      </c>
      <c r="Z102" s="63">
        <v>4.3539000000000001E-2</v>
      </c>
      <c r="AA102" s="63">
        <v>4.3638000000000003E-2</v>
      </c>
      <c r="AB102" s="63">
        <v>4.3684000000000001E-2</v>
      </c>
      <c r="AC102" s="63">
        <v>4.3707000000000003E-2</v>
      </c>
      <c r="AD102" s="63">
        <v>4.3733000000000001E-2</v>
      </c>
      <c r="AE102" s="63">
        <v>4.3794000000000007E-2</v>
      </c>
      <c r="AF102" s="63">
        <v>4.3921999999999996E-2</v>
      </c>
    </row>
    <row r="103" spans="1:32" x14ac:dyDescent="0.15">
      <c r="A103" s="1">
        <v>41060</v>
      </c>
      <c r="B103" s="63">
        <v>1.1168000000000001E-2</v>
      </c>
      <c r="C103" s="63">
        <v>2.2307E-2</v>
      </c>
      <c r="D103" s="63">
        <v>2.4304000000000003E-2</v>
      </c>
      <c r="E103" s="63">
        <v>2.4629999999999999E-2</v>
      </c>
      <c r="F103" s="63">
        <v>2.7265999999999999E-2</v>
      </c>
      <c r="G103" s="63">
        <v>2.8325999999999997E-2</v>
      </c>
      <c r="H103" s="63">
        <v>3.1690000000000003E-2</v>
      </c>
      <c r="I103" s="63">
        <v>3.2183999999999997E-2</v>
      </c>
      <c r="J103" s="63">
        <v>3.4270000000000002E-2</v>
      </c>
      <c r="K103" s="63">
        <v>3.4264999999999997E-2</v>
      </c>
      <c r="L103" s="63">
        <v>3.4236000000000003E-2</v>
      </c>
      <c r="M103" s="63">
        <v>3.4588000000000001E-2</v>
      </c>
      <c r="N103" s="63">
        <v>3.5335999999999999E-2</v>
      </c>
      <c r="O103" s="63">
        <v>3.6319999999999998E-2</v>
      </c>
      <c r="P103" s="63">
        <v>3.7372000000000002E-2</v>
      </c>
      <c r="Q103" s="63">
        <v>3.8308000000000002E-2</v>
      </c>
      <c r="R103" s="63">
        <v>3.9106999999999996E-2</v>
      </c>
      <c r="S103" s="63">
        <v>3.9882000000000001E-2</v>
      </c>
      <c r="T103" s="63">
        <v>4.0631E-2</v>
      </c>
      <c r="U103" s="63">
        <v>4.1352E-2</v>
      </c>
      <c r="V103" s="63">
        <v>4.2046E-2</v>
      </c>
      <c r="W103" s="63">
        <v>4.2632000000000003E-2</v>
      </c>
      <c r="X103" s="63">
        <v>4.3047000000000002E-2</v>
      </c>
      <c r="Y103" s="63">
        <v>4.3319000000000003E-2</v>
      </c>
      <c r="Z103" s="63">
        <v>4.3476999999999995E-2</v>
      </c>
      <c r="AA103" s="63">
        <v>4.3556999999999998E-2</v>
      </c>
      <c r="AB103" s="63">
        <v>4.3594000000000001E-2</v>
      </c>
      <c r="AC103" s="63">
        <v>4.3625999999999998E-2</v>
      </c>
      <c r="AD103" s="63">
        <v>4.3697E-2</v>
      </c>
      <c r="AE103" s="63">
        <v>4.3848999999999999E-2</v>
      </c>
      <c r="AF103" s="63">
        <v>4.4047000000000003E-2</v>
      </c>
    </row>
    <row r="104" spans="1:32" x14ac:dyDescent="0.15">
      <c r="A104" s="1">
        <v>41061</v>
      </c>
      <c r="B104" s="63">
        <v>1.133E-2</v>
      </c>
      <c r="C104" s="63">
        <v>2.2042000000000003E-2</v>
      </c>
      <c r="D104" s="63">
        <v>2.3872000000000001E-2</v>
      </c>
      <c r="E104" s="63">
        <v>2.4351999999999999E-2</v>
      </c>
      <c r="F104" s="63">
        <v>2.6665000000000001E-2</v>
      </c>
      <c r="G104" s="63">
        <v>2.8610000000000003E-2</v>
      </c>
      <c r="H104" s="63">
        <v>3.1587000000000004E-2</v>
      </c>
      <c r="I104" s="63">
        <v>3.2170000000000004E-2</v>
      </c>
      <c r="J104" s="63">
        <v>3.4186000000000001E-2</v>
      </c>
      <c r="K104" s="63">
        <v>3.4245999999999999E-2</v>
      </c>
      <c r="L104" s="63">
        <v>3.4222000000000002E-2</v>
      </c>
      <c r="M104" s="63">
        <v>3.4578999999999999E-2</v>
      </c>
      <c r="N104" s="63">
        <v>3.533E-2</v>
      </c>
      <c r="O104" s="63">
        <v>3.6317000000000002E-2</v>
      </c>
      <c r="P104" s="63">
        <v>3.7371000000000001E-2</v>
      </c>
      <c r="Q104" s="63">
        <v>3.8309999999999997E-2</v>
      </c>
      <c r="R104" s="63">
        <v>3.9115999999999998E-2</v>
      </c>
      <c r="S104" s="63">
        <v>3.9900000000000005E-2</v>
      </c>
      <c r="T104" s="63">
        <v>4.0655000000000004E-2</v>
      </c>
      <c r="U104" s="63">
        <v>4.1371999999999999E-2</v>
      </c>
      <c r="V104" s="63">
        <v>4.2042999999999997E-2</v>
      </c>
      <c r="W104" s="63">
        <v>4.2606999999999999E-2</v>
      </c>
      <c r="X104" s="63">
        <v>4.3025000000000001E-2</v>
      </c>
      <c r="Y104" s="63">
        <v>4.3314000000000005E-2</v>
      </c>
      <c r="Z104" s="63">
        <v>4.3498000000000002E-2</v>
      </c>
      <c r="AA104" s="63">
        <v>4.3602999999999996E-2</v>
      </c>
      <c r="AB104" s="63">
        <v>4.3653999999999998E-2</v>
      </c>
      <c r="AC104" s="63">
        <v>4.3680999999999998E-2</v>
      </c>
      <c r="AD104" s="63">
        <v>4.3714000000000003E-2</v>
      </c>
      <c r="AE104" s="63">
        <v>4.3788000000000001E-2</v>
      </c>
      <c r="AF104" s="63">
        <v>4.3936999999999997E-2</v>
      </c>
    </row>
    <row r="105" spans="1:32" x14ac:dyDescent="0.15">
      <c r="A105" s="1">
        <v>41064</v>
      </c>
      <c r="B105" s="63">
        <v>1.1563E-2</v>
      </c>
      <c r="C105" s="63">
        <v>2.2000000000000002E-2</v>
      </c>
      <c r="D105" s="63">
        <v>2.3733000000000001E-2</v>
      </c>
      <c r="E105" s="63">
        <v>2.4399999999999998E-2</v>
      </c>
      <c r="F105" s="63">
        <v>2.6434000000000003E-2</v>
      </c>
      <c r="G105" s="63">
        <v>2.8694999999999998E-2</v>
      </c>
      <c r="H105" s="63">
        <v>3.1451E-2</v>
      </c>
      <c r="I105" s="63">
        <v>3.2246000000000004E-2</v>
      </c>
      <c r="J105" s="63">
        <v>3.4317E-2</v>
      </c>
      <c r="K105" s="63">
        <v>3.4315999999999999E-2</v>
      </c>
      <c r="L105" s="63">
        <v>3.4285000000000003E-2</v>
      </c>
      <c r="M105" s="63">
        <v>3.4638000000000002E-2</v>
      </c>
      <c r="N105" s="63">
        <v>3.5382999999999998E-2</v>
      </c>
      <c r="O105" s="63">
        <v>3.6361999999999998E-2</v>
      </c>
      <c r="P105" s="63">
        <v>3.7406999999999996E-2</v>
      </c>
      <c r="Q105" s="63">
        <v>3.8336999999999996E-2</v>
      </c>
      <c r="R105" s="63">
        <v>3.9142999999999997E-2</v>
      </c>
      <c r="S105" s="63">
        <v>3.9935999999999999E-2</v>
      </c>
      <c r="T105" s="63">
        <v>4.0701000000000001E-2</v>
      </c>
      <c r="U105" s="63">
        <v>4.1418999999999997E-2</v>
      </c>
      <c r="V105" s="63">
        <v>4.2069999999999996E-2</v>
      </c>
      <c r="W105" s="63">
        <v>4.2603999999999996E-2</v>
      </c>
      <c r="X105" s="63">
        <v>4.2999000000000002E-2</v>
      </c>
      <c r="Y105" s="63">
        <v>4.3272999999999999E-2</v>
      </c>
      <c r="Z105" s="63">
        <v>4.3446999999999993E-2</v>
      </c>
      <c r="AA105" s="63">
        <v>4.3545E-2</v>
      </c>
      <c r="AB105" s="63">
        <v>4.3590999999999998E-2</v>
      </c>
      <c r="AC105" s="63">
        <v>4.3612000000000005E-2</v>
      </c>
      <c r="AD105" s="63">
        <v>4.3638000000000003E-2</v>
      </c>
      <c r="AE105" s="63">
        <v>4.3699000000000002E-2</v>
      </c>
      <c r="AF105" s="63">
        <v>4.3827999999999999E-2</v>
      </c>
    </row>
    <row r="106" spans="1:32" x14ac:dyDescent="0.15">
      <c r="A106" s="1">
        <v>41065</v>
      </c>
      <c r="B106" s="63">
        <v>1.2362999999999999E-2</v>
      </c>
      <c r="C106" s="63">
        <v>2.2103999999999999E-2</v>
      </c>
      <c r="D106" s="63">
        <v>2.3788E-2</v>
      </c>
      <c r="E106" s="63">
        <v>2.4708999999999998E-2</v>
      </c>
      <c r="F106" s="63">
        <v>2.6619E-2</v>
      </c>
      <c r="G106" s="63">
        <v>2.9071E-2</v>
      </c>
      <c r="H106" s="63">
        <v>3.1657999999999999E-2</v>
      </c>
      <c r="I106" s="63">
        <v>3.2475999999999998E-2</v>
      </c>
      <c r="J106" s="63">
        <v>3.4467999999999999E-2</v>
      </c>
      <c r="K106" s="63">
        <v>3.4407E-2</v>
      </c>
      <c r="L106" s="63">
        <v>3.4370999999999999E-2</v>
      </c>
      <c r="M106" s="63">
        <v>3.4720000000000001E-2</v>
      </c>
      <c r="N106" s="63">
        <v>3.5453999999999999E-2</v>
      </c>
      <c r="O106" s="63">
        <v>3.6419E-2</v>
      </c>
      <c r="P106" s="63">
        <v>3.7448999999999996E-2</v>
      </c>
      <c r="Q106" s="63">
        <v>3.8365999999999997E-2</v>
      </c>
      <c r="R106" s="63">
        <v>3.9167E-2</v>
      </c>
      <c r="S106" s="63">
        <v>3.9967000000000003E-2</v>
      </c>
      <c r="T106" s="63">
        <v>4.0740999999999999E-2</v>
      </c>
      <c r="U106" s="63">
        <v>4.1463E-2</v>
      </c>
      <c r="V106" s="63">
        <v>4.2102000000000001E-2</v>
      </c>
      <c r="W106" s="63">
        <v>4.2618000000000003E-2</v>
      </c>
      <c r="X106" s="63">
        <v>4.2999000000000002E-2</v>
      </c>
      <c r="Y106" s="63">
        <v>4.3262999999999996E-2</v>
      </c>
      <c r="Z106" s="63">
        <v>4.3430999999999997E-2</v>
      </c>
      <c r="AA106" s="63">
        <v>4.3525000000000001E-2</v>
      </c>
      <c r="AB106" s="63">
        <v>4.3567999999999996E-2</v>
      </c>
      <c r="AC106" s="63">
        <v>4.3587000000000001E-2</v>
      </c>
      <c r="AD106" s="63">
        <v>4.3608000000000001E-2</v>
      </c>
      <c r="AE106" s="63">
        <v>4.3661000000000005E-2</v>
      </c>
      <c r="AF106" s="63">
        <v>4.3777999999999997E-2</v>
      </c>
    </row>
    <row r="107" spans="1:32" x14ac:dyDescent="0.15">
      <c r="A107" s="1">
        <v>41066</v>
      </c>
      <c r="B107" s="63">
        <v>1.4397E-2</v>
      </c>
      <c r="C107" s="63">
        <v>2.2214999999999999E-2</v>
      </c>
      <c r="D107" s="63">
        <v>2.3944999999999998E-2</v>
      </c>
      <c r="E107" s="63">
        <v>2.4750000000000001E-2</v>
      </c>
      <c r="F107" s="63">
        <v>2.6751999999999998E-2</v>
      </c>
      <c r="G107" s="63">
        <v>2.9478000000000001E-2</v>
      </c>
      <c r="H107" s="63">
        <v>3.1968000000000003E-2</v>
      </c>
      <c r="I107" s="63">
        <v>3.2534E-2</v>
      </c>
      <c r="J107" s="63">
        <v>3.4377999999999999E-2</v>
      </c>
      <c r="K107" s="63">
        <v>3.4429000000000001E-2</v>
      </c>
      <c r="L107" s="63">
        <v>3.4390000000000004E-2</v>
      </c>
      <c r="M107" s="63">
        <v>3.4651000000000001E-2</v>
      </c>
      <c r="N107" s="63">
        <v>3.5363000000000006E-2</v>
      </c>
      <c r="O107" s="63">
        <v>3.6347999999999998E-2</v>
      </c>
      <c r="P107" s="63">
        <v>3.7421999999999997E-2</v>
      </c>
      <c r="Q107" s="63">
        <v>3.8380999999999998E-2</v>
      </c>
      <c r="R107" s="63">
        <v>3.9205999999999998E-2</v>
      </c>
      <c r="S107" s="63">
        <v>4.0010999999999998E-2</v>
      </c>
      <c r="T107" s="63">
        <v>4.0778000000000002E-2</v>
      </c>
      <c r="U107" s="63">
        <v>4.1486999999999996E-2</v>
      </c>
      <c r="V107" s="63">
        <v>4.2115E-2</v>
      </c>
      <c r="W107" s="63">
        <v>4.2622999999999994E-2</v>
      </c>
      <c r="X107" s="63">
        <v>4.2999000000000002E-2</v>
      </c>
      <c r="Y107" s="63">
        <v>4.3259999999999993E-2</v>
      </c>
      <c r="Z107" s="63">
        <v>4.3425999999999999E-2</v>
      </c>
      <c r="AA107" s="63">
        <v>4.3518000000000001E-2</v>
      </c>
      <c r="AB107" s="63">
        <v>4.3560999999999996E-2</v>
      </c>
      <c r="AC107" s="63">
        <v>4.3577999999999999E-2</v>
      </c>
      <c r="AD107" s="63">
        <v>4.3597999999999998E-2</v>
      </c>
      <c r="AE107" s="63">
        <v>4.3647999999999999E-2</v>
      </c>
      <c r="AF107" s="63">
        <v>4.376E-2</v>
      </c>
    </row>
    <row r="108" spans="1:32" x14ac:dyDescent="0.15">
      <c r="A108" s="1">
        <v>41067</v>
      </c>
      <c r="B108" s="63">
        <v>1.6388E-2</v>
      </c>
      <c r="C108" s="63">
        <v>2.2513999999999999E-2</v>
      </c>
      <c r="D108" s="63">
        <v>2.4253E-2</v>
      </c>
      <c r="E108" s="63">
        <v>2.4826000000000001E-2</v>
      </c>
      <c r="F108" s="63">
        <v>2.6776000000000001E-2</v>
      </c>
      <c r="G108" s="63">
        <v>2.9440000000000001E-2</v>
      </c>
      <c r="H108" s="63">
        <v>3.1788999999999998E-2</v>
      </c>
      <c r="I108" s="63">
        <v>3.2620000000000003E-2</v>
      </c>
      <c r="J108" s="63">
        <v>3.449E-2</v>
      </c>
      <c r="K108" s="63">
        <v>3.4591999999999998E-2</v>
      </c>
      <c r="L108" s="63">
        <v>3.4561000000000001E-2</v>
      </c>
      <c r="M108" s="63">
        <v>3.4820000000000004E-2</v>
      </c>
      <c r="N108" s="63">
        <v>3.5512999999999996E-2</v>
      </c>
      <c r="O108" s="63">
        <v>3.6469999999999995E-2</v>
      </c>
      <c r="P108" s="63">
        <v>3.7512999999999998E-2</v>
      </c>
      <c r="Q108" s="63">
        <v>3.8445E-2</v>
      </c>
      <c r="R108" s="63">
        <v>3.9255999999999999E-2</v>
      </c>
      <c r="S108" s="63">
        <v>4.0060000000000005E-2</v>
      </c>
      <c r="T108" s="63">
        <v>4.0834000000000002E-2</v>
      </c>
      <c r="U108" s="63">
        <v>4.1550999999999998E-2</v>
      </c>
      <c r="V108" s="63">
        <v>4.2185E-2</v>
      </c>
      <c r="W108" s="63">
        <v>4.2693000000000002E-2</v>
      </c>
      <c r="X108" s="63">
        <v>4.3070000000000004E-2</v>
      </c>
      <c r="Y108" s="63">
        <v>4.3331000000000001E-2</v>
      </c>
      <c r="Z108" s="63">
        <v>4.3497000000000001E-2</v>
      </c>
      <c r="AA108" s="63">
        <v>4.3589999999999997E-2</v>
      </c>
      <c r="AB108" s="63">
        <v>4.3631999999999997E-2</v>
      </c>
      <c r="AC108" s="63">
        <v>4.3650000000000001E-2</v>
      </c>
      <c r="AD108" s="63">
        <v>4.367E-2</v>
      </c>
      <c r="AE108" s="63">
        <v>4.3720000000000002E-2</v>
      </c>
      <c r="AF108" s="63">
        <v>4.3832000000000003E-2</v>
      </c>
    </row>
    <row r="109" spans="1:32" x14ac:dyDescent="0.15">
      <c r="A109" s="1">
        <v>41068</v>
      </c>
      <c r="B109" s="63">
        <v>1.6413000000000001E-2</v>
      </c>
      <c r="C109" s="63">
        <v>2.1587000000000002E-2</v>
      </c>
      <c r="D109" s="63">
        <v>2.3353000000000002E-2</v>
      </c>
      <c r="E109" s="63">
        <v>2.4107E-2</v>
      </c>
      <c r="F109" s="63">
        <v>2.6296E-2</v>
      </c>
      <c r="G109" s="63">
        <v>2.8827999999999999E-2</v>
      </c>
      <c r="H109" s="63">
        <v>3.1183000000000002E-2</v>
      </c>
      <c r="I109" s="63">
        <v>3.2155999999999997E-2</v>
      </c>
      <c r="J109" s="63">
        <v>3.3873E-2</v>
      </c>
      <c r="K109" s="63">
        <v>3.3921E-2</v>
      </c>
      <c r="L109" s="63">
        <v>3.3881999999999995E-2</v>
      </c>
      <c r="M109" s="63">
        <v>3.4151000000000001E-2</v>
      </c>
      <c r="N109" s="63">
        <v>3.4876999999999998E-2</v>
      </c>
      <c r="O109" s="63">
        <v>3.5880999999999996E-2</v>
      </c>
      <c r="P109" s="63">
        <v>3.6974E-2</v>
      </c>
      <c r="Q109" s="63">
        <v>3.7949999999999998E-2</v>
      </c>
      <c r="R109" s="63">
        <v>3.8771E-2</v>
      </c>
      <c r="S109" s="63">
        <v>3.9549000000000001E-2</v>
      </c>
      <c r="T109" s="63">
        <v>4.0288999999999998E-2</v>
      </c>
      <c r="U109" s="63">
        <v>4.0994999999999997E-2</v>
      </c>
      <c r="V109" s="63">
        <v>4.1673000000000002E-2</v>
      </c>
      <c r="W109" s="63">
        <v>4.2256999999999996E-2</v>
      </c>
      <c r="X109" s="63">
        <v>4.2687999999999997E-2</v>
      </c>
      <c r="Y109" s="63">
        <v>4.2987999999999998E-2</v>
      </c>
      <c r="Z109" s="63">
        <v>4.3178999999999995E-2</v>
      </c>
      <c r="AA109" s="63">
        <v>4.3288E-2</v>
      </c>
      <c r="AB109" s="63">
        <v>4.3343E-2</v>
      </c>
      <c r="AC109" s="63">
        <v>4.3373999999999996E-2</v>
      </c>
      <c r="AD109" s="63">
        <v>4.3414000000000001E-2</v>
      </c>
      <c r="AE109" s="63">
        <v>4.3498000000000002E-2</v>
      </c>
      <c r="AF109" s="63">
        <v>4.3661000000000005E-2</v>
      </c>
    </row>
    <row r="110" spans="1:32" x14ac:dyDescent="0.15">
      <c r="A110" s="1">
        <v>41071</v>
      </c>
      <c r="B110" s="63">
        <v>1.5576000000000001E-2</v>
      </c>
      <c r="C110" s="63">
        <v>2.1779000000000003E-2</v>
      </c>
      <c r="D110" s="63">
        <v>2.3618E-2</v>
      </c>
      <c r="E110" s="63">
        <v>2.4418000000000002E-2</v>
      </c>
      <c r="F110" s="63">
        <v>2.6581999999999998E-2</v>
      </c>
      <c r="G110" s="63">
        <v>2.9687000000000002E-2</v>
      </c>
      <c r="H110" s="63">
        <v>3.1836999999999997E-2</v>
      </c>
      <c r="I110" s="63">
        <v>3.2386999999999999E-2</v>
      </c>
      <c r="J110" s="63">
        <v>3.4162999999999999E-2</v>
      </c>
      <c r="K110" s="63">
        <v>3.4303E-2</v>
      </c>
      <c r="L110" s="63">
        <v>3.4283000000000001E-2</v>
      </c>
      <c r="M110" s="63">
        <v>3.4548999999999996E-2</v>
      </c>
      <c r="N110" s="63">
        <v>3.5234000000000001E-2</v>
      </c>
      <c r="O110" s="63">
        <v>3.6173999999999998E-2</v>
      </c>
      <c r="P110" s="63">
        <v>3.7194999999999999E-2</v>
      </c>
      <c r="Q110" s="63">
        <v>3.8109000000000004E-2</v>
      </c>
      <c r="R110" s="63">
        <v>3.8898000000000002E-2</v>
      </c>
      <c r="S110" s="63">
        <v>3.9674000000000001E-2</v>
      </c>
      <c r="T110" s="63">
        <v>4.0431000000000002E-2</v>
      </c>
      <c r="U110" s="63">
        <v>4.1159000000000001E-2</v>
      </c>
      <c r="V110" s="63">
        <v>4.1849999999999998E-2</v>
      </c>
      <c r="W110" s="63">
        <v>4.2435E-2</v>
      </c>
      <c r="X110" s="63">
        <v>4.2869000000000004E-2</v>
      </c>
      <c r="Y110" s="63">
        <v>4.317E-2</v>
      </c>
      <c r="Z110" s="63">
        <v>4.3362999999999999E-2</v>
      </c>
      <c r="AA110" s="63">
        <v>4.3472999999999998E-2</v>
      </c>
      <c r="AB110" s="63">
        <v>4.3528999999999998E-2</v>
      </c>
      <c r="AC110" s="63">
        <v>4.3560999999999996E-2</v>
      </c>
      <c r="AD110" s="63">
        <v>4.3602000000000002E-2</v>
      </c>
      <c r="AE110" s="63">
        <v>4.3685999999999996E-2</v>
      </c>
      <c r="AF110" s="63">
        <v>4.3851000000000001E-2</v>
      </c>
    </row>
    <row r="111" spans="1:32" x14ac:dyDescent="0.15">
      <c r="A111" s="1">
        <v>41072</v>
      </c>
      <c r="B111" s="63">
        <v>1.6247000000000001E-2</v>
      </c>
      <c r="C111" s="63">
        <v>2.1888999999999999E-2</v>
      </c>
      <c r="D111" s="63">
        <v>2.3802E-2</v>
      </c>
      <c r="E111" s="63">
        <v>2.5024000000000001E-2</v>
      </c>
      <c r="F111" s="63">
        <v>2.6755000000000001E-2</v>
      </c>
      <c r="G111" s="63">
        <v>2.9708000000000002E-2</v>
      </c>
      <c r="H111" s="63">
        <v>3.1953999999999996E-2</v>
      </c>
      <c r="I111" s="63">
        <v>3.2680000000000001E-2</v>
      </c>
      <c r="J111" s="63">
        <v>3.4136E-2</v>
      </c>
      <c r="K111" s="63">
        <v>3.4474999999999999E-2</v>
      </c>
      <c r="L111" s="63">
        <v>3.4564999999999999E-2</v>
      </c>
      <c r="M111" s="63">
        <v>3.4963000000000001E-2</v>
      </c>
      <c r="N111" s="63">
        <v>3.5626000000000005E-2</v>
      </c>
      <c r="O111" s="63">
        <v>3.6448000000000001E-2</v>
      </c>
      <c r="P111" s="63">
        <v>3.7317000000000003E-2</v>
      </c>
      <c r="Q111" s="63">
        <v>3.8112E-2</v>
      </c>
      <c r="R111" s="63">
        <v>3.8852000000000005E-2</v>
      </c>
      <c r="S111" s="63">
        <v>3.9622999999999998E-2</v>
      </c>
      <c r="T111" s="63">
        <v>4.0403000000000001E-2</v>
      </c>
      <c r="U111" s="63">
        <v>4.1161000000000003E-2</v>
      </c>
      <c r="V111" s="63">
        <v>4.1867999999999995E-2</v>
      </c>
      <c r="W111" s="63">
        <v>4.2455E-2</v>
      </c>
      <c r="X111" s="63">
        <v>4.2889999999999998E-2</v>
      </c>
      <c r="Y111" s="63">
        <v>4.3192000000000001E-2</v>
      </c>
      <c r="Z111" s="63">
        <v>4.3385999999999994E-2</v>
      </c>
      <c r="AA111" s="63">
        <v>4.3498000000000002E-2</v>
      </c>
      <c r="AB111" s="63">
        <v>4.3555000000000003E-2</v>
      </c>
      <c r="AC111" s="63">
        <v>4.3587999999999995E-2</v>
      </c>
      <c r="AD111" s="63">
        <v>4.3630000000000002E-2</v>
      </c>
      <c r="AE111" s="63">
        <v>4.3715000000000004E-2</v>
      </c>
      <c r="AF111" s="63">
        <v>4.3880999999999996E-2</v>
      </c>
    </row>
    <row r="112" spans="1:32" x14ac:dyDescent="0.15">
      <c r="A112" s="1">
        <v>41073</v>
      </c>
      <c r="B112" s="63">
        <v>1.7318E-2</v>
      </c>
      <c r="C112" s="63">
        <v>2.2090000000000002E-2</v>
      </c>
      <c r="D112" s="63">
        <v>2.4037000000000003E-2</v>
      </c>
      <c r="E112" s="63">
        <v>2.5562999999999999E-2</v>
      </c>
      <c r="F112" s="63">
        <v>2.7113999999999999E-2</v>
      </c>
      <c r="G112" s="63">
        <v>3.0244E-2</v>
      </c>
      <c r="H112" s="63">
        <v>3.202E-2</v>
      </c>
      <c r="I112" s="63">
        <v>3.2797E-2</v>
      </c>
      <c r="J112" s="63">
        <v>3.4249999999999996E-2</v>
      </c>
      <c r="K112" s="63">
        <v>3.4653000000000003E-2</v>
      </c>
      <c r="L112" s="63">
        <v>3.4721000000000002E-2</v>
      </c>
      <c r="M112" s="63">
        <v>3.5049999999999998E-2</v>
      </c>
      <c r="N112" s="63">
        <v>3.5675999999999999E-2</v>
      </c>
      <c r="O112" s="63">
        <v>3.6483000000000002E-2</v>
      </c>
      <c r="P112" s="63">
        <v>3.7350000000000001E-2</v>
      </c>
      <c r="Q112" s="63">
        <v>3.8144999999999998E-2</v>
      </c>
      <c r="R112" s="63">
        <v>3.8883000000000001E-2</v>
      </c>
      <c r="S112" s="63">
        <v>3.9655999999999997E-2</v>
      </c>
      <c r="T112" s="63">
        <v>4.0437000000000001E-2</v>
      </c>
      <c r="U112" s="63">
        <v>4.1197999999999999E-2</v>
      </c>
      <c r="V112" s="63">
        <v>4.1907E-2</v>
      </c>
      <c r="W112" s="63">
        <v>4.2495000000000005E-2</v>
      </c>
      <c r="X112" s="63">
        <v>4.2930000000000003E-2</v>
      </c>
      <c r="Y112" s="63">
        <v>4.3232999999999994E-2</v>
      </c>
      <c r="Z112" s="63">
        <v>4.3428000000000001E-2</v>
      </c>
      <c r="AA112" s="63">
        <v>4.3540000000000002E-2</v>
      </c>
      <c r="AB112" s="63">
        <v>4.3597999999999998E-2</v>
      </c>
      <c r="AC112" s="63">
        <v>4.3631999999999997E-2</v>
      </c>
      <c r="AD112" s="63">
        <v>4.3674999999999999E-2</v>
      </c>
      <c r="AE112" s="63">
        <v>4.376E-2</v>
      </c>
      <c r="AF112" s="63">
        <v>4.3926999999999994E-2</v>
      </c>
    </row>
    <row r="113" spans="1:32" x14ac:dyDescent="0.15">
      <c r="A113" s="1">
        <v>41074</v>
      </c>
      <c r="B113" s="63">
        <v>1.7863E-2</v>
      </c>
      <c r="C113" s="63">
        <v>2.2508E-2</v>
      </c>
      <c r="D113" s="63">
        <v>2.4180999999999998E-2</v>
      </c>
      <c r="E113" s="63">
        <v>2.5950000000000001E-2</v>
      </c>
      <c r="F113" s="63">
        <v>2.7208E-2</v>
      </c>
      <c r="G113" s="63">
        <v>3.0417E-2</v>
      </c>
      <c r="H113" s="63">
        <v>3.2002999999999997E-2</v>
      </c>
      <c r="I113" s="63">
        <v>3.2857999999999998E-2</v>
      </c>
      <c r="J113" s="63">
        <v>3.4331E-2</v>
      </c>
      <c r="K113" s="63">
        <v>3.4748000000000001E-2</v>
      </c>
      <c r="L113" s="63">
        <v>3.4821999999999999E-2</v>
      </c>
      <c r="M113" s="63">
        <v>3.5152999999999997E-2</v>
      </c>
      <c r="N113" s="63">
        <v>3.5769000000000002E-2</v>
      </c>
      <c r="O113" s="63">
        <v>3.6558E-2</v>
      </c>
      <c r="P113" s="63">
        <v>3.7404E-2</v>
      </c>
      <c r="Q113" s="63">
        <v>3.8182000000000001E-2</v>
      </c>
      <c r="R113" s="63">
        <v>3.8912000000000002E-2</v>
      </c>
      <c r="S113" s="63">
        <v>3.9683999999999997E-2</v>
      </c>
      <c r="T113" s="63">
        <v>4.0469999999999999E-2</v>
      </c>
      <c r="U113" s="63">
        <v>4.1235999999999995E-2</v>
      </c>
      <c r="V113" s="63">
        <v>4.1947999999999999E-2</v>
      </c>
      <c r="W113" s="63">
        <v>4.2537000000000005E-2</v>
      </c>
      <c r="X113" s="63">
        <v>4.2972999999999997E-2</v>
      </c>
      <c r="Y113" s="63">
        <v>4.3277000000000003E-2</v>
      </c>
      <c r="Z113" s="63">
        <v>4.3471999999999997E-2</v>
      </c>
      <c r="AA113" s="63">
        <v>4.3583999999999998E-2</v>
      </c>
      <c r="AB113" s="63">
        <v>4.3642E-2</v>
      </c>
      <c r="AC113" s="63">
        <v>4.3677000000000001E-2</v>
      </c>
      <c r="AD113" s="63">
        <v>4.3720000000000002E-2</v>
      </c>
      <c r="AE113" s="63">
        <v>4.3806000000000005E-2</v>
      </c>
      <c r="AF113" s="63">
        <v>4.3971999999999997E-2</v>
      </c>
    </row>
    <row r="114" spans="1:32" x14ac:dyDescent="0.15">
      <c r="A114" s="1">
        <v>41075</v>
      </c>
      <c r="B114" s="63">
        <v>1.7971999999999998E-2</v>
      </c>
      <c r="C114" s="63">
        <v>2.2460000000000001E-2</v>
      </c>
      <c r="D114" s="63">
        <v>2.4030999999999997E-2</v>
      </c>
      <c r="E114" s="63">
        <v>2.5838E-2</v>
      </c>
      <c r="F114" s="63">
        <v>2.7014E-2</v>
      </c>
      <c r="G114" s="63">
        <v>3.0355E-2</v>
      </c>
      <c r="H114" s="63">
        <v>3.1871000000000003E-2</v>
      </c>
      <c r="I114" s="63">
        <v>3.2714E-2</v>
      </c>
      <c r="J114" s="63">
        <v>3.4342000000000004E-2</v>
      </c>
      <c r="K114" s="63">
        <v>3.4701000000000003E-2</v>
      </c>
      <c r="L114" s="63">
        <v>3.4744999999999998E-2</v>
      </c>
      <c r="M114" s="63">
        <v>3.5041999999999997E-2</v>
      </c>
      <c r="N114" s="63">
        <v>3.5653000000000004E-2</v>
      </c>
      <c r="O114" s="63">
        <v>3.6457000000000003E-2</v>
      </c>
      <c r="P114" s="63">
        <v>3.7322000000000001E-2</v>
      </c>
      <c r="Q114" s="63">
        <v>3.8109999999999998E-2</v>
      </c>
      <c r="R114" s="63">
        <v>3.8838999999999999E-2</v>
      </c>
      <c r="S114" s="63">
        <v>3.9609999999999999E-2</v>
      </c>
      <c r="T114" s="63">
        <v>4.0395E-2</v>
      </c>
      <c r="U114" s="63">
        <v>4.1161000000000003E-2</v>
      </c>
      <c r="V114" s="63">
        <v>4.1872999999999994E-2</v>
      </c>
      <c r="W114" s="63">
        <v>4.2460999999999999E-2</v>
      </c>
      <c r="X114" s="63">
        <v>4.2896000000000004E-2</v>
      </c>
      <c r="Y114" s="63">
        <v>4.3200000000000002E-2</v>
      </c>
      <c r="Z114" s="63">
        <v>4.3395000000000003E-2</v>
      </c>
      <c r="AA114" s="63">
        <v>4.3506999999999997E-2</v>
      </c>
      <c r="AB114" s="63">
        <v>4.3564999999999993E-2</v>
      </c>
      <c r="AC114" s="63">
        <v>4.3598999999999999E-2</v>
      </c>
      <c r="AD114" s="63">
        <v>4.3642E-2</v>
      </c>
      <c r="AE114" s="63">
        <v>4.3727999999999996E-2</v>
      </c>
      <c r="AF114" s="63">
        <v>4.3894000000000002E-2</v>
      </c>
    </row>
    <row r="115" spans="1:32" x14ac:dyDescent="0.15">
      <c r="A115" s="1">
        <v>41078</v>
      </c>
      <c r="B115" s="63">
        <v>1.7767999999999999E-2</v>
      </c>
      <c r="C115" s="63">
        <v>2.2609000000000001E-2</v>
      </c>
      <c r="D115" s="63">
        <v>2.4462999999999999E-2</v>
      </c>
      <c r="E115" s="63">
        <v>2.6234E-2</v>
      </c>
      <c r="F115" s="63">
        <v>2.7831999999999999E-2</v>
      </c>
      <c r="G115" s="63">
        <v>3.1175999999999999E-2</v>
      </c>
      <c r="H115" s="63">
        <v>3.211E-2</v>
      </c>
      <c r="I115" s="63">
        <v>3.3161000000000003E-2</v>
      </c>
      <c r="J115" s="63">
        <v>3.4581000000000001E-2</v>
      </c>
      <c r="K115" s="63">
        <v>3.4853999999999996E-2</v>
      </c>
      <c r="L115" s="63">
        <v>3.4887000000000001E-2</v>
      </c>
      <c r="M115" s="63">
        <v>3.517E-2</v>
      </c>
      <c r="N115" s="63">
        <v>3.5762999999999996E-2</v>
      </c>
      <c r="O115" s="63">
        <v>3.6545000000000001E-2</v>
      </c>
      <c r="P115" s="63">
        <v>3.7387000000000004E-2</v>
      </c>
      <c r="Q115" s="63">
        <v>3.8151000000000004E-2</v>
      </c>
      <c r="R115" s="63">
        <v>3.8865999999999998E-2</v>
      </c>
      <c r="S115" s="63">
        <v>3.9638E-2</v>
      </c>
      <c r="T115" s="63">
        <v>4.0431000000000002E-2</v>
      </c>
      <c r="U115" s="63">
        <v>4.1208000000000002E-2</v>
      </c>
      <c r="V115" s="63">
        <v>4.1925999999999998E-2</v>
      </c>
      <c r="W115" s="63">
        <v>4.2514999999999997E-2</v>
      </c>
      <c r="X115" s="63">
        <v>4.2952000000000004E-2</v>
      </c>
      <c r="Y115" s="63">
        <v>4.3257000000000004E-2</v>
      </c>
      <c r="Z115" s="63">
        <v>4.3452999999999999E-2</v>
      </c>
      <c r="AA115" s="63">
        <v>4.3567000000000002E-2</v>
      </c>
      <c r="AB115" s="63">
        <v>4.3625999999999998E-2</v>
      </c>
      <c r="AC115" s="63">
        <v>4.3661000000000005E-2</v>
      </c>
      <c r="AD115" s="63">
        <v>4.3705000000000001E-2</v>
      </c>
      <c r="AE115" s="63">
        <v>4.3791999999999998E-2</v>
      </c>
      <c r="AF115" s="63">
        <v>4.3958999999999998E-2</v>
      </c>
    </row>
    <row r="116" spans="1:32" x14ac:dyDescent="0.15">
      <c r="A116" s="1">
        <v>41079</v>
      </c>
      <c r="B116" s="63">
        <v>1.9288E-2</v>
      </c>
      <c r="C116" s="63">
        <v>2.3307999999999999E-2</v>
      </c>
      <c r="D116" s="63">
        <v>2.4643000000000002E-2</v>
      </c>
      <c r="E116" s="63">
        <v>2.6610000000000002E-2</v>
      </c>
      <c r="F116" s="63">
        <v>2.8055E-2</v>
      </c>
      <c r="G116" s="63">
        <v>3.1106999999999999E-2</v>
      </c>
      <c r="H116" s="63">
        <v>3.2038000000000004E-2</v>
      </c>
      <c r="I116" s="63">
        <v>3.2861000000000001E-2</v>
      </c>
      <c r="J116" s="63">
        <v>3.4678E-2</v>
      </c>
      <c r="K116" s="63">
        <v>3.4867000000000002E-2</v>
      </c>
      <c r="L116" s="63">
        <v>3.4863999999999999E-2</v>
      </c>
      <c r="M116" s="63">
        <v>3.5109000000000001E-2</v>
      </c>
      <c r="N116" s="63">
        <v>3.5699000000000002E-2</v>
      </c>
      <c r="O116" s="63">
        <v>3.6497000000000002E-2</v>
      </c>
      <c r="P116" s="63">
        <v>3.7360000000000004E-2</v>
      </c>
      <c r="Q116" s="63">
        <v>3.8134000000000001E-2</v>
      </c>
      <c r="R116" s="63">
        <v>3.8849000000000002E-2</v>
      </c>
      <c r="S116" s="63">
        <v>3.9620000000000002E-2</v>
      </c>
      <c r="T116" s="63">
        <v>4.0414000000000005E-2</v>
      </c>
      <c r="U116" s="63">
        <v>4.1191000000000005E-2</v>
      </c>
      <c r="V116" s="63">
        <v>4.1909000000000002E-2</v>
      </c>
      <c r="W116" s="63">
        <v>4.2499000000000002E-2</v>
      </c>
      <c r="X116" s="63">
        <v>4.2935999999999995E-2</v>
      </c>
      <c r="Y116" s="63">
        <v>4.3240000000000001E-2</v>
      </c>
      <c r="Z116" s="63">
        <v>4.3437000000000003E-2</v>
      </c>
      <c r="AA116" s="63">
        <v>4.3550000000000005E-2</v>
      </c>
      <c r="AB116" s="63">
        <v>4.3609999999999996E-2</v>
      </c>
      <c r="AC116" s="63">
        <v>4.3644999999999996E-2</v>
      </c>
      <c r="AD116" s="63">
        <v>4.3688999999999999E-2</v>
      </c>
      <c r="AE116" s="63">
        <v>4.3776000000000002E-2</v>
      </c>
      <c r="AF116" s="63">
        <v>4.3943000000000003E-2</v>
      </c>
    </row>
    <row r="117" spans="1:32" x14ac:dyDescent="0.15">
      <c r="A117" s="1">
        <v>41080</v>
      </c>
      <c r="B117" s="63">
        <v>2.2221999999999999E-2</v>
      </c>
      <c r="C117" s="63">
        <v>2.3708E-2</v>
      </c>
      <c r="D117" s="63">
        <v>2.4808E-2</v>
      </c>
      <c r="E117" s="63">
        <v>2.6876999999999998E-2</v>
      </c>
      <c r="F117" s="63">
        <v>2.8232E-2</v>
      </c>
      <c r="G117" s="63">
        <v>3.1084999999999998E-2</v>
      </c>
      <c r="H117" s="63">
        <v>3.2129999999999999E-2</v>
      </c>
      <c r="I117" s="63">
        <v>3.2834000000000002E-2</v>
      </c>
      <c r="J117" s="63">
        <v>3.4849999999999999E-2</v>
      </c>
      <c r="K117" s="63">
        <v>3.4894000000000001E-2</v>
      </c>
      <c r="L117" s="63">
        <v>3.4859000000000001E-2</v>
      </c>
      <c r="M117" s="63">
        <v>3.5083999999999997E-2</v>
      </c>
      <c r="N117" s="63">
        <v>3.5672999999999996E-2</v>
      </c>
      <c r="O117" s="63">
        <v>3.6481E-2</v>
      </c>
      <c r="P117" s="63">
        <v>3.7357000000000001E-2</v>
      </c>
      <c r="Q117" s="63">
        <v>3.8137999999999998E-2</v>
      </c>
      <c r="R117" s="63">
        <v>3.8852999999999999E-2</v>
      </c>
      <c r="S117" s="63">
        <v>3.9623999999999999E-2</v>
      </c>
      <c r="T117" s="63">
        <v>4.0419000000000004E-2</v>
      </c>
      <c r="U117" s="63">
        <v>4.1196000000000003E-2</v>
      </c>
      <c r="V117" s="63">
        <v>4.1914E-2</v>
      </c>
      <c r="W117" s="63">
        <v>4.2504E-2</v>
      </c>
      <c r="X117" s="63">
        <v>4.2941E-2</v>
      </c>
      <c r="Y117" s="63">
        <v>4.3246E-2</v>
      </c>
      <c r="Z117" s="63">
        <v>4.3442999999999996E-2</v>
      </c>
      <c r="AA117" s="63">
        <v>4.3556999999999998E-2</v>
      </c>
      <c r="AB117" s="63">
        <v>4.3616000000000002E-2</v>
      </c>
      <c r="AC117" s="63">
        <v>4.3651999999999996E-2</v>
      </c>
      <c r="AD117" s="63">
        <v>4.3695999999999999E-2</v>
      </c>
      <c r="AE117" s="63">
        <v>4.3783000000000002E-2</v>
      </c>
      <c r="AF117" s="63">
        <v>4.3949999999999996E-2</v>
      </c>
    </row>
    <row r="118" spans="1:32" x14ac:dyDescent="0.15">
      <c r="A118" s="1">
        <v>41081</v>
      </c>
      <c r="B118" s="63">
        <v>2.5346999999999998E-2</v>
      </c>
      <c r="C118" s="63">
        <v>2.3654999999999999E-2</v>
      </c>
      <c r="D118" s="63">
        <v>2.4504999999999999E-2</v>
      </c>
      <c r="E118" s="63">
        <v>2.6482000000000002E-2</v>
      </c>
      <c r="F118" s="63">
        <v>2.7974000000000002E-2</v>
      </c>
      <c r="G118" s="63">
        <v>3.0807999999999999E-2</v>
      </c>
      <c r="H118" s="63">
        <v>3.1990999999999999E-2</v>
      </c>
      <c r="I118" s="63">
        <v>3.2624E-2</v>
      </c>
      <c r="J118" s="63">
        <v>3.4766999999999999E-2</v>
      </c>
      <c r="K118" s="63">
        <v>3.4807999999999999E-2</v>
      </c>
      <c r="L118" s="63">
        <v>3.4771000000000003E-2</v>
      </c>
      <c r="M118" s="63">
        <v>3.5000000000000003E-2</v>
      </c>
      <c r="N118" s="63">
        <v>3.56E-2</v>
      </c>
      <c r="O118" s="63">
        <v>3.6423000000000004E-2</v>
      </c>
      <c r="P118" s="63">
        <v>3.7315000000000001E-2</v>
      </c>
      <c r="Q118" s="63">
        <v>3.8109999999999998E-2</v>
      </c>
      <c r="R118" s="63">
        <v>3.8831999999999998E-2</v>
      </c>
      <c r="S118" s="63">
        <v>3.9604E-2</v>
      </c>
      <c r="T118" s="63">
        <v>4.0393999999999999E-2</v>
      </c>
      <c r="U118" s="63">
        <v>4.1165E-2</v>
      </c>
      <c r="V118" s="63">
        <v>4.1880000000000001E-2</v>
      </c>
      <c r="W118" s="63">
        <v>4.2469E-2</v>
      </c>
      <c r="X118" s="63">
        <v>4.2906000000000007E-2</v>
      </c>
      <c r="Y118" s="63">
        <v>4.3209999999999998E-2</v>
      </c>
      <c r="Z118" s="63">
        <v>4.3406E-2</v>
      </c>
      <c r="AA118" s="63">
        <v>4.3518999999999995E-2</v>
      </c>
      <c r="AB118" s="63">
        <v>4.3577999999999999E-2</v>
      </c>
      <c r="AC118" s="63">
        <v>4.3612999999999999E-2</v>
      </c>
      <c r="AD118" s="63">
        <v>4.3657000000000001E-2</v>
      </c>
      <c r="AE118" s="63">
        <v>4.3742999999999997E-2</v>
      </c>
      <c r="AF118" s="63">
        <v>4.3909999999999998E-2</v>
      </c>
    </row>
    <row r="119" spans="1:32" x14ac:dyDescent="0.15">
      <c r="A119" s="1">
        <v>41085</v>
      </c>
      <c r="B119" s="63">
        <v>2.5954000000000001E-2</v>
      </c>
      <c r="C119" s="63">
        <v>2.3666E-2</v>
      </c>
      <c r="D119" s="63">
        <v>2.4373999999999996E-2</v>
      </c>
      <c r="E119" s="63">
        <v>2.6631999999999999E-2</v>
      </c>
      <c r="F119" s="63">
        <v>2.7864E-2</v>
      </c>
      <c r="G119" s="63">
        <v>3.0438E-2</v>
      </c>
      <c r="H119" s="63">
        <v>3.1941000000000004E-2</v>
      </c>
      <c r="I119" s="63">
        <v>3.2507000000000001E-2</v>
      </c>
      <c r="J119" s="63">
        <v>3.4431999999999997E-2</v>
      </c>
      <c r="K119" s="63">
        <v>3.4449E-2</v>
      </c>
      <c r="L119" s="63">
        <v>3.4411999999999998E-2</v>
      </c>
      <c r="M119" s="63">
        <v>3.4668000000000004E-2</v>
      </c>
      <c r="N119" s="63">
        <v>3.5320999999999998E-2</v>
      </c>
      <c r="O119" s="63">
        <v>3.6213999999999996E-2</v>
      </c>
      <c r="P119" s="63">
        <v>3.7180999999999999E-2</v>
      </c>
      <c r="Q119" s="63">
        <v>3.8043E-2</v>
      </c>
      <c r="R119" s="63">
        <v>3.8803000000000004E-2</v>
      </c>
      <c r="S119" s="63">
        <v>3.9578000000000002E-2</v>
      </c>
      <c r="T119" s="63">
        <v>4.0350000000000004E-2</v>
      </c>
      <c r="U119" s="63">
        <v>4.1098999999999997E-2</v>
      </c>
      <c r="V119" s="63">
        <v>4.1801000000000005E-2</v>
      </c>
      <c r="W119" s="63">
        <v>4.2389000000000003E-2</v>
      </c>
      <c r="X119" s="63">
        <v>4.2824000000000001E-2</v>
      </c>
      <c r="Y119" s="63">
        <v>4.3127000000000006E-2</v>
      </c>
      <c r="Z119" s="63">
        <v>4.3321999999999999E-2</v>
      </c>
      <c r="AA119" s="63">
        <v>4.3434E-2</v>
      </c>
      <c r="AB119" s="63">
        <v>4.3493000000000004E-2</v>
      </c>
      <c r="AC119" s="63">
        <v>4.3526999999999996E-2</v>
      </c>
      <c r="AD119" s="63">
        <v>4.3570000000000005E-2</v>
      </c>
      <c r="AE119" s="63">
        <v>4.3654999999999999E-2</v>
      </c>
      <c r="AF119" s="63">
        <v>4.3822E-2</v>
      </c>
    </row>
    <row r="120" spans="1:32" x14ac:dyDescent="0.15">
      <c r="A120" s="1">
        <v>41086</v>
      </c>
      <c r="B120" s="63">
        <v>2.8221E-2</v>
      </c>
      <c r="C120" s="63">
        <v>2.3616000000000002E-2</v>
      </c>
      <c r="D120" s="63">
        <v>2.4237999999999999E-2</v>
      </c>
      <c r="E120" s="63">
        <v>2.6255999999999998E-2</v>
      </c>
      <c r="F120" s="63">
        <v>2.7504000000000001E-2</v>
      </c>
      <c r="G120" s="63">
        <v>3.0096999999999999E-2</v>
      </c>
      <c r="H120" s="63">
        <v>3.1753999999999998E-2</v>
      </c>
      <c r="I120" s="63">
        <v>3.2195999999999995E-2</v>
      </c>
      <c r="J120" s="63">
        <v>3.4352999999999995E-2</v>
      </c>
      <c r="K120" s="63">
        <v>3.4444000000000002E-2</v>
      </c>
      <c r="L120" s="63">
        <v>3.4417000000000003E-2</v>
      </c>
      <c r="M120" s="63">
        <v>3.4675999999999998E-2</v>
      </c>
      <c r="N120" s="63">
        <v>3.5327999999999998E-2</v>
      </c>
      <c r="O120" s="63">
        <v>3.6218E-2</v>
      </c>
      <c r="P120" s="63">
        <v>3.7179999999999998E-2</v>
      </c>
      <c r="Q120" s="63">
        <v>3.8039000000000003E-2</v>
      </c>
      <c r="R120" s="63">
        <v>3.8789999999999998E-2</v>
      </c>
      <c r="S120" s="63">
        <v>3.9548E-2</v>
      </c>
      <c r="T120" s="63">
        <v>4.0308000000000004E-2</v>
      </c>
      <c r="U120" s="63">
        <v>4.1060999999999993E-2</v>
      </c>
      <c r="V120" s="63">
        <v>4.1797000000000001E-2</v>
      </c>
      <c r="W120" s="63">
        <v>4.2431000000000003E-2</v>
      </c>
      <c r="X120" s="63">
        <v>4.2900999999999995E-2</v>
      </c>
      <c r="Y120" s="63">
        <v>4.3227000000000002E-2</v>
      </c>
      <c r="Z120" s="63">
        <v>4.3437000000000003E-2</v>
      </c>
      <c r="AA120" s="63">
        <v>4.3559E-2</v>
      </c>
      <c r="AB120" s="63">
        <v>4.3624999999999997E-2</v>
      </c>
      <c r="AC120" s="63">
        <v>4.3667999999999998E-2</v>
      </c>
      <c r="AD120" s="63">
        <v>4.3723999999999999E-2</v>
      </c>
      <c r="AE120" s="63">
        <v>4.3833000000000004E-2</v>
      </c>
      <c r="AF120" s="63">
        <v>4.4035000000000005E-2</v>
      </c>
    </row>
    <row r="121" spans="1:32" x14ac:dyDescent="0.15">
      <c r="A121" s="1">
        <v>41087</v>
      </c>
      <c r="B121" s="63">
        <v>2.4413000000000001E-2</v>
      </c>
      <c r="C121" s="63">
        <v>2.3716000000000001E-2</v>
      </c>
      <c r="D121" s="63">
        <v>2.3978000000000003E-2</v>
      </c>
      <c r="E121" s="63">
        <v>2.5739999999999999E-2</v>
      </c>
      <c r="F121" s="63">
        <v>2.7378E-2</v>
      </c>
      <c r="G121" s="63">
        <v>2.9643000000000003E-2</v>
      </c>
      <c r="H121" s="63">
        <v>3.1516000000000002E-2</v>
      </c>
      <c r="I121" s="63">
        <v>3.1794999999999997E-2</v>
      </c>
      <c r="J121" s="63">
        <v>3.4041999999999996E-2</v>
      </c>
      <c r="K121" s="63">
        <v>3.4030999999999999E-2</v>
      </c>
      <c r="L121" s="63">
        <v>3.3988999999999998E-2</v>
      </c>
      <c r="M121" s="63">
        <v>3.4264999999999997E-2</v>
      </c>
      <c r="N121" s="63">
        <v>3.4962E-2</v>
      </c>
      <c r="O121" s="63">
        <v>3.5916000000000003E-2</v>
      </c>
      <c r="P121" s="63">
        <v>3.6949000000000003E-2</v>
      </c>
      <c r="Q121" s="63">
        <v>3.7870000000000001E-2</v>
      </c>
      <c r="R121" s="63">
        <v>3.8653E-2</v>
      </c>
      <c r="S121" s="63">
        <v>3.9413999999999998E-2</v>
      </c>
      <c r="T121" s="63">
        <v>4.0156999999999998E-2</v>
      </c>
      <c r="U121" s="63">
        <v>4.0888000000000001E-2</v>
      </c>
      <c r="V121" s="63">
        <v>4.1611000000000002E-2</v>
      </c>
      <c r="W121" s="63">
        <v>4.2244000000000004E-2</v>
      </c>
      <c r="X121" s="63">
        <v>4.2712E-2</v>
      </c>
      <c r="Y121" s="63">
        <v>4.3036999999999999E-2</v>
      </c>
      <c r="Z121" s="63">
        <v>4.3244999999999999E-2</v>
      </c>
      <c r="AA121" s="63">
        <v>4.3365999999999995E-2</v>
      </c>
      <c r="AB121" s="63">
        <v>4.3430999999999997E-2</v>
      </c>
      <c r="AC121" s="63">
        <v>4.3474000000000006E-2</v>
      </c>
      <c r="AD121" s="63">
        <v>4.3528999999999998E-2</v>
      </c>
      <c r="AE121" s="63">
        <v>4.3636999999999995E-2</v>
      </c>
      <c r="AF121" s="63">
        <v>4.3838000000000002E-2</v>
      </c>
    </row>
    <row r="122" spans="1:32" x14ac:dyDescent="0.15">
      <c r="A122" s="1">
        <v>41088</v>
      </c>
      <c r="B122" s="63">
        <v>2.4929E-2</v>
      </c>
      <c r="C122" s="63">
        <v>2.3565999999999997E-2</v>
      </c>
      <c r="D122" s="63">
        <v>2.3727000000000002E-2</v>
      </c>
      <c r="E122" s="63">
        <v>2.5488E-2</v>
      </c>
      <c r="F122" s="63">
        <v>2.7071999999999999E-2</v>
      </c>
      <c r="G122" s="63">
        <v>2.9420000000000002E-2</v>
      </c>
      <c r="H122" s="63">
        <v>3.1476999999999998E-2</v>
      </c>
      <c r="I122" s="63">
        <v>3.1812E-2</v>
      </c>
      <c r="J122" s="63">
        <v>3.4002999999999999E-2</v>
      </c>
      <c r="K122" s="63">
        <v>3.4041999999999996E-2</v>
      </c>
      <c r="L122" s="63">
        <v>3.4006000000000002E-2</v>
      </c>
      <c r="M122" s="63">
        <v>3.4284000000000002E-2</v>
      </c>
      <c r="N122" s="63">
        <v>3.4980999999999998E-2</v>
      </c>
      <c r="O122" s="63">
        <v>3.5933E-2</v>
      </c>
      <c r="P122" s="63">
        <v>3.6962999999999996E-2</v>
      </c>
      <c r="Q122" s="63">
        <v>3.7881999999999999E-2</v>
      </c>
      <c r="R122" s="63">
        <v>3.8662000000000002E-2</v>
      </c>
      <c r="S122" s="63">
        <v>3.9418000000000002E-2</v>
      </c>
      <c r="T122" s="63">
        <v>4.0156999999999998E-2</v>
      </c>
      <c r="U122" s="63">
        <v>4.0891000000000004E-2</v>
      </c>
      <c r="V122" s="63">
        <v>4.1624999999999995E-2</v>
      </c>
      <c r="W122" s="63">
        <v>4.2244999999999998E-2</v>
      </c>
      <c r="X122" s="63">
        <v>4.2701000000000003E-2</v>
      </c>
      <c r="Y122" s="63">
        <v>4.3018000000000001E-2</v>
      </c>
      <c r="Z122" s="63">
        <v>4.3220999999999996E-2</v>
      </c>
      <c r="AA122" s="63">
        <v>4.3338999999999996E-2</v>
      </c>
      <c r="AB122" s="63">
        <v>4.3404999999999999E-2</v>
      </c>
      <c r="AC122" s="63">
        <v>4.3451000000000004E-2</v>
      </c>
      <c r="AD122" s="63">
        <v>4.3514999999999998E-2</v>
      </c>
      <c r="AE122" s="63">
        <v>4.3635E-2</v>
      </c>
      <c r="AF122" s="63">
        <v>4.3853000000000003E-2</v>
      </c>
    </row>
    <row r="123" spans="1:32" x14ac:dyDescent="0.15">
      <c r="A123" s="1">
        <v>41089</v>
      </c>
      <c r="B123" s="63">
        <v>2.5453999999999997E-2</v>
      </c>
      <c r="C123" s="63">
        <v>2.342E-2</v>
      </c>
      <c r="D123" s="63">
        <v>2.3653E-2</v>
      </c>
      <c r="E123" s="63">
        <v>2.5446E-2</v>
      </c>
      <c r="F123" s="63">
        <v>2.6983999999999998E-2</v>
      </c>
      <c r="G123" s="63">
        <v>2.9601000000000002E-2</v>
      </c>
      <c r="H123" s="63">
        <v>3.1379999999999998E-2</v>
      </c>
      <c r="I123" s="63">
        <v>3.1608999999999998E-2</v>
      </c>
      <c r="J123" s="63">
        <v>3.4014000000000003E-2</v>
      </c>
      <c r="K123" s="63">
        <v>3.4049999999999997E-2</v>
      </c>
      <c r="L123" s="63">
        <v>3.4013000000000002E-2</v>
      </c>
      <c r="M123" s="63">
        <v>3.4291000000000002E-2</v>
      </c>
      <c r="N123" s="63">
        <v>3.4987999999999998E-2</v>
      </c>
      <c r="O123" s="63">
        <v>3.5938999999999999E-2</v>
      </c>
      <c r="P123" s="63">
        <v>3.6969000000000002E-2</v>
      </c>
      <c r="Q123" s="63">
        <v>3.7886999999999997E-2</v>
      </c>
      <c r="R123" s="63">
        <v>3.8664999999999998E-2</v>
      </c>
      <c r="S123" s="63">
        <v>3.9419000000000003E-2</v>
      </c>
      <c r="T123" s="63">
        <v>4.0155999999999997E-2</v>
      </c>
      <c r="U123" s="63">
        <v>4.0888999999999995E-2</v>
      </c>
      <c r="V123" s="63">
        <v>4.163E-2</v>
      </c>
      <c r="W123" s="63">
        <v>4.2274000000000006E-2</v>
      </c>
      <c r="X123" s="63">
        <v>4.2728999999999996E-2</v>
      </c>
      <c r="Y123" s="63">
        <v>4.3025000000000001E-2</v>
      </c>
      <c r="Z123" s="63">
        <v>4.3198E-2</v>
      </c>
      <c r="AA123" s="63">
        <v>4.3288E-2</v>
      </c>
      <c r="AB123" s="63">
        <v>4.3336E-2</v>
      </c>
      <c r="AC123" s="63">
        <v>4.3387000000000002E-2</v>
      </c>
      <c r="AD123" s="63">
        <v>4.3490000000000001E-2</v>
      </c>
      <c r="AE123" s="63">
        <v>4.3697E-2</v>
      </c>
      <c r="AF123" s="63">
        <v>4.394E-2</v>
      </c>
    </row>
    <row r="124" spans="1:32" x14ac:dyDescent="0.15">
      <c r="A124" s="1">
        <v>41092</v>
      </c>
      <c r="B124" s="63">
        <v>2.5537999999999998E-2</v>
      </c>
      <c r="C124" s="63">
        <v>2.3470000000000001E-2</v>
      </c>
      <c r="D124" s="63">
        <v>2.3637999999999999E-2</v>
      </c>
      <c r="E124" s="63">
        <v>2.5695000000000003E-2</v>
      </c>
      <c r="F124" s="63">
        <v>2.7139000000000003E-2</v>
      </c>
      <c r="G124" s="63">
        <v>2.9864000000000002E-2</v>
      </c>
      <c r="H124" s="63">
        <v>3.1477999999999999E-2</v>
      </c>
      <c r="I124" s="63">
        <v>3.1718000000000003E-2</v>
      </c>
      <c r="J124" s="63">
        <v>3.4097000000000002E-2</v>
      </c>
      <c r="K124" s="63">
        <v>3.4146999999999997E-2</v>
      </c>
      <c r="L124" s="63">
        <v>3.4113000000000004E-2</v>
      </c>
      <c r="M124" s="63">
        <v>3.4388999999999996E-2</v>
      </c>
      <c r="N124" s="63">
        <v>3.5076000000000003E-2</v>
      </c>
      <c r="O124" s="63">
        <v>3.6011000000000001E-2</v>
      </c>
      <c r="P124" s="63">
        <v>3.7021999999999999E-2</v>
      </c>
      <c r="Q124" s="63">
        <v>3.7922999999999998E-2</v>
      </c>
      <c r="R124" s="63">
        <v>3.8695E-2</v>
      </c>
      <c r="S124" s="63">
        <v>3.9453000000000002E-2</v>
      </c>
      <c r="T124" s="63">
        <v>4.0198999999999999E-2</v>
      </c>
      <c r="U124" s="63">
        <v>4.0936E-2</v>
      </c>
      <c r="V124" s="63">
        <v>4.1669999999999999E-2</v>
      </c>
      <c r="W124" s="63">
        <v>4.2300000000000004E-2</v>
      </c>
      <c r="X124" s="63">
        <v>4.2744999999999998E-2</v>
      </c>
      <c r="Y124" s="63">
        <v>4.3034999999999997E-2</v>
      </c>
      <c r="Z124" s="63">
        <v>4.3205E-2</v>
      </c>
      <c r="AA124" s="63">
        <v>4.3292000000000004E-2</v>
      </c>
      <c r="AB124" s="63">
        <v>4.3338000000000002E-2</v>
      </c>
      <c r="AC124" s="63">
        <v>4.3385E-2</v>
      </c>
      <c r="AD124" s="63">
        <v>4.3482E-2</v>
      </c>
      <c r="AE124" s="63">
        <v>4.3678000000000002E-2</v>
      </c>
      <c r="AF124" s="63">
        <v>4.3909000000000004E-2</v>
      </c>
    </row>
    <row r="125" spans="1:32" x14ac:dyDescent="0.15">
      <c r="A125" s="1">
        <v>41093</v>
      </c>
      <c r="B125" s="63">
        <v>2.1922000000000001E-2</v>
      </c>
      <c r="C125" s="63">
        <v>2.3452000000000001E-2</v>
      </c>
      <c r="D125" s="63">
        <v>2.3607999999999997E-2</v>
      </c>
      <c r="E125" s="63">
        <v>2.5963E-2</v>
      </c>
      <c r="F125" s="63">
        <v>2.7084999999999998E-2</v>
      </c>
      <c r="G125" s="63">
        <v>2.9622000000000002E-2</v>
      </c>
      <c r="H125" s="63">
        <v>3.1434000000000004E-2</v>
      </c>
      <c r="I125" s="63">
        <v>3.1681000000000001E-2</v>
      </c>
      <c r="J125" s="63">
        <v>3.3850999999999999E-2</v>
      </c>
      <c r="K125" s="63">
        <v>3.3971000000000001E-2</v>
      </c>
      <c r="L125" s="63">
        <v>3.3950999999999995E-2</v>
      </c>
      <c r="M125" s="63">
        <v>3.4244999999999998E-2</v>
      </c>
      <c r="N125" s="63">
        <v>3.4956000000000001E-2</v>
      </c>
      <c r="O125" s="63">
        <v>3.5919E-2</v>
      </c>
      <c r="P125" s="63">
        <v>3.6958999999999999E-2</v>
      </c>
      <c r="Q125" s="63">
        <v>3.7888999999999999E-2</v>
      </c>
      <c r="R125" s="63">
        <v>3.8683000000000002E-2</v>
      </c>
      <c r="S125" s="63">
        <v>3.9453999999999996E-2</v>
      </c>
      <c r="T125" s="63">
        <v>4.0205999999999999E-2</v>
      </c>
      <c r="U125" s="63">
        <v>4.0941999999999999E-2</v>
      </c>
      <c r="V125" s="63">
        <v>4.1666000000000002E-2</v>
      </c>
      <c r="W125" s="63">
        <v>4.2295999999999993E-2</v>
      </c>
      <c r="X125" s="63">
        <v>4.2760999999999993E-2</v>
      </c>
      <c r="Y125" s="63">
        <v>4.3085000000000005E-2</v>
      </c>
      <c r="Z125" s="63">
        <v>4.3292999999999998E-2</v>
      </c>
      <c r="AA125" s="63">
        <v>4.3413000000000007E-2</v>
      </c>
      <c r="AB125" s="63">
        <v>4.3476999999999995E-2</v>
      </c>
      <c r="AC125" s="63">
        <v>4.3518000000000001E-2</v>
      </c>
      <c r="AD125" s="63">
        <v>4.3570999999999999E-2</v>
      </c>
      <c r="AE125" s="63">
        <v>4.3674999999999999E-2</v>
      </c>
      <c r="AF125" s="63">
        <v>4.3871E-2</v>
      </c>
    </row>
    <row r="126" spans="1:32" x14ac:dyDescent="0.15">
      <c r="A126" s="1">
        <v>41094</v>
      </c>
      <c r="B126" s="63">
        <v>1.5653999999999998E-2</v>
      </c>
      <c r="C126" s="63">
        <v>2.3252000000000002E-2</v>
      </c>
      <c r="D126" s="63">
        <v>2.3567999999999999E-2</v>
      </c>
      <c r="E126" s="63">
        <v>2.5716000000000003E-2</v>
      </c>
      <c r="F126" s="63">
        <v>2.7092000000000001E-2</v>
      </c>
      <c r="G126" s="63">
        <v>2.9661E-2</v>
      </c>
      <c r="H126" s="63">
        <v>3.1434999999999998E-2</v>
      </c>
      <c r="I126" s="63">
        <v>3.1563000000000001E-2</v>
      </c>
      <c r="J126" s="63">
        <v>3.3762E-2</v>
      </c>
      <c r="K126" s="63">
        <v>3.3949E-2</v>
      </c>
      <c r="L126" s="63">
        <v>3.3946000000000004E-2</v>
      </c>
      <c r="M126" s="63">
        <v>3.4249999999999996E-2</v>
      </c>
      <c r="N126" s="63">
        <v>3.4955E-2</v>
      </c>
      <c r="O126" s="63">
        <v>3.5903999999999998E-2</v>
      </c>
      <c r="P126" s="63">
        <v>3.6928000000000002E-2</v>
      </c>
      <c r="Q126" s="63">
        <v>3.7844999999999997E-2</v>
      </c>
      <c r="R126" s="63">
        <v>3.8629999999999998E-2</v>
      </c>
      <c r="S126" s="63">
        <v>3.9393999999999998E-2</v>
      </c>
      <c r="T126" s="63">
        <v>4.0138999999999994E-2</v>
      </c>
      <c r="U126" s="63">
        <v>4.0873999999999994E-2</v>
      </c>
      <c r="V126" s="63">
        <v>4.1603000000000001E-2</v>
      </c>
      <c r="W126" s="63">
        <v>4.2241999999999995E-2</v>
      </c>
      <c r="X126" s="63">
        <v>4.2714000000000002E-2</v>
      </c>
      <c r="Y126" s="63">
        <v>4.3041999999999997E-2</v>
      </c>
      <c r="Z126" s="63">
        <v>4.3253000000000007E-2</v>
      </c>
      <c r="AA126" s="63">
        <v>4.3375000000000004E-2</v>
      </c>
      <c r="AB126" s="63">
        <v>4.3440000000000006E-2</v>
      </c>
      <c r="AC126" s="63">
        <v>4.3483000000000001E-2</v>
      </c>
      <c r="AD126" s="63">
        <v>4.3540000000000002E-2</v>
      </c>
      <c r="AE126" s="63">
        <v>4.3650000000000001E-2</v>
      </c>
      <c r="AF126" s="63">
        <v>4.3855000000000005E-2</v>
      </c>
    </row>
    <row r="127" spans="1:32" x14ac:dyDescent="0.15">
      <c r="A127" s="1">
        <v>41095</v>
      </c>
      <c r="B127" s="63">
        <v>1.5472E-2</v>
      </c>
      <c r="C127" s="63">
        <v>2.3129E-2</v>
      </c>
      <c r="D127" s="63">
        <v>2.3497000000000001E-2</v>
      </c>
      <c r="E127" s="63">
        <v>2.5522999999999997E-2</v>
      </c>
      <c r="F127" s="63">
        <v>2.6972999999999997E-2</v>
      </c>
      <c r="G127" s="63">
        <v>2.9485000000000001E-2</v>
      </c>
      <c r="H127" s="63">
        <v>3.1394999999999999E-2</v>
      </c>
      <c r="I127" s="63">
        <v>3.1528E-2</v>
      </c>
      <c r="J127" s="63">
        <v>3.3702999999999997E-2</v>
      </c>
      <c r="K127" s="63">
        <v>3.3953000000000004E-2</v>
      </c>
      <c r="L127" s="63">
        <v>3.3958000000000002E-2</v>
      </c>
      <c r="M127" s="63">
        <v>3.4224999999999998E-2</v>
      </c>
      <c r="N127" s="63">
        <v>3.4921000000000001E-2</v>
      </c>
      <c r="O127" s="63">
        <v>3.5878E-2</v>
      </c>
      <c r="P127" s="63">
        <v>3.6921000000000002E-2</v>
      </c>
      <c r="Q127" s="63">
        <v>3.7858999999999997E-2</v>
      </c>
      <c r="R127" s="63">
        <v>3.8656000000000003E-2</v>
      </c>
      <c r="S127" s="63">
        <v>3.9421999999999999E-2</v>
      </c>
      <c r="T127" s="63">
        <v>4.0163999999999998E-2</v>
      </c>
      <c r="U127" s="63">
        <v>4.0891000000000004E-2</v>
      </c>
      <c r="V127" s="63">
        <v>4.1612999999999997E-2</v>
      </c>
      <c r="W127" s="63">
        <v>4.2247000000000007E-2</v>
      </c>
      <c r="X127" s="63">
        <v>4.2714000000000002E-2</v>
      </c>
      <c r="Y127" s="63">
        <v>4.3038999999999994E-2</v>
      </c>
      <c r="Z127" s="63">
        <v>4.3247000000000001E-2</v>
      </c>
      <c r="AA127" s="63">
        <v>4.3367000000000003E-2</v>
      </c>
      <c r="AB127" s="63">
        <v>4.3430999999999997E-2</v>
      </c>
      <c r="AC127" s="63">
        <v>4.3471999999999997E-2</v>
      </c>
      <c r="AD127" s="63">
        <v>4.3528000000000004E-2</v>
      </c>
      <c r="AE127" s="63">
        <v>4.3635E-2</v>
      </c>
      <c r="AF127" s="63">
        <v>4.3838000000000002E-2</v>
      </c>
    </row>
    <row r="128" spans="1:32" x14ac:dyDescent="0.15">
      <c r="A128" s="1">
        <v>41096</v>
      </c>
      <c r="B128" s="63">
        <v>1.2947E-2</v>
      </c>
      <c r="C128" s="63">
        <v>2.2525E-2</v>
      </c>
      <c r="D128" s="63">
        <v>2.2816999999999997E-2</v>
      </c>
      <c r="E128" s="63">
        <v>2.5097000000000001E-2</v>
      </c>
      <c r="F128" s="63">
        <v>2.6509000000000001E-2</v>
      </c>
      <c r="G128" s="63">
        <v>2.8934999999999999E-2</v>
      </c>
      <c r="H128" s="63">
        <v>3.0945E-2</v>
      </c>
      <c r="I128" s="63">
        <v>3.1238999999999999E-2</v>
      </c>
      <c r="J128" s="63">
        <v>3.3431999999999996E-2</v>
      </c>
      <c r="K128" s="63">
        <v>3.3724999999999998E-2</v>
      </c>
      <c r="L128" s="63">
        <v>3.3742000000000001E-2</v>
      </c>
      <c r="M128" s="63">
        <v>3.4070999999999997E-2</v>
      </c>
      <c r="N128" s="63">
        <v>3.4798000000000003E-2</v>
      </c>
      <c r="O128" s="63">
        <v>3.5765999999999999E-2</v>
      </c>
      <c r="P128" s="63">
        <v>3.6809000000000001E-2</v>
      </c>
      <c r="Q128" s="63">
        <v>3.7747000000000003E-2</v>
      </c>
      <c r="R128" s="63">
        <v>3.8553999999999998E-2</v>
      </c>
      <c r="S128" s="63">
        <v>3.9336999999999997E-2</v>
      </c>
      <c r="T128" s="63">
        <v>4.0101000000000005E-2</v>
      </c>
      <c r="U128" s="63">
        <v>4.0853E-2</v>
      </c>
      <c r="V128" s="63">
        <v>4.1599999999999998E-2</v>
      </c>
      <c r="W128" s="63">
        <v>4.2253999999999993E-2</v>
      </c>
      <c r="X128" s="63">
        <v>4.2736999999999997E-2</v>
      </c>
      <c r="Y128" s="63">
        <v>4.3071999999999999E-2</v>
      </c>
      <c r="Z128" s="63">
        <v>4.3287000000000006E-2</v>
      </c>
      <c r="AA128" s="63">
        <v>4.3410999999999998E-2</v>
      </c>
      <c r="AB128" s="63">
        <v>4.3476999999999995E-2</v>
      </c>
      <c r="AC128" s="63">
        <v>4.3521000000000004E-2</v>
      </c>
      <c r="AD128" s="63">
        <v>4.3579E-2</v>
      </c>
      <c r="AE128" s="63">
        <v>4.3692000000000002E-2</v>
      </c>
      <c r="AF128" s="63">
        <v>4.3902999999999998E-2</v>
      </c>
    </row>
    <row r="129" spans="1:32" x14ac:dyDescent="0.15">
      <c r="A129" s="1">
        <v>41099</v>
      </c>
      <c r="B129" s="63">
        <v>1.2883E-2</v>
      </c>
      <c r="C129" s="63">
        <v>2.1979000000000002E-2</v>
      </c>
      <c r="D129" s="63">
        <v>2.2689000000000001E-2</v>
      </c>
      <c r="E129" s="63">
        <v>2.4967000000000003E-2</v>
      </c>
      <c r="F129" s="63">
        <v>2.6162000000000001E-2</v>
      </c>
      <c r="G129" s="63">
        <v>2.8686E-2</v>
      </c>
      <c r="H129" s="63">
        <v>3.0634000000000002E-2</v>
      </c>
      <c r="I129" s="63">
        <v>3.0922999999999999E-2</v>
      </c>
      <c r="J129" s="63">
        <v>3.3232999999999999E-2</v>
      </c>
      <c r="K129" s="63">
        <v>3.3478000000000001E-2</v>
      </c>
      <c r="L129" s="63">
        <v>3.3481999999999998E-2</v>
      </c>
      <c r="M129" s="63">
        <v>3.3815999999999999E-2</v>
      </c>
      <c r="N129" s="63">
        <v>3.4570999999999998E-2</v>
      </c>
      <c r="O129" s="63">
        <v>3.5581000000000002E-2</v>
      </c>
      <c r="P129" s="63">
        <v>3.6670000000000001E-2</v>
      </c>
      <c r="Q129" s="63">
        <v>3.7648000000000001E-2</v>
      </c>
      <c r="R129" s="63">
        <v>3.8468000000000002E-2</v>
      </c>
      <c r="S129" s="63">
        <v>3.9238000000000002E-2</v>
      </c>
      <c r="T129" s="63">
        <v>3.9981000000000003E-2</v>
      </c>
      <c r="U129" s="63">
        <v>4.0724000000000003E-2</v>
      </c>
      <c r="V129" s="63">
        <v>4.1493000000000002E-2</v>
      </c>
      <c r="W129" s="63">
        <v>4.2187999999999996E-2</v>
      </c>
      <c r="X129" s="63">
        <v>4.2699000000000001E-2</v>
      </c>
      <c r="Y129" s="63">
        <v>4.3053999999999995E-2</v>
      </c>
      <c r="Z129" s="63">
        <v>4.3281E-2</v>
      </c>
      <c r="AA129" s="63">
        <v>4.3413000000000007E-2</v>
      </c>
      <c r="AB129" s="63">
        <v>4.3484999999999996E-2</v>
      </c>
      <c r="AC129" s="63">
        <v>4.3536999999999999E-2</v>
      </c>
      <c r="AD129" s="63">
        <v>4.3608000000000001E-2</v>
      </c>
      <c r="AE129" s="63">
        <v>4.3743999999999998E-2</v>
      </c>
      <c r="AF129" s="63">
        <v>4.3990999999999995E-2</v>
      </c>
    </row>
    <row r="130" spans="1:32" x14ac:dyDescent="0.15">
      <c r="A130" s="1">
        <v>41100</v>
      </c>
      <c r="B130" s="63">
        <v>1.2723E-2</v>
      </c>
      <c r="C130" s="63">
        <v>2.2161E-2</v>
      </c>
      <c r="D130" s="63">
        <v>2.2652000000000002E-2</v>
      </c>
      <c r="E130" s="63">
        <v>2.4718E-2</v>
      </c>
      <c r="F130" s="63">
        <v>2.6157E-2</v>
      </c>
      <c r="G130" s="63">
        <v>2.8471000000000003E-2</v>
      </c>
      <c r="H130" s="63">
        <v>3.0426000000000002E-2</v>
      </c>
      <c r="I130" s="63">
        <v>3.0800999999999999E-2</v>
      </c>
      <c r="J130" s="63">
        <v>3.3038999999999999E-2</v>
      </c>
      <c r="K130" s="63">
        <v>3.3302999999999999E-2</v>
      </c>
      <c r="L130" s="63">
        <v>3.3315000000000004E-2</v>
      </c>
      <c r="M130" s="63">
        <v>3.3656999999999999E-2</v>
      </c>
      <c r="N130" s="63">
        <v>3.4411999999999998E-2</v>
      </c>
      <c r="O130" s="63">
        <v>3.5417999999999998E-2</v>
      </c>
      <c r="P130" s="63">
        <v>3.6502E-2</v>
      </c>
      <c r="Q130" s="63">
        <v>3.7475000000000001E-2</v>
      </c>
      <c r="R130" s="63">
        <v>3.8290000000000005E-2</v>
      </c>
      <c r="S130" s="63">
        <v>3.9051000000000002E-2</v>
      </c>
      <c r="T130" s="63">
        <v>3.9786000000000002E-2</v>
      </c>
      <c r="U130" s="63">
        <v>4.0529999999999997E-2</v>
      </c>
      <c r="V130" s="63">
        <v>4.1319000000000002E-2</v>
      </c>
      <c r="W130" s="63">
        <v>4.2039999999999994E-2</v>
      </c>
      <c r="X130" s="63">
        <v>4.2571000000000005E-2</v>
      </c>
      <c r="Y130" s="63">
        <v>4.2939999999999999E-2</v>
      </c>
      <c r="Z130" s="63">
        <v>4.3175999999999999E-2</v>
      </c>
      <c r="AA130" s="63">
        <v>4.3314999999999999E-2</v>
      </c>
      <c r="AB130" s="63">
        <v>4.3392999999999994E-2</v>
      </c>
      <c r="AC130" s="63">
        <v>4.3451000000000004E-2</v>
      </c>
      <c r="AD130" s="63">
        <v>4.3532000000000001E-2</v>
      </c>
      <c r="AE130" s="63">
        <v>4.3680000000000004E-2</v>
      </c>
      <c r="AF130" s="63">
        <v>4.3948000000000001E-2</v>
      </c>
    </row>
    <row r="131" spans="1:32" x14ac:dyDescent="0.15">
      <c r="A131" s="1">
        <v>41101</v>
      </c>
      <c r="B131" s="63">
        <v>1.2914000000000002E-2</v>
      </c>
      <c r="C131" s="63">
        <v>2.2235999999999999E-2</v>
      </c>
      <c r="D131" s="63">
        <v>2.2589999999999999E-2</v>
      </c>
      <c r="E131" s="63">
        <v>2.4468E-2</v>
      </c>
      <c r="F131" s="63">
        <v>2.6124999999999999E-2</v>
      </c>
      <c r="G131" s="63">
        <v>2.8247000000000001E-2</v>
      </c>
      <c r="H131" s="63">
        <v>3.0381000000000002E-2</v>
      </c>
      <c r="I131" s="63">
        <v>3.0623000000000001E-2</v>
      </c>
      <c r="J131" s="63">
        <v>3.2924000000000002E-2</v>
      </c>
      <c r="K131" s="63">
        <v>3.3152000000000001E-2</v>
      </c>
      <c r="L131" s="63">
        <v>3.3153999999999996E-2</v>
      </c>
      <c r="M131" s="63">
        <v>3.3488999999999998E-2</v>
      </c>
      <c r="N131" s="63">
        <v>3.4243999999999997E-2</v>
      </c>
      <c r="O131" s="63">
        <v>3.5253E-2</v>
      </c>
      <c r="P131" s="63">
        <v>3.6339999999999997E-2</v>
      </c>
      <c r="Q131" s="63">
        <v>3.7315000000000001E-2</v>
      </c>
      <c r="R131" s="63">
        <v>3.8163999999999997E-2</v>
      </c>
      <c r="S131" s="63">
        <v>3.9011999999999998E-2</v>
      </c>
      <c r="T131" s="63">
        <v>3.9857000000000004E-2</v>
      </c>
      <c r="U131" s="63">
        <v>4.0697999999999998E-2</v>
      </c>
      <c r="V131" s="63">
        <v>4.1533E-2</v>
      </c>
      <c r="W131" s="63">
        <v>4.2263000000000002E-2</v>
      </c>
      <c r="X131" s="63">
        <v>4.2803000000000008E-2</v>
      </c>
      <c r="Y131" s="63">
        <v>4.3178000000000001E-2</v>
      </c>
      <c r="Z131" s="63">
        <v>4.3418999999999999E-2</v>
      </c>
      <c r="AA131" s="63">
        <v>4.3560000000000001E-2</v>
      </c>
      <c r="AB131" s="63">
        <v>4.3636000000000001E-2</v>
      </c>
      <c r="AC131" s="63">
        <v>4.3688999999999999E-2</v>
      </c>
      <c r="AD131" s="63">
        <v>4.3758999999999999E-2</v>
      </c>
      <c r="AE131" s="63">
        <v>4.3892E-2</v>
      </c>
      <c r="AF131" s="63">
        <v>4.4138000000000004E-2</v>
      </c>
    </row>
    <row r="132" spans="1:32" x14ac:dyDescent="0.15">
      <c r="A132" s="1">
        <v>41102</v>
      </c>
      <c r="B132" s="63">
        <v>1.3335999999999999E-2</v>
      </c>
      <c r="C132" s="63">
        <v>2.2286999999999998E-2</v>
      </c>
      <c r="D132" s="63">
        <v>2.2480000000000003E-2</v>
      </c>
      <c r="E132" s="63">
        <v>2.4403000000000001E-2</v>
      </c>
      <c r="F132" s="63">
        <v>2.5992999999999999E-2</v>
      </c>
      <c r="G132" s="63">
        <v>2.8052999999999998E-2</v>
      </c>
      <c r="H132" s="63">
        <v>3.0377999999999999E-2</v>
      </c>
      <c r="I132" s="63">
        <v>3.0724000000000001E-2</v>
      </c>
      <c r="J132" s="63">
        <v>3.2958000000000001E-2</v>
      </c>
      <c r="K132" s="63">
        <v>3.3258999999999997E-2</v>
      </c>
      <c r="L132" s="63">
        <v>3.3279999999999997E-2</v>
      </c>
      <c r="M132" s="63">
        <v>3.3631000000000001E-2</v>
      </c>
      <c r="N132" s="63">
        <v>3.4387000000000001E-2</v>
      </c>
      <c r="O132" s="63">
        <v>3.5387000000000002E-2</v>
      </c>
      <c r="P132" s="63">
        <v>3.6463000000000002E-2</v>
      </c>
      <c r="Q132" s="63">
        <v>3.7433000000000001E-2</v>
      </c>
      <c r="R132" s="63">
        <v>3.8275000000000003E-2</v>
      </c>
      <c r="S132" s="63">
        <v>3.9105000000000001E-2</v>
      </c>
      <c r="T132" s="63">
        <v>3.9927999999999998E-2</v>
      </c>
      <c r="U132" s="63">
        <v>4.0750000000000001E-2</v>
      </c>
      <c r="V132" s="63">
        <v>4.1577000000000003E-2</v>
      </c>
      <c r="W132" s="63">
        <v>4.2306999999999997E-2</v>
      </c>
      <c r="X132" s="63">
        <v>4.2846000000000002E-2</v>
      </c>
      <c r="Y132" s="63">
        <v>4.3223000000000004E-2</v>
      </c>
      <c r="Z132" s="63">
        <v>4.3464999999999997E-2</v>
      </c>
      <c r="AA132" s="63">
        <v>4.3606999999999993E-2</v>
      </c>
      <c r="AB132" s="63">
        <v>4.3685000000000002E-2</v>
      </c>
      <c r="AC132" s="63">
        <v>4.3737999999999999E-2</v>
      </c>
      <c r="AD132" s="63">
        <v>4.3808999999999994E-2</v>
      </c>
      <c r="AE132" s="63">
        <v>4.3941000000000001E-2</v>
      </c>
      <c r="AF132" s="63">
        <v>4.4185000000000002E-2</v>
      </c>
    </row>
    <row r="133" spans="1:32" x14ac:dyDescent="0.15">
      <c r="A133" s="1">
        <v>41103</v>
      </c>
      <c r="B133" s="63">
        <v>1.4239E-2</v>
      </c>
      <c r="C133" s="63">
        <v>2.2171E-2</v>
      </c>
      <c r="D133" s="63">
        <v>2.2602999999999998E-2</v>
      </c>
      <c r="E133" s="63">
        <v>2.4601999999999999E-2</v>
      </c>
      <c r="F133" s="63">
        <v>2.6135000000000002E-2</v>
      </c>
      <c r="G133" s="63">
        <v>2.8098999999999999E-2</v>
      </c>
      <c r="H133" s="63">
        <v>3.0453999999999998E-2</v>
      </c>
      <c r="I133" s="63">
        <v>3.0895000000000002E-2</v>
      </c>
      <c r="J133" s="63">
        <v>3.3041000000000001E-2</v>
      </c>
      <c r="K133" s="63">
        <v>3.3347000000000002E-2</v>
      </c>
      <c r="L133" s="63">
        <v>3.3370999999999998E-2</v>
      </c>
      <c r="M133" s="63">
        <v>3.3725999999999999E-2</v>
      </c>
      <c r="N133" s="63">
        <v>3.4481999999999999E-2</v>
      </c>
      <c r="O133" s="63">
        <v>3.5480999999999999E-2</v>
      </c>
      <c r="P133" s="63">
        <v>3.6556000000000005E-2</v>
      </c>
      <c r="Q133" s="63">
        <v>3.7524000000000002E-2</v>
      </c>
      <c r="R133" s="63">
        <v>3.8363999999999995E-2</v>
      </c>
      <c r="S133" s="63">
        <v>3.9185999999999999E-2</v>
      </c>
      <c r="T133" s="63">
        <v>3.9997999999999999E-2</v>
      </c>
      <c r="U133" s="63">
        <v>4.0808999999999998E-2</v>
      </c>
      <c r="V133" s="63">
        <v>4.1627999999999998E-2</v>
      </c>
      <c r="W133" s="63">
        <v>4.2351E-2</v>
      </c>
      <c r="X133" s="63">
        <v>4.2886000000000001E-2</v>
      </c>
      <c r="Y133" s="63">
        <v>4.3257999999999998E-2</v>
      </c>
      <c r="Z133" s="63">
        <v>4.3498000000000002E-2</v>
      </c>
      <c r="AA133" s="63">
        <v>4.3638000000000003E-2</v>
      </c>
      <c r="AB133" s="63">
        <v>4.3715000000000004E-2</v>
      </c>
      <c r="AC133" s="63">
        <v>4.3768000000000001E-2</v>
      </c>
      <c r="AD133" s="63">
        <v>4.3838000000000002E-2</v>
      </c>
      <c r="AE133" s="63">
        <v>4.3971000000000003E-2</v>
      </c>
      <c r="AF133" s="63">
        <v>4.4214000000000003E-2</v>
      </c>
    </row>
    <row r="134" spans="1:32" x14ac:dyDescent="0.15">
      <c r="A134" s="1">
        <v>41106</v>
      </c>
      <c r="B134" s="63">
        <v>1.4019999999999999E-2</v>
      </c>
      <c r="C134" s="63">
        <v>2.2353000000000001E-2</v>
      </c>
      <c r="D134" s="63">
        <v>2.2591999999999998E-2</v>
      </c>
      <c r="E134" s="63">
        <v>2.4660000000000001E-2</v>
      </c>
      <c r="F134" s="63">
        <v>2.6126999999999997E-2</v>
      </c>
      <c r="G134" s="63">
        <v>2.8287E-2</v>
      </c>
      <c r="H134" s="63">
        <v>3.0470000000000001E-2</v>
      </c>
      <c r="I134" s="63">
        <v>3.1042999999999998E-2</v>
      </c>
      <c r="J134" s="63">
        <v>3.3231000000000004E-2</v>
      </c>
      <c r="K134" s="63">
        <v>3.3527999999999995E-2</v>
      </c>
      <c r="L134" s="63">
        <v>3.3545999999999999E-2</v>
      </c>
      <c r="M134" s="63">
        <v>3.3896999999999997E-2</v>
      </c>
      <c r="N134" s="63">
        <v>3.4651000000000001E-2</v>
      </c>
      <c r="O134" s="63">
        <v>3.5649E-2</v>
      </c>
      <c r="P134" s="63">
        <v>3.6722000000000005E-2</v>
      </c>
      <c r="Q134" s="63">
        <v>3.7686999999999998E-2</v>
      </c>
      <c r="R134" s="63">
        <v>3.8517000000000003E-2</v>
      </c>
      <c r="S134" s="63">
        <v>3.9323000000000004E-2</v>
      </c>
      <c r="T134" s="63">
        <v>4.0122999999999999E-2</v>
      </c>
      <c r="U134" s="63">
        <v>4.0934999999999999E-2</v>
      </c>
      <c r="V134" s="63">
        <v>4.1771000000000003E-2</v>
      </c>
      <c r="W134" s="63">
        <v>4.2483000000000007E-2</v>
      </c>
      <c r="X134" s="63">
        <v>4.3015999999999999E-2</v>
      </c>
      <c r="Y134" s="63">
        <v>4.3394000000000002E-2</v>
      </c>
      <c r="Z134" s="63">
        <v>4.3643999999999995E-2</v>
      </c>
      <c r="AA134" s="63">
        <v>4.3796000000000002E-2</v>
      </c>
      <c r="AB134" s="63">
        <v>4.3883999999999999E-2</v>
      </c>
      <c r="AC134" s="63">
        <v>4.3944999999999998E-2</v>
      </c>
      <c r="AD134" s="63">
        <v>4.4016E-2</v>
      </c>
      <c r="AE134" s="63">
        <v>4.4138999999999998E-2</v>
      </c>
      <c r="AF134" s="63">
        <v>4.4359000000000003E-2</v>
      </c>
    </row>
    <row r="135" spans="1:32" x14ac:dyDescent="0.15">
      <c r="A135" s="1">
        <v>41107</v>
      </c>
      <c r="B135" s="63">
        <v>1.5771E-2</v>
      </c>
      <c r="C135" s="63">
        <v>2.2452999999999997E-2</v>
      </c>
      <c r="D135" s="63">
        <v>2.2616999999999998E-2</v>
      </c>
      <c r="E135" s="63">
        <v>2.4135E-2</v>
      </c>
      <c r="F135" s="63">
        <v>2.6312000000000002E-2</v>
      </c>
      <c r="G135" s="63">
        <v>2.8517999999999998E-2</v>
      </c>
      <c r="H135" s="63">
        <v>3.0533000000000001E-2</v>
      </c>
      <c r="I135" s="63">
        <v>3.1223000000000001E-2</v>
      </c>
      <c r="J135" s="63">
        <v>3.3425999999999997E-2</v>
      </c>
      <c r="K135" s="63">
        <v>3.3647000000000003E-2</v>
      </c>
      <c r="L135" s="63">
        <v>3.3647000000000003E-2</v>
      </c>
      <c r="M135" s="63">
        <v>3.3980000000000003E-2</v>
      </c>
      <c r="N135" s="63">
        <v>3.4722000000000003E-2</v>
      </c>
      <c r="O135" s="63">
        <v>3.5711E-2</v>
      </c>
      <c r="P135" s="63">
        <v>3.6775000000000002E-2</v>
      </c>
      <c r="Q135" s="63">
        <v>3.7728999999999999E-2</v>
      </c>
      <c r="R135" s="63">
        <v>3.8532000000000004E-2</v>
      </c>
      <c r="S135" s="63">
        <v>3.9289999999999999E-2</v>
      </c>
      <c r="T135" s="63">
        <v>4.0031999999999998E-2</v>
      </c>
      <c r="U135" s="63">
        <v>4.0787000000000004E-2</v>
      </c>
      <c r="V135" s="63">
        <v>4.1588E-2</v>
      </c>
      <c r="W135" s="63">
        <v>4.2325000000000002E-2</v>
      </c>
      <c r="X135" s="63">
        <v>4.2878999999999994E-2</v>
      </c>
      <c r="Y135" s="63">
        <v>4.3274E-2</v>
      </c>
      <c r="Z135" s="63">
        <v>4.3535999999999998E-2</v>
      </c>
      <c r="AA135" s="63">
        <v>4.3697999999999994E-2</v>
      </c>
      <c r="AB135" s="63">
        <v>4.3792999999999999E-2</v>
      </c>
      <c r="AC135" s="63">
        <v>4.3857E-2</v>
      </c>
      <c r="AD135" s="63">
        <v>4.3929999999999997E-2</v>
      </c>
      <c r="AE135" s="63">
        <v>4.4054000000000003E-2</v>
      </c>
      <c r="AF135" s="63">
        <v>4.4275000000000002E-2</v>
      </c>
    </row>
    <row r="136" spans="1:32" x14ac:dyDescent="0.15">
      <c r="A136" s="1">
        <v>41108</v>
      </c>
      <c r="B136" s="63">
        <v>1.8787999999999999E-2</v>
      </c>
      <c r="C136" s="63">
        <v>2.2513000000000002E-2</v>
      </c>
      <c r="D136" s="63">
        <v>2.2799999999999997E-2</v>
      </c>
      <c r="E136" s="63">
        <v>2.4161999999999999E-2</v>
      </c>
      <c r="F136" s="63">
        <v>2.6444000000000002E-2</v>
      </c>
      <c r="G136" s="63">
        <v>2.8595000000000002E-2</v>
      </c>
      <c r="H136" s="63">
        <v>3.0586000000000002E-2</v>
      </c>
      <c r="I136" s="63">
        <v>3.134E-2</v>
      </c>
      <c r="J136" s="63">
        <v>3.3530000000000004E-2</v>
      </c>
      <c r="K136" s="63">
        <v>3.3662999999999998E-2</v>
      </c>
      <c r="L136" s="63">
        <v>3.3642999999999999E-2</v>
      </c>
      <c r="M136" s="63">
        <v>3.3965000000000002E-2</v>
      </c>
      <c r="N136" s="63">
        <v>3.4707000000000002E-2</v>
      </c>
      <c r="O136" s="63">
        <v>3.5701999999999998E-2</v>
      </c>
      <c r="P136" s="63">
        <v>3.6775000000000002E-2</v>
      </c>
      <c r="Q136" s="63">
        <v>3.7734000000000004E-2</v>
      </c>
      <c r="R136" s="63">
        <v>3.8536000000000001E-2</v>
      </c>
      <c r="S136" s="63">
        <v>3.9294999999999997E-2</v>
      </c>
      <c r="T136" s="63">
        <v>4.0037000000000003E-2</v>
      </c>
      <c r="U136" s="63">
        <v>4.0792000000000002E-2</v>
      </c>
      <c r="V136" s="63">
        <v>4.1592999999999998E-2</v>
      </c>
      <c r="W136" s="63">
        <v>4.2331000000000001E-2</v>
      </c>
      <c r="X136" s="63">
        <v>4.2885E-2</v>
      </c>
      <c r="Y136" s="63">
        <v>4.3280000000000006E-2</v>
      </c>
      <c r="Z136" s="63">
        <v>4.3543000000000005E-2</v>
      </c>
      <c r="AA136" s="63">
        <v>4.3705000000000001E-2</v>
      </c>
      <c r="AB136" s="63">
        <v>4.3799000000000005E-2</v>
      </c>
      <c r="AC136" s="63">
        <v>4.3864E-2</v>
      </c>
      <c r="AD136" s="63">
        <v>4.3936999999999997E-2</v>
      </c>
      <c r="AE136" s="63">
        <v>4.4061000000000003E-2</v>
      </c>
      <c r="AF136" s="63">
        <v>4.4282000000000002E-2</v>
      </c>
    </row>
    <row r="137" spans="1:32" x14ac:dyDescent="0.15">
      <c r="A137" s="1">
        <v>41109</v>
      </c>
      <c r="B137" s="63">
        <v>1.9303999999999998E-2</v>
      </c>
      <c r="C137" s="63">
        <v>2.2591E-2</v>
      </c>
      <c r="D137" s="63">
        <v>2.3113000000000002E-2</v>
      </c>
      <c r="E137" s="63">
        <v>2.4319999999999998E-2</v>
      </c>
      <c r="F137" s="63">
        <v>2.6564000000000001E-2</v>
      </c>
      <c r="G137" s="63">
        <v>2.8551000000000003E-2</v>
      </c>
      <c r="H137" s="63">
        <v>3.0689000000000001E-2</v>
      </c>
      <c r="I137" s="63">
        <v>3.1257E-2</v>
      </c>
      <c r="J137" s="63">
        <v>3.3439999999999998E-2</v>
      </c>
      <c r="K137" s="63">
        <v>3.3647000000000003E-2</v>
      </c>
      <c r="L137" s="63">
        <v>3.3642999999999999E-2</v>
      </c>
      <c r="M137" s="63">
        <v>3.3975999999999999E-2</v>
      </c>
      <c r="N137" s="63">
        <v>3.4720000000000001E-2</v>
      </c>
      <c r="O137" s="63">
        <v>3.5711E-2</v>
      </c>
      <c r="P137" s="63">
        <v>3.6777999999999998E-2</v>
      </c>
      <c r="Q137" s="63">
        <v>3.7734000000000004E-2</v>
      </c>
      <c r="R137" s="63">
        <v>3.8537000000000002E-2</v>
      </c>
      <c r="S137" s="63">
        <v>3.9294999999999997E-2</v>
      </c>
      <c r="T137" s="63">
        <v>4.0037999999999997E-2</v>
      </c>
      <c r="U137" s="63">
        <v>4.0792999999999996E-2</v>
      </c>
      <c r="V137" s="63">
        <v>4.1593999999999999E-2</v>
      </c>
      <c r="W137" s="63">
        <v>4.2332000000000002E-2</v>
      </c>
      <c r="X137" s="63">
        <v>4.2887000000000002E-2</v>
      </c>
      <c r="Y137" s="63">
        <v>4.3281E-2</v>
      </c>
      <c r="Z137" s="63">
        <v>4.3543999999999999E-2</v>
      </c>
      <c r="AA137" s="63">
        <v>4.3705999999999995E-2</v>
      </c>
      <c r="AB137" s="63">
        <v>4.3801E-2</v>
      </c>
      <c r="AC137" s="63">
        <v>4.3865000000000001E-2</v>
      </c>
      <c r="AD137" s="63">
        <v>4.3937999999999998E-2</v>
      </c>
      <c r="AE137" s="63">
        <v>4.4062000000000004E-2</v>
      </c>
      <c r="AF137" s="63">
        <v>4.4283000000000003E-2</v>
      </c>
    </row>
    <row r="138" spans="1:32" x14ac:dyDescent="0.15">
      <c r="A138" s="1">
        <v>41110</v>
      </c>
      <c r="B138" s="63">
        <v>2.0716999999999999E-2</v>
      </c>
      <c r="C138" s="63">
        <v>2.2698999999999997E-2</v>
      </c>
      <c r="D138" s="63">
        <v>2.3073E-2</v>
      </c>
      <c r="E138" s="63">
        <v>2.402E-2</v>
      </c>
      <c r="F138" s="63">
        <v>2.6456E-2</v>
      </c>
      <c r="G138" s="63">
        <v>2.8458999999999998E-2</v>
      </c>
      <c r="H138" s="63">
        <v>3.0594E-2</v>
      </c>
      <c r="I138" s="63">
        <v>3.1173000000000003E-2</v>
      </c>
      <c r="J138" s="63">
        <v>3.3452999999999997E-2</v>
      </c>
      <c r="K138" s="63">
        <v>3.3609E-2</v>
      </c>
      <c r="L138" s="63">
        <v>3.3593999999999999E-2</v>
      </c>
      <c r="M138" s="63">
        <v>3.3919999999999999E-2</v>
      </c>
      <c r="N138" s="63">
        <v>3.4662999999999999E-2</v>
      </c>
      <c r="O138" s="63">
        <v>3.5657000000000001E-2</v>
      </c>
      <c r="P138" s="63">
        <v>3.6728000000000004E-2</v>
      </c>
      <c r="Q138" s="63">
        <v>3.7686000000000004E-2</v>
      </c>
      <c r="R138" s="63">
        <v>3.8484999999999998E-2</v>
      </c>
      <c r="S138" s="63">
        <v>3.9234999999999999E-2</v>
      </c>
      <c r="T138" s="63">
        <v>3.9966000000000002E-2</v>
      </c>
      <c r="U138" s="63">
        <v>4.0708000000000001E-2</v>
      </c>
      <c r="V138" s="63">
        <v>4.1498E-2</v>
      </c>
      <c r="W138" s="63">
        <v>4.2226E-2</v>
      </c>
      <c r="X138" s="63">
        <v>4.2771999999999998E-2</v>
      </c>
      <c r="Y138" s="63">
        <v>4.3159999999999997E-2</v>
      </c>
      <c r="Z138" s="63">
        <v>4.3418999999999999E-2</v>
      </c>
      <c r="AA138" s="63">
        <v>4.3579E-2</v>
      </c>
      <c r="AB138" s="63">
        <v>4.3674999999999999E-2</v>
      </c>
      <c r="AC138" s="63">
        <v>4.3742999999999997E-2</v>
      </c>
      <c r="AD138" s="63">
        <v>4.3823999999999995E-2</v>
      </c>
      <c r="AE138" s="63">
        <v>4.3958999999999998E-2</v>
      </c>
      <c r="AF138" s="63">
        <v>4.4195000000000005E-2</v>
      </c>
    </row>
    <row r="139" spans="1:32" x14ac:dyDescent="0.15">
      <c r="A139" s="1">
        <v>41113</v>
      </c>
      <c r="B139" s="63">
        <v>2.2722000000000003E-2</v>
      </c>
      <c r="C139" s="63">
        <v>2.2848999999999998E-2</v>
      </c>
      <c r="D139" s="63">
        <v>2.3136999999999998E-2</v>
      </c>
      <c r="E139" s="63">
        <v>2.4262000000000002E-2</v>
      </c>
      <c r="F139" s="63">
        <v>2.6457000000000001E-2</v>
      </c>
      <c r="G139" s="63">
        <v>2.8538999999999998E-2</v>
      </c>
      <c r="H139" s="63">
        <v>3.0436000000000001E-2</v>
      </c>
      <c r="I139" s="63">
        <v>3.1093000000000003E-2</v>
      </c>
      <c r="J139" s="63">
        <v>3.3392999999999999E-2</v>
      </c>
      <c r="K139" s="63">
        <v>3.3551999999999998E-2</v>
      </c>
      <c r="L139" s="63">
        <v>3.3537999999999998E-2</v>
      </c>
      <c r="M139" s="63">
        <v>3.3868000000000002E-2</v>
      </c>
      <c r="N139" s="63">
        <v>3.4611000000000003E-2</v>
      </c>
      <c r="O139" s="63">
        <v>3.5603999999999997E-2</v>
      </c>
      <c r="P139" s="63">
        <v>3.6672999999999997E-2</v>
      </c>
      <c r="Q139" s="63">
        <v>3.7629000000000003E-2</v>
      </c>
      <c r="R139" s="63">
        <v>3.8426999999999996E-2</v>
      </c>
      <c r="S139" s="63">
        <v>3.9176999999999997E-2</v>
      </c>
      <c r="T139" s="63">
        <v>3.9907999999999999E-2</v>
      </c>
      <c r="U139" s="63">
        <v>4.0650000000000006E-2</v>
      </c>
      <c r="V139" s="63">
        <v>4.1440000000000005E-2</v>
      </c>
      <c r="W139" s="63">
        <v>4.2172000000000001E-2</v>
      </c>
      <c r="X139" s="63">
        <v>4.2728999999999996E-2</v>
      </c>
      <c r="Y139" s="63">
        <v>4.3135000000000007E-2</v>
      </c>
      <c r="Z139" s="63">
        <v>4.3414000000000001E-2</v>
      </c>
      <c r="AA139" s="63">
        <v>4.3597000000000004E-2</v>
      </c>
      <c r="AB139" s="63">
        <v>4.3714000000000003E-2</v>
      </c>
      <c r="AC139" s="63">
        <v>4.3802000000000001E-2</v>
      </c>
      <c r="AD139" s="63">
        <v>4.3895999999999998E-2</v>
      </c>
      <c r="AE139" s="63">
        <v>4.4037E-2</v>
      </c>
      <c r="AF139" s="63">
        <v>4.4268000000000002E-2</v>
      </c>
    </row>
    <row r="140" spans="1:32" x14ac:dyDescent="0.15">
      <c r="A140" s="1">
        <v>41114</v>
      </c>
      <c r="B140" s="63">
        <v>1.8964000000000002E-2</v>
      </c>
      <c r="C140" s="63">
        <v>2.2890999999999998E-2</v>
      </c>
      <c r="D140" s="63">
        <v>2.3134000000000002E-2</v>
      </c>
      <c r="E140" s="63">
        <v>2.4184000000000001E-2</v>
      </c>
      <c r="F140" s="63">
        <v>2.6455000000000003E-2</v>
      </c>
      <c r="G140" s="63">
        <v>2.8521000000000001E-2</v>
      </c>
      <c r="H140" s="63">
        <v>3.0331E-2</v>
      </c>
      <c r="I140" s="63">
        <v>3.1258000000000001E-2</v>
      </c>
      <c r="J140" s="63">
        <v>3.3436E-2</v>
      </c>
      <c r="K140" s="63">
        <v>3.3555000000000001E-2</v>
      </c>
      <c r="L140" s="63">
        <v>3.3535000000000002E-2</v>
      </c>
      <c r="M140" s="63">
        <v>3.3862000000000003E-2</v>
      </c>
      <c r="N140" s="63">
        <v>3.4605000000000004E-2</v>
      </c>
      <c r="O140" s="63">
        <v>3.56E-2</v>
      </c>
      <c r="P140" s="63">
        <v>3.6671000000000002E-2</v>
      </c>
      <c r="Q140" s="63">
        <v>3.7627000000000001E-2</v>
      </c>
      <c r="R140" s="63">
        <v>3.8425000000000001E-2</v>
      </c>
      <c r="S140" s="63">
        <v>3.9175000000000001E-2</v>
      </c>
      <c r="T140" s="63">
        <v>3.9906000000000004E-2</v>
      </c>
      <c r="U140" s="63">
        <v>4.0648999999999998E-2</v>
      </c>
      <c r="V140" s="63">
        <v>4.1439000000000004E-2</v>
      </c>
      <c r="W140" s="63">
        <v>4.2172999999999995E-2</v>
      </c>
      <c r="X140" s="63">
        <v>4.2737999999999998E-2</v>
      </c>
      <c r="Y140" s="63">
        <v>4.3154999999999999E-2</v>
      </c>
      <c r="Z140" s="63">
        <v>4.3448000000000001E-2</v>
      </c>
      <c r="AA140" s="63">
        <v>4.3644999999999996E-2</v>
      </c>
      <c r="AB140" s="63">
        <v>4.3776999999999996E-2</v>
      </c>
      <c r="AC140" s="63">
        <v>4.3875999999999998E-2</v>
      </c>
      <c r="AD140" s="63">
        <v>4.3978999999999997E-2</v>
      </c>
      <c r="AE140" s="63">
        <v>4.4123000000000002E-2</v>
      </c>
      <c r="AF140" s="63">
        <v>4.4349999999999994E-2</v>
      </c>
    </row>
    <row r="141" spans="1:32" x14ac:dyDescent="0.15">
      <c r="A141" s="1">
        <v>41115</v>
      </c>
      <c r="B141" s="63">
        <v>1.6258999999999999E-2</v>
      </c>
      <c r="C141" s="63">
        <v>2.2818999999999999E-2</v>
      </c>
      <c r="D141" s="63">
        <v>2.3593000000000003E-2</v>
      </c>
      <c r="E141" s="63">
        <v>2.5107000000000001E-2</v>
      </c>
      <c r="F141" s="63">
        <v>2.6617000000000002E-2</v>
      </c>
      <c r="G141" s="63">
        <v>2.8527999999999998E-2</v>
      </c>
      <c r="H141" s="63">
        <v>3.0421999999999998E-2</v>
      </c>
      <c r="I141" s="63">
        <v>3.1301999999999996E-2</v>
      </c>
      <c r="J141" s="63">
        <v>3.3410999999999996E-2</v>
      </c>
      <c r="K141" s="63">
        <v>3.3531999999999999E-2</v>
      </c>
      <c r="L141" s="63">
        <v>3.3515000000000003E-2</v>
      </c>
      <c r="M141" s="63">
        <v>3.3843999999999999E-2</v>
      </c>
      <c r="N141" s="63">
        <v>3.4589000000000002E-2</v>
      </c>
      <c r="O141" s="63">
        <v>3.5583999999999998E-2</v>
      </c>
      <c r="P141" s="63">
        <v>3.6655E-2</v>
      </c>
      <c r="Q141" s="63">
        <v>3.7610999999999999E-2</v>
      </c>
      <c r="R141" s="63">
        <v>3.8408999999999999E-2</v>
      </c>
      <c r="S141" s="63">
        <v>3.9158999999999999E-2</v>
      </c>
      <c r="T141" s="63">
        <v>3.9891000000000003E-2</v>
      </c>
      <c r="U141" s="63">
        <v>4.0633999999999997E-2</v>
      </c>
      <c r="V141" s="63">
        <v>4.1425000000000003E-2</v>
      </c>
      <c r="W141" s="63">
        <v>4.2159000000000002E-2</v>
      </c>
      <c r="X141" s="63">
        <v>4.2724999999999999E-2</v>
      </c>
      <c r="Y141" s="63">
        <v>4.3141999999999993E-2</v>
      </c>
      <c r="Z141" s="63">
        <v>4.3436000000000002E-2</v>
      </c>
      <c r="AA141" s="63">
        <v>4.3632999999999998E-2</v>
      </c>
      <c r="AB141" s="63">
        <v>4.3765999999999999E-2</v>
      </c>
      <c r="AC141" s="63">
        <v>4.3865999999999995E-2</v>
      </c>
      <c r="AD141" s="63">
        <v>4.3968999999999994E-2</v>
      </c>
      <c r="AE141" s="63">
        <v>4.4114000000000007E-2</v>
      </c>
      <c r="AF141" s="63">
        <v>4.4340999999999998E-2</v>
      </c>
    </row>
    <row r="142" spans="1:32" x14ac:dyDescent="0.15">
      <c r="A142" s="1">
        <v>41116</v>
      </c>
      <c r="B142" s="63">
        <v>1.6046999999999999E-2</v>
      </c>
      <c r="C142" s="63">
        <v>2.2780000000000002E-2</v>
      </c>
      <c r="D142" s="63">
        <v>2.3626000000000001E-2</v>
      </c>
      <c r="E142" s="63">
        <v>2.6019999999999998E-2</v>
      </c>
      <c r="F142" s="63">
        <v>2.6549E-2</v>
      </c>
      <c r="G142" s="63">
        <v>2.8502999999999997E-2</v>
      </c>
      <c r="H142" s="63">
        <v>3.0415999999999999E-2</v>
      </c>
      <c r="I142" s="63">
        <v>3.1300000000000001E-2</v>
      </c>
      <c r="J142" s="63">
        <v>3.3312000000000001E-2</v>
      </c>
      <c r="K142" s="63">
        <v>3.3512E-2</v>
      </c>
      <c r="L142" s="63">
        <v>3.3513000000000001E-2</v>
      </c>
      <c r="M142" s="63">
        <v>3.3854999999999996E-2</v>
      </c>
      <c r="N142" s="63">
        <v>3.4601E-2</v>
      </c>
      <c r="O142" s="63">
        <v>3.5590000000000004E-2</v>
      </c>
      <c r="P142" s="63">
        <v>3.6652999999999998E-2</v>
      </c>
      <c r="Q142" s="63">
        <v>3.7605E-2</v>
      </c>
      <c r="R142" s="63">
        <v>3.8403E-2</v>
      </c>
      <c r="S142" s="63">
        <v>3.9154000000000001E-2</v>
      </c>
      <c r="T142" s="63">
        <v>3.9885000000000004E-2</v>
      </c>
      <c r="U142" s="63">
        <v>4.0628999999999998E-2</v>
      </c>
      <c r="V142" s="63">
        <v>4.1420000000000005E-2</v>
      </c>
      <c r="W142" s="63">
        <v>4.2161999999999998E-2</v>
      </c>
      <c r="X142" s="63">
        <v>4.2748000000000001E-2</v>
      </c>
      <c r="Y142" s="63">
        <v>4.3196000000000005E-2</v>
      </c>
      <c r="Z142" s="63">
        <v>4.3525999999999995E-2</v>
      </c>
      <c r="AA142" s="63">
        <v>4.3761999999999995E-2</v>
      </c>
      <c r="AB142" s="63">
        <v>4.3929000000000003E-2</v>
      </c>
      <c r="AC142" s="63">
        <v>4.4055999999999998E-2</v>
      </c>
      <c r="AD142" s="63">
        <v>4.4172999999999997E-2</v>
      </c>
      <c r="AE142" s="63">
        <v>4.4313000000000005E-2</v>
      </c>
      <c r="AF142" s="63">
        <v>4.4512000000000003E-2</v>
      </c>
    </row>
    <row r="143" spans="1:32" x14ac:dyDescent="0.15">
      <c r="A143" s="1">
        <v>41117</v>
      </c>
      <c r="B143" s="63">
        <v>1.5446E-2</v>
      </c>
      <c r="C143" s="63">
        <v>2.2976999999999997E-2</v>
      </c>
      <c r="D143" s="63">
        <v>2.3698999999999998E-2</v>
      </c>
      <c r="E143" s="63">
        <v>2.6291999999999999E-2</v>
      </c>
      <c r="F143" s="63">
        <v>2.6683999999999999E-2</v>
      </c>
      <c r="G143" s="63">
        <v>2.8714E-2</v>
      </c>
      <c r="H143" s="63">
        <v>3.0457999999999999E-2</v>
      </c>
      <c r="I143" s="63">
        <v>3.1331999999999999E-2</v>
      </c>
      <c r="J143" s="63">
        <v>3.3300000000000003E-2</v>
      </c>
      <c r="K143" s="63">
        <v>3.3498E-2</v>
      </c>
      <c r="L143" s="63">
        <v>3.3500000000000002E-2</v>
      </c>
      <c r="M143" s="63">
        <v>3.3845E-2</v>
      </c>
      <c r="N143" s="63">
        <v>3.4591999999999998E-2</v>
      </c>
      <c r="O143" s="63">
        <v>3.5581000000000002E-2</v>
      </c>
      <c r="P143" s="63">
        <v>3.6644000000000003E-2</v>
      </c>
      <c r="Q143" s="63">
        <v>3.7595000000000003E-2</v>
      </c>
      <c r="R143" s="63">
        <v>3.8393000000000004E-2</v>
      </c>
      <c r="S143" s="63">
        <v>3.9143999999999998E-2</v>
      </c>
      <c r="T143" s="63">
        <v>3.9876000000000002E-2</v>
      </c>
      <c r="U143" s="63">
        <v>4.0620999999999997E-2</v>
      </c>
      <c r="V143" s="63">
        <v>4.1410999999999996E-2</v>
      </c>
      <c r="W143" s="63">
        <v>4.2153999999999997E-2</v>
      </c>
      <c r="X143" s="63">
        <v>4.274E-2</v>
      </c>
      <c r="Y143" s="63">
        <v>4.3188000000000004E-2</v>
      </c>
      <c r="Z143" s="63">
        <v>4.3518999999999995E-2</v>
      </c>
      <c r="AA143" s="63">
        <v>4.3754999999999995E-2</v>
      </c>
      <c r="AB143" s="63">
        <v>4.3921999999999996E-2</v>
      </c>
      <c r="AC143" s="63">
        <v>4.4048999999999998E-2</v>
      </c>
      <c r="AD143" s="63">
        <v>4.4166999999999998E-2</v>
      </c>
      <c r="AE143" s="63">
        <v>4.4306999999999999E-2</v>
      </c>
      <c r="AF143" s="63">
        <v>4.4505999999999997E-2</v>
      </c>
    </row>
    <row r="144" spans="1:32" x14ac:dyDescent="0.15">
      <c r="A144" s="1">
        <v>41120</v>
      </c>
      <c r="B144" s="63">
        <v>1.4729000000000001E-2</v>
      </c>
      <c r="C144" s="63">
        <v>2.2952E-2</v>
      </c>
      <c r="D144" s="63">
        <v>2.3689000000000002E-2</v>
      </c>
      <c r="E144" s="63">
        <v>2.6269999999999998E-2</v>
      </c>
      <c r="F144" s="63">
        <v>2.6627000000000001E-2</v>
      </c>
      <c r="G144" s="63">
        <v>2.8820000000000002E-2</v>
      </c>
      <c r="H144" s="63">
        <v>3.0630999999999999E-2</v>
      </c>
      <c r="I144" s="63">
        <v>3.1347E-2</v>
      </c>
      <c r="J144" s="63">
        <v>3.3271000000000002E-2</v>
      </c>
      <c r="K144" s="63">
        <v>3.3479000000000002E-2</v>
      </c>
      <c r="L144" s="63">
        <v>3.3485999999999995E-2</v>
      </c>
      <c r="M144" s="63">
        <v>3.3836999999999999E-2</v>
      </c>
      <c r="N144" s="63">
        <v>3.4584999999999998E-2</v>
      </c>
      <c r="O144" s="63">
        <v>3.5571999999999999E-2</v>
      </c>
      <c r="P144" s="63">
        <v>3.6630999999999997E-2</v>
      </c>
      <c r="Q144" s="63">
        <v>3.7580000000000002E-2</v>
      </c>
      <c r="R144" s="63">
        <v>3.8377000000000001E-2</v>
      </c>
      <c r="S144" s="63">
        <v>3.9127999999999996E-2</v>
      </c>
      <c r="T144" s="63">
        <v>3.9861000000000001E-2</v>
      </c>
      <c r="U144" s="63">
        <v>4.0606000000000003E-2</v>
      </c>
      <c r="V144" s="63">
        <v>4.1395999999999995E-2</v>
      </c>
      <c r="W144" s="63">
        <v>4.2138999999999996E-2</v>
      </c>
      <c r="X144" s="63">
        <v>4.2726E-2</v>
      </c>
      <c r="Y144" s="63">
        <v>4.3174000000000004E-2</v>
      </c>
      <c r="Z144" s="63">
        <v>4.3503999999999994E-2</v>
      </c>
      <c r="AA144" s="63">
        <v>4.3739999999999994E-2</v>
      </c>
      <c r="AB144" s="63">
        <v>4.3907999999999996E-2</v>
      </c>
      <c r="AC144" s="63">
        <v>4.4035000000000005E-2</v>
      </c>
      <c r="AD144" s="63">
        <v>4.4151999999999997E-2</v>
      </c>
      <c r="AE144" s="63">
        <v>4.4292999999999999E-2</v>
      </c>
      <c r="AF144" s="63">
        <v>4.4490999999999996E-2</v>
      </c>
    </row>
    <row r="145" spans="1:32" x14ac:dyDescent="0.15">
      <c r="A145" s="1">
        <v>41121</v>
      </c>
      <c r="B145" s="63">
        <v>1.5429999999999999E-2</v>
      </c>
      <c r="C145" s="63">
        <v>2.3077E-2</v>
      </c>
      <c r="D145" s="63">
        <v>2.3861E-2</v>
      </c>
      <c r="E145" s="63">
        <v>2.6507999999999997E-2</v>
      </c>
      <c r="F145" s="63">
        <v>2.6744E-2</v>
      </c>
      <c r="G145" s="63">
        <v>2.9009999999999998E-2</v>
      </c>
      <c r="H145" s="63">
        <v>3.0788000000000003E-2</v>
      </c>
      <c r="I145" s="63">
        <v>3.1579000000000003E-2</v>
      </c>
      <c r="J145" s="63">
        <v>3.3249000000000001E-2</v>
      </c>
      <c r="K145" s="63">
        <v>3.3599000000000004E-2</v>
      </c>
      <c r="L145" s="63">
        <v>3.3655999999999998E-2</v>
      </c>
      <c r="M145" s="63">
        <v>3.4041000000000002E-2</v>
      </c>
      <c r="N145" s="63">
        <v>3.4772999999999998E-2</v>
      </c>
      <c r="O145" s="63">
        <v>3.5715999999999998E-2</v>
      </c>
      <c r="P145" s="63">
        <v>3.6722999999999999E-2</v>
      </c>
      <c r="Q145" s="63">
        <v>3.7635999999999996E-2</v>
      </c>
      <c r="R145" s="63">
        <v>3.8420999999999997E-2</v>
      </c>
      <c r="S145" s="63">
        <v>3.9171999999999998E-2</v>
      </c>
      <c r="T145" s="63">
        <v>3.9911000000000002E-2</v>
      </c>
      <c r="U145" s="63">
        <v>4.0663999999999999E-2</v>
      </c>
      <c r="V145" s="63">
        <v>4.1459000000000003E-2</v>
      </c>
      <c r="W145" s="63">
        <v>4.2205000000000006E-2</v>
      </c>
      <c r="X145" s="63">
        <v>4.2796000000000001E-2</v>
      </c>
      <c r="Y145" s="63">
        <v>4.3250999999999998E-2</v>
      </c>
      <c r="Z145" s="63">
        <v>4.3587999999999995E-2</v>
      </c>
      <c r="AA145" s="63">
        <v>4.3830000000000001E-2</v>
      </c>
      <c r="AB145" s="63">
        <v>4.4001999999999999E-2</v>
      </c>
      <c r="AC145" s="63">
        <v>4.4130000000000003E-2</v>
      </c>
      <c r="AD145" s="63">
        <v>4.4244000000000006E-2</v>
      </c>
      <c r="AE145" s="63">
        <v>4.4374000000000004E-2</v>
      </c>
      <c r="AF145" s="63">
        <v>4.4554000000000003E-2</v>
      </c>
    </row>
    <row r="146" spans="1:32" x14ac:dyDescent="0.15">
      <c r="A146" s="1">
        <v>41122</v>
      </c>
      <c r="B146" s="63">
        <v>1.5639E-2</v>
      </c>
      <c r="C146" s="63">
        <v>2.3277000000000003E-2</v>
      </c>
      <c r="D146" s="63">
        <v>2.3762999999999999E-2</v>
      </c>
      <c r="E146" s="63">
        <v>2.6404E-2</v>
      </c>
      <c r="F146" s="63">
        <v>2.6758999999999998E-2</v>
      </c>
      <c r="G146" s="63">
        <v>2.9047999999999997E-2</v>
      </c>
      <c r="H146" s="63">
        <v>3.0934E-2</v>
      </c>
      <c r="I146" s="63">
        <v>3.1653000000000001E-2</v>
      </c>
      <c r="J146" s="63">
        <v>3.3197999999999998E-2</v>
      </c>
      <c r="K146" s="63">
        <v>3.3579999999999999E-2</v>
      </c>
      <c r="L146" s="63">
        <v>3.3660999999999996E-2</v>
      </c>
      <c r="M146" s="63">
        <v>3.4068999999999995E-2</v>
      </c>
      <c r="N146" s="63">
        <v>3.4803000000000001E-2</v>
      </c>
      <c r="O146" s="63">
        <v>3.5734000000000002E-2</v>
      </c>
      <c r="P146" s="63">
        <v>3.6725000000000001E-2</v>
      </c>
      <c r="Q146" s="63">
        <v>3.7630999999999998E-2</v>
      </c>
      <c r="R146" s="63">
        <v>3.8415999999999999E-2</v>
      </c>
      <c r="S146" s="63">
        <v>3.9165999999999999E-2</v>
      </c>
      <c r="T146" s="63">
        <v>3.9906000000000004E-2</v>
      </c>
      <c r="U146" s="63">
        <v>4.0659000000000001E-2</v>
      </c>
      <c r="V146" s="63">
        <v>4.1454999999999999E-2</v>
      </c>
      <c r="W146" s="63">
        <v>4.2199999999999994E-2</v>
      </c>
      <c r="X146" s="63">
        <v>4.2792000000000004E-2</v>
      </c>
      <c r="Y146" s="63">
        <v>4.3246E-2</v>
      </c>
      <c r="Z146" s="63">
        <v>4.3583999999999998E-2</v>
      </c>
      <c r="AA146" s="63">
        <v>4.3826000000000004E-2</v>
      </c>
      <c r="AB146" s="63">
        <v>4.3998000000000002E-2</v>
      </c>
      <c r="AC146" s="63">
        <v>4.4126000000000005E-2</v>
      </c>
      <c r="AD146" s="63">
        <v>4.4240000000000002E-2</v>
      </c>
      <c r="AE146" s="63">
        <v>4.437E-2</v>
      </c>
      <c r="AF146" s="63">
        <v>4.4551E-2</v>
      </c>
    </row>
    <row r="147" spans="1:32" x14ac:dyDescent="0.15">
      <c r="A147" s="1">
        <v>41123</v>
      </c>
      <c r="B147" s="63">
        <v>1.4820999999999999E-2</v>
      </c>
      <c r="C147" s="63">
        <v>2.3306E-2</v>
      </c>
      <c r="D147" s="63">
        <v>2.3733000000000001E-2</v>
      </c>
      <c r="E147" s="63">
        <v>2.6461000000000002E-2</v>
      </c>
      <c r="F147" s="63">
        <v>2.6779999999999998E-2</v>
      </c>
      <c r="G147" s="63">
        <v>2.8938999999999999E-2</v>
      </c>
      <c r="H147" s="63">
        <v>3.0861E-2</v>
      </c>
      <c r="I147" s="63">
        <v>3.1629999999999998E-2</v>
      </c>
      <c r="J147" s="63">
        <v>3.3216000000000002E-2</v>
      </c>
      <c r="K147" s="63">
        <v>3.3538999999999999E-2</v>
      </c>
      <c r="L147" s="63">
        <v>3.3591999999999997E-2</v>
      </c>
      <c r="M147" s="63">
        <v>3.3980999999999997E-2</v>
      </c>
      <c r="N147" s="63">
        <v>3.4722000000000003E-2</v>
      </c>
      <c r="O147" s="63">
        <v>3.5675999999999999E-2</v>
      </c>
      <c r="P147" s="63">
        <v>3.6695000000000005E-2</v>
      </c>
      <c r="Q147" s="63">
        <v>3.7617999999999999E-2</v>
      </c>
      <c r="R147" s="63">
        <v>3.8408999999999999E-2</v>
      </c>
      <c r="S147" s="63">
        <v>3.9158999999999999E-2</v>
      </c>
      <c r="T147" s="63">
        <v>3.9896000000000001E-2</v>
      </c>
      <c r="U147" s="63">
        <v>4.0646000000000002E-2</v>
      </c>
      <c r="V147" s="63">
        <v>4.1440000000000005E-2</v>
      </c>
      <c r="W147" s="63">
        <v>4.2185E-2</v>
      </c>
      <c r="X147" s="63">
        <v>4.2775000000000001E-2</v>
      </c>
      <c r="Y147" s="63">
        <v>4.3228000000000003E-2</v>
      </c>
      <c r="Z147" s="63">
        <v>4.3562999999999998E-2</v>
      </c>
      <c r="AA147" s="63">
        <v>4.3803999999999996E-2</v>
      </c>
      <c r="AB147" s="63">
        <v>4.3975E-2</v>
      </c>
      <c r="AC147" s="63">
        <v>4.4103000000000003E-2</v>
      </c>
      <c r="AD147" s="63">
        <v>4.4217000000000006E-2</v>
      </c>
      <c r="AE147" s="63">
        <v>4.4349999999999994E-2</v>
      </c>
      <c r="AF147" s="63">
        <v>4.4534999999999998E-2</v>
      </c>
    </row>
    <row r="148" spans="1:32" x14ac:dyDescent="0.15">
      <c r="A148" s="1">
        <v>41124</v>
      </c>
      <c r="B148" s="63">
        <v>1.448E-2</v>
      </c>
      <c r="C148" s="63">
        <v>2.3553000000000001E-2</v>
      </c>
      <c r="D148" s="63">
        <v>2.3856000000000002E-2</v>
      </c>
      <c r="E148" s="63">
        <v>2.6568000000000001E-2</v>
      </c>
      <c r="F148" s="63">
        <v>2.6782E-2</v>
      </c>
      <c r="G148" s="63">
        <v>2.9019E-2</v>
      </c>
      <c r="H148" s="63">
        <v>3.0935999999999998E-2</v>
      </c>
      <c r="I148" s="63">
        <v>3.1690000000000003E-2</v>
      </c>
      <c r="J148" s="63">
        <v>3.3250000000000002E-2</v>
      </c>
      <c r="K148" s="63">
        <v>3.3575000000000001E-2</v>
      </c>
      <c r="L148" s="63">
        <v>3.3631000000000001E-2</v>
      </c>
      <c r="M148" s="63">
        <v>3.4020000000000002E-2</v>
      </c>
      <c r="N148" s="63">
        <v>3.4756999999999996E-2</v>
      </c>
      <c r="O148" s="63">
        <v>3.5704E-2</v>
      </c>
      <c r="P148" s="63">
        <v>3.6714999999999998E-2</v>
      </c>
      <c r="Q148" s="63">
        <v>3.7630999999999998E-2</v>
      </c>
      <c r="R148" s="63">
        <v>3.8418000000000001E-2</v>
      </c>
      <c r="S148" s="63">
        <v>3.9169000000000002E-2</v>
      </c>
      <c r="T148" s="63">
        <v>3.9906999999999998E-2</v>
      </c>
      <c r="U148" s="63">
        <v>4.0660000000000002E-2</v>
      </c>
      <c r="V148" s="63">
        <v>4.1454999999999999E-2</v>
      </c>
      <c r="W148" s="63">
        <v>4.2199999999999994E-2</v>
      </c>
      <c r="X148" s="63">
        <v>4.2792000000000004E-2</v>
      </c>
      <c r="Y148" s="63">
        <v>4.3247000000000001E-2</v>
      </c>
      <c r="Z148" s="63">
        <v>4.3583999999999998E-2</v>
      </c>
      <c r="AA148" s="63">
        <v>4.3826999999999998E-2</v>
      </c>
      <c r="AB148" s="63">
        <v>4.3998999999999996E-2</v>
      </c>
      <c r="AC148" s="63">
        <v>4.4127E-2</v>
      </c>
      <c r="AD148" s="63">
        <v>4.4241000000000003E-2</v>
      </c>
      <c r="AE148" s="63">
        <v>4.4371000000000001E-2</v>
      </c>
      <c r="AF148" s="63">
        <v>4.4551E-2</v>
      </c>
    </row>
    <row r="149" spans="1:32" x14ac:dyDescent="0.15">
      <c r="A149" s="1">
        <v>41127</v>
      </c>
      <c r="B149" s="63">
        <v>1.423E-2</v>
      </c>
      <c r="C149" s="63">
        <v>2.3727999999999999E-2</v>
      </c>
      <c r="D149" s="63">
        <v>2.4296999999999999E-2</v>
      </c>
      <c r="E149" s="63">
        <v>2.6852000000000001E-2</v>
      </c>
      <c r="F149" s="63">
        <v>2.7078999999999999E-2</v>
      </c>
      <c r="G149" s="63">
        <v>2.9314E-2</v>
      </c>
      <c r="H149" s="63">
        <v>3.1174E-2</v>
      </c>
      <c r="I149" s="63">
        <v>3.1878999999999998E-2</v>
      </c>
      <c r="J149" s="63">
        <v>3.3242000000000001E-2</v>
      </c>
      <c r="K149" s="63">
        <v>3.3694000000000002E-2</v>
      </c>
      <c r="L149" s="63">
        <v>3.3835999999999998E-2</v>
      </c>
      <c r="M149" s="63">
        <v>3.4294999999999999E-2</v>
      </c>
      <c r="N149" s="63">
        <v>3.5014999999999998E-2</v>
      </c>
      <c r="O149" s="63">
        <v>3.5893000000000001E-2</v>
      </c>
      <c r="P149" s="63">
        <v>3.6823000000000002E-2</v>
      </c>
      <c r="Q149" s="63">
        <v>3.7687999999999999E-2</v>
      </c>
      <c r="R149" s="63">
        <v>3.8460000000000001E-2</v>
      </c>
      <c r="S149" s="63">
        <v>3.9209999999999995E-2</v>
      </c>
      <c r="T149" s="63">
        <v>3.9956999999999999E-2</v>
      </c>
      <c r="U149" s="63">
        <v>4.0719999999999999E-2</v>
      </c>
      <c r="V149" s="63">
        <v>4.1521000000000002E-2</v>
      </c>
      <c r="W149" s="63">
        <v>4.2268999999999994E-2</v>
      </c>
      <c r="X149" s="63">
        <v>4.2866999999999995E-2</v>
      </c>
      <c r="Y149" s="63">
        <v>4.333E-2</v>
      </c>
      <c r="Z149" s="63">
        <v>4.3676000000000006E-2</v>
      </c>
      <c r="AA149" s="63">
        <v>4.3926E-2</v>
      </c>
      <c r="AB149" s="63">
        <v>4.4103000000000003E-2</v>
      </c>
      <c r="AC149" s="63">
        <v>4.4231999999999994E-2</v>
      </c>
      <c r="AD149" s="63">
        <v>4.4340999999999998E-2</v>
      </c>
      <c r="AE149" s="63">
        <v>4.446E-2</v>
      </c>
      <c r="AF149" s="63">
        <v>4.4618000000000005E-2</v>
      </c>
    </row>
    <row r="150" spans="1:32" x14ac:dyDescent="0.15">
      <c r="A150" s="1">
        <v>41128</v>
      </c>
      <c r="B150" s="63">
        <v>1.4791E-2</v>
      </c>
      <c r="C150" s="63">
        <v>2.4077999999999999E-2</v>
      </c>
      <c r="D150" s="63">
        <v>2.5832999999999998E-2</v>
      </c>
      <c r="E150" s="63">
        <v>2.7134000000000002E-2</v>
      </c>
      <c r="F150" s="63">
        <v>2.7288999999999997E-2</v>
      </c>
      <c r="G150" s="63">
        <v>2.9557000000000003E-2</v>
      </c>
      <c r="H150" s="63">
        <v>3.1244999999999998E-2</v>
      </c>
      <c r="I150" s="63">
        <v>3.2163999999999998E-2</v>
      </c>
      <c r="J150" s="63">
        <v>3.3319999999999995E-2</v>
      </c>
      <c r="K150" s="63">
        <v>3.3861000000000002E-2</v>
      </c>
      <c r="L150" s="63">
        <v>3.4034000000000002E-2</v>
      </c>
      <c r="M150" s="63">
        <v>3.4522999999999998E-2</v>
      </c>
      <c r="N150" s="63">
        <v>3.5220000000000001E-2</v>
      </c>
      <c r="O150" s="63">
        <v>3.6046999999999996E-2</v>
      </c>
      <c r="P150" s="63">
        <v>3.6922999999999997E-2</v>
      </c>
      <c r="Q150" s="63">
        <v>3.7758E-2</v>
      </c>
      <c r="R150" s="63">
        <v>3.8528E-2</v>
      </c>
      <c r="S150" s="63">
        <v>3.9279000000000001E-2</v>
      </c>
      <c r="T150" s="63">
        <v>4.0029000000000002E-2</v>
      </c>
      <c r="U150" s="63">
        <v>4.0795999999999999E-2</v>
      </c>
      <c r="V150" s="63">
        <v>4.1599999999999998E-2</v>
      </c>
      <c r="W150" s="63">
        <v>4.2352000000000001E-2</v>
      </c>
      <c r="X150" s="63">
        <v>4.2956000000000001E-2</v>
      </c>
      <c r="Y150" s="63">
        <v>4.3428000000000001E-2</v>
      </c>
      <c r="Z150" s="63">
        <v>4.3784000000000003E-2</v>
      </c>
      <c r="AA150" s="63">
        <v>4.4042999999999999E-2</v>
      </c>
      <c r="AB150" s="63">
        <v>4.4226000000000001E-2</v>
      </c>
      <c r="AC150" s="63">
        <v>4.4357000000000001E-2</v>
      </c>
      <c r="AD150" s="63">
        <v>4.446E-2</v>
      </c>
      <c r="AE150" s="63">
        <v>4.4564000000000006E-2</v>
      </c>
      <c r="AF150" s="63">
        <v>4.4698000000000002E-2</v>
      </c>
    </row>
    <row r="151" spans="1:32" x14ac:dyDescent="0.15">
      <c r="A151" s="1">
        <v>41129</v>
      </c>
      <c r="B151" s="63">
        <v>1.4929E-2</v>
      </c>
      <c r="C151" s="63">
        <v>2.4378E-2</v>
      </c>
      <c r="D151" s="63">
        <v>2.6148999999999999E-2</v>
      </c>
      <c r="E151" s="63">
        <v>2.7389E-2</v>
      </c>
      <c r="F151" s="63">
        <v>2.7595000000000001E-2</v>
      </c>
      <c r="G151" s="63">
        <v>2.9996999999999999E-2</v>
      </c>
      <c r="H151" s="63">
        <v>3.1718000000000003E-2</v>
      </c>
      <c r="I151" s="63">
        <v>3.2400000000000005E-2</v>
      </c>
      <c r="J151" s="63">
        <v>3.3464999999999995E-2</v>
      </c>
      <c r="K151" s="63">
        <v>3.4028999999999997E-2</v>
      </c>
      <c r="L151" s="63">
        <v>3.4283000000000001E-2</v>
      </c>
      <c r="M151" s="63">
        <v>3.4803000000000001E-2</v>
      </c>
      <c r="N151" s="63">
        <v>3.5478000000000003E-2</v>
      </c>
      <c r="O151" s="63">
        <v>3.6251000000000005E-2</v>
      </c>
      <c r="P151" s="63">
        <v>3.7062999999999999E-2</v>
      </c>
      <c r="Q151" s="63">
        <v>3.7850000000000002E-2</v>
      </c>
      <c r="R151" s="63">
        <v>3.8599000000000001E-2</v>
      </c>
      <c r="S151" s="63">
        <v>3.9348999999999995E-2</v>
      </c>
      <c r="T151" s="63">
        <v>4.011E-2</v>
      </c>
      <c r="U151" s="63">
        <v>4.0891000000000004E-2</v>
      </c>
      <c r="V151" s="63">
        <v>4.1702000000000003E-2</v>
      </c>
      <c r="W151" s="63">
        <v>4.2458000000000003E-2</v>
      </c>
      <c r="X151" s="63">
        <v>4.3071999999999999E-2</v>
      </c>
      <c r="Y151" s="63">
        <v>4.3555000000000003E-2</v>
      </c>
      <c r="Z151" s="63">
        <v>4.3922999999999997E-2</v>
      </c>
      <c r="AA151" s="63">
        <v>4.4192000000000002E-2</v>
      </c>
      <c r="AB151" s="63">
        <v>4.4382000000000005E-2</v>
      </c>
      <c r="AC151" s="63">
        <v>4.4513999999999998E-2</v>
      </c>
      <c r="AD151" s="63">
        <v>4.4610999999999998E-2</v>
      </c>
      <c r="AE151" s="63">
        <v>4.4698000000000002E-2</v>
      </c>
      <c r="AF151" s="63">
        <v>4.4800000000000006E-2</v>
      </c>
    </row>
    <row r="152" spans="1:32" x14ac:dyDescent="0.15">
      <c r="A152" s="1">
        <v>41130</v>
      </c>
      <c r="B152" s="63">
        <v>1.5438E-2</v>
      </c>
      <c r="C152" s="63">
        <v>2.4381E-2</v>
      </c>
      <c r="D152" s="63">
        <v>2.6053000000000003E-2</v>
      </c>
      <c r="E152" s="63">
        <v>2.6998000000000001E-2</v>
      </c>
      <c r="F152" s="63">
        <v>2.7564999999999999E-2</v>
      </c>
      <c r="G152" s="63">
        <v>2.9910000000000003E-2</v>
      </c>
      <c r="H152" s="63">
        <v>3.1567999999999999E-2</v>
      </c>
      <c r="I152" s="63">
        <v>3.2294000000000003E-2</v>
      </c>
      <c r="J152" s="63">
        <v>3.3430000000000001E-2</v>
      </c>
      <c r="K152" s="63">
        <v>3.3645999999999995E-2</v>
      </c>
      <c r="L152" s="63">
        <v>3.3681000000000003E-2</v>
      </c>
      <c r="M152" s="63">
        <v>3.4055000000000002E-2</v>
      </c>
      <c r="N152" s="63">
        <v>3.4787999999999999E-2</v>
      </c>
      <c r="O152" s="63">
        <v>3.5736999999999998E-2</v>
      </c>
      <c r="P152" s="63">
        <v>3.6749999999999998E-2</v>
      </c>
      <c r="Q152" s="63">
        <v>3.7662000000000001E-2</v>
      </c>
      <c r="R152" s="63">
        <v>3.8443999999999999E-2</v>
      </c>
      <c r="S152" s="63">
        <v>3.9197000000000003E-2</v>
      </c>
      <c r="T152" s="63">
        <v>3.9940000000000003E-2</v>
      </c>
      <c r="U152" s="63">
        <v>4.0698999999999999E-2</v>
      </c>
      <c r="V152" s="63">
        <v>4.1498E-2</v>
      </c>
      <c r="W152" s="63">
        <v>4.2247000000000007E-2</v>
      </c>
      <c r="X152" s="63">
        <v>4.2846000000000002E-2</v>
      </c>
      <c r="Y152" s="63">
        <v>4.3309E-2</v>
      </c>
      <c r="Z152" s="63">
        <v>4.3656E-2</v>
      </c>
      <c r="AA152" s="63">
        <v>4.3907000000000002E-2</v>
      </c>
      <c r="AB152" s="63">
        <v>4.4084999999999999E-2</v>
      </c>
      <c r="AC152" s="63">
        <v>4.4214999999999997E-2</v>
      </c>
      <c r="AD152" s="63">
        <v>4.4325000000000003E-2</v>
      </c>
      <c r="AE152" s="63">
        <v>4.4443000000000003E-2</v>
      </c>
      <c r="AF152" s="63">
        <v>4.4602000000000003E-2</v>
      </c>
    </row>
    <row r="153" spans="1:32" x14ac:dyDescent="0.15">
      <c r="A153" s="1">
        <v>41131</v>
      </c>
      <c r="B153" s="63">
        <v>1.6039000000000001E-2</v>
      </c>
      <c r="C153" s="63">
        <v>2.3959000000000001E-2</v>
      </c>
      <c r="D153" s="63">
        <v>2.5932E-2</v>
      </c>
      <c r="E153" s="63">
        <v>2.6785999999999997E-2</v>
      </c>
      <c r="F153" s="63">
        <v>2.7494000000000001E-2</v>
      </c>
      <c r="G153" s="63">
        <v>2.9892999999999999E-2</v>
      </c>
      <c r="H153" s="63">
        <v>3.1224999999999999E-2</v>
      </c>
      <c r="I153" s="63">
        <v>3.2273999999999997E-2</v>
      </c>
      <c r="J153" s="63">
        <v>3.3361999999999996E-2</v>
      </c>
      <c r="K153" s="63">
        <v>3.3467999999999998E-2</v>
      </c>
      <c r="L153" s="63">
        <v>3.3466999999999997E-2</v>
      </c>
      <c r="M153" s="63">
        <v>3.3820999999999997E-2</v>
      </c>
      <c r="N153" s="63">
        <v>3.4568000000000002E-2</v>
      </c>
      <c r="O153" s="63">
        <v>3.5552E-2</v>
      </c>
      <c r="P153" s="63">
        <v>3.6603999999999998E-2</v>
      </c>
      <c r="Q153" s="63">
        <v>3.7545000000000002E-2</v>
      </c>
      <c r="R153" s="63">
        <v>3.8336000000000002E-2</v>
      </c>
      <c r="S153" s="63">
        <v>3.9088999999999999E-2</v>
      </c>
      <c r="T153" s="63">
        <v>3.9827000000000001E-2</v>
      </c>
      <c r="U153" s="63">
        <v>4.0579000000000004E-2</v>
      </c>
      <c r="V153" s="63">
        <v>4.1373E-2</v>
      </c>
      <c r="W153" s="63">
        <v>4.2138000000000002E-2</v>
      </c>
      <c r="X153" s="63">
        <v>4.2779999999999999E-2</v>
      </c>
      <c r="Y153" s="63">
        <v>4.3310000000000001E-2</v>
      </c>
      <c r="Z153" s="63">
        <v>4.3737999999999999E-2</v>
      </c>
      <c r="AA153" s="63">
        <v>4.4077000000000005E-2</v>
      </c>
      <c r="AB153" s="63">
        <v>4.4340000000000004E-2</v>
      </c>
      <c r="AC153" s="63">
        <v>4.4542999999999999E-2</v>
      </c>
      <c r="AD153" s="63">
        <v>4.4703E-2</v>
      </c>
      <c r="AE153" s="63">
        <v>4.4839000000000004E-2</v>
      </c>
      <c r="AF153" s="63">
        <v>4.4972000000000005E-2</v>
      </c>
    </row>
    <row r="154" spans="1:32" x14ac:dyDescent="0.15">
      <c r="A154" s="1">
        <v>41134</v>
      </c>
      <c r="B154" s="63">
        <v>1.3788E-2</v>
      </c>
      <c r="C154" s="63">
        <v>2.4134000000000003E-2</v>
      </c>
      <c r="D154" s="63">
        <v>2.6113000000000001E-2</v>
      </c>
      <c r="E154" s="63">
        <v>2.7067000000000001E-2</v>
      </c>
      <c r="F154" s="63">
        <v>2.7467000000000002E-2</v>
      </c>
      <c r="G154" s="63">
        <v>3.0194000000000002E-2</v>
      </c>
      <c r="H154" s="63">
        <v>3.1630999999999999E-2</v>
      </c>
      <c r="I154" s="63">
        <v>3.2507000000000001E-2</v>
      </c>
      <c r="J154" s="63">
        <v>3.3399999999999999E-2</v>
      </c>
      <c r="K154" s="63">
        <v>3.3628999999999999E-2</v>
      </c>
      <c r="L154" s="63">
        <v>3.3680000000000002E-2</v>
      </c>
      <c r="M154" s="63">
        <v>3.4068999999999995E-2</v>
      </c>
      <c r="N154" s="63">
        <v>3.4795E-2</v>
      </c>
      <c r="O154" s="63">
        <v>3.5723999999999999E-2</v>
      </c>
      <c r="P154" s="63">
        <v>3.6713000000000003E-2</v>
      </c>
      <c r="Q154" s="63">
        <v>3.7608000000000003E-2</v>
      </c>
      <c r="R154" s="63">
        <v>3.8383E-2</v>
      </c>
      <c r="S154" s="63">
        <v>3.9135000000000003E-2</v>
      </c>
      <c r="T154" s="63">
        <v>3.9882000000000001E-2</v>
      </c>
      <c r="U154" s="63">
        <v>4.0645000000000001E-2</v>
      </c>
      <c r="V154" s="63">
        <v>4.1445999999999997E-2</v>
      </c>
      <c r="W154" s="63">
        <v>4.2203999999999998E-2</v>
      </c>
      <c r="X154" s="63">
        <v>4.2827000000000004E-2</v>
      </c>
      <c r="Y154" s="63">
        <v>4.3327999999999998E-2</v>
      </c>
      <c r="Z154" s="63">
        <v>4.3719000000000001E-2</v>
      </c>
      <c r="AA154" s="63">
        <v>4.4017999999999995E-2</v>
      </c>
      <c r="AB154" s="63">
        <v>4.4241999999999997E-2</v>
      </c>
      <c r="AC154" s="63">
        <v>4.4409999999999998E-2</v>
      </c>
      <c r="AD154" s="63">
        <v>4.4544E-2</v>
      </c>
      <c r="AE154" s="63">
        <v>4.4667999999999999E-2</v>
      </c>
      <c r="AF154" s="63">
        <v>4.4805999999999999E-2</v>
      </c>
    </row>
    <row r="155" spans="1:32" x14ac:dyDescent="0.15">
      <c r="A155" s="1">
        <v>41135</v>
      </c>
      <c r="B155" s="63">
        <v>1.6197E-2</v>
      </c>
      <c r="C155" s="63">
        <v>2.4183E-2</v>
      </c>
      <c r="D155" s="63">
        <v>2.6364000000000002E-2</v>
      </c>
      <c r="E155" s="63">
        <v>2.7439000000000002E-2</v>
      </c>
      <c r="F155" s="63">
        <v>2.7778000000000001E-2</v>
      </c>
      <c r="G155" s="63">
        <v>3.0447999999999999E-2</v>
      </c>
      <c r="H155" s="63">
        <v>3.1877000000000003E-2</v>
      </c>
      <c r="I155" s="63">
        <v>3.2665E-2</v>
      </c>
      <c r="J155" s="63">
        <v>3.3369000000000003E-2</v>
      </c>
      <c r="K155" s="63">
        <v>3.3641000000000004E-2</v>
      </c>
      <c r="L155" s="63">
        <v>3.3744999999999997E-2</v>
      </c>
      <c r="M155" s="63">
        <v>3.4182999999999998E-2</v>
      </c>
      <c r="N155" s="63">
        <v>3.4915000000000002E-2</v>
      </c>
      <c r="O155" s="63">
        <v>3.5823999999999995E-2</v>
      </c>
      <c r="P155" s="63">
        <v>3.6788000000000001E-2</v>
      </c>
      <c r="Q155" s="63">
        <v>3.7672999999999998E-2</v>
      </c>
      <c r="R155" s="63">
        <v>3.8448000000000003E-2</v>
      </c>
      <c r="S155" s="63">
        <v>3.9190000000000003E-2</v>
      </c>
      <c r="T155" s="63">
        <v>3.9923E-2</v>
      </c>
      <c r="U155" s="63">
        <v>4.0669000000000004E-2</v>
      </c>
      <c r="V155" s="63">
        <v>4.1456999999999994E-2</v>
      </c>
      <c r="W155" s="63">
        <v>4.2202999999999997E-2</v>
      </c>
      <c r="X155" s="63">
        <v>4.2817000000000001E-2</v>
      </c>
      <c r="Y155" s="63">
        <v>4.3309E-2</v>
      </c>
      <c r="Z155" s="63">
        <v>4.3693000000000003E-2</v>
      </c>
      <c r="AA155" s="63">
        <v>4.3985000000000003E-2</v>
      </c>
      <c r="AB155" s="63">
        <v>4.4204E-2</v>
      </c>
      <c r="AC155" s="63">
        <v>4.4368999999999999E-2</v>
      </c>
      <c r="AD155" s="63">
        <v>4.4500999999999999E-2</v>
      </c>
      <c r="AE155" s="63">
        <v>4.4623999999999997E-2</v>
      </c>
      <c r="AF155" s="63">
        <v>4.4763000000000004E-2</v>
      </c>
    </row>
    <row r="156" spans="1:32" x14ac:dyDescent="0.15">
      <c r="A156" s="1">
        <v>41136</v>
      </c>
      <c r="B156" s="63">
        <v>2.0562999999999998E-2</v>
      </c>
      <c r="C156" s="63">
        <v>2.4571999999999997E-2</v>
      </c>
      <c r="D156" s="63">
        <v>2.7014E-2</v>
      </c>
      <c r="E156" s="63">
        <v>2.7892E-2</v>
      </c>
      <c r="F156" s="63">
        <v>2.8285999999999999E-2</v>
      </c>
      <c r="G156" s="63">
        <v>3.0889000000000003E-2</v>
      </c>
      <c r="H156" s="63">
        <v>3.2170000000000004E-2</v>
      </c>
      <c r="I156" s="63">
        <v>3.279E-2</v>
      </c>
      <c r="J156" s="63">
        <v>3.3530999999999998E-2</v>
      </c>
      <c r="K156" s="63">
        <v>3.3877000000000004E-2</v>
      </c>
      <c r="L156" s="63">
        <v>3.4047999999999995E-2</v>
      </c>
      <c r="M156" s="63">
        <v>3.4525E-2</v>
      </c>
      <c r="N156" s="63">
        <v>3.5228000000000002E-2</v>
      </c>
      <c r="O156" s="63">
        <v>3.6067999999999996E-2</v>
      </c>
      <c r="P156" s="63">
        <v>3.6953E-2</v>
      </c>
      <c r="Q156" s="63">
        <v>3.7780000000000001E-2</v>
      </c>
      <c r="R156" s="63">
        <v>3.8525999999999998E-2</v>
      </c>
      <c r="S156" s="63">
        <v>3.9248999999999999E-2</v>
      </c>
      <c r="T156" s="63">
        <v>3.9966000000000002E-2</v>
      </c>
      <c r="U156" s="63">
        <v>4.0697999999999998E-2</v>
      </c>
      <c r="V156" s="63">
        <v>4.1466000000000003E-2</v>
      </c>
      <c r="W156" s="63">
        <v>4.2194000000000002E-2</v>
      </c>
      <c r="X156" s="63">
        <v>4.2795E-2</v>
      </c>
      <c r="Y156" s="63">
        <v>4.3280000000000006E-2</v>
      </c>
      <c r="Z156" s="63">
        <v>4.3661000000000005E-2</v>
      </c>
      <c r="AA156" s="63">
        <v>4.3954000000000007E-2</v>
      </c>
      <c r="AB156" s="63">
        <v>4.4173999999999998E-2</v>
      </c>
      <c r="AC156" s="63">
        <v>4.4340999999999998E-2</v>
      </c>
      <c r="AD156" s="63">
        <v>4.4474E-2</v>
      </c>
      <c r="AE156" s="63">
        <v>4.4595000000000003E-2</v>
      </c>
      <c r="AF156" s="63">
        <v>4.4726999999999996E-2</v>
      </c>
    </row>
    <row r="157" spans="1:32" x14ac:dyDescent="0.15">
      <c r="A157" s="1">
        <v>41137</v>
      </c>
      <c r="B157" s="63">
        <v>2.0389000000000001E-2</v>
      </c>
      <c r="C157" s="63">
        <v>2.4622000000000002E-2</v>
      </c>
      <c r="D157" s="63">
        <v>2.7136999999999998E-2</v>
      </c>
      <c r="E157" s="63">
        <v>2.8087000000000001E-2</v>
      </c>
      <c r="F157" s="63">
        <v>2.8386000000000002E-2</v>
      </c>
      <c r="G157" s="63">
        <v>3.0997E-2</v>
      </c>
      <c r="H157" s="63">
        <v>3.2214E-2</v>
      </c>
      <c r="I157" s="63">
        <v>3.2939999999999997E-2</v>
      </c>
      <c r="J157" s="63">
        <v>3.3547E-2</v>
      </c>
      <c r="K157" s="63">
        <v>3.3889000000000002E-2</v>
      </c>
      <c r="L157" s="63">
        <v>3.4114999999999999E-2</v>
      </c>
      <c r="M157" s="63">
        <v>3.4603000000000002E-2</v>
      </c>
      <c r="N157" s="63">
        <v>3.5298999999999997E-2</v>
      </c>
      <c r="O157" s="63">
        <v>3.6122999999999995E-2</v>
      </c>
      <c r="P157" s="63">
        <v>3.6988E-2</v>
      </c>
      <c r="Q157" s="63">
        <v>3.7803000000000003E-2</v>
      </c>
      <c r="R157" s="63">
        <v>3.8542E-2</v>
      </c>
      <c r="S157" s="63">
        <v>3.9260000000000003E-2</v>
      </c>
      <c r="T157" s="63">
        <v>3.9973999999999996E-2</v>
      </c>
      <c r="U157" s="63">
        <v>4.0702999999999996E-2</v>
      </c>
      <c r="V157" s="63">
        <v>4.1467999999999998E-2</v>
      </c>
      <c r="W157" s="63">
        <v>4.2192E-2</v>
      </c>
      <c r="X157" s="63">
        <v>4.2790000000000002E-2</v>
      </c>
      <c r="Y157" s="63">
        <v>4.3272999999999999E-2</v>
      </c>
      <c r="Z157" s="63">
        <v>4.3653000000000004E-2</v>
      </c>
      <c r="AA157" s="63">
        <v>4.3945999999999999E-2</v>
      </c>
      <c r="AB157" s="63">
        <v>4.4168000000000006E-2</v>
      </c>
      <c r="AC157" s="63">
        <v>4.4335000000000006E-2</v>
      </c>
      <c r="AD157" s="63">
        <v>4.4467999999999994E-2</v>
      </c>
      <c r="AE157" s="63">
        <v>4.4588999999999997E-2</v>
      </c>
      <c r="AF157" s="63">
        <v>4.4718999999999995E-2</v>
      </c>
    </row>
    <row r="158" spans="1:32" x14ac:dyDescent="0.15">
      <c r="A158" s="64">
        <v>41138</v>
      </c>
      <c r="B158" s="63">
        <v>2.1196000000000003E-2</v>
      </c>
      <c r="C158" s="63">
        <v>2.4745E-2</v>
      </c>
      <c r="D158" s="63">
        <v>2.7250999999999997E-2</v>
      </c>
      <c r="E158" s="63">
        <v>2.8081999999999999E-2</v>
      </c>
      <c r="F158" s="63">
        <v>2.8553000000000002E-2</v>
      </c>
      <c r="G158" s="63">
        <v>3.1156000000000003E-2</v>
      </c>
      <c r="H158" s="63">
        <v>3.2167000000000001E-2</v>
      </c>
      <c r="I158" s="63">
        <v>3.2780000000000004E-2</v>
      </c>
      <c r="J158" s="63">
        <v>3.3597000000000002E-2</v>
      </c>
      <c r="K158" s="63">
        <v>3.3871000000000005E-2</v>
      </c>
      <c r="L158" s="63">
        <v>3.3963E-2</v>
      </c>
      <c r="M158" s="63">
        <v>3.4381000000000002E-2</v>
      </c>
      <c r="N158" s="63">
        <v>3.5089999999999996E-2</v>
      </c>
      <c r="O158" s="63">
        <v>3.5977000000000002E-2</v>
      </c>
      <c r="P158" s="63">
        <v>3.6916999999999998E-2</v>
      </c>
      <c r="Q158" s="63">
        <v>3.7776999999999998E-2</v>
      </c>
      <c r="R158" s="63">
        <v>3.8528E-2</v>
      </c>
      <c r="S158" s="63">
        <v>3.9251999999999995E-2</v>
      </c>
      <c r="T158" s="63">
        <v>3.9967999999999997E-2</v>
      </c>
      <c r="U158" s="63">
        <v>4.0697999999999998E-2</v>
      </c>
      <c r="V158" s="63">
        <v>4.1466000000000003E-2</v>
      </c>
      <c r="W158" s="63">
        <v>4.2194000000000002E-2</v>
      </c>
      <c r="X158" s="63">
        <v>4.2793999999999999E-2</v>
      </c>
      <c r="Y158" s="63">
        <v>4.3276000000000002E-2</v>
      </c>
      <c r="Z158" s="63">
        <v>4.3653999999999998E-2</v>
      </c>
      <c r="AA158" s="63">
        <v>4.3944000000000004E-2</v>
      </c>
      <c r="AB158" s="63">
        <v>4.4160999999999999E-2</v>
      </c>
      <c r="AC158" s="63">
        <v>4.4325999999999997E-2</v>
      </c>
      <c r="AD158" s="63">
        <v>4.4457000000000003E-2</v>
      </c>
      <c r="AE158" s="63">
        <v>4.4578E-2</v>
      </c>
      <c r="AF158" s="63">
        <v>4.4711999999999995E-2</v>
      </c>
    </row>
    <row r="159" spans="1:32" x14ac:dyDescent="0.15">
      <c r="A159" s="64">
        <v>41141</v>
      </c>
      <c r="B159" s="63">
        <v>2.2970999999999998E-2</v>
      </c>
      <c r="C159" s="63">
        <v>2.5215999999999999E-2</v>
      </c>
      <c r="D159" s="63">
        <v>2.7595000000000001E-2</v>
      </c>
      <c r="E159" s="63">
        <v>2.8879999999999999E-2</v>
      </c>
      <c r="F159" s="63">
        <v>2.9443E-2</v>
      </c>
      <c r="G159" s="63">
        <v>3.1221000000000002E-2</v>
      </c>
      <c r="H159" s="63">
        <v>3.2252000000000003E-2</v>
      </c>
      <c r="I159" s="63">
        <v>3.3224999999999998E-2</v>
      </c>
      <c r="J159" s="63">
        <v>3.3675999999999998E-2</v>
      </c>
      <c r="K159" s="63">
        <v>3.3973000000000003E-2</v>
      </c>
      <c r="L159" s="63">
        <v>3.4176999999999999E-2</v>
      </c>
      <c r="M159" s="63">
        <v>3.4645000000000002E-2</v>
      </c>
      <c r="N159" s="63">
        <v>3.5333999999999997E-2</v>
      </c>
      <c r="O159" s="63">
        <v>3.6158000000000003E-2</v>
      </c>
      <c r="P159" s="63">
        <v>3.7024000000000001E-2</v>
      </c>
      <c r="Q159" s="63">
        <v>3.7834E-2</v>
      </c>
      <c r="R159" s="63">
        <v>3.8565000000000002E-2</v>
      </c>
      <c r="S159" s="63">
        <v>3.9275000000000004E-2</v>
      </c>
      <c r="T159" s="63">
        <v>3.9981000000000003E-2</v>
      </c>
      <c r="U159" s="63">
        <v>4.0701999999999995E-2</v>
      </c>
      <c r="V159" s="63">
        <v>4.1458000000000002E-2</v>
      </c>
      <c r="W159" s="63">
        <v>4.2175999999999998E-2</v>
      </c>
      <c r="X159" s="63">
        <v>4.2770999999999997E-2</v>
      </c>
      <c r="Y159" s="63">
        <v>4.3255999999999996E-2</v>
      </c>
      <c r="Z159" s="63">
        <v>4.3640999999999999E-2</v>
      </c>
      <c r="AA159" s="63">
        <v>4.394E-2</v>
      </c>
      <c r="AB159" s="63">
        <v>4.4168000000000006E-2</v>
      </c>
      <c r="AC159" s="63">
        <v>4.4340999999999998E-2</v>
      </c>
      <c r="AD159" s="63">
        <v>4.4477000000000003E-2</v>
      </c>
      <c r="AE159" s="63">
        <v>4.4596999999999998E-2</v>
      </c>
      <c r="AF159" s="63">
        <v>4.4721000000000004E-2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089"/>
  <sheetViews>
    <sheetView topLeftCell="A7" workbookViewId="0">
      <selection activeCell="I36" sqref="I36"/>
    </sheetView>
  </sheetViews>
  <sheetFormatPr defaultRowHeight="13.5" x14ac:dyDescent="0.15"/>
  <cols>
    <col min="1" max="1" width="37.125" style="51" bestFit="1" customWidth="1"/>
    <col min="2" max="3" width="17.25" style="51" bestFit="1" customWidth="1"/>
    <col min="4" max="4" width="31.625" style="51" bestFit="1" customWidth="1"/>
    <col min="5" max="5" width="26.125" style="51" bestFit="1" customWidth="1"/>
    <col min="6" max="7" width="15" style="51" bestFit="1" customWidth="1"/>
    <col min="8" max="8" width="10.5" style="51" bestFit="1" customWidth="1"/>
    <col min="9" max="9" width="27.25" style="51" bestFit="1" customWidth="1"/>
    <col min="10" max="10" width="12.75" style="51" bestFit="1" customWidth="1"/>
    <col min="11" max="16384" width="9" style="51"/>
  </cols>
  <sheetData>
    <row r="1" spans="1:9" x14ac:dyDescent="0.15">
      <c r="A1" s="58" t="s">
        <v>104</v>
      </c>
      <c r="B1" s="55">
        <v>41137</v>
      </c>
      <c r="C1" s="58" t="s">
        <v>105</v>
      </c>
      <c r="D1" s="56">
        <f ca="1">_xll.qlCalendarAdvance("China",B1,"1D")</f>
        <v>41138</v>
      </c>
    </row>
    <row r="3" spans="1:9" x14ac:dyDescent="0.15">
      <c r="A3" s="59" t="s">
        <v>106</v>
      </c>
      <c r="B3" s="57" t="str">
        <f ca="1">_xll.qlFlatForward(A3,,"China",0.05,"Bond Basis",,,,,TRUE)</f>
        <v>Flat curve#0013</v>
      </c>
    </row>
    <row r="5" spans="1:9" ht="15" x14ac:dyDescent="0.25">
      <c r="A5" s="35"/>
    </row>
    <row r="7" spans="1:9" x14ac:dyDescent="0.15">
      <c r="D7" s="52">
        <v>39480</v>
      </c>
    </row>
    <row r="8" spans="1:9" x14ac:dyDescent="0.15">
      <c r="D8" s="52"/>
    </row>
    <row r="9" spans="1:9" x14ac:dyDescent="0.15">
      <c r="B9" s="51" t="e">
        <f ca="1">_xll.qlBondCleanPriceFromYieldTermStructure(E13,B3,D1)</f>
        <v>#NUM!</v>
      </c>
      <c r="C9" s="51" t="e">
        <f ca="1">_xll.qlBondAtmRateFromYieldTermStructure(E13,B3,D1,B8)</f>
        <v>#NUM!</v>
      </c>
      <c r="D9" s="52"/>
    </row>
    <row r="10" spans="1:9" x14ac:dyDescent="0.15">
      <c r="D10" s="52"/>
    </row>
    <row r="11" spans="1:9" x14ac:dyDescent="0.15">
      <c r="D11" s="52"/>
    </row>
    <row r="12" spans="1:9" x14ac:dyDescent="0.15">
      <c r="A12" s="51" t="s">
        <v>107</v>
      </c>
      <c r="B12" s="51" t="s">
        <v>50</v>
      </c>
      <c r="C12" s="51" t="s">
        <v>101</v>
      </c>
      <c r="D12" s="51" t="s">
        <v>102</v>
      </c>
      <c r="E12" s="51" t="s">
        <v>103</v>
      </c>
      <c r="F12" s="51" t="s">
        <v>109</v>
      </c>
      <c r="G12" s="51" t="s">
        <v>110</v>
      </c>
    </row>
    <row r="13" spans="1:9" x14ac:dyDescent="0.15">
      <c r="A13" s="51" t="s">
        <v>51</v>
      </c>
      <c r="B13" s="52">
        <f t="shared" ref="B13:B44" ca="1" si="0">$B$1</f>
        <v>41137</v>
      </c>
      <c r="C13" s="52">
        <f ca="1">_xll.qlCalendarAdvance("China",_xll.qlCalendarAdvance("China",$B$1,A13),"-6M")</f>
        <v>41323</v>
      </c>
      <c r="D13" s="51" t="str">
        <f ca="1">_xll.qlSchedule("Dummy_Bond_"&amp;A13&amp;"_schedule",$D$1,C13,"1Y","China","Following","Following",,,,,,,TRUE)</f>
        <v>Dummy_Bond_1Y_schedule#0057</v>
      </c>
      <c r="E13" s="51" t="str">
        <f ca="1">_xll.qlFixedRateBond("Fixed_Rate_Bond_"&amp;A13,,"CNY",1,100,D13,0,"Bond Basis","Following",100,B13,"China",,,TRUE)</f>
        <v>Fixed_Rate_Bond_1Y#0059</v>
      </c>
      <c r="F13" s="51">
        <f ca="1">_xll.qlBondCleanPriceFromYieldTermStructure(E13,$B$3,$D$1)</f>
        <v>97.517446172481755</v>
      </c>
      <c r="G13" s="51">
        <f ca="1">_xll.qlBondCleanPriceFromYieldTermStructure(E13,$E$66,$D$1)</f>
        <v>97.517446172481797</v>
      </c>
      <c r="H13" s="53"/>
      <c r="I13" s="52"/>
    </row>
    <row r="14" spans="1:9" x14ac:dyDescent="0.15">
      <c r="A14" s="51" t="s">
        <v>52</v>
      </c>
      <c r="B14" s="52">
        <f t="shared" ca="1" si="0"/>
        <v>41137</v>
      </c>
      <c r="C14" s="52">
        <f ca="1">_xll.qlCalendarAdvance("China",_xll.qlCalendarAdvance("China",$B$1,A14),"-6M")</f>
        <v>41688</v>
      </c>
      <c r="D14" s="51" t="str">
        <f ca="1">_xll.qlSchedule("Dummy_Bond_"&amp;A14&amp;"_schedule",$D$1,C14,"1Y","China","Following","Following",,,,,,,TRUE)</f>
        <v>Dummy_Bond_2Y_schedule#0058</v>
      </c>
      <c r="E14" s="51" t="str">
        <f ca="1">_xll.qlFixedRateBond("Fixed_Rate_Bond_"&amp;A14,,"CNY",1,100,D14,0,"Bond Basis","Following",100,B14,"China",,,TRUE)</f>
        <v>Fixed_Rate_Bond_2Y#0058</v>
      </c>
      <c r="F14" s="51">
        <f ca="1">_xll.qlBondCleanPriceFromYieldTermStructure(E14,$B$3,$D$1)</f>
        <v>92.761464201429177</v>
      </c>
      <c r="G14" s="51">
        <f ca="1">_xll.qlBondCleanPriceFromYieldTermStructure(E14,$E$66,$D$1)</f>
        <v>92.761464201429206</v>
      </c>
      <c r="H14" s="53"/>
      <c r="I14" s="52"/>
    </row>
    <row r="15" spans="1:9" x14ac:dyDescent="0.15">
      <c r="A15" s="51" t="s">
        <v>53</v>
      </c>
      <c r="B15" s="52">
        <f t="shared" ca="1" si="0"/>
        <v>41137</v>
      </c>
      <c r="C15" s="52">
        <f ca="1">_xll.qlCalendarAdvance("China",_xll.qlCalendarAdvance("China",$B$1,A15),"-6M")</f>
        <v>42052</v>
      </c>
      <c r="D15" s="51" t="str">
        <f ca="1">_xll.qlSchedule("Dummy_Bond_"&amp;A15&amp;"_schedule",$D$1,C15,"1Y","China","Following","Following",,,,,,,TRUE)</f>
        <v>Dummy_Bond_3Y_schedule#0058</v>
      </c>
      <c r="E15" s="51" t="str">
        <f ca="1">_xll.qlFixedRateBond("Fixed_Rate_Bond_"&amp;A15,,"CNY",1,100,D15,0,"Bond Basis","Following",100,B15,"China",,,TRUE)</f>
        <v>Fixed_Rate_Bond_3Y#0058</v>
      </c>
      <c r="F15" s="51">
        <f ca="1">_xll.qlBondCleanPriceFromYieldTermStructure(E15,$B$3,$D$1)</f>
        <v>88.249690258459523</v>
      </c>
      <c r="G15" s="51">
        <f ca="1">_xll.qlBondCleanPriceFromYieldTermStructure(E15,$E$66,$D$1)</f>
        <v>88.24969025845958</v>
      </c>
      <c r="H15" s="53"/>
      <c r="I15" s="52"/>
    </row>
    <row r="16" spans="1:9" x14ac:dyDescent="0.15">
      <c r="A16" s="51" t="s">
        <v>59</v>
      </c>
      <c r="B16" s="52">
        <f t="shared" ca="1" si="0"/>
        <v>41137</v>
      </c>
      <c r="C16" s="52">
        <f ca="1">_xll.qlCalendarAdvance("China",_xll.qlCalendarAdvance("China",$B$1,A16),"-6M")</f>
        <v>42416</v>
      </c>
      <c r="D16" s="51" t="str">
        <f ca="1">_xll.qlSchedule("Dummy_Bond_"&amp;A16&amp;"_schedule",$D$1,C16,"1Y","China","Following","Following",,,,,,,TRUE)</f>
        <v>Dummy_Bond_4Y_schedule#0058</v>
      </c>
      <c r="E16" s="51" t="str">
        <f ca="1">_xll.qlFixedRateBond("Fixed_Rate_Bond_"&amp;A16,,"CNY",1,100,D16,0,"Bond Basis","Following",100,B16,"China",,,TRUE)</f>
        <v>Fixed_Rate_Bond_4Y#0058</v>
      </c>
      <c r="F16" s="51">
        <f ca="1">_xll.qlBondCleanPriceFromYieldTermStructure(E16,$B$3,$D$1)</f>
        <v>83.95736201190816</v>
      </c>
      <c r="G16" s="51">
        <f ca="1">_xll.qlBondCleanPriceFromYieldTermStructure(E16,$E$66,$D$1)</f>
        <v>83.957362011908188</v>
      </c>
      <c r="H16" s="53"/>
      <c r="I16" s="52"/>
    </row>
    <row r="17" spans="1:9" x14ac:dyDescent="0.15">
      <c r="A17" s="51" t="s">
        <v>54</v>
      </c>
      <c r="B17" s="52">
        <f t="shared" ca="1" si="0"/>
        <v>41137</v>
      </c>
      <c r="C17" s="52">
        <f ca="1">_xll.qlCalendarAdvance("China",_xll.qlCalendarAdvance("China",$B$1,A17),"-6M")</f>
        <v>42782</v>
      </c>
      <c r="D17" s="51" t="str">
        <f ca="1">_xll.qlSchedule("Dummy_Bond_"&amp;A17&amp;"_schedule",$D$1,C17,"1Y","China","Following","Following",,,,,,,TRUE)</f>
        <v>Dummy_Bond_5Y_schedule#0058</v>
      </c>
      <c r="E17" s="51" t="str">
        <f ca="1">_xll.qlFixedRateBond("Fixed_Rate_Bond_"&amp;A17,,"CNY",1,100,D17,0,"Bond Basis","Following",100,B17,"China",,,TRUE)</f>
        <v>Fixed_Rate_Bond_5Y#0058</v>
      </c>
      <c r="F17" s="51">
        <f ca="1">_xll.qlBondCleanPriceFromYieldTermStructure(E17,$B$3,$D$1)</f>
        <v>79.862713149185495</v>
      </c>
      <c r="G17" s="51">
        <f ca="1">_xll.qlBondCleanPriceFromYieldTermStructure(E17,$E$66,$D$1)</f>
        <v>79.862713149185524</v>
      </c>
      <c r="H17" s="53"/>
      <c r="I17" s="52"/>
    </row>
    <row r="18" spans="1:9" x14ac:dyDescent="0.15">
      <c r="A18" s="51" t="s">
        <v>60</v>
      </c>
      <c r="B18" s="52">
        <f t="shared" ca="1" si="0"/>
        <v>41137</v>
      </c>
      <c r="C18" s="52">
        <f ca="1">_xll.qlCalendarAdvance("China",_xll.qlCalendarAdvance("China",$B$1,A18),"-6M")</f>
        <v>43147</v>
      </c>
      <c r="D18" s="51" t="str">
        <f ca="1">_xll.qlSchedule("Dummy_Bond_"&amp;A18&amp;"_schedule",$D$1,C18,"1Y","China","Following","Following",,,,,,,TRUE)</f>
        <v>Dummy_Bond_6Y_schedule#0058</v>
      </c>
      <c r="E18" s="51" t="str">
        <f ca="1">_xll.qlFixedRateBond("Fixed_Rate_Bond_"&amp;A18,,"CNY",1,100,D18,0,"Bond Basis","Following",100,B18,"China",,,TRUE)</f>
        <v>Fixed_Rate_Bond_6Y#0058</v>
      </c>
      <c r="F18" s="51">
        <f ca="1">_xll.qlBondCleanPriceFromYieldTermStructure(E18,$B$3,$D$1)</f>
        <v>75.967762667965332</v>
      </c>
      <c r="G18" s="51">
        <f ca="1">_xll.qlBondCleanPriceFromYieldTermStructure(E18,$E$66,$D$1)</f>
        <v>75.96776266796536</v>
      </c>
      <c r="H18" s="53"/>
      <c r="I18" s="52"/>
    </row>
    <row r="19" spans="1:9" x14ac:dyDescent="0.15">
      <c r="A19" s="51" t="s">
        <v>55</v>
      </c>
      <c r="B19" s="52">
        <f t="shared" ca="1" si="0"/>
        <v>41137</v>
      </c>
      <c r="C19" s="52">
        <f ca="1">_xll.qlCalendarAdvance("China",_xll.qlCalendarAdvance("China",$B$1,A19),"-6M")</f>
        <v>43514</v>
      </c>
      <c r="D19" s="51" t="str">
        <f ca="1">_xll.qlSchedule("Dummy_Bond_"&amp;A19&amp;"_schedule",$D$1,C19,"1Y","China","Following","Following",,,,,,,TRUE)</f>
        <v>Dummy_Bond_7Y_schedule#0058</v>
      </c>
      <c r="E19" s="51" t="str">
        <f ca="1">_xll.qlFixedRateBond("Fixed_Rate_Bond_"&amp;A19,,"CNY",1,100,D19,0,"Bond Basis","Following",100,B19,"China",,,TRUE)</f>
        <v>Fixed_Rate_Bond_7Y#0058</v>
      </c>
      <c r="F19" s="51">
        <f ca="1">_xll.qlBondCleanPriceFromYieldTermStructure(E19,$B$3,$D$1)</f>
        <v>72.242700958923137</v>
      </c>
      <c r="G19" s="51">
        <f ca="1">_xll.qlBondCleanPriceFromYieldTermStructure(E19,$E$66,$D$1)</f>
        <v>72.242700958923166</v>
      </c>
      <c r="H19" s="53"/>
      <c r="I19" s="52"/>
    </row>
    <row r="20" spans="1:9" x14ac:dyDescent="0.15">
      <c r="A20" s="51" t="s">
        <v>61</v>
      </c>
      <c r="B20" s="52">
        <f t="shared" ca="1" si="0"/>
        <v>41137</v>
      </c>
      <c r="C20" s="52">
        <f ca="1">_xll.qlCalendarAdvance("China",_xll.qlCalendarAdvance("China",$B$1,A20),"-6M")</f>
        <v>43878</v>
      </c>
      <c r="D20" s="51" t="str">
        <f ca="1">_xll.qlSchedule("Dummy_Bond_"&amp;A20&amp;"_schedule",$D$1,C20,"1Y","China","Following","Following",,,,,,,TRUE)</f>
        <v>Dummy_Bond_8Y_schedule#0058</v>
      </c>
      <c r="E20" s="51" t="str">
        <f ca="1">_xll.qlFixedRateBond("Fixed_Rate_Bond_"&amp;A20,,"CNY",1,100,D20,0,"Bond Basis","Following",100,B20,"China",,,TRUE)</f>
        <v>Fixed_Rate_Bond_8Y#0058</v>
      </c>
      <c r="F20" s="51">
        <f ca="1">_xll.qlBondCleanPriceFromYieldTermStructure(E20,$B$3,$D$1)</f>
        <v>68.728927879097213</v>
      </c>
      <c r="G20" s="51">
        <f ca="1">_xll.qlBondCleanPriceFromYieldTermStructure(E20,$E$66,$D$1)</f>
        <v>68.728927879097242</v>
      </c>
      <c r="H20" s="53"/>
      <c r="I20" s="52"/>
    </row>
    <row r="21" spans="1:9" x14ac:dyDescent="0.15">
      <c r="A21" s="51" t="s">
        <v>62</v>
      </c>
      <c r="B21" s="52">
        <f t="shared" ca="1" si="0"/>
        <v>41137</v>
      </c>
      <c r="C21" s="52">
        <f ca="1">_xll.qlCalendarAdvance("China",_xll.qlCalendarAdvance("China",$B$1,A21),"-6M")</f>
        <v>44243</v>
      </c>
      <c r="D21" s="51" t="str">
        <f ca="1">_xll.qlSchedule("Dummy_Bond_"&amp;A21&amp;"_schedule",$D$1,C21,"1Y","China","Following","Following",,,,,,,TRUE)</f>
        <v>Dummy_Bond_9Y_schedule#0058</v>
      </c>
      <c r="E21" s="51" t="str">
        <f ca="1">_xll.qlFixedRateBond("Fixed_Rate_Bond_"&amp;A21,,"CNY",1,100,D21,0,"Bond Basis","Following",100,B21,"China",,,TRUE)</f>
        <v>Fixed_Rate_Bond_9Y#0058</v>
      </c>
      <c r="F21" s="51">
        <f ca="1">_xll.qlBondCleanPriceFromYieldTermStructure(E21,$B$3,$D$1)</f>
        <v>65.386059279483504</v>
      </c>
      <c r="G21" s="51">
        <f ca="1">_xll.qlBondCleanPriceFromYieldTermStructure(E21,$E$66,$D$1)</f>
        <v>65.386059279483533</v>
      </c>
      <c r="H21" s="53"/>
      <c r="I21" s="52"/>
    </row>
    <row r="22" spans="1:9" x14ac:dyDescent="0.15">
      <c r="A22" s="51" t="s">
        <v>56</v>
      </c>
      <c r="B22" s="52">
        <f t="shared" ca="1" si="0"/>
        <v>41137</v>
      </c>
      <c r="C22" s="52">
        <f ca="1">_xll.qlCalendarAdvance("China",_xll.qlCalendarAdvance("China",$B$1,A22),"-6M")</f>
        <v>44608</v>
      </c>
      <c r="D22" s="51" t="str">
        <f ca="1">_xll.qlSchedule("Dummy_Bond_"&amp;A22&amp;"_schedule",$D$1,C22,"1Y","China","Following","Following",,,,,,,TRUE)</f>
        <v>Dummy_Bond_10Y_schedule#0058</v>
      </c>
      <c r="E22" s="51" t="str">
        <f ca="1">_xll.qlFixedRateBond("Fixed_Rate_Bond_"&amp;A22,,"CNY",1,100,D22,0,"Bond Basis","Following",100,B22,"China",,,TRUE)</f>
        <v>Fixed_Rate_Bond_10Y#0058</v>
      </c>
      <c r="F22" s="51">
        <f ca="1">_xll.qlBondCleanPriceFromYieldTermStructure(E22,$B$3,$D$1)</f>
        <v>62.197143538792645</v>
      </c>
      <c r="G22" s="51">
        <f ca="1">_xll.qlBondCleanPriceFromYieldTermStructure(E22,$E$66,$D$1)</f>
        <v>62.197143538792673</v>
      </c>
      <c r="H22" s="53"/>
      <c r="I22" s="52"/>
    </row>
    <row r="23" spans="1:9" x14ac:dyDescent="0.15">
      <c r="A23" s="51" t="s">
        <v>63</v>
      </c>
      <c r="B23" s="52">
        <f t="shared" ca="1" si="0"/>
        <v>41137</v>
      </c>
      <c r="C23" s="52">
        <f ca="1">_xll.qlCalendarAdvance("China",_xll.qlCalendarAdvance("China",$B$1,A23),"-6M")</f>
        <v>44973</v>
      </c>
      <c r="D23" s="51" t="str">
        <f ca="1">_xll.qlSchedule("Dummy_Bond_"&amp;A23&amp;"_schedule",$D$1,C23,"1Y","China","Following","Following",,,,,,,TRUE)</f>
        <v>Dummy_Bond_11Y_schedule#0058</v>
      </c>
      <c r="E23" s="51" t="str">
        <f ca="1">_xll.qlFixedRateBond("Fixed_Rate_Bond_"&amp;A23,,"CNY",1,100,D23,0,"Bond Basis","Following",100,B23,"China",,,TRUE)</f>
        <v>Fixed_Rate_Bond_11Y#0058</v>
      </c>
      <c r="F23" s="51">
        <f ca="1">_xll.qlBondCleanPriceFromYieldTermStructure(E23,$B$3,$D$1)</f>
        <v>59.163753053994036</v>
      </c>
      <c r="G23" s="51">
        <f ca="1">_xll.qlBondCleanPriceFromYieldTermStructure(E23,$E$66,$D$1)</f>
        <v>59.163753053994057</v>
      </c>
      <c r="H23" s="53"/>
      <c r="I23" s="52"/>
    </row>
    <row r="24" spans="1:9" x14ac:dyDescent="0.15">
      <c r="A24" s="51" t="s">
        <v>64</v>
      </c>
      <c r="B24" s="52">
        <f t="shared" ca="1" si="0"/>
        <v>41137</v>
      </c>
      <c r="C24" s="52">
        <f ca="1">_xll.qlCalendarAdvance("China",_xll.qlCalendarAdvance("China",$B$1,A24),"-6M")</f>
        <v>45338</v>
      </c>
      <c r="D24" s="51" t="str">
        <f ca="1">_xll.qlSchedule("Dummy_Bond_"&amp;A24&amp;"_schedule",$D$1,C24,"1Y","China","Following","Following",,,,,,,TRUE)</f>
        <v>Dummy_Bond_12Y_schedule#0058</v>
      </c>
      <c r="E24" s="51" t="str">
        <f ca="1">_xll.qlFixedRateBond("Fixed_Rate_Bond_"&amp;A24,,"CNY",1,100,D24,0,"Bond Basis","Following",100,B24,"China",,,TRUE)</f>
        <v>Fixed_Rate_Bond_12Y#0058</v>
      </c>
      <c r="F24" s="51">
        <f ca="1">_xll.qlBondCleanPriceFromYieldTermStructure(E24,$B$3,$D$1)</f>
        <v>56.278302768853109</v>
      </c>
      <c r="G24" s="51">
        <f ca="1">_xll.qlBondCleanPriceFromYieldTermStructure(E24,$E$66,$D$1)</f>
        <v>56.278302768853138</v>
      </c>
      <c r="H24" s="53"/>
      <c r="I24" s="52"/>
    </row>
    <row r="25" spans="1:9" x14ac:dyDescent="0.15">
      <c r="A25" s="51" t="s">
        <v>65</v>
      </c>
      <c r="B25" s="52">
        <f t="shared" ca="1" si="0"/>
        <v>41137</v>
      </c>
      <c r="C25" s="52">
        <f ca="1">_xll.qlCalendarAdvance("China",_xll.qlCalendarAdvance("China",$B$1,A25),"-6M")</f>
        <v>45706</v>
      </c>
      <c r="D25" s="51" t="str">
        <f ca="1">_xll.qlSchedule("Dummy_Bond_"&amp;A25&amp;"_schedule",$D$1,C25,"1Y","China","Following","Following",,,,,,,TRUE)</f>
        <v>Dummy_Bond_13Y_schedule#0058</v>
      </c>
      <c r="E25" s="51" t="str">
        <f ca="1">_xll.qlFixedRateBond("Fixed_Rate_Bond_"&amp;A25,,"CNY",1,100,D25,0,"Bond Basis","Following",100,B25,"China",,,TRUE)</f>
        <v>Fixed_Rate_Bond_13Y#0058</v>
      </c>
      <c r="F25" s="51">
        <f ca="1">_xll.qlBondCleanPriceFromYieldTermStructure(E25,$B$3,$D$1)</f>
        <v>53.518709181630868</v>
      </c>
      <c r="G25" s="51">
        <f ca="1">_xll.qlBondCleanPriceFromYieldTermStructure(E25,$E$66,$D$1)</f>
        <v>53.518709181630896</v>
      </c>
      <c r="H25" s="53"/>
      <c r="I25" s="52"/>
    </row>
    <row r="26" spans="1:9" x14ac:dyDescent="0.15">
      <c r="A26" s="51" t="s">
        <v>66</v>
      </c>
      <c r="B26" s="52">
        <f t="shared" ca="1" si="0"/>
        <v>41137</v>
      </c>
      <c r="C26" s="52">
        <f ca="1">_xll.qlCalendarAdvance("China",_xll.qlCalendarAdvance("China",$B$1,A26),"-6M")</f>
        <v>46070</v>
      </c>
      <c r="D26" s="51" t="str">
        <f ca="1">_xll.qlSchedule("Dummy_Bond_"&amp;A26&amp;"_schedule",$D$1,C26,"1Y","China","Following","Following",,,,,,,TRUE)</f>
        <v>Dummy_Bond_14Y_schedule#0058</v>
      </c>
      <c r="E26" s="51" t="str">
        <f ca="1">_xll.qlFixedRateBond("Fixed_Rate_Bond_"&amp;A26,,"CNY",1,100,D26,0,"Bond Basis","Following",100,B26,"China",,,TRUE)</f>
        <v>Fixed_Rate_Bond_14Y#0058</v>
      </c>
      <c r="F26" s="51">
        <f ca="1">_xll.qlBondCleanPriceFromYieldTermStructure(E26,$B$3,$D$1)</f>
        <v>50.915642060754905</v>
      </c>
      <c r="G26" s="51">
        <f ca="1">_xll.qlBondCleanPriceFromYieldTermStructure(E26,$E$66,$D$1)</f>
        <v>50.915642060754919</v>
      </c>
      <c r="H26" s="53"/>
      <c r="I26" s="52"/>
    </row>
    <row r="27" spans="1:9" x14ac:dyDescent="0.15">
      <c r="A27" s="51" t="s">
        <v>57</v>
      </c>
      <c r="B27" s="52">
        <f t="shared" ca="1" si="0"/>
        <v>41137</v>
      </c>
      <c r="C27" s="52">
        <f ca="1">_xll.qlCalendarAdvance("China",_xll.qlCalendarAdvance("China",$B$1,A27),"-6M")</f>
        <v>46434</v>
      </c>
      <c r="D27" s="51" t="str">
        <f ca="1">_xll.qlSchedule("Dummy_Bond_"&amp;A27&amp;"_schedule",$D$1,C27,"1Y","China","Following","Following",,,,,,,TRUE)</f>
        <v>Dummy_Bond_15Y_schedule#0058</v>
      </c>
      <c r="E27" s="51" t="str">
        <f ca="1">_xll.qlFixedRateBond("Fixed_Rate_Bond_"&amp;A27,,"CNY",1,100,D27,0,"Bond Basis","Following",100,B27,"China",,,TRUE)</f>
        <v>Fixed_Rate_Bond_15Y#0058</v>
      </c>
      <c r="F27" s="51">
        <f ca="1">_xll.qlBondCleanPriceFromYieldTermStructure(E27,$B$3,$D$1)</f>
        <v>48.439184092816284</v>
      </c>
      <c r="G27" s="51">
        <f ca="1">_xll.qlBondCleanPriceFromYieldTermStructure(E27,$E$66,$D$1)</f>
        <v>48.439184092816305</v>
      </c>
      <c r="H27" s="53"/>
      <c r="I27" s="52"/>
    </row>
    <row r="28" spans="1:9" x14ac:dyDescent="0.15">
      <c r="A28" s="51" t="s">
        <v>67</v>
      </c>
      <c r="B28" s="52">
        <f t="shared" ca="1" si="0"/>
        <v>41137</v>
      </c>
      <c r="C28" s="52">
        <f ca="1">_xll.qlCalendarAdvance("China",_xll.qlCalendarAdvance("China",$B$1,A28),"-6M")</f>
        <v>46799</v>
      </c>
      <c r="D28" s="51" t="str">
        <f ca="1">_xll.qlSchedule("Dummy_Bond_"&amp;A28&amp;"_schedule",$D$1,C28,"1Y","China","Following","Following",,,,,,,TRUE)</f>
        <v>Dummy_Bond_16Y_schedule#0058</v>
      </c>
      <c r="E28" s="51" t="str">
        <f ca="1">_xll.qlFixedRateBond("Fixed_Rate_Bond_"&amp;A28,,"CNY",1,100,D28,0,"Bond Basis","Following",100,B28,"China",,,TRUE)</f>
        <v>Fixed_Rate_Bond_16Y#0058</v>
      </c>
      <c r="F28" s="51">
        <f ca="1">_xll.qlBondCleanPriceFromYieldTermStructure(E28,$B$3,$D$1)</f>
        <v>46.076777207893777</v>
      </c>
      <c r="G28" s="51">
        <f ca="1">_xll.qlBondCleanPriceFromYieldTermStructure(E28,$E$66,$D$1)</f>
        <v>46.076777207893798</v>
      </c>
      <c r="H28" s="53"/>
      <c r="I28" s="52"/>
    </row>
    <row r="29" spans="1:9" x14ac:dyDescent="0.15">
      <c r="A29" s="51" t="s">
        <v>68</v>
      </c>
      <c r="B29" s="52">
        <f t="shared" ca="1" si="0"/>
        <v>41137</v>
      </c>
      <c r="C29" s="52">
        <f ca="1">_xll.qlCalendarAdvance("China",_xll.qlCalendarAdvance("China",$B$1,A29),"-6M")</f>
        <v>47165</v>
      </c>
      <c r="D29" s="51" t="str">
        <f ca="1">_xll.qlSchedule("Dummy_Bond_"&amp;A29&amp;"_schedule",$D$1,C29,"1Y","China","Following","Following",,,,,,,TRUE)</f>
        <v>Dummy_Bond_17Y_schedule#0058</v>
      </c>
      <c r="E29" s="51" t="str">
        <f ca="1">_xll.qlFixedRateBond("Fixed_Rate_Bond_"&amp;A29,,"CNY",1,100,D29,0,"Bond Basis","Following",100,B29,"China",,,TRUE)</f>
        <v>Fixed_Rate_Bond_17Y#0058</v>
      </c>
      <c r="F29" s="51">
        <f ca="1">_xll.qlBondCleanPriceFromYieldTermStructure(E29,$B$3,$D$1)</f>
        <v>43.829586266312411</v>
      </c>
      <c r="G29" s="51">
        <f ca="1">_xll.qlBondCleanPriceFromYieldTermStructure(E29,$E$66,$D$1)</f>
        <v>43.829586266312425</v>
      </c>
      <c r="H29" s="53"/>
      <c r="I29" s="52"/>
    </row>
    <row r="30" spans="1:9" x14ac:dyDescent="0.15">
      <c r="A30" s="51" t="s">
        <v>69</v>
      </c>
      <c r="B30" s="52">
        <f t="shared" ca="1" si="0"/>
        <v>41137</v>
      </c>
      <c r="C30" s="52">
        <f ca="1">_xll.qlCalendarAdvance("China",_xll.qlCalendarAdvance("China",$B$1,A30),"-6M")</f>
        <v>47532</v>
      </c>
      <c r="D30" s="51" t="str">
        <f ca="1">_xll.qlSchedule("Dummy_Bond_"&amp;A30&amp;"_schedule",$D$1,C30,"1Y","China","Following","Following",,,,,,,TRUE)</f>
        <v>Dummy_Bond_18Y_schedule#0058</v>
      </c>
      <c r="E30" s="51" t="str">
        <f ca="1">_xll.qlFixedRateBond("Fixed_Rate_Bond_"&amp;A30,,"CNY",1,100,D30,0,"Bond Basis","Following",100,B30,"China",,,TRUE)</f>
        <v>Fixed_Rate_Bond_18Y#0058</v>
      </c>
      <c r="F30" s="51">
        <f ca="1">_xll.qlBondCleanPriceFromYieldTermStructure(E30,$B$3,$D$1)</f>
        <v>41.680412619624896</v>
      </c>
      <c r="G30" s="51">
        <f ca="1">_xll.qlBondCleanPriceFromYieldTermStructure(E30,$E$66,$D$1)</f>
        <v>41.68041261962491</v>
      </c>
      <c r="H30" s="53"/>
      <c r="I30" s="52"/>
    </row>
    <row r="31" spans="1:9" x14ac:dyDescent="0.15">
      <c r="A31" s="51" t="s">
        <v>70</v>
      </c>
      <c r="B31" s="52">
        <f t="shared" ca="1" si="0"/>
        <v>41137</v>
      </c>
      <c r="C31" s="52">
        <f ca="1">_xll.qlCalendarAdvance("China",_xll.qlCalendarAdvance("China",$B$1,A31),"-6M")</f>
        <v>47897</v>
      </c>
      <c r="D31" s="51" t="str">
        <f ca="1">_xll.qlSchedule("Dummy_Bond_"&amp;A31&amp;"_schedule",$D$1,C31,"1Y","China","Following","Following",,,,,,,TRUE)</f>
        <v>Dummy_Bond_19Y_schedule#0058</v>
      </c>
      <c r="E31" s="51" t="str">
        <f ca="1">_xll.qlFixedRateBond("Fixed_Rate_Bond_"&amp;A31,,"CNY",1,100,D31,0,"Bond Basis","Following",100,B31,"China",,,TRUE)</f>
        <v>Fixed_Rate_Bond_19Y#0058</v>
      </c>
      <c r="F31" s="51">
        <f ca="1">_xll.qlBondCleanPriceFromYieldTermStructure(E31,$B$3,$D$1)</f>
        <v>39.647634909118089</v>
      </c>
      <c r="G31" s="51">
        <f ca="1">_xll.qlBondCleanPriceFromYieldTermStructure(E31,$E$66,$D$1)</f>
        <v>39.647634909118111</v>
      </c>
      <c r="H31" s="53"/>
      <c r="I31" s="52"/>
    </row>
    <row r="32" spans="1:9" x14ac:dyDescent="0.15">
      <c r="A32" s="51" t="s">
        <v>58</v>
      </c>
      <c r="B32" s="52">
        <f t="shared" ca="1" si="0"/>
        <v>41137</v>
      </c>
      <c r="C32" s="52">
        <f ca="1">_xll.qlCalendarAdvance("China",_xll.qlCalendarAdvance("China",$B$1,A32),"-6M")</f>
        <v>48260</v>
      </c>
      <c r="D32" s="51" t="str">
        <f ca="1">_xll.qlSchedule("Dummy_Bond_"&amp;A32&amp;"_schedule",$D$1,C32,"1Y","China","Following","Following",,,,,,,TRUE)</f>
        <v>Dummy_Bond_20Y_schedule#0058</v>
      </c>
      <c r="E32" s="51" t="str">
        <f ca="1">_xll.qlFixedRateBond("Fixed_Rate_Bond_"&amp;A32,,"CNY",1,100,D32,0,"Bond Basis","Following",100,B32,"China",,,TRUE)</f>
        <v>Fixed_Rate_Bond_20Y#0058</v>
      </c>
      <c r="F32" s="51">
        <f ca="1">_xll.qlBondCleanPriceFromYieldTermStructure(E32,$B$3,$D$1)</f>
        <v>37.724474502825259</v>
      </c>
      <c r="G32" s="51">
        <f ca="1">_xll.qlBondCleanPriceFromYieldTermStructure(E32,$E$66,$D$1)</f>
        <v>37.724474502825274</v>
      </c>
      <c r="H32" s="53"/>
      <c r="I32" s="52"/>
    </row>
    <row r="33" spans="1:9" x14ac:dyDescent="0.15">
      <c r="A33" s="51" t="s">
        <v>71</v>
      </c>
      <c r="B33" s="52">
        <f t="shared" ca="1" si="0"/>
        <v>41137</v>
      </c>
      <c r="C33" s="52">
        <f ca="1">_xll.qlCalendarAdvance("China",_xll.qlCalendarAdvance("China",$B$1,A33),"-6M")</f>
        <v>48626</v>
      </c>
      <c r="D33" s="51" t="str">
        <f ca="1">_xll.qlSchedule("Dummy_Bond_"&amp;A33&amp;"_schedule",$D$1,C33,"1Y","China","Following","Following",,,,,,,TRUE)</f>
        <v>Dummy_Bond_21Y_schedule#0058</v>
      </c>
      <c r="E33" s="51" t="str">
        <f ca="1">_xll.qlFixedRateBond("Fixed_Rate_Bond_"&amp;A33,,"CNY",1,100,D33,0,"Bond Basis","Following",100,B33,"China",,,TRUE)</f>
        <v>Fixed_Rate_Bond_21Y#0058</v>
      </c>
      <c r="F33" s="51">
        <f ca="1">_xll.qlBondCleanPriceFromYieldTermStructure(E33,$B$3,$D$1)</f>
        <v>35.884630170914328</v>
      </c>
      <c r="G33" s="51">
        <f ca="1">_xll.qlBondCleanPriceFromYieldTermStructure(E33,$E$66,$D$1)</f>
        <v>35.884630170914342</v>
      </c>
      <c r="H33" s="53"/>
      <c r="I33" s="52"/>
    </row>
    <row r="34" spans="1:9" x14ac:dyDescent="0.15">
      <c r="A34" s="51" t="s">
        <v>72</v>
      </c>
      <c r="B34" s="52">
        <f t="shared" ca="1" si="0"/>
        <v>41137</v>
      </c>
      <c r="C34" s="52">
        <f ca="1">_xll.qlCalendarAdvance("China",_xll.qlCalendarAdvance("China",$B$1,A34),"-6M")</f>
        <v>48991</v>
      </c>
      <c r="D34" s="51" t="str">
        <f ca="1">_xll.qlSchedule("Dummy_Bond_"&amp;A34&amp;"_schedule",$D$1,C34,"1Y","China","Following","Following",,,,,,,TRUE)</f>
        <v>Dummy_Bond_22Y_schedule#0058</v>
      </c>
      <c r="E34" s="51" t="str">
        <f ca="1">_xll.qlFixedRateBond("Fixed_Rate_Bond_"&amp;A34,,"CNY",1,100,D34,0,"Bond Basis","Following",100,B34,"China",,,TRUE)</f>
        <v>Fixed_Rate_Bond_22Y#0058</v>
      </c>
      <c r="F34" s="51">
        <f ca="1">_xll.qlBondCleanPriceFromYieldTermStructure(E34,$B$3,$D$1)</f>
        <v>34.134516105899806</v>
      </c>
      <c r="G34" s="51">
        <f ca="1">_xll.qlBondCleanPriceFromYieldTermStructure(E34,$E$66,$D$1)</f>
        <v>34.13451610589982</v>
      </c>
      <c r="H34" s="53"/>
      <c r="I34" s="52"/>
    </row>
    <row r="35" spans="1:9" x14ac:dyDescent="0.15">
      <c r="A35" s="51" t="s">
        <v>73</v>
      </c>
      <c r="B35" s="52">
        <f t="shared" ca="1" si="0"/>
        <v>41137</v>
      </c>
      <c r="C35" s="52">
        <f ca="1">_xll.qlCalendarAdvance("China",_xll.qlCalendarAdvance("China",$B$1,A35),"-6M")</f>
        <v>49356</v>
      </c>
      <c r="D35" s="51" t="str">
        <f ca="1">_xll.qlSchedule("Dummy_Bond_"&amp;A35&amp;"_schedule",$D$1,C35,"1Y","China","Following","Following",,,,,,,TRUE)</f>
        <v>Dummy_Bond_23Y_schedule#0058</v>
      </c>
      <c r="E35" s="51" t="str">
        <f ca="1">_xll.qlFixedRateBond("Fixed_Rate_Bond_"&amp;A35,,"CNY",1,100,D35,0,"Bond Basis","Following",100,B35,"China",,,TRUE)</f>
        <v>Fixed_Rate_Bond_23Y#0058</v>
      </c>
      <c r="F35" s="51">
        <f ca="1">_xll.qlBondCleanPriceFromYieldTermStructure(E35,$B$3,$D$1)</f>
        <v>32.469756111025418</v>
      </c>
      <c r="G35" s="51">
        <f ca="1">_xll.qlBondCleanPriceFromYieldTermStructure(E35,$E$66,$D$1)</f>
        <v>32.469756111025433</v>
      </c>
      <c r="H35" s="53"/>
      <c r="I35" s="52"/>
    </row>
    <row r="36" spans="1:9" x14ac:dyDescent="0.15">
      <c r="A36" s="51" t="s">
        <v>74</v>
      </c>
      <c r="B36" s="52">
        <f t="shared" ca="1" si="0"/>
        <v>41137</v>
      </c>
      <c r="C36" s="52">
        <f ca="1">_xll.qlCalendarAdvance("China",_xll.qlCalendarAdvance("China",$B$1,A36),"-6M")</f>
        <v>49723</v>
      </c>
      <c r="D36" s="51" t="str">
        <f ca="1">_xll.qlSchedule("Dummy_Bond_"&amp;A36&amp;"_schedule",$D$1,C36,"1Y","China","Following","Following",,,,,,,TRUE)</f>
        <v>Dummy_Bond_24Y_schedule#0058</v>
      </c>
      <c r="E36" s="51" t="str">
        <f ca="1">_xll.qlFixedRateBond("Fixed_Rate_Bond_"&amp;A36,,"CNY",1,100,D36,0,"Bond Basis","Following",100,B36,"China",,,TRUE)</f>
        <v>Fixed_Rate_Bond_24Y#0058</v>
      </c>
      <c r="F36" s="51">
        <f ca="1">_xll.qlBondCleanPriceFromYieldTermStructure(E36,$B$3,$D$1)</f>
        <v>30.877609114150331</v>
      </c>
      <c r="G36" s="51">
        <f ca="1">_xll.qlBondCleanPriceFromYieldTermStructure(E36,$E$66,$D$1)</f>
        <v>30.877609114150342</v>
      </c>
      <c r="H36" s="53"/>
      <c r="I36" s="52"/>
    </row>
    <row r="37" spans="1:9" x14ac:dyDescent="0.15">
      <c r="A37" s="51" t="s">
        <v>75</v>
      </c>
      <c r="B37" s="52">
        <f t="shared" ca="1" si="0"/>
        <v>41137</v>
      </c>
      <c r="C37" s="52">
        <f ca="1">_xll.qlCalendarAdvance("China",_xll.qlCalendarAdvance("China",$B$1,A37),"-6M")</f>
        <v>50088</v>
      </c>
      <c r="D37" s="51" t="str">
        <f ca="1">_xll.qlSchedule("Dummy_Bond_"&amp;A37&amp;"_schedule",$D$1,C37,"1Y","China","Following","Following",,,,,,,TRUE)</f>
        <v>Dummy_Bond_25Y_schedule#0058</v>
      </c>
      <c r="E37" s="51" t="str">
        <f ca="1">_xll.qlFixedRateBond("Fixed_Rate_Bond_"&amp;A37,,"CNY",1,100,D37,0,"Bond Basis","Following",100,B37,"China",,,TRUE)</f>
        <v>Fixed_Rate_Bond_25Y#0058</v>
      </c>
      <c r="F37" s="51">
        <f ca="1">_xll.qlBondCleanPriceFromYieldTermStructure(E37,$B$3,$D$1)</f>
        <v>29.375770032353277</v>
      </c>
      <c r="G37" s="51">
        <f ca="1">_xll.qlBondCleanPriceFromYieldTermStructure(E37,$E$66,$D$1)</f>
        <v>29.375770032353287</v>
      </c>
      <c r="H37" s="53"/>
      <c r="I37" s="52"/>
    </row>
    <row r="38" spans="1:9" x14ac:dyDescent="0.15">
      <c r="A38" s="51" t="s">
        <v>76</v>
      </c>
      <c r="B38" s="52">
        <f t="shared" ca="1" si="0"/>
        <v>41137</v>
      </c>
      <c r="C38" s="52">
        <f ca="1">_xll.qlCalendarAdvance("China",_xll.qlCalendarAdvance("China",$B$1,A38),"-6M")</f>
        <v>50452</v>
      </c>
      <c r="D38" s="51" t="str">
        <f ca="1">_xll.qlSchedule("Dummy_Bond_"&amp;A38&amp;"_schedule",$D$1,C38,"1Y","China","Following","Following",,,,,,,TRUE)</f>
        <v>Dummy_Bond_26Y_schedule#0058</v>
      </c>
      <c r="E38" s="51" t="str">
        <f ca="1">_xll.qlFixedRateBond("Fixed_Rate_Bond_"&amp;A38,,"CNY",1,100,D38,0,"Bond Basis","Following",100,B38,"China",,,TRUE)</f>
        <v>Fixed_Rate_Bond_26Y#0058</v>
      </c>
      <c r="F38" s="51">
        <f ca="1">_xll.qlBondCleanPriceFromYieldTermStructure(E38,$B$3,$D$1)</f>
        <v>27.946978077335839</v>
      </c>
      <c r="G38" s="51">
        <f ca="1">_xll.qlBondCleanPriceFromYieldTermStructure(E38,$E$66,$D$1)</f>
        <v>27.946978077335849</v>
      </c>
      <c r="H38" s="53"/>
      <c r="I38" s="52"/>
    </row>
    <row r="39" spans="1:9" x14ac:dyDescent="0.15">
      <c r="A39" s="51" t="s">
        <v>77</v>
      </c>
      <c r="B39" s="52">
        <f t="shared" ca="1" si="0"/>
        <v>41137</v>
      </c>
      <c r="C39" s="52">
        <f ca="1">_xll.qlCalendarAdvance("China",_xll.qlCalendarAdvance("China",$B$1,A39),"-6M")</f>
        <v>50817</v>
      </c>
      <c r="D39" s="51" t="str">
        <f ca="1">_xll.qlSchedule("Dummy_Bond_"&amp;A39&amp;"_schedule",$D$1,C39,"1Y","China","Following","Following",,,,,,,TRUE)</f>
        <v>Dummy_Bond_27Y_schedule#0058</v>
      </c>
      <c r="E39" s="51" t="str">
        <f ca="1">_xll.qlFixedRateBond("Fixed_Rate_Bond_"&amp;A39,,"CNY",1,100,D39,0,"Bond Basis","Following",100,B39,"China",,,TRUE)</f>
        <v>Fixed_Rate_Bond_27Y#0058</v>
      </c>
      <c r="F39" s="51">
        <f ca="1">_xll.qlBondCleanPriceFromYieldTermStructure(E39,$B$3,$D$1)</f>
        <v>26.58398787303824</v>
      </c>
      <c r="G39" s="51">
        <f ca="1">_xll.qlBondCleanPriceFromYieldTermStructure(E39,$E$66,$D$1)</f>
        <v>26.583987873038254</v>
      </c>
      <c r="H39" s="53"/>
      <c r="I39" s="52"/>
    </row>
    <row r="40" spans="1:9" x14ac:dyDescent="0.15">
      <c r="A40" s="51" t="s">
        <v>78</v>
      </c>
      <c r="B40" s="52">
        <f t="shared" ca="1" si="0"/>
        <v>41137</v>
      </c>
      <c r="C40" s="52">
        <f ca="1">_xll.qlCalendarAdvance("China",_xll.qlCalendarAdvance("China",$B$1,A40),"-6M")</f>
        <v>51182</v>
      </c>
      <c r="D40" s="51" t="str">
        <f ca="1">_xll.qlSchedule("Dummy_Bond_"&amp;A40&amp;"_schedule",$D$1,C40,"1Y","China","Following","Following",,,,,,,TRUE)</f>
        <v>Dummy_Bond_28Y_schedule#0058</v>
      </c>
      <c r="E40" s="51" t="str">
        <f ca="1">_xll.qlFixedRateBond("Fixed_Rate_Bond_"&amp;A40,,"CNY",1,100,D40,0,"Bond Basis","Following",100,B40,"China",,,TRUE)</f>
        <v>Fixed_Rate_Bond_28Y#0058</v>
      </c>
      <c r="F40" s="51">
        <f ca="1">_xll.qlBondCleanPriceFromYieldTermStructure(E40,$B$3,$D$1)</f>
        <v>25.287471485404129</v>
      </c>
      <c r="G40" s="51">
        <f ca="1">_xll.qlBondCleanPriceFromYieldTermStructure(E40,$E$66,$D$1)</f>
        <v>25.28747148540414</v>
      </c>
      <c r="H40" s="53"/>
      <c r="I40" s="52"/>
    </row>
    <row r="41" spans="1:9" x14ac:dyDescent="0.15">
      <c r="A41" s="51" t="s">
        <v>79</v>
      </c>
      <c r="B41" s="52">
        <f t="shared" ca="1" si="0"/>
        <v>41137</v>
      </c>
      <c r="C41" s="52">
        <f ca="1">_xll.qlCalendarAdvance("China",_xll.qlCalendarAdvance("China",$B$1,A41),"-6M")</f>
        <v>51550</v>
      </c>
      <c r="D41" s="51" t="str">
        <f ca="1">_xll.qlSchedule("Dummy_Bond_"&amp;A41&amp;"_schedule",$D$1,C41,"1Y","China","Following","Following",,,,,,,TRUE)</f>
        <v>Dummy_Bond_29Y_schedule#0058</v>
      </c>
      <c r="E41" s="51" t="str">
        <f ca="1">_xll.qlFixedRateBond("Fixed_Rate_Bond_"&amp;A41,,"CNY",1,100,D41,0,"Bond Basis","Following",100,B41,"China",,,TRUE)</f>
        <v>Fixed_Rate_Bond_29Y#0058</v>
      </c>
      <c r="F41" s="51">
        <f ca="1">_xll.qlBondCleanPriceFromYieldTermStructure(E41,$B$3,$D$1)</f>
        <v>24.047506157473027</v>
      </c>
      <c r="G41" s="51">
        <f ca="1">_xll.qlBondCleanPriceFromYieldTermStructure(E41,$E$66,$D$1)</f>
        <v>24.047506157473034</v>
      </c>
      <c r="H41" s="53"/>
      <c r="I41" s="52"/>
    </row>
    <row r="42" spans="1:9" x14ac:dyDescent="0.15">
      <c r="A42" s="51" t="s">
        <v>80</v>
      </c>
      <c r="B42" s="52">
        <f t="shared" ca="1" si="0"/>
        <v>41137</v>
      </c>
      <c r="C42" s="52">
        <f ca="1">_xll.qlCalendarAdvance("China",_xll.qlCalendarAdvance("China",$B$1,A42),"-6M")</f>
        <v>51915</v>
      </c>
      <c r="D42" s="51" t="str">
        <f ca="1">_xll.qlSchedule("Dummy_Bond_"&amp;A42&amp;"_schedule",$D$1,C42,"1Y","China","Following","Following",,,,,,,TRUE)</f>
        <v>Dummy_Bond_30Y_schedule#0058</v>
      </c>
      <c r="E42" s="51" t="str">
        <f ca="1">_xll.qlFixedRateBond("Fixed_Rate_Bond_"&amp;A42,,"CNY",1,100,D42,0,"Bond Basis","Following",100,B42,"China",,,TRUE)</f>
        <v>Fixed_Rate_Bond_30Y#0058</v>
      </c>
      <c r="F42" s="51">
        <f ca="1">_xll.qlBondCleanPriceFromYieldTermStructure(E42,$B$3,$D$1)</f>
        <v>22.874695442850442</v>
      </c>
      <c r="G42" s="51">
        <f ca="1">_xll.qlBondCleanPriceFromYieldTermStructure(E42,$E$66,$D$1)</f>
        <v>22.874695442850456</v>
      </c>
      <c r="H42" s="53"/>
      <c r="I42" s="52"/>
    </row>
    <row r="43" spans="1:9" x14ac:dyDescent="0.15">
      <c r="A43" s="51" t="s">
        <v>81</v>
      </c>
      <c r="B43" s="52">
        <f t="shared" ca="1" si="0"/>
        <v>41137</v>
      </c>
      <c r="C43" s="52">
        <f ca="1">_xll.qlCalendarAdvance("China",_xll.qlCalendarAdvance("China",$B$1,A43),"-6M")</f>
        <v>52279</v>
      </c>
      <c r="D43" s="51" t="str">
        <f ca="1">_xll.qlSchedule("Dummy_Bond_"&amp;A43&amp;"_schedule",$D$1,C43,"1Y","China","Following","Following",,,,,,,TRUE)</f>
        <v>Dummy_Bond_31Y_schedule#0058</v>
      </c>
      <c r="E43" s="51" t="str">
        <f ca="1">_xll.qlFixedRateBond("Fixed_Rate_Bond_"&amp;A43,,"CNY",1,100,D43,0,"Bond Basis","Following",100,B43,"China",,,TRUE)</f>
        <v>Fixed_Rate_Bond_31Y#0058</v>
      </c>
      <c r="F43" s="51">
        <f ca="1">_xll.qlBondCleanPriceFromYieldTermStructure(E43,$B$3,$D$1)</f>
        <v>21.762105686523288</v>
      </c>
      <c r="G43" s="51">
        <f ca="1">_xll.qlBondCleanPriceFromYieldTermStructure(E43,$E$66,$D$1)</f>
        <v>21.762105686523299</v>
      </c>
      <c r="H43" s="53"/>
      <c r="I43" s="52"/>
    </row>
    <row r="44" spans="1:9" x14ac:dyDescent="0.15">
      <c r="A44" s="51" t="s">
        <v>82</v>
      </c>
      <c r="B44" s="52">
        <f t="shared" ca="1" si="0"/>
        <v>41137</v>
      </c>
      <c r="C44" s="52">
        <f ca="1">_xll.qlCalendarAdvance("China",_xll.qlCalendarAdvance("China",$B$1,A44),"-6M")</f>
        <v>52643</v>
      </c>
      <c r="D44" s="51" t="str">
        <f ca="1">_xll.qlSchedule("Dummy_Bond_"&amp;A44&amp;"_schedule",$D$1,C44,"1Y","China","Following","Following",,,,,,,TRUE)</f>
        <v>Dummy_Bond_32Y_schedule#0058</v>
      </c>
      <c r="E44" s="51" t="str">
        <f ca="1">_xll.qlFixedRateBond("Fixed_Rate_Bond_"&amp;A44,,"CNY",1,100,D44,0,"Bond Basis","Following",100,B44,"China",,,TRUE)</f>
        <v>Fixed_Rate_Bond_32Y#0058</v>
      </c>
      <c r="F44" s="51">
        <f ca="1">_xll.qlBondCleanPriceFromYieldTermStructure(E44,$B$3,$D$1)</f>
        <v>20.703630572682915</v>
      </c>
      <c r="G44" s="51">
        <f ca="1">_xll.qlBondCleanPriceFromYieldTermStructure(E44,$E$66,$D$1)</f>
        <v>20.703630572682922</v>
      </c>
      <c r="H44" s="53"/>
      <c r="I44" s="52"/>
    </row>
    <row r="45" spans="1:9" x14ac:dyDescent="0.15">
      <c r="A45" s="51" t="s">
        <v>83</v>
      </c>
      <c r="B45" s="52">
        <f t="shared" ref="B45:B62" ca="1" si="1">$B$1</f>
        <v>41137</v>
      </c>
      <c r="C45" s="52">
        <f ca="1">_xll.qlCalendarAdvance("China",_xll.qlCalendarAdvance("China",$B$1,A45),"-6M")</f>
        <v>53009</v>
      </c>
      <c r="D45" s="51" t="str">
        <f ca="1">_xll.qlSchedule("Dummy_Bond_"&amp;A45&amp;"_schedule",$D$1,C45,"1Y","China","Following","Following",,,,,,,TRUE)</f>
        <v>Dummy_Bond_33Y_schedule#0058</v>
      </c>
      <c r="E45" s="51" t="str">
        <f ca="1">_xll.qlFixedRateBond("Fixed_Rate_Bond_"&amp;A45,,"CNY",1,100,D45,0,"Bond Basis","Following",100,B45,"China",,,TRUE)</f>
        <v>Fixed_Rate_Bond_33Y#0058</v>
      </c>
      <c r="F45" s="51">
        <f ca="1">_xll.qlBondCleanPriceFromYieldTermStructure(E45,$B$3,$D$1)</f>
        <v>19.693902594728556</v>
      </c>
      <c r="G45" s="51">
        <f ca="1">_xll.qlBondCleanPriceFromYieldTermStructure(E45,$E$66,$D$1)</f>
        <v>19.693902594728566</v>
      </c>
      <c r="H45" s="53"/>
      <c r="I45" s="52"/>
    </row>
    <row r="46" spans="1:9" x14ac:dyDescent="0.15">
      <c r="A46" s="51" t="s">
        <v>84</v>
      </c>
      <c r="B46" s="52">
        <f t="shared" ca="1" si="1"/>
        <v>41137</v>
      </c>
      <c r="C46" s="52">
        <f ca="1">_xll.qlCalendarAdvance("China",_xll.qlCalendarAdvance("China",$B$1,A46),"-6M")</f>
        <v>53374</v>
      </c>
      <c r="D46" s="51" t="str">
        <f ca="1">_xll.qlSchedule("Dummy_Bond_"&amp;A46&amp;"_schedule",$D$1,C46,"1Y","China","Following","Following",,,,,,,TRUE)</f>
        <v>Dummy_Bond_34Y_schedule#0058</v>
      </c>
      <c r="E46" s="51" t="str">
        <f ca="1">_xll.qlFixedRateBond("Fixed_Rate_Bond_"&amp;A46,,"CNY",1,100,D46,0,"Bond Basis","Following",100,B46,"China",,,TRUE)</f>
        <v>Fixed_Rate_Bond_34Y#0058</v>
      </c>
      <c r="F46" s="51">
        <f ca="1">_xll.qlBondCleanPriceFromYieldTermStructure(E46,$B$3,$D$1)</f>
        <v>18.733419631356767</v>
      </c>
      <c r="G46" s="51">
        <f ca="1">_xll.qlBondCleanPriceFromYieldTermStructure(E46,$E$66,$D$1)</f>
        <v>18.733419631356774</v>
      </c>
      <c r="H46" s="53"/>
      <c r="I46" s="52"/>
    </row>
    <row r="47" spans="1:9" x14ac:dyDescent="0.15">
      <c r="A47" s="51" t="s">
        <v>85</v>
      </c>
      <c r="B47" s="52">
        <f t="shared" ca="1" si="1"/>
        <v>41137</v>
      </c>
      <c r="C47" s="52">
        <f ca="1">_xll.qlCalendarAdvance("China",_xll.qlCalendarAdvance("China",$B$1,A47),"-6M")</f>
        <v>53741</v>
      </c>
      <c r="D47" s="51" t="str">
        <f ca="1">_xll.qlSchedule("Dummy_Bond_"&amp;A47&amp;"_schedule",$D$1,C47,"1Y","China","Following","Following",,,,,,,TRUE)</f>
        <v>Dummy_Bond_35Y_schedule#0058</v>
      </c>
      <c r="E47" s="51" t="str">
        <f ca="1">_xll.qlFixedRateBond("Fixed_Rate_Bond_"&amp;A47,,"CNY",1,100,D47,0,"Bond Basis","Following",100,B47,"China",,,TRUE)</f>
        <v>Fixed_Rate_Bond_35Y#0058</v>
      </c>
      <c r="F47" s="51">
        <f ca="1">_xll.qlBondCleanPriceFromYieldTermStructure(E47,$B$3,$D$1)</f>
        <v>17.814830723411827</v>
      </c>
      <c r="G47" s="51">
        <f ca="1">_xll.qlBondCleanPriceFromYieldTermStructure(E47,$E$66,$D$1)</f>
        <v>17.814830723411834</v>
      </c>
      <c r="H47" s="53"/>
      <c r="I47" s="52"/>
    </row>
    <row r="48" spans="1:9" x14ac:dyDescent="0.15">
      <c r="A48" s="51" t="s">
        <v>86</v>
      </c>
      <c r="B48" s="52">
        <f t="shared" ca="1" si="1"/>
        <v>41137</v>
      </c>
      <c r="C48" s="52">
        <f ca="1">_xll.qlCalendarAdvance("China",_xll.qlCalendarAdvance("China",$B$1,A48),"-6M")</f>
        <v>54105</v>
      </c>
      <c r="D48" s="51" t="str">
        <f ca="1">_xll.qlSchedule("Dummy_Bond_"&amp;A48&amp;"_schedule",$D$1,C48,"1Y","China","Following","Following",,,,,,,TRUE)</f>
        <v>Dummy_Bond_36Y_schedule#0058</v>
      </c>
      <c r="E48" s="51" t="str">
        <f ca="1">_xll.qlFixedRateBond("Fixed_Rate_Bond_"&amp;A48,,"CNY",1,100,D48,0,"Bond Basis","Following",100,B48,"China",,,TRUE)</f>
        <v>Fixed_Rate_Bond_36Y#0058</v>
      </c>
      <c r="F48" s="51">
        <f ca="1">_xll.qlBondCleanPriceFromYieldTermStructure(E48,$B$3,$D$1)</f>
        <v>16.948344949947003</v>
      </c>
      <c r="G48" s="51">
        <f ca="1">_xll.qlBondCleanPriceFromYieldTermStructure(E48,$E$66,$D$1)</f>
        <v>16.948344949947014</v>
      </c>
      <c r="H48" s="53"/>
      <c r="I48" s="52"/>
    </row>
    <row r="49" spans="1:9" x14ac:dyDescent="0.15">
      <c r="A49" s="51" t="s">
        <v>87</v>
      </c>
      <c r="B49" s="52">
        <f t="shared" ca="1" si="1"/>
        <v>41137</v>
      </c>
      <c r="C49" s="52">
        <f ca="1">_xll.qlCalendarAdvance("China",_xll.qlCalendarAdvance("China",$B$1,A49),"-6M")</f>
        <v>54470</v>
      </c>
      <c r="D49" s="51" t="str">
        <f ca="1">_xll.qlSchedule("Dummy_Bond_"&amp;A49&amp;"_schedule",$D$1,C49,"1Y","China","Following","Following",,,,,,,TRUE)</f>
        <v>Dummy_Bond_37Y_schedule#0058</v>
      </c>
      <c r="E49" s="51" t="str">
        <f ca="1">_xll.qlFixedRateBond("Fixed_Rate_Bond_"&amp;A49,,"CNY",1,100,D49,0,"Bond Basis","Following",100,B49,"China",,,TRUE)</f>
        <v>Fixed_Rate_Bond_37Y#0058</v>
      </c>
      <c r="F49" s="51">
        <f ca="1">_xll.qlBondCleanPriceFromYieldTermStructure(E49,$B$3,$D$1)</f>
        <v>16.124003702426531</v>
      </c>
      <c r="G49" s="51">
        <f ca="1">_xll.qlBondCleanPriceFromYieldTermStructure(E49,$E$66,$D$1)</f>
        <v>16.124003702426538</v>
      </c>
      <c r="H49" s="53"/>
      <c r="I49" s="52"/>
    </row>
    <row r="50" spans="1:9" x14ac:dyDescent="0.15">
      <c r="A50" s="51" t="s">
        <v>88</v>
      </c>
      <c r="B50" s="52">
        <f t="shared" ca="1" si="1"/>
        <v>41137</v>
      </c>
      <c r="C50" s="52">
        <f ca="1">_xll.qlCalendarAdvance("China",_xll.qlCalendarAdvance("China",$B$1,A50),"-6M")</f>
        <v>54835</v>
      </c>
      <c r="D50" s="51" t="str">
        <f ca="1">_xll.qlSchedule("Dummy_Bond_"&amp;A50&amp;"_schedule",$D$1,C50,"1Y","China","Following","Following",,,,,,,TRUE)</f>
        <v>Dummy_Bond_38Y_schedule#0058</v>
      </c>
      <c r="E50" s="51" t="str">
        <f ca="1">_xll.qlFixedRateBond("Fixed_Rate_Bond_"&amp;A50,,"CNY",1,100,D50,0,"Bond Basis","Following",100,B50,"China",,,TRUE)</f>
        <v>Fixed_Rate_Bond_38Y#0058</v>
      </c>
      <c r="F50" s="51">
        <f ca="1">_xll.qlBondCleanPriceFromYieldTermStructure(E50,$B$3,$D$1)</f>
        <v>15.337626762506575</v>
      </c>
      <c r="G50" s="51">
        <f ca="1">_xll.qlBondCleanPriceFromYieldTermStructure(E50,$E$66,$D$1)</f>
        <v>15.337626762506581</v>
      </c>
      <c r="H50" s="53"/>
      <c r="I50" s="52"/>
    </row>
    <row r="51" spans="1:9" x14ac:dyDescent="0.15">
      <c r="A51" s="51" t="s">
        <v>89</v>
      </c>
      <c r="B51" s="52">
        <f t="shared" ca="1" si="1"/>
        <v>41137</v>
      </c>
      <c r="C51" s="52">
        <f ca="1">_xll.qlCalendarAdvance("China",_xll.qlCalendarAdvance("China",$B$1,A51),"-6M")</f>
        <v>55200</v>
      </c>
      <c r="D51" s="51" t="str">
        <f ca="1">_xll.qlSchedule("Dummy_Bond_"&amp;A51&amp;"_schedule",$D$1,C51,"1Y","China","Following","Following",,,,,,,TRUE)</f>
        <v>Dummy_Bond_39Y_schedule#0058</v>
      </c>
      <c r="E51" s="51" t="str">
        <f ca="1">_xll.qlFixedRateBond("Fixed_Rate_Bond_"&amp;A51,,"CNY",1,100,D51,0,"Bond Basis","Following",100,B51,"China",,,TRUE)</f>
        <v>Fixed_Rate_Bond_39Y#0058</v>
      </c>
      <c r="F51" s="51">
        <f ca="1">_xll.qlBondCleanPriceFromYieldTermStructure(E51,$B$3,$D$1)</f>
        <v>14.589601878505876</v>
      </c>
      <c r="G51" s="51">
        <f ca="1">_xll.qlBondCleanPriceFromYieldTermStructure(E51,$E$66,$D$1)</f>
        <v>14.58960187850588</v>
      </c>
      <c r="H51" s="53"/>
      <c r="I51" s="52"/>
    </row>
    <row r="52" spans="1:9" x14ac:dyDescent="0.15">
      <c r="A52" s="51" t="s">
        <v>90</v>
      </c>
      <c r="B52" s="52">
        <f t="shared" ca="1" si="1"/>
        <v>41137</v>
      </c>
      <c r="C52" s="52">
        <f ca="1">_xll.qlCalendarAdvance("China",_xll.qlCalendarAdvance("China",$B$1,A52),"-6M")</f>
        <v>55565</v>
      </c>
      <c r="D52" s="51" t="str">
        <f ca="1">_xll.qlSchedule("Dummy_Bond_"&amp;A52&amp;"_schedule",$D$1,C52,"1Y","China","Following","Following",,,,,,,TRUE)</f>
        <v>Dummy_Bond_40Y_schedule#0058</v>
      </c>
      <c r="E52" s="51" t="str">
        <f ca="1">_xll.qlFixedRateBond("Fixed_Rate_Bond_"&amp;A52,,"CNY",1,100,D52,0,"Bond Basis","Following",100,B52,"China",,,TRUE)</f>
        <v>Fixed_Rate_Bond_40Y#0058</v>
      </c>
      <c r="F52" s="51">
        <f ca="1">_xll.qlBondCleanPriceFromYieldTermStructure(E52,$B$3,$D$1)</f>
        <v>13.87805859858568</v>
      </c>
      <c r="G52" s="51">
        <f ca="1">_xll.qlBondCleanPriceFromYieldTermStructure(E52,$E$66,$D$1)</f>
        <v>13.878058598585685</v>
      </c>
      <c r="H52" s="53"/>
      <c r="I52" s="52"/>
    </row>
    <row r="53" spans="1:9" x14ac:dyDescent="0.15">
      <c r="A53" s="51" t="s">
        <v>91</v>
      </c>
      <c r="B53" s="52">
        <f t="shared" ca="1" si="1"/>
        <v>41137</v>
      </c>
      <c r="C53" s="52">
        <f ca="1">_xll.qlCalendarAdvance("China",_xll.qlCalendarAdvance("China",$B$1,A53),"-6M")</f>
        <v>55933</v>
      </c>
      <c r="D53" s="51" t="str">
        <f ca="1">_xll.qlSchedule("Dummy_Bond_"&amp;A53&amp;"_schedule",$D$1,C53,"1Y","China","Following","Following",,,,,,,TRUE)</f>
        <v>Dummy_Bond_41Y_schedule#0058</v>
      </c>
      <c r="E53" s="51" t="str">
        <f ca="1">_xll.qlFixedRateBond("Fixed_Rate_Bond_"&amp;A53,,"CNY",1,100,D53,0,"Bond Basis","Following",100,B53,"China",,,TRUE)</f>
        <v>Fixed_Rate_Bond_41Y#0058</v>
      </c>
      <c r="F53" s="51">
        <f ca="1">_xll.qlBondCleanPriceFromYieldTermStructure(E53,$B$3,$D$1)</f>
        <v>13.19755119826395</v>
      </c>
      <c r="G53" s="51">
        <f ca="1">_xll.qlBondCleanPriceFromYieldTermStructure(E53,$E$66,$D$1)</f>
        <v>13.197551198263961</v>
      </c>
      <c r="H53" s="53"/>
      <c r="I53" s="52"/>
    </row>
    <row r="54" spans="1:9" x14ac:dyDescent="0.15">
      <c r="A54" s="51" t="s">
        <v>92</v>
      </c>
      <c r="B54" s="52">
        <f t="shared" ca="1" si="1"/>
        <v>41137</v>
      </c>
      <c r="C54" s="52">
        <f ca="1">_xll.qlCalendarAdvance("China",_xll.qlCalendarAdvance("China",$B$1,A54),"-6M")</f>
        <v>56297</v>
      </c>
      <c r="D54" s="51" t="str">
        <f ca="1">_xll.qlSchedule("Dummy_Bond_"&amp;A54&amp;"_schedule",$D$1,C54,"1Y","China","Following","Following",,,,,,,TRUE)</f>
        <v>Dummy_Bond_42Y_schedule#0058</v>
      </c>
      <c r="E54" s="51" t="str">
        <f ca="1">_xll.qlFixedRateBond("Fixed_Rate_Bond_"&amp;A54,,"CNY",1,100,D54,0,"Bond Basis","Following",100,B54,"China",,,TRUE)</f>
        <v>Fixed_Rate_Bond_42Y#0058</v>
      </c>
      <c r="F54" s="51">
        <f ca="1">_xll.qlBondCleanPriceFromYieldTermStructure(E54,$B$3,$D$1)</f>
        <v>12.555642749319718</v>
      </c>
      <c r="G54" s="51">
        <f ca="1">_xll.qlBondCleanPriceFromYieldTermStructure(E54,$E$66,$D$1)</f>
        <v>12.555642749319723</v>
      </c>
      <c r="H54" s="53"/>
      <c r="I54" s="52"/>
    </row>
    <row r="55" spans="1:9" x14ac:dyDescent="0.15">
      <c r="A55" s="51" t="s">
        <v>93</v>
      </c>
      <c r="B55" s="52">
        <f t="shared" ca="1" si="1"/>
        <v>41137</v>
      </c>
      <c r="C55" s="52">
        <f ca="1">_xll.qlCalendarAdvance("China",_xll.qlCalendarAdvance("China",$B$1,A55),"-6M")</f>
        <v>56661</v>
      </c>
      <c r="D55" s="51" t="str">
        <f ca="1">_xll.qlSchedule("Dummy_Bond_"&amp;A55&amp;"_schedule",$D$1,C55,"1Y","China","Following","Following",,,,,,,TRUE)</f>
        <v>Dummy_Bond_43Y_schedule#0058</v>
      </c>
      <c r="E55" s="51" t="str">
        <f ca="1">_xll.qlFixedRateBond("Fixed_Rate_Bond_"&amp;A55,,"CNY",1,100,D55,0,"Bond Basis","Following",100,B55,"China",,,TRUE)</f>
        <v>Fixed_Rate_Bond_43Y#0058</v>
      </c>
      <c r="F55" s="51">
        <f ca="1">_xll.qlBondCleanPriceFromYieldTermStructure(E55,$B$3,$D$1)</f>
        <v>11.944955733097055</v>
      </c>
      <c r="G55" s="51">
        <f ca="1">_xll.qlBondCleanPriceFromYieldTermStructure(E55,$E$66,$D$1)</f>
        <v>11.944955733097061</v>
      </c>
      <c r="H55" s="53"/>
      <c r="I55" s="52"/>
    </row>
    <row r="56" spans="1:9" x14ac:dyDescent="0.15">
      <c r="A56" s="51" t="s">
        <v>94</v>
      </c>
      <c r="B56" s="52">
        <f t="shared" ca="1" si="1"/>
        <v>41137</v>
      </c>
      <c r="C56" s="52">
        <f ca="1">_xll.qlCalendarAdvance("China",_xll.qlCalendarAdvance("China",$B$1,A56),"-6M")</f>
        <v>57026</v>
      </c>
      <c r="D56" s="51" t="str">
        <f ca="1">_xll.qlSchedule("Dummy_Bond_"&amp;A56&amp;"_schedule",$D$1,C56,"1Y","China","Following","Following",,,,,,,TRUE)</f>
        <v>Dummy_Bond_44Y_schedule#0058</v>
      </c>
      <c r="E56" s="51" t="str">
        <f ca="1">_xll.qlFixedRateBond("Fixed_Rate_Bond_"&amp;A56,,"CNY",1,100,D56,0,"Bond Basis","Following",100,B56,"China",,,TRUE)</f>
        <v>Fixed_Rate_Bond_44Y#0058</v>
      </c>
      <c r="F56" s="51">
        <f ca="1">_xll.qlBondCleanPriceFromYieldTermStructure(E56,$B$3,$D$1)</f>
        <v>11.362393367680415</v>
      </c>
      <c r="G56" s="51">
        <f ca="1">_xll.qlBondCleanPriceFromYieldTermStructure(E56,$E$66,$D$1)</f>
        <v>11.362393367680419</v>
      </c>
      <c r="H56" s="53"/>
      <c r="I56" s="52"/>
    </row>
    <row r="57" spans="1:9" x14ac:dyDescent="0.15">
      <c r="A57" s="51" t="s">
        <v>95</v>
      </c>
      <c r="B57" s="52">
        <f t="shared" ca="1" si="1"/>
        <v>41137</v>
      </c>
      <c r="C57" s="52">
        <f ca="1">_xll.qlCalendarAdvance("China",_xll.qlCalendarAdvance("China",$B$1,A57),"-6M")</f>
        <v>57392</v>
      </c>
      <c r="D57" s="51" t="str">
        <f ca="1">_xll.qlSchedule("Dummy_Bond_"&amp;A57&amp;"_schedule",$D$1,C57,"1Y","China","Following","Following",,,,,,,TRUE)</f>
        <v>Dummy_Bond_45Y_schedule#0058</v>
      </c>
      <c r="E57" s="51" t="str">
        <f ca="1">_xll.qlFixedRateBond("Fixed_Rate_Bond_"&amp;A57,,"CNY",1,100,D57,0,"Bond Basis","Following",100,B57,"China",,,TRUE)</f>
        <v>Fixed_Rate_Bond_45Y#0058</v>
      </c>
      <c r="F57" s="51">
        <f ca="1">_xll.qlBondCleanPriceFromYieldTermStructure(E57,$B$3,$D$1)</f>
        <v>10.808242904089372</v>
      </c>
      <c r="G57" s="51">
        <f ca="1">_xll.qlBondCleanPriceFromYieldTermStructure(E57,$E$66,$D$1)</f>
        <v>10.808242904089376</v>
      </c>
      <c r="H57" s="53"/>
      <c r="I57" s="52"/>
    </row>
    <row r="58" spans="1:9" x14ac:dyDescent="0.15">
      <c r="A58" s="51" t="s">
        <v>96</v>
      </c>
      <c r="B58" s="52">
        <f t="shared" ca="1" si="1"/>
        <v>41137</v>
      </c>
      <c r="C58" s="52">
        <f ca="1">_xll.qlCalendarAdvance("China",_xll.qlCalendarAdvance("China",$B$1,A58),"-6M")</f>
        <v>57759</v>
      </c>
      <c r="D58" s="51" t="str">
        <f ca="1">_xll.qlSchedule("Dummy_Bond_"&amp;A58&amp;"_schedule",$D$1,C58,"1Y","China","Following","Following",,,,,,,TRUE)</f>
        <v>Dummy_Bond_46Y_schedule#0058</v>
      </c>
      <c r="E58" s="51" t="str">
        <f ca="1">_xll.qlFixedRateBond("Fixed_Rate_Bond_"&amp;A58,,"CNY",1,100,D58,0,"Bond Basis","Following",100,B58,"China",,,TRUE)</f>
        <v>Fixed_Rate_Bond_46Y#0058</v>
      </c>
      <c r="F58" s="51">
        <f ca="1">_xll.qlBondCleanPriceFromYieldTermStructure(E58,$B$3,$D$1)</f>
        <v>10.278263207832921</v>
      </c>
      <c r="G58" s="51">
        <f ca="1">_xll.qlBondCleanPriceFromYieldTermStructure(E58,$E$66,$D$1)</f>
        <v>10.27826320783293</v>
      </c>
      <c r="H58" s="53"/>
      <c r="I58" s="52"/>
    </row>
    <row r="59" spans="1:9" x14ac:dyDescent="0.15">
      <c r="A59" s="51" t="s">
        <v>97</v>
      </c>
      <c r="B59" s="52">
        <f t="shared" ca="1" si="1"/>
        <v>41137</v>
      </c>
      <c r="C59" s="52">
        <f ca="1">_xll.qlCalendarAdvance("China",_xll.qlCalendarAdvance("China",$B$1,A59),"-6M")</f>
        <v>58124</v>
      </c>
      <c r="D59" s="51" t="str">
        <f ca="1">_xll.qlSchedule("Dummy_Bond_"&amp;A59&amp;"_schedule",$D$1,C59,"1Y","China","Following","Following",,,,,,,TRUE)</f>
        <v>Dummy_Bond_47Y_schedule#0058</v>
      </c>
      <c r="E59" s="51" t="str">
        <f ca="1">_xll.qlFixedRateBond("Fixed_Rate_Bond_"&amp;A59,,"CNY",1,100,D59,0,"Bond Basis","Following",100,B59,"China",,,TRUE)</f>
        <v>Fixed_Rate_Bond_47Y#0058</v>
      </c>
      <c r="F59" s="51">
        <f ca="1">_xll.qlBondCleanPriceFromYieldTermStructure(E59,$B$3,$D$1)</f>
        <v>9.7769863960537755</v>
      </c>
      <c r="G59" s="51">
        <f ca="1">_xll.qlBondCleanPriceFromYieldTermStructure(E59,$E$66,$D$1)</f>
        <v>9.7769863960537808</v>
      </c>
      <c r="H59" s="53"/>
      <c r="I59" s="52"/>
    </row>
    <row r="60" spans="1:9" x14ac:dyDescent="0.15">
      <c r="A60" s="51" t="s">
        <v>98</v>
      </c>
      <c r="B60" s="52">
        <f t="shared" ca="1" si="1"/>
        <v>41137</v>
      </c>
      <c r="C60" s="52">
        <f ca="1">_xll.qlCalendarAdvance("China",_xll.qlCalendarAdvance("China",$B$1,A60),"-6M")</f>
        <v>58487</v>
      </c>
      <c r="D60" s="51" t="str">
        <f ca="1">_xll.qlSchedule("Dummy_Bond_"&amp;A60&amp;"_schedule",$D$1,C60,"1Y","China","Following","Following",,,,,,,TRUE)</f>
        <v>Dummy_Bond_48Y_schedule#0058</v>
      </c>
      <c r="E60" s="51" t="str">
        <f ca="1">_xll.qlFixedRateBond("Fixed_Rate_Bond_"&amp;A60,,"CNY",1,100,D60,0,"Bond Basis","Following",100,B60,"China",,,TRUE)</f>
        <v>Fixed_Rate_Bond_48Y#0058</v>
      </c>
      <c r="F60" s="51">
        <f ca="1">_xll.qlBondCleanPriceFromYieldTermStructure(E60,$B$3,$D$1)</f>
        <v>9.3027408786892547</v>
      </c>
      <c r="G60" s="51">
        <f ca="1">_xll.qlBondCleanPriceFromYieldTermStructure(E60,$E$66,$D$1)</f>
        <v>9.3027408786892583</v>
      </c>
      <c r="H60" s="53"/>
      <c r="I60" s="52"/>
    </row>
    <row r="61" spans="1:9" x14ac:dyDescent="0.15">
      <c r="A61" s="51" t="s">
        <v>99</v>
      </c>
      <c r="B61" s="52">
        <f t="shared" ca="1" si="1"/>
        <v>41137</v>
      </c>
      <c r="C61" s="52">
        <f ca="1">_xll.qlCalendarAdvance("China",_xll.qlCalendarAdvance("China",$B$1,A61),"-6M")</f>
        <v>58853</v>
      </c>
      <c r="D61" s="51" t="str">
        <f ca="1">_xll.qlSchedule("Dummy_Bond_"&amp;A61&amp;"_schedule",$D$1,C61,"1Y","China","Following","Following",,,,,,,TRUE)</f>
        <v>Dummy_Bond_49Y_schedule#0058</v>
      </c>
      <c r="E61" s="51" t="str">
        <f ca="1">_xll.qlFixedRateBond("Fixed_Rate_Bond_"&amp;A61,,"CNY",1,100,D61,0,"Bond Basis","Following",100,B61,"China",,,TRUE)</f>
        <v>Fixed_Rate_Bond_49Y#0058</v>
      </c>
      <c r="F61" s="51">
        <f ca="1">_xll.qlBondCleanPriceFromYieldTermStructure(E61,$B$3,$D$1)</f>
        <v>8.8490408523148432</v>
      </c>
      <c r="G61" s="51">
        <f ca="1">_xll.qlBondCleanPriceFromYieldTermStructure(E61,$E$66,$D$1)</f>
        <v>8.8490408523148467</v>
      </c>
      <c r="H61" s="53"/>
      <c r="I61" s="52"/>
    </row>
    <row r="62" spans="1:9" x14ac:dyDescent="0.15">
      <c r="A62" s="51" t="s">
        <v>100</v>
      </c>
      <c r="B62" s="52">
        <f t="shared" ca="1" si="1"/>
        <v>41137</v>
      </c>
      <c r="C62" s="52">
        <f ca="1">_xll.qlCalendarAdvance("China",_xll.qlCalendarAdvance("China",$B$1,A62),"-6M")</f>
        <v>59218</v>
      </c>
      <c r="D62" s="51" t="str">
        <f ca="1">_xll.qlSchedule("Dummy_Bond_"&amp;A62&amp;"_schedule",$D$1,C62,"1Y","China","Following","Following",,,,,,,TRUE)</f>
        <v>Dummy_Bond_50Y_schedule#0058</v>
      </c>
      <c r="E62" s="51" t="str">
        <f ca="1">_xll.qlFixedRateBond("Fixed_Rate_Bond_"&amp;A62,,"CNY",1,100,D62,0,"Bond Basis","Following",100,B62,"China",,,TRUE)</f>
        <v>Fixed_Rate_Bond_50Y#0058</v>
      </c>
      <c r="F62" s="51">
        <f ca="1">_xll.qlBondCleanPriceFromYieldTermStructure(E62,$B$3,$D$1)</f>
        <v>8.4174680373307567</v>
      </c>
      <c r="G62" s="51">
        <f ca="1">_xll.qlBondCleanPriceFromYieldTermStructure(E62,$E$66,$D$1)</f>
        <v>8.4174680373307602</v>
      </c>
      <c r="H62" s="53"/>
      <c r="I62" s="52"/>
    </row>
    <row r="64" spans="1:9" x14ac:dyDescent="0.15">
      <c r="C64" s="52"/>
      <c r="D64" s="54"/>
    </row>
    <row r="65" spans="1:7" x14ac:dyDescent="0.15">
      <c r="B65" s="51" t="s">
        <v>108</v>
      </c>
      <c r="C65" s="52" t="s">
        <v>112</v>
      </c>
      <c r="D65" s="54"/>
    </row>
    <row r="66" spans="1:7" x14ac:dyDescent="0.15">
      <c r="A66" s="51" t="s">
        <v>111</v>
      </c>
      <c r="B66" s="52">
        <f ca="1">B13</f>
        <v>41137</v>
      </c>
      <c r="C66" s="54">
        <f t="array" aca="1" ref="C66:C1089" ca="1">_xll.qlYieldTSZeroRate($B$3,$B$66:$B$815,"Bond Basis")</f>
        <v>5.0000000000129566E-2</v>
      </c>
      <c r="D66" s="54">
        <v>4.9999999999999753E-2</v>
      </c>
      <c r="E66" s="51" t="str">
        <f ca="1">_xll.qlInterpolatedYieldCurve("interpCurve",B66:B815,C66:C815,"China","Bond Basis",,,"ZeroYield","Linear",,,TRUE)</f>
        <v>interpCurve#0085</v>
      </c>
      <c r="G66" s="51">
        <v>5.0000000000129566E-2</v>
      </c>
    </row>
    <row r="67" spans="1:7" x14ac:dyDescent="0.15">
      <c r="B67" s="52">
        <f ca="1">_xll.qlCalendarAdvance("Null",B66,$A$66,"UnAdjusted")</f>
        <v>41229</v>
      </c>
      <c r="C67" s="54">
        <f ca="1"/>
        <v>5.0000000000000155E-2</v>
      </c>
      <c r="D67" s="54">
        <f t="array" aca="1" ref="D67:D116" ca="1">_xll.qlYieldTSZeroRate($E$66,$B$67:$B$116,"Bond Basis",,,TRUE)</f>
        <v>5.0000000000000155E-2</v>
      </c>
      <c r="G67" s="51">
        <v>7.5205479452054955E-2</v>
      </c>
    </row>
    <row r="68" spans="1:7" x14ac:dyDescent="0.15">
      <c r="B68" s="52">
        <f ca="1">_xll.qlCalendarAdvance("Null",B67,$A$66,"UnAdjusted")</f>
        <v>41321</v>
      </c>
      <c r="C68" s="54">
        <f ca="1"/>
        <v>5.0000000000000031E-2</v>
      </c>
      <c r="D68" s="54">
        <f ca="1"/>
        <v>5.0000000000000031E-2</v>
      </c>
      <c r="G68" s="51">
        <v>0.10041095890410963</v>
      </c>
    </row>
    <row r="69" spans="1:7" x14ac:dyDescent="0.15">
      <c r="B69" s="52">
        <f ca="1">_xll.qlCalendarAdvance("Null",B68,$A$66,"UnAdjusted")</f>
        <v>41410</v>
      </c>
      <c r="C69" s="54">
        <f ca="1"/>
        <v>5.0000000000000044E-2</v>
      </c>
      <c r="D69" s="54">
        <f ca="1"/>
        <v>5.0000000000000044E-2</v>
      </c>
      <c r="G69" s="51">
        <v>0.12479452054794526</v>
      </c>
    </row>
    <row r="70" spans="1:7" x14ac:dyDescent="0.15">
      <c r="B70" s="52">
        <f ca="1">_xll.qlCalendarAdvance("Null",B69,$A$66,"UnAdjusted")</f>
        <v>41502</v>
      </c>
      <c r="C70" s="54">
        <f ca="1"/>
        <v>5.0000000000000072E-2</v>
      </c>
      <c r="D70" s="54">
        <f ca="1"/>
        <v>5.0000000000000072E-2</v>
      </c>
      <c r="E70" s="51" t="e">
        <f ca="1">interpHatJump(B66:B91,C66:C91,1,1,1)</f>
        <v>#VALUE!</v>
      </c>
      <c r="G70" s="51">
        <v>0.15000000000000008</v>
      </c>
    </row>
    <row r="71" spans="1:7" x14ac:dyDescent="0.15">
      <c r="B71" s="52">
        <f ca="1">_xll.qlCalendarAdvance("Null",B70,$A$66,"UnAdjusted")</f>
        <v>41594</v>
      </c>
      <c r="C71" s="54">
        <f ca="1"/>
        <v>4.999999999999992E-2</v>
      </c>
      <c r="D71" s="54">
        <f ca="1"/>
        <v>4.999999999999992E-2</v>
      </c>
      <c r="G71" s="51">
        <v>0.14160583941605831</v>
      </c>
    </row>
    <row r="72" spans="1:7" x14ac:dyDescent="0.15">
      <c r="B72" s="52">
        <f ca="1">_xll.qlCalendarAdvance("Null",B71,$A$66,"UnAdjusted")</f>
        <v>41686</v>
      </c>
      <c r="C72" s="54">
        <f ca="1"/>
        <v>4.9999999999999989E-2</v>
      </c>
      <c r="D72" s="54">
        <f ca="1"/>
        <v>4.9999999999999989E-2</v>
      </c>
      <c r="G72" s="51">
        <v>0.13321167883211676</v>
      </c>
    </row>
    <row r="73" spans="1:7" x14ac:dyDescent="0.15">
      <c r="B73" s="52">
        <f ca="1">_xll.qlCalendarAdvance("Null",B72,$A$66,"UnAdjusted")</f>
        <v>41775</v>
      </c>
      <c r="C73" s="54">
        <f ca="1"/>
        <v>5.0000000000000037E-2</v>
      </c>
      <c r="D73" s="54">
        <f ca="1"/>
        <v>5.0000000000000037E-2</v>
      </c>
      <c r="G73" s="51">
        <v>0.12509124087591245</v>
      </c>
    </row>
    <row r="74" spans="1:7" x14ac:dyDescent="0.15">
      <c r="B74" s="52">
        <f ca="1">_xll.qlCalendarAdvance("Null",B73,$A$66,"UnAdjusted")</f>
        <v>41867</v>
      </c>
      <c r="C74" s="54">
        <f ca="1"/>
        <v>5.0000000000000037E-2</v>
      </c>
      <c r="D74" s="54">
        <f ca="1"/>
        <v>5.0000000000000037E-2</v>
      </c>
      <c r="G74" s="51">
        <v>0.11669708029197084</v>
      </c>
    </row>
    <row r="75" spans="1:7" x14ac:dyDescent="0.15">
      <c r="B75" s="52">
        <f ca="1">_xll.qlCalendarAdvance("Null",B74,$A$66,"UnAdjusted")</f>
        <v>41959</v>
      </c>
      <c r="C75" s="54">
        <f ca="1"/>
        <v>5.0000000000000044E-2</v>
      </c>
      <c r="D75" s="54">
        <f ca="1"/>
        <v>5.0000000000000044E-2</v>
      </c>
      <c r="G75" s="51">
        <v>0.10830291970802924</v>
      </c>
    </row>
    <row r="76" spans="1:7" x14ac:dyDescent="0.15">
      <c r="B76" s="52">
        <f ca="1">_xll.qlCalendarAdvance("Null",B75,$A$66,"UnAdjusted")</f>
        <v>42051</v>
      </c>
      <c r="C76" s="54">
        <f ca="1"/>
        <v>0.05</v>
      </c>
      <c r="D76" s="54">
        <f ca="1"/>
        <v>0.05</v>
      </c>
      <c r="G76" s="51">
        <v>9.9908759124087587E-2</v>
      </c>
    </row>
    <row r="77" spans="1:7" x14ac:dyDescent="0.15">
      <c r="B77" s="52">
        <f ca="1">_xll.qlCalendarAdvance("Null",B76,$A$66,"UnAdjusted")</f>
        <v>42140</v>
      </c>
      <c r="C77" s="54">
        <f ca="1"/>
        <v>5.0000000000000017E-2</v>
      </c>
      <c r="D77" s="54">
        <f ca="1"/>
        <v>5.0000000000000017E-2</v>
      </c>
      <c r="E77" s="51" t="e">
        <f ca="1">_xll.qlInterpolation(1,2,3,4,,,TRUE)</f>
        <v>#NUM!</v>
      </c>
      <c r="F77" s="51" t="e">
        <f ca="1">_xll.qlInterpolationInterpolate()</f>
        <v>#NUM!</v>
      </c>
      <c r="G77" s="51">
        <v>9.1788321167883227E-2</v>
      </c>
    </row>
    <row r="78" spans="1:7" x14ac:dyDescent="0.15">
      <c r="B78" s="52">
        <f ca="1">_xll.qlCalendarAdvance("Null",B77,$A$66,"UnAdjusted")</f>
        <v>42232</v>
      </c>
      <c r="C78" s="54">
        <f ca="1"/>
        <v>4.9999999999999982E-2</v>
      </c>
      <c r="D78" s="54">
        <f ca="1"/>
        <v>4.9999999999999982E-2</v>
      </c>
      <c r="G78" s="51">
        <v>8.3394160583941584E-2</v>
      </c>
    </row>
    <row r="79" spans="1:7" x14ac:dyDescent="0.15">
      <c r="B79" s="52">
        <f ca="1">_xll.qlCalendarAdvance("Null",B78,$A$66,"UnAdjusted")</f>
        <v>42324</v>
      </c>
      <c r="C79" s="54">
        <f ca="1"/>
        <v>0.05</v>
      </c>
      <c r="D79" s="54">
        <f ca="1"/>
        <v>0.05</v>
      </c>
      <c r="G79" s="51">
        <v>7.4999999999999997E-2</v>
      </c>
    </row>
    <row r="80" spans="1:7" x14ac:dyDescent="0.15">
      <c r="B80" s="52">
        <f ca="1">_xll.qlCalendarAdvance("Null",B79,$A$66,"UnAdjusted")</f>
        <v>42416</v>
      </c>
      <c r="C80" s="54">
        <f ca="1"/>
        <v>4.9999999999999989E-2</v>
      </c>
      <c r="D80" s="54">
        <f ca="1"/>
        <v>4.9999999999999989E-2</v>
      </c>
      <c r="G80" s="51">
        <v>6.6605839416058382E-2</v>
      </c>
    </row>
    <row r="81" spans="2:7" x14ac:dyDescent="0.15">
      <c r="B81" s="52">
        <f ca="1">_xll.qlCalendarAdvance("Null",B80,$A$66,"UnAdjusted")</f>
        <v>42506</v>
      </c>
      <c r="C81" s="54">
        <f ca="1"/>
        <v>4.9999999999999996E-2</v>
      </c>
      <c r="D81" s="54">
        <f ca="1"/>
        <v>4.9999999999999996E-2</v>
      </c>
      <c r="G81" s="51">
        <v>5.8394160583941597E-2</v>
      </c>
    </row>
    <row r="82" spans="2:7" x14ac:dyDescent="0.15">
      <c r="B82" s="52">
        <f ca="1">_xll.qlCalendarAdvance("Null",B81,$A$66,"UnAdjusted")</f>
        <v>42598</v>
      </c>
      <c r="C82" s="54">
        <f ca="1"/>
        <v>0.05</v>
      </c>
      <c r="D82" s="54">
        <f ca="1"/>
        <v>0.05</v>
      </c>
      <c r="G82" s="51">
        <v>0.05</v>
      </c>
    </row>
    <row r="83" spans="2:7" x14ac:dyDescent="0.15">
      <c r="B83" s="52">
        <f ca="1">_xll.qlCalendarAdvance("Null",B82,$A$66,"UnAdjusted")</f>
        <v>42690</v>
      </c>
      <c r="C83" s="54">
        <f ca="1"/>
        <v>5.000000000000001E-2</v>
      </c>
      <c r="D83" s="54">
        <f ca="1"/>
        <v>5.000000000000001E-2</v>
      </c>
      <c r="G83" s="51">
        <v>5.000000000000001E-2</v>
      </c>
    </row>
    <row r="84" spans="2:7" x14ac:dyDescent="0.15">
      <c r="B84" s="52">
        <f ca="1">_xll.qlCalendarAdvance("Null",B83,$A$66,"UnAdjusted")</f>
        <v>42782</v>
      </c>
      <c r="C84" s="54">
        <f ca="1"/>
        <v>5.0000000000000017E-2</v>
      </c>
      <c r="D84" s="54">
        <f ca="1"/>
        <v>5.0000000000000017E-2</v>
      </c>
      <c r="G84" s="51">
        <v>5.0000000000000017E-2</v>
      </c>
    </row>
    <row r="85" spans="2:7" x14ac:dyDescent="0.15">
      <c r="B85" s="52">
        <f ca="1">_xll.qlCalendarAdvance("Null",B84,$A$66,"UnAdjusted")</f>
        <v>42871</v>
      </c>
      <c r="C85" s="54">
        <f ca="1"/>
        <v>5.0000000000000024E-2</v>
      </c>
      <c r="D85" s="54">
        <f ca="1"/>
        <v>5.0000000000000024E-2</v>
      </c>
      <c r="G85" s="51">
        <v>5.0000000000000024E-2</v>
      </c>
    </row>
    <row r="86" spans="2:7" x14ac:dyDescent="0.15">
      <c r="B86" s="52">
        <f ca="1">_xll.qlCalendarAdvance("Null",B85,$A$66,"UnAdjusted")</f>
        <v>42963</v>
      </c>
      <c r="C86" s="54">
        <f ca="1"/>
        <v>4.9999999999999982E-2</v>
      </c>
      <c r="D86" s="54">
        <f ca="1"/>
        <v>4.9999999999999982E-2</v>
      </c>
      <c r="G86" s="51">
        <v>4.9999999999999982E-2</v>
      </c>
    </row>
    <row r="87" spans="2:7" x14ac:dyDescent="0.15">
      <c r="B87" s="52">
        <f ca="1">_xll.qlCalendarAdvance("Null",B86,$A$66,"UnAdjusted")</f>
        <v>43055</v>
      </c>
      <c r="C87" s="54">
        <f ca="1"/>
        <v>0.05</v>
      </c>
      <c r="D87" s="54">
        <f ca="1"/>
        <v>0.05</v>
      </c>
      <c r="G87" s="51">
        <v>0.05</v>
      </c>
    </row>
    <row r="88" spans="2:7" x14ac:dyDescent="0.15">
      <c r="B88" s="52">
        <f ca="1">_xll.qlCalendarAdvance("Null",B87,$A$66,"UnAdjusted")</f>
        <v>43147</v>
      </c>
      <c r="C88" s="54">
        <f ca="1"/>
        <v>5.0000000000000024E-2</v>
      </c>
      <c r="D88" s="54">
        <f ca="1"/>
        <v>5.0000000000000024E-2</v>
      </c>
      <c r="G88" s="51">
        <v>5.0000000000000024E-2</v>
      </c>
    </row>
    <row r="89" spans="2:7" x14ac:dyDescent="0.15">
      <c r="B89" s="52">
        <f ca="1">_xll.qlCalendarAdvance("Null",B88,$A$66,"UnAdjusted")</f>
        <v>43236</v>
      </c>
      <c r="C89" s="54">
        <f ca="1"/>
        <v>5.0000000000000017E-2</v>
      </c>
      <c r="D89" s="54">
        <f ca="1"/>
        <v>5.0000000000000017E-2</v>
      </c>
      <c r="G89" s="51">
        <v>5.0000000000000017E-2</v>
      </c>
    </row>
    <row r="90" spans="2:7" x14ac:dyDescent="0.15">
      <c r="B90" s="52">
        <f ca="1">_xll.qlCalendarAdvance("Null",B89,$A$66,"UnAdjusted")</f>
        <v>43328</v>
      </c>
      <c r="C90" s="54">
        <f ca="1"/>
        <v>5.000000000000001E-2</v>
      </c>
      <c r="D90" s="54">
        <f ca="1"/>
        <v>5.000000000000001E-2</v>
      </c>
      <c r="G90" s="51">
        <v>5.000000000000001E-2</v>
      </c>
    </row>
    <row r="91" spans="2:7" x14ac:dyDescent="0.15">
      <c r="B91" s="52">
        <f ca="1">_xll.qlCalendarAdvance("Null",B90,$A$66,"UnAdjusted")</f>
        <v>43420</v>
      </c>
      <c r="C91" s="54">
        <f ca="1"/>
        <v>4.9999999999999989E-2</v>
      </c>
      <c r="D91" s="54">
        <f ca="1"/>
        <v>4.9999999999999989E-2</v>
      </c>
      <c r="G91" s="51">
        <v>4.9999999999999989E-2</v>
      </c>
    </row>
    <row r="92" spans="2:7" x14ac:dyDescent="0.15">
      <c r="B92" s="52">
        <f ca="1">_xll.qlCalendarAdvance("Null",B91,$A$66,"UnAdjusted")</f>
        <v>43512</v>
      </c>
      <c r="C92" s="54">
        <f ca="1"/>
        <v>0.05</v>
      </c>
      <c r="D92" s="54">
        <f ca="1"/>
        <v>0.05</v>
      </c>
      <c r="G92" s="51">
        <v>0.05</v>
      </c>
    </row>
    <row r="93" spans="2:7" x14ac:dyDescent="0.15">
      <c r="B93" s="52">
        <f ca="1">_xll.qlCalendarAdvance("Null",B92,$A$66,"UnAdjusted")</f>
        <v>43601</v>
      </c>
      <c r="C93" s="54">
        <f ca="1"/>
        <v>4.9999999999999996E-2</v>
      </c>
      <c r="D93" s="54">
        <f ca="1"/>
        <v>4.9999999999999996E-2</v>
      </c>
      <c r="G93" s="51">
        <v>4.9999999999999996E-2</v>
      </c>
    </row>
    <row r="94" spans="2:7" x14ac:dyDescent="0.15">
      <c r="B94" s="52">
        <f ca="1">_xll.qlCalendarAdvance("Null",B93,$A$66,"UnAdjusted")</f>
        <v>43693</v>
      </c>
      <c r="C94" s="54">
        <f ca="1"/>
        <v>5.000000000000001E-2</v>
      </c>
      <c r="D94" s="54">
        <f ca="1"/>
        <v>5.0000000000000031E-2</v>
      </c>
      <c r="G94" s="51">
        <v>5.000000000000001E-2</v>
      </c>
    </row>
    <row r="95" spans="2:7" x14ac:dyDescent="0.15">
      <c r="B95" s="52">
        <f ca="1">_xll.qlCalendarAdvance("Null",B94,$A$66,"UnAdjusted")</f>
        <v>43785</v>
      </c>
      <c r="C95" s="54">
        <f ca="1"/>
        <v>5.0000000000000017E-2</v>
      </c>
      <c r="D95" s="54">
        <f ca="1"/>
        <v>5.0000000000000017E-2</v>
      </c>
      <c r="G95" s="51">
        <v>5.0000000000000017E-2</v>
      </c>
    </row>
    <row r="96" spans="2:7" x14ac:dyDescent="0.15">
      <c r="B96" s="52">
        <f ca="1">_xll.qlCalendarAdvance("Null",B95,$A$66,"UnAdjusted")</f>
        <v>43877</v>
      </c>
      <c r="C96" s="54">
        <f ca="1"/>
        <v>4.9999999999999996E-2</v>
      </c>
      <c r="D96" s="54">
        <f ca="1"/>
        <v>4.9999999999999996E-2</v>
      </c>
      <c r="G96" s="51">
        <v>4.9999999999999996E-2</v>
      </c>
    </row>
    <row r="97" spans="2:7" x14ac:dyDescent="0.15">
      <c r="B97" s="52">
        <f ca="1">_xll.qlCalendarAdvance("Null",B96,$A$66,"UnAdjusted")</f>
        <v>43967</v>
      </c>
      <c r="C97" s="54">
        <f ca="1"/>
        <v>5.000000000000001E-2</v>
      </c>
      <c r="D97" s="54">
        <f ca="1"/>
        <v>5.000000000000001E-2</v>
      </c>
      <c r="G97" s="51">
        <v>5.000000000000001E-2</v>
      </c>
    </row>
    <row r="98" spans="2:7" x14ac:dyDescent="0.15">
      <c r="B98" s="52">
        <f ca="1">_xll.qlCalendarAdvance("Null",B97,$A$66,"UnAdjusted")</f>
        <v>44059</v>
      </c>
      <c r="C98" s="54">
        <f ca="1"/>
        <v>0.05</v>
      </c>
      <c r="D98" s="54">
        <f ca="1"/>
        <v>0.05</v>
      </c>
      <c r="G98" s="51">
        <v>0.05</v>
      </c>
    </row>
    <row r="99" spans="2:7" x14ac:dyDescent="0.15">
      <c r="B99" s="52">
        <f ca="1">_xll.qlCalendarAdvance("Null",B98,$A$66,"UnAdjusted")</f>
        <v>44151</v>
      </c>
      <c r="C99" s="54">
        <f ca="1"/>
        <v>5.000000000000001E-2</v>
      </c>
      <c r="D99" s="54">
        <f ca="1"/>
        <v>5.000000000000001E-2</v>
      </c>
      <c r="G99" s="51">
        <v>5.000000000000001E-2</v>
      </c>
    </row>
    <row r="100" spans="2:7" x14ac:dyDescent="0.15">
      <c r="B100" s="52">
        <f ca="1">_xll.qlCalendarAdvance("Null",B99,$A$66,"UnAdjusted")</f>
        <v>44243</v>
      </c>
      <c r="C100" s="54">
        <f ca="1"/>
        <v>0.05</v>
      </c>
      <c r="D100" s="54">
        <f ca="1"/>
        <v>0.05</v>
      </c>
      <c r="G100" s="51">
        <v>0.05</v>
      </c>
    </row>
    <row r="101" spans="2:7" x14ac:dyDescent="0.15">
      <c r="B101" s="52">
        <f ca="1">_xll.qlCalendarAdvance("Null",B100,$A$66,"UnAdjusted")</f>
        <v>44332</v>
      </c>
      <c r="C101" s="54">
        <f ca="1"/>
        <v>0.05</v>
      </c>
      <c r="D101" s="54">
        <f ca="1"/>
        <v>0.05</v>
      </c>
      <c r="G101" s="51">
        <v>0.05</v>
      </c>
    </row>
    <row r="102" spans="2:7" x14ac:dyDescent="0.15">
      <c r="B102" s="52">
        <f ca="1">_xll.qlCalendarAdvance("Null",B101,$A$66,"UnAdjusted")</f>
        <v>44424</v>
      </c>
      <c r="C102" s="54">
        <f ca="1"/>
        <v>5.000000000000001E-2</v>
      </c>
      <c r="D102" s="54">
        <f ca="1"/>
        <v>5.000000000000001E-2</v>
      </c>
      <c r="G102" s="51">
        <v>5.000000000000001E-2</v>
      </c>
    </row>
    <row r="103" spans="2:7" x14ac:dyDescent="0.15">
      <c r="B103" s="52">
        <f ca="1">_xll.qlCalendarAdvance("Null",B102,$A$66,"UnAdjusted")</f>
        <v>44516</v>
      </c>
      <c r="C103" s="54">
        <f ca="1"/>
        <v>0.05</v>
      </c>
      <c r="D103" s="54">
        <f ca="1"/>
        <v>0.05</v>
      </c>
      <c r="G103" s="51">
        <v>0.05</v>
      </c>
    </row>
    <row r="104" spans="2:7" x14ac:dyDescent="0.15">
      <c r="B104" s="52">
        <f ca="1">_xll.qlCalendarAdvance("Null",B103,$A$66,"UnAdjusted")</f>
        <v>44608</v>
      </c>
      <c r="C104" s="54">
        <f ca="1"/>
        <v>0.05</v>
      </c>
      <c r="D104" s="54">
        <f ca="1"/>
        <v>0.05</v>
      </c>
      <c r="G104" s="51">
        <v>0.05</v>
      </c>
    </row>
    <row r="105" spans="2:7" x14ac:dyDescent="0.15">
      <c r="B105" s="52">
        <f ca="1">_xll.qlCalendarAdvance("Null",B104,$A$66,"UnAdjusted")</f>
        <v>44697</v>
      </c>
      <c r="C105" s="54">
        <f ca="1"/>
        <v>5.0000000000000024E-2</v>
      </c>
      <c r="D105" s="54">
        <f ca="1"/>
        <v>5.0000000000000024E-2</v>
      </c>
      <c r="G105" s="51">
        <v>5.0000000000000024E-2</v>
      </c>
    </row>
    <row r="106" spans="2:7" x14ac:dyDescent="0.15">
      <c r="B106" s="52">
        <f ca="1">_xll.qlCalendarAdvance("Null",B105,$A$66,"UnAdjusted")</f>
        <v>44789</v>
      </c>
      <c r="C106" s="54">
        <f ca="1"/>
        <v>0.05</v>
      </c>
      <c r="D106" s="54">
        <f ca="1"/>
        <v>0.05</v>
      </c>
      <c r="G106" s="51">
        <v>0.05</v>
      </c>
    </row>
    <row r="107" spans="2:7" x14ac:dyDescent="0.15">
      <c r="B107" s="52">
        <f ca="1">_xll.qlCalendarAdvance("Null",B106,$A$66,"UnAdjusted")</f>
        <v>44881</v>
      </c>
      <c r="C107" s="54">
        <f ca="1"/>
        <v>5.0000000000000017E-2</v>
      </c>
      <c r="D107" s="54">
        <f ca="1"/>
        <v>5.0000000000000017E-2</v>
      </c>
      <c r="G107" s="51">
        <v>5.0000000000000017E-2</v>
      </c>
    </row>
    <row r="108" spans="2:7" x14ac:dyDescent="0.15">
      <c r="B108" s="52">
        <f ca="1">_xll.qlCalendarAdvance("Null",B107,$A$66,"UnAdjusted")</f>
        <v>44973</v>
      </c>
      <c r="C108" s="54">
        <f ca="1"/>
        <v>4.9999999999999989E-2</v>
      </c>
      <c r="D108" s="54">
        <f ca="1"/>
        <v>4.9999999999999989E-2</v>
      </c>
      <c r="G108" s="51">
        <v>4.9999999999999989E-2</v>
      </c>
    </row>
    <row r="109" spans="2:7" x14ac:dyDescent="0.15">
      <c r="B109" s="52">
        <f ca="1">_xll.qlCalendarAdvance("Null",B108,$A$66,"UnAdjusted")</f>
        <v>45062</v>
      </c>
      <c r="C109" s="54">
        <f ca="1"/>
        <v>4.9999999999999996E-2</v>
      </c>
      <c r="D109" s="54">
        <f ca="1"/>
        <v>5.000000000000001E-2</v>
      </c>
      <c r="G109" s="51">
        <v>4.9999999999999996E-2</v>
      </c>
    </row>
    <row r="110" spans="2:7" x14ac:dyDescent="0.15">
      <c r="B110" s="52">
        <f ca="1">_xll.qlCalendarAdvance("Null",B109,$A$66,"UnAdjusted")</f>
        <v>45154</v>
      </c>
      <c r="C110" s="54">
        <f ca="1"/>
        <v>0.05</v>
      </c>
      <c r="D110" s="54">
        <f ca="1"/>
        <v>0.05</v>
      </c>
      <c r="G110" s="51">
        <v>0.05</v>
      </c>
    </row>
    <row r="111" spans="2:7" x14ac:dyDescent="0.15">
      <c r="B111" s="52">
        <f ca="1">_xll.qlCalendarAdvance("Null",B110,$A$66,"UnAdjusted")</f>
        <v>45246</v>
      </c>
      <c r="C111" s="54">
        <f ca="1"/>
        <v>0.05</v>
      </c>
      <c r="D111" s="54">
        <f ca="1"/>
        <v>0.05</v>
      </c>
      <c r="G111" s="51">
        <v>0.05</v>
      </c>
    </row>
    <row r="112" spans="2:7" x14ac:dyDescent="0.15">
      <c r="B112" s="52">
        <f ca="1">_xll.qlCalendarAdvance("Null",B111,$A$66,"UnAdjusted")</f>
        <v>45338</v>
      </c>
      <c r="C112" s="54">
        <f ca="1"/>
        <v>4.9999999999999996E-2</v>
      </c>
      <c r="D112" s="54">
        <f ca="1"/>
        <v>4.9999999999999996E-2</v>
      </c>
      <c r="G112" s="51">
        <v>4.9999999999999996E-2</v>
      </c>
    </row>
    <row r="113" spans="2:7" x14ac:dyDescent="0.15">
      <c r="B113" s="52">
        <f ca="1">_xll.qlCalendarAdvance("Null",B112,$A$66,"UnAdjusted")</f>
        <v>45428</v>
      </c>
      <c r="C113" s="54">
        <f ca="1"/>
        <v>4.9999999999999982E-2</v>
      </c>
      <c r="D113" s="54">
        <f ca="1"/>
        <v>4.9999999999999975E-2</v>
      </c>
      <c r="G113" s="51">
        <v>4.9999999999999982E-2</v>
      </c>
    </row>
    <row r="114" spans="2:7" x14ac:dyDescent="0.15">
      <c r="B114" s="52">
        <f ca="1">_xll.qlCalendarAdvance("Null",B113,$A$66,"UnAdjusted")</f>
        <v>45520</v>
      </c>
      <c r="C114" s="54">
        <f ca="1"/>
        <v>5.000000000000001E-2</v>
      </c>
      <c r="D114" s="54">
        <f ca="1"/>
        <v>5.000000000000001E-2</v>
      </c>
      <c r="G114" s="51">
        <v>5.000000000000001E-2</v>
      </c>
    </row>
    <row r="115" spans="2:7" x14ac:dyDescent="0.15">
      <c r="B115" s="52">
        <f ca="1">_xll.qlCalendarAdvance("Null",B114,$A$66,"UnAdjusted")</f>
        <v>45612</v>
      </c>
      <c r="C115" s="54">
        <f ca="1"/>
        <v>5.000000000000001E-2</v>
      </c>
      <c r="D115" s="51">
        <f ca="1"/>
        <v>5.000000000000001E-2</v>
      </c>
      <c r="G115" s="51">
        <v>5.000000000000001E-2</v>
      </c>
    </row>
    <row r="116" spans="2:7" x14ac:dyDescent="0.15">
      <c r="B116" s="52">
        <f ca="1">_xll.qlCalendarAdvance("Null",B115,$A$66,"UnAdjusted")</f>
        <v>45704</v>
      </c>
      <c r="C116" s="54">
        <f ca="1"/>
        <v>0.05</v>
      </c>
      <c r="D116" s="51">
        <f ca="1"/>
        <v>0.05</v>
      </c>
    </row>
    <row r="117" spans="2:7" x14ac:dyDescent="0.15">
      <c r="B117" s="52">
        <f ca="1">_xll.qlCalendarAdvance("Null",B116,$A$66,"UnAdjusted")</f>
        <v>45793</v>
      </c>
      <c r="C117" s="60">
        <f ca="1"/>
        <v>0.05</v>
      </c>
    </row>
    <row r="118" spans="2:7" x14ac:dyDescent="0.15">
      <c r="B118" s="52">
        <f ca="1">_xll.qlCalendarAdvance("Null",B117,$A$66,"UnAdjusted")</f>
        <v>45885</v>
      </c>
      <c r="C118" s="60">
        <f ca="1"/>
        <v>4.9999999999999996E-2</v>
      </c>
    </row>
    <row r="119" spans="2:7" x14ac:dyDescent="0.15">
      <c r="B119" s="52">
        <f ca="1">_xll.qlCalendarAdvance("Null",B118,$A$66,"UnAdjusted")</f>
        <v>45977</v>
      </c>
      <c r="C119" s="60">
        <f ca="1"/>
        <v>5.0000000000000017E-2</v>
      </c>
    </row>
    <row r="120" spans="2:7" x14ac:dyDescent="0.15">
      <c r="B120" s="52">
        <f ca="1">_xll.qlCalendarAdvance("Null",B119,$A$66,"UnAdjusted")</f>
        <v>46069</v>
      </c>
      <c r="C120" s="60">
        <f ca="1"/>
        <v>5.0000000000000017E-2</v>
      </c>
    </row>
    <row r="121" spans="2:7" x14ac:dyDescent="0.15">
      <c r="B121" s="52">
        <f ca="1">_xll.qlCalendarAdvance("Null",B120,$A$66,"UnAdjusted")</f>
        <v>46158</v>
      </c>
      <c r="C121" s="60">
        <f ca="1"/>
        <v>0.05</v>
      </c>
    </row>
    <row r="122" spans="2:7" x14ac:dyDescent="0.15">
      <c r="B122" s="52">
        <f ca="1">_xll.qlCalendarAdvance("Null",B121,$A$66,"UnAdjusted")</f>
        <v>46250</v>
      </c>
      <c r="C122" s="60">
        <f ca="1"/>
        <v>0.05</v>
      </c>
    </row>
    <row r="123" spans="2:7" x14ac:dyDescent="0.15">
      <c r="B123" s="52">
        <f ca="1">_xll.qlCalendarAdvance("Null",B122,$A$66,"UnAdjusted")</f>
        <v>46342</v>
      </c>
      <c r="C123" s="60">
        <f ca="1"/>
        <v>0.05</v>
      </c>
    </row>
    <row r="124" spans="2:7" x14ac:dyDescent="0.15">
      <c r="B124" s="52">
        <f ca="1">_xll.qlCalendarAdvance("Null",B123,$A$66,"UnAdjusted")</f>
        <v>46434</v>
      </c>
      <c r="C124" s="60">
        <f ca="1"/>
        <v>0.05</v>
      </c>
    </row>
    <row r="125" spans="2:7" x14ac:dyDescent="0.15">
      <c r="B125" s="52">
        <f ca="1">_xll.qlCalendarAdvance("Null",B124,$A$66,"UnAdjusted")</f>
        <v>46523</v>
      </c>
      <c r="C125" s="60">
        <f ca="1"/>
        <v>0.05</v>
      </c>
    </row>
    <row r="126" spans="2:7" x14ac:dyDescent="0.15">
      <c r="B126" s="52">
        <f ca="1">_xll.qlCalendarAdvance("Null",B125,$A$66,"UnAdjusted")</f>
        <v>46615</v>
      </c>
      <c r="C126" s="60">
        <f ca="1"/>
        <v>0.05</v>
      </c>
    </row>
    <row r="127" spans="2:7" x14ac:dyDescent="0.15">
      <c r="B127" s="52">
        <f ca="1">_xll.qlCalendarAdvance("Null",B126,$A$66,"UnAdjusted")</f>
        <v>46707</v>
      </c>
      <c r="C127" s="60">
        <f ca="1"/>
        <v>0.05</v>
      </c>
    </row>
    <row r="128" spans="2:7" x14ac:dyDescent="0.15">
      <c r="B128" s="52">
        <f ca="1">_xll.qlCalendarAdvance("Null",B127,$A$66,"UnAdjusted")</f>
        <v>46799</v>
      </c>
      <c r="C128" s="60">
        <f ca="1"/>
        <v>0.05</v>
      </c>
    </row>
    <row r="129" spans="2:3" x14ac:dyDescent="0.15">
      <c r="B129" s="52">
        <f ca="1">_xll.qlCalendarAdvance("Null",B128,$A$66,"UnAdjusted")</f>
        <v>46889</v>
      </c>
      <c r="C129" s="60">
        <f ca="1"/>
        <v>5.000000000000001E-2</v>
      </c>
    </row>
    <row r="130" spans="2:3" x14ac:dyDescent="0.15">
      <c r="B130" s="52">
        <f ca="1">_xll.qlCalendarAdvance("Null",B129,$A$66,"UnAdjusted")</f>
        <v>46981</v>
      </c>
      <c r="C130" s="60">
        <f ca="1"/>
        <v>5.000000000000001E-2</v>
      </c>
    </row>
    <row r="131" spans="2:3" x14ac:dyDescent="0.15">
      <c r="B131" s="52">
        <f ca="1">_xll.qlCalendarAdvance("Null",B130,$A$66,"UnAdjusted")</f>
        <v>47073</v>
      </c>
      <c r="C131" s="60">
        <f ca="1"/>
        <v>0.05</v>
      </c>
    </row>
    <row r="132" spans="2:3" x14ac:dyDescent="0.15">
      <c r="B132" s="52">
        <f ca="1">_xll.qlCalendarAdvance("Null",B131,$A$66,"UnAdjusted")</f>
        <v>47165</v>
      </c>
      <c r="C132" s="60">
        <f ca="1"/>
        <v>5.000000000000001E-2</v>
      </c>
    </row>
    <row r="133" spans="2:3" x14ac:dyDescent="0.15">
      <c r="B133" s="52">
        <f ca="1">_xll.qlCalendarAdvance("Null",B132,$A$66,"UnAdjusted")</f>
        <v>47254</v>
      </c>
      <c r="C133" s="60">
        <f ca="1"/>
        <v>5.000000000000001E-2</v>
      </c>
    </row>
    <row r="134" spans="2:3" x14ac:dyDescent="0.15">
      <c r="B134" s="52">
        <f ca="1">_xll.qlCalendarAdvance("Null",B133,$A$66,"UnAdjusted")</f>
        <v>47346</v>
      </c>
      <c r="C134" s="60">
        <f ca="1"/>
        <v>0.05</v>
      </c>
    </row>
    <row r="135" spans="2:3" x14ac:dyDescent="0.15">
      <c r="B135" s="52">
        <f ca="1">_xll.qlCalendarAdvance("Null",B134,$A$66,"UnAdjusted")</f>
        <v>47438</v>
      </c>
      <c r="C135" s="60">
        <f ca="1"/>
        <v>0.05</v>
      </c>
    </row>
    <row r="136" spans="2:3" x14ac:dyDescent="0.15">
      <c r="B136" s="52">
        <f ca="1">_xll.qlCalendarAdvance("Null",B135,$A$66,"UnAdjusted")</f>
        <v>47530</v>
      </c>
      <c r="C136" s="60">
        <f ca="1"/>
        <v>5.000000000000001E-2</v>
      </c>
    </row>
    <row r="137" spans="2:3" x14ac:dyDescent="0.15">
      <c r="B137" s="52">
        <f ca="1">_xll.qlCalendarAdvance("Null",B136,$A$66,"UnAdjusted")</f>
        <v>47619</v>
      </c>
      <c r="C137" s="60">
        <f ca="1"/>
        <v>0.05</v>
      </c>
    </row>
    <row r="138" spans="2:3" x14ac:dyDescent="0.15">
      <c r="B138" s="52">
        <f ca="1">_xll.qlCalendarAdvance("Null",B137,$A$66,"UnAdjusted")</f>
        <v>47711</v>
      </c>
      <c r="C138" s="60">
        <f ca="1"/>
        <v>0.05</v>
      </c>
    </row>
    <row r="139" spans="2:3" x14ac:dyDescent="0.15">
      <c r="B139" s="52">
        <f ca="1">_xll.qlCalendarAdvance("Null",B138,$A$66,"UnAdjusted")</f>
        <v>47803</v>
      </c>
      <c r="C139" s="60">
        <f ca="1"/>
        <v>5.000000000000001E-2</v>
      </c>
    </row>
    <row r="140" spans="2:3" x14ac:dyDescent="0.15">
      <c r="B140" s="52">
        <f ca="1">_xll.qlCalendarAdvance("Null",B139,$A$66,"UnAdjusted")</f>
        <v>47895</v>
      </c>
      <c r="C140" s="60">
        <f ca="1"/>
        <v>4.9999999999999996E-2</v>
      </c>
    </row>
    <row r="141" spans="2:3" x14ac:dyDescent="0.15">
      <c r="B141" s="52">
        <f ca="1">_xll.qlCalendarAdvance("Null",B140,$A$66,"UnAdjusted")</f>
        <v>47984</v>
      </c>
      <c r="C141" s="60">
        <f ca="1"/>
        <v>0.05</v>
      </c>
    </row>
    <row r="142" spans="2:3" x14ac:dyDescent="0.15">
      <c r="B142" s="52">
        <f ca="1">_xll.qlCalendarAdvance("Null",B141,$A$66,"UnAdjusted")</f>
        <v>48076</v>
      </c>
      <c r="C142" s="60">
        <f ca="1"/>
        <v>0.05</v>
      </c>
    </row>
    <row r="143" spans="2:3" x14ac:dyDescent="0.15">
      <c r="B143" s="52">
        <f ca="1">_xll.qlCalendarAdvance("Null",B142,$A$66,"UnAdjusted")</f>
        <v>48168</v>
      </c>
      <c r="C143" s="60">
        <f ca="1"/>
        <v>0.05</v>
      </c>
    </row>
    <row r="144" spans="2:3" x14ac:dyDescent="0.15">
      <c r="B144" s="52">
        <f ca="1">_xll.qlCalendarAdvance("Null",B143,$A$66,"UnAdjusted")</f>
        <v>48260</v>
      </c>
      <c r="C144" s="60">
        <f ca="1"/>
        <v>0.05</v>
      </c>
    </row>
    <row r="145" spans="2:3" x14ac:dyDescent="0.15">
      <c r="B145" s="52">
        <f ca="1">_xll.qlCalendarAdvance("Null",B144,$A$66,"UnAdjusted")</f>
        <v>48350</v>
      </c>
      <c r="C145" s="60">
        <f ca="1"/>
        <v>0.05</v>
      </c>
    </row>
    <row r="146" spans="2:3" x14ac:dyDescent="0.15">
      <c r="B146" s="52">
        <f ca="1">_xll.qlCalendarAdvance("Null",B145,$A$66,"UnAdjusted")</f>
        <v>48442</v>
      </c>
      <c r="C146" s="60">
        <f ca="1"/>
        <v>0.05</v>
      </c>
    </row>
    <row r="147" spans="2:3" x14ac:dyDescent="0.15">
      <c r="B147" s="52">
        <f ca="1">_xll.qlCalendarAdvance("Null",B146,$A$66,"UnAdjusted")</f>
        <v>48534</v>
      </c>
      <c r="C147" s="60">
        <f ca="1"/>
        <v>4.9999999999999996E-2</v>
      </c>
    </row>
    <row r="148" spans="2:3" x14ac:dyDescent="0.15">
      <c r="B148" s="52">
        <f ca="1">_xll.qlCalendarAdvance("Null",B147,$A$66,"UnAdjusted")</f>
        <v>48626</v>
      </c>
      <c r="C148" s="60">
        <f ca="1"/>
        <v>5.000000000000001E-2</v>
      </c>
    </row>
    <row r="149" spans="2:3" x14ac:dyDescent="0.15">
      <c r="B149" s="52">
        <f ca="1">_xll.qlCalendarAdvance("Null",B148,$A$66,"UnAdjusted")</f>
        <v>48715</v>
      </c>
      <c r="C149" s="60">
        <f ca="1"/>
        <v>0.05</v>
      </c>
    </row>
    <row r="150" spans="2:3" x14ac:dyDescent="0.15">
      <c r="B150" s="52">
        <f ca="1">_xll.qlCalendarAdvance("Null",B149,$A$66,"UnAdjusted")</f>
        <v>48807</v>
      </c>
      <c r="C150" s="60">
        <f ca="1"/>
        <v>0.05</v>
      </c>
    </row>
    <row r="151" spans="2:3" x14ac:dyDescent="0.15">
      <c r="B151" s="52">
        <f ca="1">_xll.qlCalendarAdvance("Null",B150,$A$66,"UnAdjusted")</f>
        <v>48899</v>
      </c>
      <c r="C151" s="60">
        <f ca="1"/>
        <v>0.05</v>
      </c>
    </row>
    <row r="152" spans="2:3" x14ac:dyDescent="0.15">
      <c r="B152" s="52">
        <f ca="1">_xll.qlCalendarAdvance("Null",B151,$A$66,"UnAdjusted")</f>
        <v>48991</v>
      </c>
      <c r="C152" s="60">
        <f ca="1"/>
        <v>4.9999999999999996E-2</v>
      </c>
    </row>
    <row r="153" spans="2:3" x14ac:dyDescent="0.15">
      <c r="B153" s="52">
        <f ca="1">_xll.qlCalendarAdvance("Null",B152,$A$66,"UnAdjusted")</f>
        <v>49080</v>
      </c>
      <c r="C153" s="60">
        <f ca="1"/>
        <v>5.0000000000000017E-2</v>
      </c>
    </row>
    <row r="154" spans="2:3" x14ac:dyDescent="0.15">
      <c r="B154" s="52">
        <f ca="1">_xll.qlCalendarAdvance("Null",B153,$A$66,"UnAdjusted")</f>
        <v>49172</v>
      </c>
      <c r="C154" s="60">
        <f ca="1"/>
        <v>5.0000000000000017E-2</v>
      </c>
    </row>
    <row r="155" spans="2:3" x14ac:dyDescent="0.15">
      <c r="B155" s="52">
        <f ca="1">_xll.qlCalendarAdvance("Null",B154,$A$66,"UnAdjusted")</f>
        <v>49264</v>
      </c>
      <c r="C155" s="60">
        <f ca="1"/>
        <v>0.05</v>
      </c>
    </row>
    <row r="156" spans="2:3" x14ac:dyDescent="0.15">
      <c r="B156" s="52">
        <f ca="1">_xll.qlCalendarAdvance("Null",B155,$A$66,"UnAdjusted")</f>
        <v>49356</v>
      </c>
      <c r="C156" s="60">
        <f ca="1"/>
        <v>0.05</v>
      </c>
    </row>
    <row r="157" spans="2:3" x14ac:dyDescent="0.15">
      <c r="B157" s="52">
        <f ca="1">_xll.qlCalendarAdvance("Null",B156,$A$66,"UnAdjusted")</f>
        <v>49445</v>
      </c>
      <c r="C157" s="60">
        <f ca="1"/>
        <v>4.9999999999999996E-2</v>
      </c>
    </row>
    <row r="158" spans="2:3" x14ac:dyDescent="0.15">
      <c r="B158" s="52">
        <f ca="1">_xll.qlCalendarAdvance("Null",B157,$A$66,"UnAdjusted")</f>
        <v>49537</v>
      </c>
      <c r="C158" s="60">
        <f ca="1"/>
        <v>0.05</v>
      </c>
    </row>
    <row r="159" spans="2:3" x14ac:dyDescent="0.15">
      <c r="B159" s="52">
        <f ca="1">_xll.qlCalendarAdvance("Null",B158,$A$66,"UnAdjusted")</f>
        <v>49629</v>
      </c>
      <c r="C159" s="60">
        <f ca="1"/>
        <v>0.05</v>
      </c>
    </row>
    <row r="160" spans="2:3" x14ac:dyDescent="0.15">
      <c r="B160" s="52">
        <f ca="1">_xll.qlCalendarAdvance("Null",B159,$A$66,"UnAdjusted")</f>
        <v>49721</v>
      </c>
      <c r="C160" s="60">
        <f ca="1"/>
        <v>5.000000000000001E-2</v>
      </c>
    </row>
    <row r="161" spans="2:3" x14ac:dyDescent="0.15">
      <c r="B161" s="52">
        <f ca="1">_xll.qlCalendarAdvance("Null",B160,$A$66,"UnAdjusted")</f>
        <v>49811</v>
      </c>
      <c r="C161" s="60">
        <f ca="1"/>
        <v>0.05</v>
      </c>
    </row>
    <row r="162" spans="2:3" x14ac:dyDescent="0.15">
      <c r="B162" s="52">
        <f ca="1">_xll.qlCalendarAdvance("Null",B161,$A$66,"UnAdjusted")</f>
        <v>49903</v>
      </c>
      <c r="C162" s="60">
        <f ca="1"/>
        <v>5.000000000000001E-2</v>
      </c>
    </row>
    <row r="163" spans="2:3" x14ac:dyDescent="0.15">
      <c r="B163" s="52">
        <f ca="1">_xll.qlCalendarAdvance("Null",B162,$A$66,"UnAdjusted")</f>
        <v>49995</v>
      </c>
      <c r="C163" s="60">
        <f ca="1"/>
        <v>0.05</v>
      </c>
    </row>
    <row r="164" spans="2:3" x14ac:dyDescent="0.15">
      <c r="B164" s="52">
        <f ca="1">_xll.qlCalendarAdvance("Null",B163,$A$66,"UnAdjusted")</f>
        <v>50087</v>
      </c>
      <c r="C164" s="60">
        <f ca="1"/>
        <v>0.05</v>
      </c>
    </row>
    <row r="165" spans="2:3" x14ac:dyDescent="0.15">
      <c r="B165" s="52">
        <f ca="1">_xll.qlCalendarAdvance("Null",B164,$A$66,"UnAdjusted")</f>
        <v>50176</v>
      </c>
      <c r="C165" s="60">
        <f ca="1"/>
        <v>4.9999999999999996E-2</v>
      </c>
    </row>
    <row r="166" spans="2:3" x14ac:dyDescent="0.15">
      <c r="B166" s="52">
        <f ca="1">_xll.qlCalendarAdvance("Null",B165,$A$66,"UnAdjusted")</f>
        <v>50268</v>
      </c>
      <c r="C166" s="60">
        <f ca="1"/>
        <v>0.05</v>
      </c>
    </row>
    <row r="167" spans="2:3" x14ac:dyDescent="0.15">
      <c r="B167" s="52">
        <f ca="1">_xll.qlCalendarAdvance("Null",B166,$A$66,"UnAdjusted")</f>
        <v>50360</v>
      </c>
      <c r="C167" s="60">
        <f ca="1"/>
        <v>5.0000000000000017E-2</v>
      </c>
    </row>
    <row r="168" spans="2:3" x14ac:dyDescent="0.15">
      <c r="B168" s="52">
        <f ca="1">_xll.qlCalendarAdvance("Null",B167,$A$66,"UnAdjusted")</f>
        <v>50452</v>
      </c>
      <c r="C168" s="60">
        <f ca="1"/>
        <v>0.05</v>
      </c>
    </row>
    <row r="169" spans="2:3" x14ac:dyDescent="0.15">
      <c r="B169" s="52">
        <f ca="1">_xll.qlCalendarAdvance("Null",B168,$A$66,"UnAdjusted")</f>
        <v>50541</v>
      </c>
      <c r="C169" s="60">
        <f ca="1"/>
        <v>0.05</v>
      </c>
    </row>
    <row r="170" spans="2:3" x14ac:dyDescent="0.15">
      <c r="B170" s="52">
        <f ca="1">_xll.qlCalendarAdvance("Null",B169,$A$66,"UnAdjusted")</f>
        <v>50633</v>
      </c>
      <c r="C170" s="60">
        <f ca="1"/>
        <v>0.05</v>
      </c>
    </row>
    <row r="171" spans="2:3" x14ac:dyDescent="0.15">
      <c r="B171" s="52">
        <f ca="1">_xll.qlCalendarAdvance("Null",B170,$A$66,"UnAdjusted")</f>
        <v>50725</v>
      </c>
      <c r="C171" s="60">
        <f ca="1"/>
        <v>4.9999999999999989E-2</v>
      </c>
    </row>
    <row r="172" spans="2:3" x14ac:dyDescent="0.15">
      <c r="B172" s="52">
        <f ca="1">_xll.qlCalendarAdvance("Null",B171,$A$66,"UnAdjusted")</f>
        <v>50817</v>
      </c>
      <c r="C172" s="60">
        <f ca="1"/>
        <v>5.000000000000001E-2</v>
      </c>
    </row>
    <row r="173" spans="2:3" x14ac:dyDescent="0.15">
      <c r="B173" s="52">
        <f ca="1">_xll.qlCalendarAdvance("Null",B172,$A$66,"UnAdjusted")</f>
        <v>50906</v>
      </c>
      <c r="C173" s="60">
        <f ca="1"/>
        <v>0.05</v>
      </c>
    </row>
    <row r="174" spans="2:3" x14ac:dyDescent="0.15">
      <c r="B174" s="52">
        <f ca="1">_xll.qlCalendarAdvance("Null",B173,$A$66,"UnAdjusted")</f>
        <v>50998</v>
      </c>
      <c r="C174" s="60">
        <f ca="1"/>
        <v>0.05</v>
      </c>
    </row>
    <row r="175" spans="2:3" x14ac:dyDescent="0.15">
      <c r="B175" s="52">
        <f ca="1">_xll.qlCalendarAdvance("Null",B174,$A$66,"UnAdjusted")</f>
        <v>51090</v>
      </c>
      <c r="C175" s="60">
        <f ca="1"/>
        <v>0.05</v>
      </c>
    </row>
    <row r="176" spans="2:3" x14ac:dyDescent="0.15">
      <c r="B176" s="52">
        <f ca="1">_xll.qlCalendarAdvance("Null",B175,$A$66,"UnAdjusted")</f>
        <v>51182</v>
      </c>
      <c r="C176" s="60">
        <f ca="1"/>
        <v>0.05</v>
      </c>
    </row>
    <row r="177" spans="2:3" x14ac:dyDescent="0.15">
      <c r="B177" s="52">
        <f ca="1">_xll.qlCalendarAdvance("Null",B176,$A$66,"UnAdjusted")</f>
        <v>51272</v>
      </c>
      <c r="C177" s="60">
        <f ca="1"/>
        <v>5.000000000000001E-2</v>
      </c>
    </row>
    <row r="178" spans="2:3" x14ac:dyDescent="0.15">
      <c r="B178" s="52">
        <f ca="1">_xll.qlCalendarAdvance("Null",B177,$A$66,"UnAdjusted")</f>
        <v>51364</v>
      </c>
      <c r="C178" s="60">
        <f ca="1"/>
        <v>0.05</v>
      </c>
    </row>
    <row r="179" spans="2:3" x14ac:dyDescent="0.15">
      <c r="B179" s="52">
        <f ca="1">_xll.qlCalendarAdvance("Null",B178,$A$66,"UnAdjusted")</f>
        <v>51456</v>
      </c>
      <c r="C179" s="60">
        <f ca="1"/>
        <v>0.05</v>
      </c>
    </row>
    <row r="180" spans="2:3" x14ac:dyDescent="0.15">
      <c r="B180" s="52">
        <f ca="1">_xll.qlCalendarAdvance("Null",B179,$A$66,"UnAdjusted")</f>
        <v>51548</v>
      </c>
      <c r="C180" s="60">
        <f ca="1"/>
        <v>0.05</v>
      </c>
    </row>
    <row r="181" spans="2:3" x14ac:dyDescent="0.15">
      <c r="B181" s="52">
        <f ca="1">_xll.qlCalendarAdvance("Null",B180,$A$66,"UnAdjusted")</f>
        <v>51637</v>
      </c>
      <c r="C181" s="60">
        <f ca="1"/>
        <v>0.05</v>
      </c>
    </row>
    <row r="182" spans="2:3" x14ac:dyDescent="0.15">
      <c r="B182" s="52">
        <f ca="1">_xll.qlCalendarAdvance("Null",B181,$A$66,"UnAdjusted")</f>
        <v>51729</v>
      </c>
      <c r="C182" s="60">
        <f ca="1"/>
        <v>0.05</v>
      </c>
    </row>
    <row r="183" spans="2:3" x14ac:dyDescent="0.15">
      <c r="B183" s="52">
        <f ca="1">_xll.qlCalendarAdvance("Null",B182,$A$66,"UnAdjusted")</f>
        <v>51821</v>
      </c>
      <c r="C183" s="60">
        <f ca="1"/>
        <v>0.05</v>
      </c>
    </row>
    <row r="184" spans="2:3" x14ac:dyDescent="0.15">
      <c r="B184" s="52">
        <f ca="1">_xll.qlCalendarAdvance("Null",B183,$A$66,"UnAdjusted")</f>
        <v>51913</v>
      </c>
      <c r="C184" s="60">
        <f ca="1"/>
        <v>0.05</v>
      </c>
    </row>
    <row r="185" spans="2:3" x14ac:dyDescent="0.15">
      <c r="B185" s="52">
        <f ca="1">_xll.qlCalendarAdvance("Null",B184,$A$66,"UnAdjusted")</f>
        <v>52002</v>
      </c>
      <c r="C185" s="60">
        <f ca="1"/>
        <v>0.05</v>
      </c>
    </row>
    <row r="186" spans="2:3" x14ac:dyDescent="0.15">
      <c r="B186" s="52">
        <f ca="1">_xll.qlCalendarAdvance("Null",B185,$A$66,"UnAdjusted")</f>
        <v>52094</v>
      </c>
      <c r="C186" s="60">
        <f ca="1"/>
        <v>0.05</v>
      </c>
    </row>
    <row r="187" spans="2:3" x14ac:dyDescent="0.15">
      <c r="B187" s="52">
        <f ca="1">_xll.qlCalendarAdvance("Null",B186,$A$66,"UnAdjusted")</f>
        <v>52186</v>
      </c>
      <c r="C187" s="60">
        <f ca="1"/>
        <v>0.05</v>
      </c>
    </row>
    <row r="188" spans="2:3" x14ac:dyDescent="0.15">
      <c r="B188" s="52">
        <f ca="1">_xll.qlCalendarAdvance("Null",B187,$A$66,"UnAdjusted")</f>
        <v>52278</v>
      </c>
      <c r="C188" s="60">
        <f ca="1"/>
        <v>0.05</v>
      </c>
    </row>
    <row r="189" spans="2:3" x14ac:dyDescent="0.15">
      <c r="B189" s="52">
        <f ca="1">_xll.qlCalendarAdvance("Null",B188,$A$66,"UnAdjusted")</f>
        <v>52367</v>
      </c>
      <c r="C189" s="60">
        <f ca="1"/>
        <v>0.05</v>
      </c>
    </row>
    <row r="190" spans="2:3" x14ac:dyDescent="0.15">
      <c r="B190" s="52">
        <f ca="1">_xll.qlCalendarAdvance("Null",B189,$A$66,"UnAdjusted")</f>
        <v>52459</v>
      </c>
      <c r="C190" s="60">
        <f ca="1"/>
        <v>0.05</v>
      </c>
    </row>
    <row r="191" spans="2:3" x14ac:dyDescent="0.15">
      <c r="B191" s="52">
        <f ca="1">_xll.qlCalendarAdvance("Null",B190,$A$66,"UnAdjusted")</f>
        <v>52551</v>
      </c>
      <c r="C191" s="60">
        <f ca="1"/>
        <v>0.05</v>
      </c>
    </row>
    <row r="192" spans="2:3" x14ac:dyDescent="0.15">
      <c r="B192" s="52">
        <f ca="1">_xll.qlCalendarAdvance("Null",B191,$A$66,"UnAdjusted")</f>
        <v>52643</v>
      </c>
      <c r="C192" s="60">
        <f ca="1"/>
        <v>0.05</v>
      </c>
    </row>
    <row r="193" spans="2:3" x14ac:dyDescent="0.15">
      <c r="B193" s="52">
        <f ca="1">_xll.qlCalendarAdvance("Null",B192,$A$66,"UnAdjusted")</f>
        <v>52733</v>
      </c>
      <c r="C193" s="60">
        <f ca="1"/>
        <v>0.05</v>
      </c>
    </row>
    <row r="194" spans="2:3" x14ac:dyDescent="0.15">
      <c r="B194" s="52">
        <f ca="1">_xll.qlCalendarAdvance("Null",B193,$A$66,"UnAdjusted")</f>
        <v>52825</v>
      </c>
      <c r="C194" s="60">
        <f ca="1"/>
        <v>0.05</v>
      </c>
    </row>
    <row r="195" spans="2:3" x14ac:dyDescent="0.15">
      <c r="B195" s="52">
        <f ca="1">_xll.qlCalendarAdvance("Null",B194,$A$66,"UnAdjusted")</f>
        <v>52917</v>
      </c>
      <c r="C195" s="60">
        <f ca="1"/>
        <v>0.05</v>
      </c>
    </row>
    <row r="196" spans="2:3" x14ac:dyDescent="0.15">
      <c r="B196" s="52">
        <f ca="1">_xll.qlCalendarAdvance("Null",B195,$A$66,"UnAdjusted")</f>
        <v>53009</v>
      </c>
      <c r="C196" s="60">
        <f ca="1"/>
        <v>0.05</v>
      </c>
    </row>
    <row r="197" spans="2:3" x14ac:dyDescent="0.15">
      <c r="B197" s="52">
        <f ca="1">_xll.qlCalendarAdvance("Null",B196,$A$66,"UnAdjusted")</f>
        <v>53098</v>
      </c>
      <c r="C197" s="60">
        <f ca="1"/>
        <v>0.05</v>
      </c>
    </row>
    <row r="198" spans="2:3" x14ac:dyDescent="0.15">
      <c r="B198" s="52">
        <f ca="1">_xll.qlCalendarAdvance("Null",B197,$A$66,"UnAdjusted")</f>
        <v>53190</v>
      </c>
      <c r="C198" s="60">
        <f ca="1"/>
        <v>0.05</v>
      </c>
    </row>
    <row r="199" spans="2:3" x14ac:dyDescent="0.15">
      <c r="B199" s="52">
        <f ca="1">_xll.qlCalendarAdvance("Null",B198,$A$66,"UnAdjusted")</f>
        <v>53282</v>
      </c>
      <c r="C199" s="60">
        <f ca="1"/>
        <v>0.05</v>
      </c>
    </row>
    <row r="200" spans="2:3" x14ac:dyDescent="0.15">
      <c r="B200" s="52">
        <f ca="1">_xll.qlCalendarAdvance("Null",B199,$A$66,"UnAdjusted")</f>
        <v>53374</v>
      </c>
      <c r="C200" s="60">
        <f ca="1"/>
        <v>0.05</v>
      </c>
    </row>
    <row r="201" spans="2:3" x14ac:dyDescent="0.15">
      <c r="B201" s="52">
        <f ca="1">_xll.qlCalendarAdvance("Null",B200,$A$66,"UnAdjusted")</f>
        <v>53463</v>
      </c>
      <c r="C201" s="60">
        <f ca="1"/>
        <v>0.05</v>
      </c>
    </row>
    <row r="202" spans="2:3" x14ac:dyDescent="0.15">
      <c r="B202" s="52">
        <f ca="1">_xll.qlCalendarAdvance("Null",B201,$A$66,"UnAdjusted")</f>
        <v>53555</v>
      </c>
      <c r="C202" s="60">
        <f ca="1"/>
        <v>0.05</v>
      </c>
    </row>
    <row r="203" spans="2:3" x14ac:dyDescent="0.15">
      <c r="B203" s="52">
        <f ca="1">_xll.qlCalendarAdvance("Null",B202,$A$66,"UnAdjusted")</f>
        <v>53647</v>
      </c>
      <c r="C203" s="60">
        <f ca="1"/>
        <v>0.05</v>
      </c>
    </row>
    <row r="204" spans="2:3" x14ac:dyDescent="0.15">
      <c r="B204" s="52">
        <f ca="1">_xll.qlCalendarAdvance("Null",B203,$A$66,"UnAdjusted")</f>
        <v>53739</v>
      </c>
      <c r="C204" s="60">
        <f ca="1"/>
        <v>0.05</v>
      </c>
    </row>
    <row r="205" spans="2:3" x14ac:dyDescent="0.15">
      <c r="B205" s="52">
        <f ca="1">_xll.qlCalendarAdvance("Null",B204,$A$66,"UnAdjusted")</f>
        <v>53828</v>
      </c>
      <c r="C205" s="60">
        <f ca="1"/>
        <v>0.05</v>
      </c>
    </row>
    <row r="206" spans="2:3" x14ac:dyDescent="0.15">
      <c r="B206" s="52">
        <f ca="1">_xll.qlCalendarAdvance("Null",B205,$A$66,"UnAdjusted")</f>
        <v>53920</v>
      </c>
      <c r="C206" s="60">
        <f ca="1"/>
        <v>0.05</v>
      </c>
    </row>
    <row r="207" spans="2:3" x14ac:dyDescent="0.15">
      <c r="B207" s="52">
        <f ca="1">_xll.qlCalendarAdvance("Null",B206,$A$66,"UnAdjusted")</f>
        <v>54012</v>
      </c>
      <c r="C207" s="60">
        <f ca="1"/>
        <v>0.05</v>
      </c>
    </row>
    <row r="208" spans="2:3" x14ac:dyDescent="0.15">
      <c r="B208" s="52">
        <f ca="1">_xll.qlCalendarAdvance("Null",B207,$A$66,"UnAdjusted")</f>
        <v>54104</v>
      </c>
      <c r="C208" s="60">
        <f ca="1"/>
        <v>0.05</v>
      </c>
    </row>
    <row r="209" spans="2:3" x14ac:dyDescent="0.15">
      <c r="B209" s="52">
        <f ca="1">_xll.qlCalendarAdvance("Null",B208,$A$66,"UnAdjusted")</f>
        <v>54194</v>
      </c>
      <c r="C209" s="60">
        <f ca="1"/>
        <v>0.05</v>
      </c>
    </row>
    <row r="210" spans="2:3" x14ac:dyDescent="0.15">
      <c r="B210" s="52">
        <f ca="1">_xll.qlCalendarAdvance("Null",B209,$A$66,"UnAdjusted")</f>
        <v>54286</v>
      </c>
      <c r="C210" s="60">
        <f ca="1"/>
        <v>0.05</v>
      </c>
    </row>
    <row r="211" spans="2:3" x14ac:dyDescent="0.15">
      <c r="B211" s="52">
        <f ca="1">_xll.qlCalendarAdvance("Null",B210,$A$66,"UnAdjusted")</f>
        <v>54378</v>
      </c>
      <c r="C211" s="60">
        <f ca="1"/>
        <v>0.05</v>
      </c>
    </row>
    <row r="212" spans="2:3" x14ac:dyDescent="0.15">
      <c r="B212" s="52">
        <f ca="1">_xll.qlCalendarAdvance("Null",B211,$A$66,"UnAdjusted")</f>
        <v>54470</v>
      </c>
      <c r="C212" s="60">
        <f ca="1"/>
        <v>0.05</v>
      </c>
    </row>
    <row r="213" spans="2:3" x14ac:dyDescent="0.15">
      <c r="B213" s="52">
        <f ca="1">_xll.qlCalendarAdvance("Null",B212,$A$66,"UnAdjusted")</f>
        <v>54559</v>
      </c>
      <c r="C213" s="60">
        <f ca="1"/>
        <v>0.05</v>
      </c>
    </row>
    <row r="214" spans="2:3" x14ac:dyDescent="0.15">
      <c r="B214" s="52">
        <f ca="1">_xll.qlCalendarAdvance("Null",B213,$A$66,"UnAdjusted")</f>
        <v>54651</v>
      </c>
      <c r="C214" s="60">
        <f ca="1"/>
        <v>0.05</v>
      </c>
    </row>
    <row r="215" spans="2:3" x14ac:dyDescent="0.15">
      <c r="B215" s="52">
        <f ca="1">_xll.qlCalendarAdvance("Null",B214,$A$66,"UnAdjusted")</f>
        <v>54743</v>
      </c>
      <c r="C215" s="60">
        <f ca="1"/>
        <v>0.05</v>
      </c>
    </row>
    <row r="216" spans="2:3" x14ac:dyDescent="0.15">
      <c r="B216" s="52">
        <f ca="1">_xll.qlCalendarAdvance("Null",B215,$A$66,"UnAdjusted")</f>
        <v>54835</v>
      </c>
      <c r="C216" s="60">
        <f ca="1"/>
        <v>0.05</v>
      </c>
    </row>
    <row r="217" spans="2:3" x14ac:dyDescent="0.15">
      <c r="B217" s="52">
        <f ca="1">_xll.qlCalendarAdvance("Null",B216,$A$66,"UnAdjusted")</f>
        <v>54924</v>
      </c>
      <c r="C217" s="60">
        <f ca="1"/>
        <v>0.05</v>
      </c>
    </row>
    <row r="218" spans="2:3" x14ac:dyDescent="0.15">
      <c r="B218" s="52">
        <f ca="1">_xll.qlCalendarAdvance("Null",B217,$A$66,"UnAdjusted")</f>
        <v>55016</v>
      </c>
      <c r="C218" s="60">
        <f ca="1"/>
        <v>0.05</v>
      </c>
    </row>
    <row r="219" spans="2:3" x14ac:dyDescent="0.15">
      <c r="B219" s="52">
        <f ca="1">_xll.qlCalendarAdvance("Null",B218,$A$66,"UnAdjusted")</f>
        <v>55108</v>
      </c>
      <c r="C219" s="60">
        <f ca="1"/>
        <v>0.05</v>
      </c>
    </row>
    <row r="220" spans="2:3" x14ac:dyDescent="0.15">
      <c r="B220" s="52">
        <f ca="1">_xll.qlCalendarAdvance("Null",B219,$A$66,"UnAdjusted")</f>
        <v>55200</v>
      </c>
      <c r="C220" s="60">
        <f ca="1"/>
        <v>5.000000000000001E-2</v>
      </c>
    </row>
    <row r="221" spans="2:3" x14ac:dyDescent="0.15">
      <c r="B221" s="52">
        <f ca="1">_xll.qlCalendarAdvance("Null",B220,$A$66,"UnAdjusted")</f>
        <v>55289</v>
      </c>
      <c r="C221" s="60">
        <f ca="1"/>
        <v>0.05</v>
      </c>
    </row>
    <row r="222" spans="2:3" x14ac:dyDescent="0.15">
      <c r="B222" s="52">
        <f ca="1">_xll.qlCalendarAdvance("Null",B221,$A$66,"UnAdjusted")</f>
        <v>55381</v>
      </c>
      <c r="C222" s="60">
        <f ca="1"/>
        <v>5.000000000000001E-2</v>
      </c>
    </row>
    <row r="223" spans="2:3" x14ac:dyDescent="0.15">
      <c r="B223" s="52">
        <f ca="1">_xll.qlCalendarAdvance("Null",B222,$A$66,"UnAdjusted")</f>
        <v>55473</v>
      </c>
      <c r="C223" s="60">
        <f ca="1"/>
        <v>0.05</v>
      </c>
    </row>
    <row r="224" spans="2:3" x14ac:dyDescent="0.15">
      <c r="B224" s="52">
        <f ca="1">_xll.qlCalendarAdvance("Null",B223,$A$66,"UnAdjusted")</f>
        <v>55565</v>
      </c>
      <c r="C224" s="60">
        <f ca="1"/>
        <v>0.05</v>
      </c>
    </row>
    <row r="225" spans="2:3" x14ac:dyDescent="0.15">
      <c r="B225" s="52">
        <f ca="1">_xll.qlCalendarAdvance("Null",B224,$A$66,"UnAdjusted")</f>
        <v>55655</v>
      </c>
      <c r="C225" s="60">
        <f ca="1"/>
        <v>0.05</v>
      </c>
    </row>
    <row r="226" spans="2:3" x14ac:dyDescent="0.15">
      <c r="B226" s="52">
        <f ca="1">_xll.qlCalendarAdvance("Null",B225,$A$66,"UnAdjusted")</f>
        <v>55747</v>
      </c>
      <c r="C226" s="60">
        <f ca="1"/>
        <v>0.05</v>
      </c>
    </row>
    <row r="227" spans="2:3" x14ac:dyDescent="0.15">
      <c r="B227" s="52">
        <f ca="1">_xll.qlCalendarAdvance("Null",B226,$A$66,"UnAdjusted")</f>
        <v>55839</v>
      </c>
      <c r="C227" s="60">
        <f ca="1"/>
        <v>0.05</v>
      </c>
    </row>
    <row r="228" spans="2:3" x14ac:dyDescent="0.15">
      <c r="B228" s="52">
        <f ca="1">_xll.qlCalendarAdvance("Null",B227,$A$66,"UnAdjusted")</f>
        <v>55931</v>
      </c>
      <c r="C228" s="60">
        <f ca="1"/>
        <v>4.9999999999999996E-2</v>
      </c>
    </row>
    <row r="229" spans="2:3" x14ac:dyDescent="0.15">
      <c r="B229" s="52">
        <f ca="1">_xll.qlCalendarAdvance("Null",B228,$A$66,"UnAdjusted")</f>
        <v>56020</v>
      </c>
      <c r="C229" s="60">
        <f ca="1"/>
        <v>0.05</v>
      </c>
    </row>
    <row r="230" spans="2:3" x14ac:dyDescent="0.15">
      <c r="B230" s="52">
        <f ca="1">_xll.qlCalendarAdvance("Null",B229,$A$66,"UnAdjusted")</f>
        <v>56112</v>
      </c>
      <c r="C230" s="60">
        <f ca="1"/>
        <v>5.000000000000001E-2</v>
      </c>
    </row>
    <row r="231" spans="2:3" x14ac:dyDescent="0.15">
      <c r="B231" s="52">
        <f ca="1">_xll.qlCalendarAdvance("Null",B230,$A$66,"UnAdjusted")</f>
        <v>56204</v>
      </c>
      <c r="C231" s="60">
        <f ca="1"/>
        <v>0.05</v>
      </c>
    </row>
    <row r="232" spans="2:3" x14ac:dyDescent="0.15">
      <c r="B232" s="52">
        <f ca="1">_xll.qlCalendarAdvance("Null",B231,$A$66,"UnAdjusted")</f>
        <v>56296</v>
      </c>
      <c r="C232" s="60">
        <f ca="1"/>
        <v>0.05</v>
      </c>
    </row>
    <row r="233" spans="2:3" x14ac:dyDescent="0.15">
      <c r="B233" s="52">
        <f ca="1">_xll.qlCalendarAdvance("Null",B232,$A$66,"UnAdjusted")</f>
        <v>56385</v>
      </c>
      <c r="C233" s="60">
        <f ca="1"/>
        <v>4.9999999999999996E-2</v>
      </c>
    </row>
    <row r="234" spans="2:3" x14ac:dyDescent="0.15">
      <c r="B234" s="52">
        <f ca="1">_xll.qlCalendarAdvance("Null",B233,$A$66,"UnAdjusted")</f>
        <v>56477</v>
      </c>
      <c r="C234" s="60">
        <f ca="1"/>
        <v>0.05</v>
      </c>
    </row>
    <row r="235" spans="2:3" x14ac:dyDescent="0.15">
      <c r="B235" s="52">
        <f ca="1">_xll.qlCalendarAdvance("Null",B234,$A$66,"UnAdjusted")</f>
        <v>56569</v>
      </c>
      <c r="C235" s="60">
        <f ca="1"/>
        <v>5.000000000000001E-2</v>
      </c>
    </row>
    <row r="236" spans="2:3" x14ac:dyDescent="0.15">
      <c r="B236" s="52">
        <f ca="1">_xll.qlCalendarAdvance("Null",B235,$A$66,"UnAdjusted")</f>
        <v>56661</v>
      </c>
      <c r="C236" s="60">
        <f ca="1"/>
        <v>0.05</v>
      </c>
    </row>
    <row r="237" spans="2:3" x14ac:dyDescent="0.15">
      <c r="B237" s="52">
        <f ca="1">_xll.qlCalendarAdvance("Null",B236,$A$66,"UnAdjusted")</f>
        <v>56750</v>
      </c>
      <c r="C237" s="60">
        <f ca="1"/>
        <v>0.05</v>
      </c>
    </row>
    <row r="238" spans="2:3" x14ac:dyDescent="0.15">
      <c r="B238" s="52">
        <f ca="1">_xll.qlCalendarAdvance("Null",B237,$A$66,"UnAdjusted")</f>
        <v>56842</v>
      </c>
      <c r="C238" s="60">
        <f ca="1"/>
        <v>4.9999999999999996E-2</v>
      </c>
    </row>
    <row r="239" spans="2:3" x14ac:dyDescent="0.15">
      <c r="B239" s="52">
        <f ca="1">_xll.qlCalendarAdvance("Null",B238,$A$66,"UnAdjusted")</f>
        <v>56934</v>
      </c>
      <c r="C239" s="60">
        <f ca="1"/>
        <v>0.05</v>
      </c>
    </row>
    <row r="240" spans="2:3" x14ac:dyDescent="0.15">
      <c r="B240" s="52">
        <f ca="1">_xll.qlCalendarAdvance("Null",B239,$A$66,"UnAdjusted")</f>
        <v>57026</v>
      </c>
      <c r="C240" s="60">
        <f ca="1"/>
        <v>0.05</v>
      </c>
    </row>
    <row r="241" spans="2:3" x14ac:dyDescent="0.15">
      <c r="B241" s="52">
        <f ca="1">_xll.qlCalendarAdvance("Null",B240,$A$66,"UnAdjusted")</f>
        <v>57116</v>
      </c>
      <c r="C241" s="60">
        <f ca="1"/>
        <v>0.05</v>
      </c>
    </row>
    <row r="242" spans="2:3" x14ac:dyDescent="0.15">
      <c r="B242" s="52">
        <f ca="1">_xll.qlCalendarAdvance("Null",B241,$A$66,"UnAdjusted")</f>
        <v>57208</v>
      </c>
      <c r="C242" s="60">
        <f ca="1"/>
        <v>0.05</v>
      </c>
    </row>
    <row r="243" spans="2:3" x14ac:dyDescent="0.15">
      <c r="B243" s="52">
        <f ca="1">_xll.qlCalendarAdvance("Null",B242,$A$66,"UnAdjusted")</f>
        <v>57300</v>
      </c>
      <c r="C243" s="60">
        <f ca="1"/>
        <v>4.9999999999999996E-2</v>
      </c>
    </row>
    <row r="244" spans="2:3" x14ac:dyDescent="0.15">
      <c r="B244" s="52">
        <f ca="1">_xll.qlCalendarAdvance("Null",B243,$A$66,"UnAdjusted")</f>
        <v>57392</v>
      </c>
      <c r="C244" s="60">
        <f ca="1"/>
        <v>0.05</v>
      </c>
    </row>
    <row r="245" spans="2:3" x14ac:dyDescent="0.15">
      <c r="B245" s="52">
        <f ca="1">_xll.qlCalendarAdvance("Null",B244,$A$66,"UnAdjusted")</f>
        <v>57481</v>
      </c>
      <c r="C245" s="60">
        <f ca="1"/>
        <v>0.05</v>
      </c>
    </row>
    <row r="246" spans="2:3" x14ac:dyDescent="0.15">
      <c r="B246" s="52">
        <f ca="1">_xll.qlCalendarAdvance("Null",B245,$A$66,"UnAdjusted")</f>
        <v>57573</v>
      </c>
      <c r="C246" s="60">
        <f ca="1"/>
        <v>0.05</v>
      </c>
    </row>
    <row r="247" spans="2:3" x14ac:dyDescent="0.15">
      <c r="B247" s="52">
        <f ca="1">_xll.qlCalendarAdvance("Null",B246,$A$66,"UnAdjusted")</f>
        <v>57665</v>
      </c>
      <c r="C247" s="60">
        <f ca="1"/>
        <v>0.05</v>
      </c>
    </row>
    <row r="248" spans="2:3" x14ac:dyDescent="0.15">
      <c r="B248" s="52">
        <f ca="1">_xll.qlCalendarAdvance("Null",B247,$A$66,"UnAdjusted")</f>
        <v>57757</v>
      </c>
      <c r="C248" s="60">
        <f ca="1"/>
        <v>4.9999999999999996E-2</v>
      </c>
    </row>
    <row r="249" spans="2:3" x14ac:dyDescent="0.15">
      <c r="B249" s="52">
        <f ca="1">_xll.qlCalendarAdvance("Null",B248,$A$66,"UnAdjusted")</f>
        <v>57846</v>
      </c>
      <c r="C249" s="60">
        <f ca="1"/>
        <v>0.05</v>
      </c>
    </row>
    <row r="250" spans="2:3" x14ac:dyDescent="0.15">
      <c r="B250" s="52">
        <f ca="1">_xll.qlCalendarAdvance("Null",B249,$A$66,"UnAdjusted")</f>
        <v>57938</v>
      </c>
      <c r="C250" s="60">
        <f ca="1"/>
        <v>0.05</v>
      </c>
    </row>
    <row r="251" spans="2:3" x14ac:dyDescent="0.15">
      <c r="B251" s="52">
        <f ca="1">_xll.qlCalendarAdvance("Null",B250,$A$66,"UnAdjusted")</f>
        <v>58030</v>
      </c>
      <c r="C251" s="60">
        <f ca="1"/>
        <v>0.05</v>
      </c>
    </row>
    <row r="252" spans="2:3" x14ac:dyDescent="0.15">
      <c r="B252" s="52">
        <f ca="1">_xll.qlCalendarAdvance("Null",B251,$A$66,"UnAdjusted")</f>
        <v>58122</v>
      </c>
      <c r="C252" s="60">
        <f ca="1"/>
        <v>0.05</v>
      </c>
    </row>
    <row r="253" spans="2:3" x14ac:dyDescent="0.15">
      <c r="B253" s="52">
        <f ca="1">_xll.qlCalendarAdvance("Null",B252,$A$66,"UnAdjusted")</f>
        <v>58211</v>
      </c>
      <c r="C253" s="60">
        <f ca="1"/>
        <v>4.9999999999999996E-2</v>
      </c>
    </row>
    <row r="254" spans="2:3" x14ac:dyDescent="0.15">
      <c r="B254" s="52">
        <f ca="1">_xll.qlCalendarAdvance("Null",B253,$A$66,"UnAdjusted")</f>
        <v>58303</v>
      </c>
      <c r="C254" s="60">
        <f ca="1"/>
        <v>0.05</v>
      </c>
    </row>
    <row r="255" spans="2:3" x14ac:dyDescent="0.15">
      <c r="B255" s="52">
        <f ca="1">_xll.qlCalendarAdvance("Null",B254,$A$66,"UnAdjusted")</f>
        <v>58395</v>
      </c>
      <c r="C255" s="60">
        <f ca="1"/>
        <v>0.05</v>
      </c>
    </row>
    <row r="256" spans="2:3" x14ac:dyDescent="0.15">
      <c r="B256" s="52">
        <f ca="1">_xll.qlCalendarAdvance("Null",B255,$A$66,"UnAdjusted")</f>
        <v>58487</v>
      </c>
      <c r="C256" s="60">
        <f ca="1"/>
        <v>0.05</v>
      </c>
    </row>
    <row r="257" spans="2:3" x14ac:dyDescent="0.15">
      <c r="B257" s="52">
        <f ca="1">_xll.qlCalendarAdvance("Null",B256,$A$66,"UnAdjusted")</f>
        <v>58577</v>
      </c>
      <c r="C257" s="60">
        <f ca="1"/>
        <v>0.05</v>
      </c>
    </row>
    <row r="258" spans="2:3" x14ac:dyDescent="0.15">
      <c r="B258" s="52">
        <f ca="1">_xll.qlCalendarAdvance("Null",B257,$A$66,"UnAdjusted")</f>
        <v>58669</v>
      </c>
      <c r="C258" s="60">
        <f ca="1"/>
        <v>5.000000000000001E-2</v>
      </c>
    </row>
    <row r="259" spans="2:3" x14ac:dyDescent="0.15">
      <c r="B259" s="52">
        <f ca="1">_xll.qlCalendarAdvance("Null",B258,$A$66,"UnAdjusted")</f>
        <v>58761</v>
      </c>
      <c r="C259" s="60">
        <f ca="1"/>
        <v>0.05</v>
      </c>
    </row>
    <row r="260" spans="2:3" x14ac:dyDescent="0.15">
      <c r="B260" s="52">
        <f ca="1">_xll.qlCalendarAdvance("Null",B259,$A$66,"UnAdjusted")</f>
        <v>58853</v>
      </c>
      <c r="C260" s="60">
        <f ca="1"/>
        <v>0.05</v>
      </c>
    </row>
    <row r="261" spans="2:3" x14ac:dyDescent="0.15">
      <c r="B261" s="52">
        <f ca="1">_xll.qlCalendarAdvance("Null",B260,$A$66,"UnAdjusted")</f>
        <v>58942</v>
      </c>
      <c r="C261" s="60">
        <f ca="1"/>
        <v>0.05</v>
      </c>
    </row>
    <row r="262" spans="2:3" x14ac:dyDescent="0.15">
      <c r="B262" s="52">
        <f ca="1">_xll.qlCalendarAdvance("Null",B261,$A$66,"UnAdjusted")</f>
        <v>59034</v>
      </c>
      <c r="C262" s="60">
        <f ca="1"/>
        <v>0.05</v>
      </c>
    </row>
    <row r="263" spans="2:3" x14ac:dyDescent="0.15">
      <c r="B263" s="52">
        <f ca="1">_xll.qlCalendarAdvance("Null",B262,$A$66,"UnAdjusted")</f>
        <v>59126</v>
      </c>
      <c r="C263" s="60">
        <f ca="1"/>
        <v>5.000000000000001E-2</v>
      </c>
    </row>
    <row r="264" spans="2:3" x14ac:dyDescent="0.15">
      <c r="B264" s="52">
        <f ca="1">_xll.qlCalendarAdvance("Null",B263,$A$66,"UnAdjusted")</f>
        <v>59218</v>
      </c>
      <c r="C264" s="60">
        <f ca="1"/>
        <v>0.05</v>
      </c>
    </row>
    <row r="265" spans="2:3" x14ac:dyDescent="0.15">
      <c r="B265" s="52">
        <f ca="1">_xll.qlCalendarAdvance("Null",B264,$A$66,"UnAdjusted")</f>
        <v>59307</v>
      </c>
      <c r="C265" s="60">
        <f ca="1"/>
        <v>0.05</v>
      </c>
    </row>
    <row r="266" spans="2:3" x14ac:dyDescent="0.15">
      <c r="B266" s="52">
        <f ca="1">_xll.qlCalendarAdvance("Null",B265,$A$66,"UnAdjusted")</f>
        <v>59399</v>
      </c>
      <c r="C266" s="60">
        <f ca="1"/>
        <v>0.05</v>
      </c>
    </row>
    <row r="267" spans="2:3" x14ac:dyDescent="0.15">
      <c r="B267" s="52">
        <f ca="1">_xll.qlCalendarAdvance("Null",B266,$A$66,"UnAdjusted")</f>
        <v>59491</v>
      </c>
      <c r="C267" s="60">
        <f ca="1"/>
        <v>0.05</v>
      </c>
    </row>
    <row r="268" spans="2:3" x14ac:dyDescent="0.15">
      <c r="B268" s="52">
        <f ca="1">_xll.qlCalendarAdvance("Null",B267,$A$66,"UnAdjusted")</f>
        <v>59583</v>
      </c>
      <c r="C268" s="60">
        <f ca="1"/>
        <v>5.000000000000001E-2</v>
      </c>
    </row>
    <row r="269" spans="2:3" x14ac:dyDescent="0.15">
      <c r="B269" s="52">
        <f ca="1">_xll.qlCalendarAdvance("Null",B268,$A$66,"UnAdjusted")</f>
        <v>59672</v>
      </c>
      <c r="C269" s="60">
        <f ca="1"/>
        <v>0.05</v>
      </c>
    </row>
    <row r="270" spans="2:3" x14ac:dyDescent="0.15">
      <c r="B270" s="52">
        <f ca="1">_xll.qlCalendarAdvance("Null",B269,$A$66,"UnAdjusted")</f>
        <v>59764</v>
      </c>
      <c r="C270" s="60">
        <f ca="1"/>
        <v>0.05</v>
      </c>
    </row>
    <row r="271" spans="2:3" x14ac:dyDescent="0.15">
      <c r="B271" s="52">
        <f ca="1">_xll.qlCalendarAdvance("Null",B270,$A$66,"UnAdjusted")</f>
        <v>59856</v>
      </c>
      <c r="C271" s="60">
        <f ca="1"/>
        <v>0.05</v>
      </c>
    </row>
    <row r="272" spans="2:3" x14ac:dyDescent="0.15">
      <c r="B272" s="52">
        <f ca="1">_xll.qlCalendarAdvance("Null",B271,$A$66,"UnAdjusted")</f>
        <v>59948</v>
      </c>
      <c r="C272" s="60">
        <f ca="1"/>
        <v>0.05</v>
      </c>
    </row>
    <row r="273" spans="2:3" x14ac:dyDescent="0.15">
      <c r="B273" s="52">
        <f ca="1">_xll.qlCalendarAdvance("Null",B272,$A$66,"UnAdjusted")</f>
        <v>60038</v>
      </c>
      <c r="C273" s="60">
        <f ca="1"/>
        <v>5.000000000000001E-2</v>
      </c>
    </row>
    <row r="274" spans="2:3" x14ac:dyDescent="0.15">
      <c r="B274" s="52">
        <f ca="1">_xll.qlCalendarAdvance("Null",B273,$A$66,"UnAdjusted")</f>
        <v>60130</v>
      </c>
      <c r="C274" s="60">
        <f ca="1"/>
        <v>0.05</v>
      </c>
    </row>
    <row r="275" spans="2:3" x14ac:dyDescent="0.15">
      <c r="B275" s="52">
        <f ca="1">_xll.qlCalendarAdvance("Null",B274,$A$66,"UnAdjusted")</f>
        <v>60222</v>
      </c>
      <c r="C275" s="60">
        <f ca="1"/>
        <v>0.05</v>
      </c>
    </row>
    <row r="276" spans="2:3" x14ac:dyDescent="0.15">
      <c r="B276" s="52">
        <f ca="1">_xll.qlCalendarAdvance("Null",B275,$A$66,"UnAdjusted")</f>
        <v>60314</v>
      </c>
      <c r="C276" s="60">
        <f ca="1"/>
        <v>0.05</v>
      </c>
    </row>
    <row r="277" spans="2:3" x14ac:dyDescent="0.15">
      <c r="B277" s="52">
        <f ca="1">_xll.qlCalendarAdvance("Null",B276,$A$66,"UnAdjusted")</f>
        <v>60403</v>
      </c>
      <c r="C277" s="60">
        <f ca="1"/>
        <v>0.05</v>
      </c>
    </row>
    <row r="278" spans="2:3" x14ac:dyDescent="0.15">
      <c r="B278" s="52">
        <f ca="1">_xll.qlCalendarAdvance("Null",B277,$A$66,"UnAdjusted")</f>
        <v>60495</v>
      </c>
      <c r="C278" s="60">
        <f ca="1"/>
        <v>5.000000000000001E-2</v>
      </c>
    </row>
    <row r="279" spans="2:3" x14ac:dyDescent="0.15">
      <c r="B279" s="52">
        <f ca="1">_xll.qlCalendarAdvance("Null",B278,$A$66,"UnAdjusted")</f>
        <v>60587</v>
      </c>
      <c r="C279" s="60">
        <f ca="1"/>
        <v>0.05</v>
      </c>
    </row>
    <row r="280" spans="2:3" x14ac:dyDescent="0.15">
      <c r="B280" s="52">
        <f ca="1">_xll.qlCalendarAdvance("Null",B279,$A$66,"UnAdjusted")</f>
        <v>60679</v>
      </c>
      <c r="C280" s="60">
        <f ca="1"/>
        <v>0.05</v>
      </c>
    </row>
    <row r="281" spans="2:3" x14ac:dyDescent="0.15">
      <c r="B281" s="52">
        <f ca="1">_xll.qlCalendarAdvance("Null",B280,$A$66,"UnAdjusted")</f>
        <v>60768</v>
      </c>
      <c r="C281" s="60">
        <f ca="1"/>
        <v>0.05</v>
      </c>
    </row>
    <row r="282" spans="2:3" x14ac:dyDescent="0.15">
      <c r="B282" s="52">
        <f ca="1">_xll.qlCalendarAdvance("Null",B281,$A$66,"UnAdjusted")</f>
        <v>60860</v>
      </c>
      <c r="C282" s="60">
        <f ca="1"/>
        <v>0.05</v>
      </c>
    </row>
    <row r="283" spans="2:3" x14ac:dyDescent="0.15">
      <c r="B283" s="52">
        <f ca="1">_xll.qlCalendarAdvance("Null",B282,$A$66,"UnAdjusted")</f>
        <v>60952</v>
      </c>
      <c r="C283" s="60">
        <f ca="1"/>
        <v>5.000000000000001E-2</v>
      </c>
    </row>
    <row r="284" spans="2:3" x14ac:dyDescent="0.15">
      <c r="B284" s="52">
        <f ca="1">_xll.qlCalendarAdvance("Null",B283,$A$66,"UnAdjusted")</f>
        <v>61044</v>
      </c>
      <c r="C284" s="60">
        <f ca="1"/>
        <v>0.05</v>
      </c>
    </row>
    <row r="285" spans="2:3" x14ac:dyDescent="0.15">
      <c r="B285" s="52">
        <f ca="1">_xll.qlCalendarAdvance("Null",B284,$A$66,"UnAdjusted")</f>
        <v>61133</v>
      </c>
      <c r="C285" s="60">
        <f ca="1"/>
        <v>0.05</v>
      </c>
    </row>
    <row r="286" spans="2:3" x14ac:dyDescent="0.15">
      <c r="B286" s="52">
        <f ca="1">_xll.qlCalendarAdvance("Null",B285,$A$66,"UnAdjusted")</f>
        <v>61225</v>
      </c>
      <c r="C286" s="60">
        <f ca="1"/>
        <v>0.05</v>
      </c>
    </row>
    <row r="287" spans="2:3" x14ac:dyDescent="0.15">
      <c r="B287" s="52">
        <f ca="1">_xll.qlCalendarAdvance("Null",B286,$A$66,"UnAdjusted")</f>
        <v>61317</v>
      </c>
      <c r="C287" s="60">
        <f ca="1"/>
        <v>0.05</v>
      </c>
    </row>
    <row r="288" spans="2:3" x14ac:dyDescent="0.15">
      <c r="B288" s="52">
        <f ca="1">_xll.qlCalendarAdvance("Null",B287,$A$66,"UnAdjusted")</f>
        <v>61409</v>
      </c>
      <c r="C288" s="60">
        <f ca="1"/>
        <v>5.000000000000001E-2</v>
      </c>
    </row>
    <row r="289" spans="2:3" x14ac:dyDescent="0.15">
      <c r="B289" s="52">
        <f ca="1">_xll.qlCalendarAdvance("Null",B288,$A$66,"UnAdjusted")</f>
        <v>61499</v>
      </c>
      <c r="C289" s="60">
        <f ca="1"/>
        <v>0.05</v>
      </c>
    </row>
    <row r="290" spans="2:3" x14ac:dyDescent="0.15">
      <c r="B290" s="52">
        <f ca="1">_xll.qlCalendarAdvance("Null",B289,$A$66,"UnAdjusted")</f>
        <v>61591</v>
      </c>
      <c r="C290" s="60">
        <f ca="1"/>
        <v>0.05</v>
      </c>
    </row>
    <row r="291" spans="2:3" x14ac:dyDescent="0.15">
      <c r="B291" s="52">
        <f ca="1">_xll.qlCalendarAdvance("Null",B290,$A$66,"UnAdjusted")</f>
        <v>61683</v>
      </c>
      <c r="C291" s="60">
        <f ca="1"/>
        <v>0.05</v>
      </c>
    </row>
    <row r="292" spans="2:3" x14ac:dyDescent="0.15">
      <c r="B292" s="52">
        <f ca="1">_xll.qlCalendarAdvance("Null",B291,$A$66,"UnAdjusted")</f>
        <v>61775</v>
      </c>
      <c r="C292" s="60">
        <f ca="1"/>
        <v>0.05</v>
      </c>
    </row>
    <row r="293" spans="2:3" x14ac:dyDescent="0.15">
      <c r="B293" s="52">
        <f ca="1">_xll.qlCalendarAdvance("Null",B292,$A$66,"UnAdjusted")</f>
        <v>61864</v>
      </c>
      <c r="C293" s="60">
        <f ca="1"/>
        <v>5.000000000000001E-2</v>
      </c>
    </row>
    <row r="294" spans="2:3" x14ac:dyDescent="0.15">
      <c r="B294" s="52">
        <f ca="1">_xll.qlCalendarAdvance("Null",B293,$A$66,"UnAdjusted")</f>
        <v>61956</v>
      </c>
      <c r="C294" s="60">
        <f ca="1"/>
        <v>0.05</v>
      </c>
    </row>
    <row r="295" spans="2:3" x14ac:dyDescent="0.15">
      <c r="B295" s="52">
        <f ca="1">_xll.qlCalendarAdvance("Null",B294,$A$66,"UnAdjusted")</f>
        <v>62048</v>
      </c>
      <c r="C295" s="60">
        <f ca="1"/>
        <v>0.05</v>
      </c>
    </row>
    <row r="296" spans="2:3" x14ac:dyDescent="0.15">
      <c r="B296" s="52">
        <f ca="1">_xll.qlCalendarAdvance("Null",B295,$A$66,"UnAdjusted")</f>
        <v>62140</v>
      </c>
      <c r="C296" s="60">
        <f ca="1"/>
        <v>0.05</v>
      </c>
    </row>
    <row r="297" spans="2:3" x14ac:dyDescent="0.15">
      <c r="B297" s="52">
        <f ca="1">_xll.qlCalendarAdvance("Null",B296,$A$66,"UnAdjusted")</f>
        <v>62229</v>
      </c>
      <c r="C297" s="60">
        <f ca="1"/>
        <v>0.05</v>
      </c>
    </row>
    <row r="298" spans="2:3" x14ac:dyDescent="0.15">
      <c r="B298" s="52">
        <f ca="1">_xll.qlCalendarAdvance("Null",B297,$A$66,"UnAdjusted")</f>
        <v>62321</v>
      </c>
      <c r="C298" s="60">
        <f ca="1"/>
        <v>0.05</v>
      </c>
    </row>
    <row r="299" spans="2:3" x14ac:dyDescent="0.15">
      <c r="B299" s="52">
        <f ca="1">_xll.qlCalendarAdvance("Null",B298,$A$66,"UnAdjusted")</f>
        <v>62413</v>
      </c>
      <c r="C299" s="60">
        <f ca="1"/>
        <v>0.05</v>
      </c>
    </row>
    <row r="300" spans="2:3" x14ac:dyDescent="0.15">
      <c r="B300" s="52">
        <f ca="1">_xll.qlCalendarAdvance("Null",B299,$A$66,"UnAdjusted")</f>
        <v>62505</v>
      </c>
      <c r="C300" s="60">
        <f ca="1"/>
        <v>0.05</v>
      </c>
    </row>
    <row r="301" spans="2:3" x14ac:dyDescent="0.15">
      <c r="B301" s="52">
        <f ca="1">_xll.qlCalendarAdvance("Null",B300,$A$66,"UnAdjusted")</f>
        <v>62594</v>
      </c>
      <c r="C301" s="60">
        <f ca="1"/>
        <v>0.05</v>
      </c>
    </row>
    <row r="302" spans="2:3" x14ac:dyDescent="0.15">
      <c r="B302" s="52">
        <f ca="1">_xll.qlCalendarAdvance("Null",B301,$A$66,"UnAdjusted")</f>
        <v>62686</v>
      </c>
      <c r="C302" s="60">
        <f ca="1"/>
        <v>0.05</v>
      </c>
    </row>
    <row r="303" spans="2:3" x14ac:dyDescent="0.15">
      <c r="B303" s="52">
        <f ca="1">_xll.qlCalendarAdvance("Null",B302,$A$66,"UnAdjusted")</f>
        <v>62778</v>
      </c>
      <c r="C303" s="60">
        <f ca="1"/>
        <v>0.05</v>
      </c>
    </row>
    <row r="304" spans="2:3" x14ac:dyDescent="0.15">
      <c r="B304" s="52">
        <f ca="1">_xll.qlCalendarAdvance("Null",B303,$A$66,"UnAdjusted")</f>
        <v>62870</v>
      </c>
      <c r="C304" s="60">
        <f ca="1"/>
        <v>0.05</v>
      </c>
    </row>
    <row r="305" spans="2:3" x14ac:dyDescent="0.15">
      <c r="B305" s="52">
        <f ca="1">_xll.qlCalendarAdvance("Null",B304,$A$66,"UnAdjusted")</f>
        <v>62960</v>
      </c>
      <c r="C305" s="60">
        <f ca="1"/>
        <v>0.05</v>
      </c>
    </row>
    <row r="306" spans="2:3" x14ac:dyDescent="0.15">
      <c r="B306" s="52">
        <f ca="1">_xll.qlCalendarAdvance("Null",B305,$A$66,"UnAdjusted")</f>
        <v>63052</v>
      </c>
      <c r="C306" s="60">
        <f ca="1"/>
        <v>0.05</v>
      </c>
    </row>
    <row r="307" spans="2:3" x14ac:dyDescent="0.15">
      <c r="B307" s="52">
        <f ca="1">_xll.qlCalendarAdvance("Null",B306,$A$66,"UnAdjusted")</f>
        <v>63144</v>
      </c>
      <c r="C307" s="60">
        <f ca="1"/>
        <v>0.05</v>
      </c>
    </row>
    <row r="308" spans="2:3" x14ac:dyDescent="0.15">
      <c r="B308" s="52">
        <f ca="1">_xll.qlCalendarAdvance("Null",B307,$A$66,"UnAdjusted")</f>
        <v>63236</v>
      </c>
      <c r="C308" s="60">
        <f ca="1"/>
        <v>0.05</v>
      </c>
    </row>
    <row r="309" spans="2:3" x14ac:dyDescent="0.15">
      <c r="B309" s="52">
        <f ca="1">_xll.qlCalendarAdvance("Null",B308,$A$66,"UnAdjusted")</f>
        <v>63325</v>
      </c>
      <c r="C309" s="60">
        <f ca="1"/>
        <v>0.05</v>
      </c>
    </row>
    <row r="310" spans="2:3" x14ac:dyDescent="0.15">
      <c r="B310" s="52">
        <f ca="1">_xll.qlCalendarAdvance("Null",B309,$A$66,"UnAdjusted")</f>
        <v>63417</v>
      </c>
      <c r="C310" s="60">
        <f ca="1"/>
        <v>0.05</v>
      </c>
    </row>
    <row r="311" spans="2:3" x14ac:dyDescent="0.15">
      <c r="B311" s="52">
        <f ca="1">_xll.qlCalendarAdvance("Null",B310,$A$66,"UnAdjusted")</f>
        <v>63509</v>
      </c>
      <c r="C311" s="60">
        <f ca="1"/>
        <v>0.05</v>
      </c>
    </row>
    <row r="312" spans="2:3" x14ac:dyDescent="0.15">
      <c r="B312" s="52">
        <f ca="1">_xll.qlCalendarAdvance("Null",B311,$A$66,"UnAdjusted")</f>
        <v>63601</v>
      </c>
      <c r="C312" s="60">
        <f ca="1"/>
        <v>0.05</v>
      </c>
    </row>
    <row r="313" spans="2:3" x14ac:dyDescent="0.15">
      <c r="B313" s="52">
        <f ca="1">_xll.qlCalendarAdvance("Null",B312,$A$66,"UnAdjusted")</f>
        <v>63690</v>
      </c>
      <c r="C313" s="60">
        <f ca="1"/>
        <v>0.05</v>
      </c>
    </row>
    <row r="314" spans="2:3" x14ac:dyDescent="0.15">
      <c r="B314" s="52">
        <f ca="1">_xll.qlCalendarAdvance("Null",B313,$A$66,"UnAdjusted")</f>
        <v>63782</v>
      </c>
      <c r="C314" s="60">
        <f ca="1"/>
        <v>0.05</v>
      </c>
    </row>
    <row r="315" spans="2:3" x14ac:dyDescent="0.15">
      <c r="B315" s="52">
        <f ca="1">_xll.qlCalendarAdvance("Null",B314,$A$66,"UnAdjusted")</f>
        <v>63874</v>
      </c>
      <c r="C315" s="60">
        <f ca="1"/>
        <v>0.05</v>
      </c>
    </row>
    <row r="316" spans="2:3" x14ac:dyDescent="0.15">
      <c r="B316" s="52">
        <f ca="1">_xll.qlCalendarAdvance("Null",B315,$A$66,"UnAdjusted")</f>
        <v>63966</v>
      </c>
      <c r="C316" s="60">
        <f ca="1"/>
        <v>0.05</v>
      </c>
    </row>
    <row r="317" spans="2:3" x14ac:dyDescent="0.15">
      <c r="B317" s="52">
        <f ca="1">_xll.qlCalendarAdvance("Null",B316,$A$66,"UnAdjusted")</f>
        <v>64055</v>
      </c>
      <c r="C317" s="60">
        <f ca="1"/>
        <v>0.05</v>
      </c>
    </row>
    <row r="318" spans="2:3" x14ac:dyDescent="0.15">
      <c r="B318" s="52">
        <f ca="1">_xll.qlCalendarAdvance("Null",B317,$A$66,"UnAdjusted")</f>
        <v>64147</v>
      </c>
      <c r="C318" s="60">
        <f ca="1"/>
        <v>0.05</v>
      </c>
    </row>
    <row r="319" spans="2:3" x14ac:dyDescent="0.15">
      <c r="B319" s="52">
        <f ca="1">_xll.qlCalendarAdvance("Null",B318,$A$66,"UnAdjusted")</f>
        <v>64239</v>
      </c>
      <c r="C319" s="60">
        <f ca="1"/>
        <v>0.05</v>
      </c>
    </row>
    <row r="320" spans="2:3" x14ac:dyDescent="0.15">
      <c r="B320" s="52">
        <f ca="1">_xll.qlCalendarAdvance("Null",B319,$A$66,"UnAdjusted")</f>
        <v>64331</v>
      </c>
      <c r="C320" s="60">
        <f ca="1"/>
        <v>0.05</v>
      </c>
    </row>
    <row r="321" spans="2:3" x14ac:dyDescent="0.15">
      <c r="B321" s="52">
        <f ca="1">_xll.qlCalendarAdvance("Null",B320,$A$66,"UnAdjusted")</f>
        <v>64421</v>
      </c>
      <c r="C321" s="60">
        <f ca="1"/>
        <v>0.05</v>
      </c>
    </row>
    <row r="322" spans="2:3" x14ac:dyDescent="0.15">
      <c r="B322" s="52">
        <f ca="1">_xll.qlCalendarAdvance("Null",B321,$A$66,"UnAdjusted")</f>
        <v>64513</v>
      </c>
      <c r="C322" s="60">
        <f ca="1"/>
        <v>0.05</v>
      </c>
    </row>
    <row r="323" spans="2:3" x14ac:dyDescent="0.15">
      <c r="B323" s="52">
        <f ca="1">_xll.qlCalendarAdvance("Null",B322,$A$66,"UnAdjusted")</f>
        <v>64605</v>
      </c>
      <c r="C323" s="60">
        <f ca="1"/>
        <v>0.05</v>
      </c>
    </row>
    <row r="324" spans="2:3" x14ac:dyDescent="0.15">
      <c r="B324" s="52">
        <f ca="1">_xll.qlCalendarAdvance("Null",B323,$A$66,"UnAdjusted")</f>
        <v>64697</v>
      </c>
      <c r="C324" s="60">
        <f ca="1"/>
        <v>0.05</v>
      </c>
    </row>
    <row r="325" spans="2:3" x14ac:dyDescent="0.15">
      <c r="B325" s="52">
        <f ca="1">_xll.qlCalendarAdvance("Null",B324,$A$66,"UnAdjusted")</f>
        <v>64786</v>
      </c>
      <c r="C325" s="60">
        <f ca="1"/>
        <v>0.05</v>
      </c>
    </row>
    <row r="326" spans="2:3" x14ac:dyDescent="0.15">
      <c r="B326" s="52">
        <f ca="1">_xll.qlCalendarAdvance("Null",B325,$A$66,"UnAdjusted")</f>
        <v>64878</v>
      </c>
      <c r="C326" s="60">
        <f ca="1"/>
        <v>0.05</v>
      </c>
    </row>
    <row r="327" spans="2:3" x14ac:dyDescent="0.15">
      <c r="B327" s="52">
        <f ca="1">_xll.qlCalendarAdvance("Null",B326,$A$66,"UnAdjusted")</f>
        <v>64970</v>
      </c>
      <c r="C327" s="60">
        <f ca="1"/>
        <v>0.05</v>
      </c>
    </row>
    <row r="328" spans="2:3" x14ac:dyDescent="0.15">
      <c r="B328" s="52">
        <f ca="1">_xll.qlCalendarAdvance("Null",B327,$A$66,"UnAdjusted")</f>
        <v>65062</v>
      </c>
      <c r="C328" s="60">
        <f ca="1"/>
        <v>0.05</v>
      </c>
    </row>
    <row r="329" spans="2:3" x14ac:dyDescent="0.15">
      <c r="B329" s="52">
        <f ca="1">_xll.qlCalendarAdvance("Null",B328,$A$66,"UnAdjusted")</f>
        <v>65151</v>
      </c>
      <c r="C329" s="60">
        <f ca="1"/>
        <v>0.05</v>
      </c>
    </row>
    <row r="330" spans="2:3" x14ac:dyDescent="0.15">
      <c r="B330" s="52">
        <f ca="1">_xll.qlCalendarAdvance("Null",B329,$A$66,"UnAdjusted")</f>
        <v>65243</v>
      </c>
      <c r="C330" s="60">
        <f ca="1"/>
        <v>0.05</v>
      </c>
    </row>
    <row r="331" spans="2:3" x14ac:dyDescent="0.15">
      <c r="B331" s="52">
        <f ca="1">_xll.qlCalendarAdvance("Null",B330,$A$66,"UnAdjusted")</f>
        <v>65335</v>
      </c>
      <c r="C331" s="60">
        <f ca="1"/>
        <v>0.05</v>
      </c>
    </row>
    <row r="332" spans="2:3" x14ac:dyDescent="0.15">
      <c r="B332" s="52">
        <f ca="1">_xll.qlCalendarAdvance("Null",B331,$A$66,"UnAdjusted")</f>
        <v>65427</v>
      </c>
      <c r="C332" s="60">
        <f ca="1"/>
        <v>0.05</v>
      </c>
    </row>
    <row r="333" spans="2:3" x14ac:dyDescent="0.15">
      <c r="B333" s="52">
        <f ca="1">_xll.qlCalendarAdvance("Null",B332,$A$66,"UnAdjusted")</f>
        <v>65516</v>
      </c>
      <c r="C333" s="60">
        <f ca="1"/>
        <v>0.05</v>
      </c>
    </row>
    <row r="334" spans="2:3" x14ac:dyDescent="0.15">
      <c r="B334" s="52">
        <f ca="1">_xll.qlCalendarAdvance("Null",B333,$A$66,"UnAdjusted")</f>
        <v>65608</v>
      </c>
      <c r="C334" s="60">
        <f ca="1"/>
        <v>0.05</v>
      </c>
    </row>
    <row r="335" spans="2:3" x14ac:dyDescent="0.15">
      <c r="B335" s="52">
        <f ca="1">_xll.qlCalendarAdvance("Null",B334,$A$66,"UnAdjusted")</f>
        <v>65700</v>
      </c>
      <c r="C335" s="60">
        <f ca="1"/>
        <v>0.05</v>
      </c>
    </row>
    <row r="336" spans="2:3" x14ac:dyDescent="0.15">
      <c r="B336" s="52">
        <f ca="1">_xll.qlCalendarAdvance("Null",B335,$A$66,"UnAdjusted")</f>
        <v>65792</v>
      </c>
      <c r="C336" s="60">
        <f ca="1"/>
        <v>0.05</v>
      </c>
    </row>
    <row r="337" spans="2:3" x14ac:dyDescent="0.15">
      <c r="B337" s="52">
        <f ca="1">_xll.qlCalendarAdvance("Null",B336,$A$66,"UnAdjusted")</f>
        <v>65882</v>
      </c>
      <c r="C337" s="60">
        <f ca="1"/>
        <v>0.05</v>
      </c>
    </row>
    <row r="338" spans="2:3" x14ac:dyDescent="0.15">
      <c r="B338" s="52">
        <f ca="1">_xll.qlCalendarAdvance("Null",B337,$A$66,"UnAdjusted")</f>
        <v>65974</v>
      </c>
      <c r="C338" s="60">
        <f ca="1"/>
        <v>0.05</v>
      </c>
    </row>
    <row r="339" spans="2:3" x14ac:dyDescent="0.15">
      <c r="B339" s="52">
        <f ca="1">_xll.qlCalendarAdvance("Null",B338,$A$66,"UnAdjusted")</f>
        <v>66066</v>
      </c>
      <c r="C339" s="60">
        <f ca="1"/>
        <v>0.05</v>
      </c>
    </row>
    <row r="340" spans="2:3" x14ac:dyDescent="0.15">
      <c r="B340" s="52">
        <f ca="1">_xll.qlCalendarAdvance("Null",B339,$A$66,"UnAdjusted")</f>
        <v>66158</v>
      </c>
      <c r="C340" s="60">
        <f ca="1"/>
        <v>0.05</v>
      </c>
    </row>
    <row r="341" spans="2:3" x14ac:dyDescent="0.15">
      <c r="B341" s="52">
        <f ca="1">_xll.qlCalendarAdvance("Null",B340,$A$66,"UnAdjusted")</f>
        <v>66247</v>
      </c>
      <c r="C341" s="60">
        <f ca="1"/>
        <v>0.05</v>
      </c>
    </row>
    <row r="342" spans="2:3" x14ac:dyDescent="0.15">
      <c r="B342" s="52">
        <f ca="1">_xll.qlCalendarAdvance("Null",B341,$A$66,"UnAdjusted")</f>
        <v>66339</v>
      </c>
      <c r="C342" s="60">
        <f ca="1"/>
        <v>0.05</v>
      </c>
    </row>
    <row r="343" spans="2:3" x14ac:dyDescent="0.15">
      <c r="B343" s="52">
        <f ca="1">_xll.qlCalendarAdvance("Null",B342,$A$66,"UnAdjusted")</f>
        <v>66431</v>
      </c>
      <c r="C343" s="60">
        <f ca="1"/>
        <v>0.05</v>
      </c>
    </row>
    <row r="344" spans="2:3" x14ac:dyDescent="0.15">
      <c r="B344" s="52">
        <f ca="1">_xll.qlCalendarAdvance("Null",B343,$A$66,"UnAdjusted")</f>
        <v>66523</v>
      </c>
      <c r="C344" s="60">
        <f ca="1"/>
        <v>0.05</v>
      </c>
    </row>
    <row r="345" spans="2:3" x14ac:dyDescent="0.15">
      <c r="B345" s="52">
        <f ca="1">_xll.qlCalendarAdvance("Null",B344,$A$66,"UnAdjusted")</f>
        <v>66612</v>
      </c>
      <c r="C345" s="60">
        <f ca="1"/>
        <v>0.05</v>
      </c>
    </row>
    <row r="346" spans="2:3" x14ac:dyDescent="0.15">
      <c r="B346" s="52">
        <f ca="1">_xll.qlCalendarAdvance("Null",B345,$A$66,"UnAdjusted")</f>
        <v>66704</v>
      </c>
      <c r="C346" s="60">
        <f ca="1"/>
        <v>0.05</v>
      </c>
    </row>
    <row r="347" spans="2:3" x14ac:dyDescent="0.15">
      <c r="B347" s="52">
        <f ca="1">_xll.qlCalendarAdvance("Null",B346,$A$66,"UnAdjusted")</f>
        <v>66796</v>
      </c>
      <c r="C347" s="60">
        <f ca="1"/>
        <v>0.05</v>
      </c>
    </row>
    <row r="348" spans="2:3" x14ac:dyDescent="0.15">
      <c r="B348" s="52">
        <f ca="1">_xll.qlCalendarAdvance("Null",B347,$A$66,"UnAdjusted")</f>
        <v>66888</v>
      </c>
      <c r="C348" s="60">
        <f ca="1"/>
        <v>0.05</v>
      </c>
    </row>
    <row r="349" spans="2:3" x14ac:dyDescent="0.15">
      <c r="B349" s="52">
        <f ca="1">_xll.qlCalendarAdvance("Null",B348,$A$66,"UnAdjusted")</f>
        <v>66977</v>
      </c>
      <c r="C349" s="60">
        <f ca="1"/>
        <v>0.05</v>
      </c>
    </row>
    <row r="350" spans="2:3" x14ac:dyDescent="0.15">
      <c r="B350" s="52">
        <f ca="1">_xll.qlCalendarAdvance("Null",B349,$A$66,"UnAdjusted")</f>
        <v>67069</v>
      </c>
      <c r="C350" s="60">
        <f ca="1"/>
        <v>0.05</v>
      </c>
    </row>
    <row r="351" spans="2:3" x14ac:dyDescent="0.15">
      <c r="B351" s="52">
        <f ca="1">_xll.qlCalendarAdvance("Null",B350,$A$66,"UnAdjusted")</f>
        <v>67161</v>
      </c>
      <c r="C351" s="60">
        <f ca="1"/>
        <v>0.05</v>
      </c>
    </row>
    <row r="352" spans="2:3" x14ac:dyDescent="0.15">
      <c r="B352" s="52">
        <f ca="1">_xll.qlCalendarAdvance("Null",B351,$A$66,"UnAdjusted")</f>
        <v>67253</v>
      </c>
      <c r="C352" s="60">
        <f ca="1"/>
        <v>0.05</v>
      </c>
    </row>
    <row r="353" spans="2:3" x14ac:dyDescent="0.15">
      <c r="B353" s="52">
        <f ca="1">_xll.qlCalendarAdvance("Null",B352,$A$66,"UnAdjusted")</f>
        <v>67343</v>
      </c>
      <c r="C353" s="60">
        <f ca="1"/>
        <v>0.05</v>
      </c>
    </row>
    <row r="354" spans="2:3" x14ac:dyDescent="0.15">
      <c r="B354" s="52">
        <f ca="1">_xll.qlCalendarAdvance("Null",B353,$A$66,"UnAdjusted")</f>
        <v>67435</v>
      </c>
      <c r="C354" s="60">
        <f ca="1"/>
        <v>0.05</v>
      </c>
    </row>
    <row r="355" spans="2:3" x14ac:dyDescent="0.15">
      <c r="B355" s="52">
        <f ca="1">_xll.qlCalendarAdvance("Null",B354,$A$66,"UnAdjusted")</f>
        <v>67527</v>
      </c>
      <c r="C355" s="60">
        <f ca="1"/>
        <v>0.05</v>
      </c>
    </row>
    <row r="356" spans="2:3" x14ac:dyDescent="0.15">
      <c r="B356" s="52">
        <f ca="1">_xll.qlCalendarAdvance("Null",B355,$A$66,"UnAdjusted")</f>
        <v>67619</v>
      </c>
      <c r="C356" s="60">
        <f ca="1"/>
        <v>0.05</v>
      </c>
    </row>
    <row r="357" spans="2:3" x14ac:dyDescent="0.15">
      <c r="B357" s="52">
        <f ca="1">_xll.qlCalendarAdvance("Null",B356,$A$66,"UnAdjusted")</f>
        <v>67708</v>
      </c>
      <c r="C357" s="60">
        <f ca="1"/>
        <v>0.05</v>
      </c>
    </row>
    <row r="358" spans="2:3" x14ac:dyDescent="0.15">
      <c r="B358" s="52">
        <f ca="1">_xll.qlCalendarAdvance("Null",B357,$A$66,"UnAdjusted")</f>
        <v>67800</v>
      </c>
      <c r="C358" s="60">
        <f ca="1"/>
        <v>0.05</v>
      </c>
    </row>
    <row r="359" spans="2:3" x14ac:dyDescent="0.15">
      <c r="B359" s="52">
        <f ca="1">_xll.qlCalendarAdvance("Null",B358,$A$66,"UnAdjusted")</f>
        <v>67892</v>
      </c>
      <c r="C359" s="60">
        <f ca="1"/>
        <v>0.05</v>
      </c>
    </row>
    <row r="360" spans="2:3" x14ac:dyDescent="0.15">
      <c r="B360" s="52">
        <f ca="1">_xll.qlCalendarAdvance("Null",B359,$A$66,"UnAdjusted")</f>
        <v>67984</v>
      </c>
      <c r="C360" s="60">
        <f ca="1"/>
        <v>0.05</v>
      </c>
    </row>
    <row r="361" spans="2:3" x14ac:dyDescent="0.15">
      <c r="B361" s="52">
        <f ca="1">_xll.qlCalendarAdvance("Null",B360,$A$66,"UnAdjusted")</f>
        <v>68073</v>
      </c>
      <c r="C361" s="60">
        <f ca="1"/>
        <v>0.05</v>
      </c>
    </row>
    <row r="362" spans="2:3" x14ac:dyDescent="0.15">
      <c r="B362" s="52">
        <f ca="1">_xll.qlCalendarAdvance("Null",B361,$A$66,"UnAdjusted")</f>
        <v>68165</v>
      </c>
      <c r="C362" s="60">
        <f ca="1"/>
        <v>0.05</v>
      </c>
    </row>
    <row r="363" spans="2:3" x14ac:dyDescent="0.15">
      <c r="B363" s="52">
        <f ca="1">_xll.qlCalendarAdvance("Null",B362,$A$66,"UnAdjusted")</f>
        <v>68257</v>
      </c>
      <c r="C363" s="60">
        <f ca="1"/>
        <v>0.05</v>
      </c>
    </row>
    <row r="364" spans="2:3" x14ac:dyDescent="0.15">
      <c r="B364" s="52">
        <f ca="1">_xll.qlCalendarAdvance("Null",B363,$A$66,"UnAdjusted")</f>
        <v>68349</v>
      </c>
      <c r="C364" s="60">
        <f ca="1"/>
        <v>0.05</v>
      </c>
    </row>
    <row r="365" spans="2:3" x14ac:dyDescent="0.15">
      <c r="B365" s="52">
        <f ca="1">_xll.qlCalendarAdvance("Null",B364,$A$66,"UnAdjusted")</f>
        <v>68438</v>
      </c>
      <c r="C365" s="60">
        <f ca="1"/>
        <v>0.05</v>
      </c>
    </row>
    <row r="366" spans="2:3" x14ac:dyDescent="0.15">
      <c r="B366" s="52">
        <f ca="1">_xll.qlCalendarAdvance("Null",B365,$A$66,"UnAdjusted")</f>
        <v>68530</v>
      </c>
      <c r="C366" s="60">
        <f ca="1"/>
        <v>0.05</v>
      </c>
    </row>
    <row r="367" spans="2:3" x14ac:dyDescent="0.15">
      <c r="B367" s="52">
        <f ca="1">_xll.qlCalendarAdvance("Null",B366,$A$66,"UnAdjusted")</f>
        <v>68622</v>
      </c>
      <c r="C367" s="60">
        <f ca="1"/>
        <v>0.05</v>
      </c>
    </row>
    <row r="368" spans="2:3" x14ac:dyDescent="0.15">
      <c r="B368" s="52">
        <f ca="1">_xll.qlCalendarAdvance("Null",B367,$A$66,"UnAdjusted")</f>
        <v>68714</v>
      </c>
      <c r="C368" s="60">
        <f ca="1"/>
        <v>0.05</v>
      </c>
    </row>
    <row r="369" spans="2:3" x14ac:dyDescent="0.15">
      <c r="B369" s="52">
        <f ca="1">_xll.qlCalendarAdvance("Null",B368,$A$66,"UnAdjusted")</f>
        <v>68804</v>
      </c>
      <c r="C369" s="60">
        <f ca="1"/>
        <v>0.05</v>
      </c>
    </row>
    <row r="370" spans="2:3" x14ac:dyDescent="0.15">
      <c r="B370" s="52">
        <f ca="1">_xll.qlCalendarAdvance("Null",B369,$A$66,"UnAdjusted")</f>
        <v>68896</v>
      </c>
      <c r="C370" s="60">
        <f ca="1"/>
        <v>0.05</v>
      </c>
    </row>
    <row r="371" spans="2:3" x14ac:dyDescent="0.15">
      <c r="B371" s="52">
        <f ca="1">_xll.qlCalendarAdvance("Null",B370,$A$66,"UnAdjusted")</f>
        <v>68988</v>
      </c>
      <c r="C371" s="60">
        <f ca="1"/>
        <v>0.05</v>
      </c>
    </row>
    <row r="372" spans="2:3" x14ac:dyDescent="0.15">
      <c r="B372" s="52">
        <f ca="1">_xll.qlCalendarAdvance("Null",B371,$A$66,"UnAdjusted")</f>
        <v>69080</v>
      </c>
      <c r="C372" s="60">
        <f ca="1"/>
        <v>0.05</v>
      </c>
    </row>
    <row r="373" spans="2:3" x14ac:dyDescent="0.15">
      <c r="B373" s="52">
        <f ca="1">_xll.qlCalendarAdvance("Null",B372,$A$66,"UnAdjusted")</f>
        <v>69169</v>
      </c>
      <c r="C373" s="60">
        <f ca="1"/>
        <v>0.05</v>
      </c>
    </row>
    <row r="374" spans="2:3" x14ac:dyDescent="0.15">
      <c r="B374" s="52">
        <f ca="1">_xll.qlCalendarAdvance("Null",B373,$A$66,"UnAdjusted")</f>
        <v>69261</v>
      </c>
      <c r="C374" s="60">
        <f ca="1"/>
        <v>0.05</v>
      </c>
    </row>
    <row r="375" spans="2:3" x14ac:dyDescent="0.15">
      <c r="B375" s="52">
        <f ca="1">_xll.qlCalendarAdvance("Null",B374,$A$66,"UnAdjusted")</f>
        <v>69353</v>
      </c>
      <c r="C375" s="60">
        <f ca="1"/>
        <v>0.05</v>
      </c>
    </row>
    <row r="376" spans="2:3" x14ac:dyDescent="0.15">
      <c r="B376" s="52">
        <f ca="1">_xll.qlCalendarAdvance("Null",B375,$A$66,"UnAdjusted")</f>
        <v>69445</v>
      </c>
      <c r="C376" s="60">
        <f ca="1"/>
        <v>0.05</v>
      </c>
    </row>
    <row r="377" spans="2:3" x14ac:dyDescent="0.15">
      <c r="B377" s="52">
        <f ca="1">_xll.qlCalendarAdvance("Null",B376,$A$66,"UnAdjusted")</f>
        <v>69534</v>
      </c>
      <c r="C377" s="60">
        <f ca="1"/>
        <v>0.05</v>
      </c>
    </row>
    <row r="378" spans="2:3" x14ac:dyDescent="0.15">
      <c r="B378" s="52">
        <f ca="1">_xll.qlCalendarAdvance("Null",B377,$A$66,"UnAdjusted")</f>
        <v>69626</v>
      </c>
      <c r="C378" s="60">
        <f ca="1"/>
        <v>0.05</v>
      </c>
    </row>
    <row r="379" spans="2:3" x14ac:dyDescent="0.15">
      <c r="B379" s="52">
        <f ca="1">_xll.qlCalendarAdvance("Null",B378,$A$66,"UnAdjusted")</f>
        <v>69718</v>
      </c>
      <c r="C379" s="60">
        <f ca="1"/>
        <v>0.05</v>
      </c>
    </row>
    <row r="380" spans="2:3" x14ac:dyDescent="0.15">
      <c r="B380" s="52">
        <f ca="1">_xll.qlCalendarAdvance("Null",B379,$A$66,"UnAdjusted")</f>
        <v>69810</v>
      </c>
      <c r="C380" s="60">
        <f ca="1"/>
        <v>0.05</v>
      </c>
    </row>
    <row r="381" spans="2:3" x14ac:dyDescent="0.15">
      <c r="B381" s="52">
        <f ca="1">_xll.qlCalendarAdvance("Null",B380,$A$66,"UnAdjusted")</f>
        <v>69899</v>
      </c>
      <c r="C381" s="60">
        <f ca="1"/>
        <v>0.05</v>
      </c>
    </row>
    <row r="382" spans="2:3" x14ac:dyDescent="0.15">
      <c r="B382" s="52">
        <f ca="1">_xll.qlCalendarAdvance("Null",B381,$A$66,"UnAdjusted")</f>
        <v>69991</v>
      </c>
      <c r="C382" s="60">
        <f ca="1"/>
        <v>0.05</v>
      </c>
    </row>
    <row r="383" spans="2:3" x14ac:dyDescent="0.15">
      <c r="B383" s="52">
        <f ca="1">_xll.qlCalendarAdvance("Null",B382,$A$66,"UnAdjusted")</f>
        <v>70083</v>
      </c>
      <c r="C383" s="60">
        <f ca="1"/>
        <v>0.05</v>
      </c>
    </row>
    <row r="384" spans="2:3" x14ac:dyDescent="0.15">
      <c r="B384" s="52">
        <f ca="1">_xll.qlCalendarAdvance("Null",B383,$A$66,"UnAdjusted")</f>
        <v>70175</v>
      </c>
      <c r="C384" s="60">
        <f ca="1"/>
        <v>0.05</v>
      </c>
    </row>
    <row r="385" spans="2:3" x14ac:dyDescent="0.15">
      <c r="B385" s="52">
        <f ca="1">_xll.qlCalendarAdvance("Null",B384,$A$66,"UnAdjusted")</f>
        <v>70265</v>
      </c>
      <c r="C385" s="60">
        <f ca="1"/>
        <v>0.05</v>
      </c>
    </row>
    <row r="386" spans="2:3" x14ac:dyDescent="0.15">
      <c r="B386" s="52">
        <f ca="1">_xll.qlCalendarAdvance("Null",B385,$A$66,"UnAdjusted")</f>
        <v>70357</v>
      </c>
      <c r="C386" s="60">
        <f ca="1"/>
        <v>0.05</v>
      </c>
    </row>
    <row r="387" spans="2:3" x14ac:dyDescent="0.15">
      <c r="B387" s="52">
        <f ca="1">_xll.qlCalendarAdvance("Null",B386,$A$66,"UnAdjusted")</f>
        <v>70449</v>
      </c>
      <c r="C387" s="60">
        <f ca="1"/>
        <v>0.05</v>
      </c>
    </row>
    <row r="388" spans="2:3" x14ac:dyDescent="0.15">
      <c r="B388" s="52">
        <f ca="1">_xll.qlCalendarAdvance("Null",B387,$A$66,"UnAdjusted")</f>
        <v>70541</v>
      </c>
      <c r="C388" s="60">
        <f ca="1"/>
        <v>0.05</v>
      </c>
    </row>
    <row r="389" spans="2:3" x14ac:dyDescent="0.15">
      <c r="B389" s="52">
        <f ca="1">_xll.qlCalendarAdvance("Null",B388,$A$66,"UnAdjusted")</f>
        <v>70630</v>
      </c>
      <c r="C389" s="60">
        <f ca="1"/>
        <v>5.000000000000001E-2</v>
      </c>
    </row>
    <row r="390" spans="2:3" x14ac:dyDescent="0.15">
      <c r="B390" s="52">
        <f ca="1">_xll.qlCalendarAdvance("Null",B389,$A$66,"UnAdjusted")</f>
        <v>70722</v>
      </c>
      <c r="C390" s="60">
        <f ca="1"/>
        <v>4.9999999999999996E-2</v>
      </c>
    </row>
    <row r="391" spans="2:3" x14ac:dyDescent="0.15">
      <c r="B391" s="52">
        <f ca="1">_xll.qlCalendarAdvance("Null",B390,$A$66,"UnAdjusted")</f>
        <v>70814</v>
      </c>
      <c r="C391" s="60">
        <f ca="1"/>
        <v>0.05</v>
      </c>
    </row>
    <row r="392" spans="2:3" x14ac:dyDescent="0.15">
      <c r="B392" s="52">
        <f ca="1">_xll.qlCalendarAdvance("Null",B391,$A$66,"UnAdjusted")</f>
        <v>70906</v>
      </c>
      <c r="C392" s="60">
        <f ca="1"/>
        <v>0.05</v>
      </c>
    </row>
    <row r="393" spans="2:3" x14ac:dyDescent="0.15">
      <c r="B393" s="52">
        <f ca="1">_xll.qlCalendarAdvance("Null",B392,$A$66,"UnAdjusted")</f>
        <v>70995</v>
      </c>
      <c r="C393" s="60">
        <f ca="1"/>
        <v>0.05</v>
      </c>
    </row>
    <row r="394" spans="2:3" x14ac:dyDescent="0.15">
      <c r="B394" s="52">
        <f ca="1">_xll.qlCalendarAdvance("Null",B393,$A$66,"UnAdjusted")</f>
        <v>71087</v>
      </c>
      <c r="C394" s="60">
        <f ca="1"/>
        <v>5.000000000000001E-2</v>
      </c>
    </row>
    <row r="395" spans="2:3" x14ac:dyDescent="0.15">
      <c r="B395" s="52">
        <f ca="1">_xll.qlCalendarAdvance("Null",B394,$A$66,"UnAdjusted")</f>
        <v>71179</v>
      </c>
      <c r="C395" s="60">
        <f ca="1"/>
        <v>4.9999999999999996E-2</v>
      </c>
    </row>
    <row r="396" spans="2:3" x14ac:dyDescent="0.15">
      <c r="B396" s="52">
        <f ca="1">_xll.qlCalendarAdvance("Null",B395,$A$66,"UnAdjusted")</f>
        <v>71271</v>
      </c>
      <c r="C396" s="60">
        <f ca="1"/>
        <v>0.05</v>
      </c>
    </row>
    <row r="397" spans="2:3" x14ac:dyDescent="0.15">
      <c r="B397" s="52">
        <f ca="1">_xll.qlCalendarAdvance("Null",B396,$A$66,"UnAdjusted")</f>
        <v>71360</v>
      </c>
      <c r="C397" s="60">
        <f ca="1"/>
        <v>0.05</v>
      </c>
    </row>
    <row r="398" spans="2:3" x14ac:dyDescent="0.15">
      <c r="B398" s="52">
        <f ca="1">_xll.qlCalendarAdvance("Null",B397,$A$66,"UnAdjusted")</f>
        <v>71452</v>
      </c>
      <c r="C398" s="60">
        <f ca="1"/>
        <v>0.05</v>
      </c>
    </row>
    <row r="399" spans="2:3" x14ac:dyDescent="0.15">
      <c r="B399" s="52">
        <f ca="1">_xll.qlCalendarAdvance("Null",B398,$A$66,"UnAdjusted")</f>
        <v>71544</v>
      </c>
      <c r="C399" s="60">
        <f ca="1"/>
        <v>5.000000000000001E-2</v>
      </c>
    </row>
    <row r="400" spans="2:3" x14ac:dyDescent="0.15">
      <c r="B400" s="52">
        <f ca="1">_xll.qlCalendarAdvance("Null",B399,$A$66,"UnAdjusted")</f>
        <v>71636</v>
      </c>
      <c r="C400" s="60">
        <f ca="1"/>
        <v>4.9999999999999996E-2</v>
      </c>
    </row>
    <row r="401" spans="2:3" x14ac:dyDescent="0.15">
      <c r="B401" s="52">
        <f ca="1">_xll.qlCalendarAdvance("Null",B400,$A$66,"UnAdjusted")</f>
        <v>71726</v>
      </c>
      <c r="C401" s="60">
        <f ca="1"/>
        <v>0.05</v>
      </c>
    </row>
    <row r="402" spans="2:3" x14ac:dyDescent="0.15">
      <c r="B402" s="52">
        <f ca="1">_xll.qlCalendarAdvance("Null",B401,$A$66,"UnAdjusted")</f>
        <v>71818</v>
      </c>
      <c r="C402" s="60">
        <f ca="1"/>
        <v>0.05</v>
      </c>
    </row>
    <row r="403" spans="2:3" x14ac:dyDescent="0.15">
      <c r="B403" s="52">
        <f ca="1">_xll.qlCalendarAdvance("Null",B402,$A$66,"UnAdjusted")</f>
        <v>71910</v>
      </c>
      <c r="C403" s="60">
        <f ca="1"/>
        <v>0.05</v>
      </c>
    </row>
    <row r="404" spans="2:3" x14ac:dyDescent="0.15">
      <c r="B404" s="52">
        <f ca="1">_xll.qlCalendarAdvance("Null",B403,$A$66,"UnAdjusted")</f>
        <v>72002</v>
      </c>
      <c r="C404" s="60">
        <f ca="1"/>
        <v>5.000000000000001E-2</v>
      </c>
    </row>
    <row r="405" spans="2:3" x14ac:dyDescent="0.15">
      <c r="B405" s="52">
        <f ca="1">_xll.qlCalendarAdvance("Null",B404,$A$66,"UnAdjusted")</f>
        <v>72091</v>
      </c>
      <c r="C405" s="60">
        <f ca="1"/>
        <v>4.9999999999999996E-2</v>
      </c>
    </row>
    <row r="406" spans="2:3" x14ac:dyDescent="0.15">
      <c r="B406" s="52">
        <f ca="1">_xll.qlCalendarAdvance("Null",B405,$A$66,"UnAdjusted")</f>
        <v>72183</v>
      </c>
      <c r="C406" s="60">
        <f ca="1"/>
        <v>0.05</v>
      </c>
    </row>
    <row r="407" spans="2:3" x14ac:dyDescent="0.15">
      <c r="B407" s="52">
        <f ca="1">_xll.qlCalendarAdvance("Null",B406,$A$66,"UnAdjusted")</f>
        <v>72275</v>
      </c>
      <c r="C407" s="60">
        <f ca="1"/>
        <v>0.05</v>
      </c>
    </row>
    <row r="408" spans="2:3" x14ac:dyDescent="0.15">
      <c r="B408" s="52">
        <f ca="1">_xll.qlCalendarAdvance("Null",B407,$A$66,"UnAdjusted")</f>
        <v>72367</v>
      </c>
      <c r="C408" s="60">
        <f ca="1"/>
        <v>0.05</v>
      </c>
    </row>
    <row r="409" spans="2:3" x14ac:dyDescent="0.15">
      <c r="B409" s="52">
        <f ca="1">_xll.qlCalendarAdvance("Null",B408,$A$66,"UnAdjusted")</f>
        <v>72456</v>
      </c>
      <c r="C409" s="60">
        <f ca="1"/>
        <v>0.05</v>
      </c>
    </row>
    <row r="410" spans="2:3" x14ac:dyDescent="0.15">
      <c r="B410" s="52">
        <f ca="1">_xll.qlCalendarAdvance("Null",B409,$A$66,"UnAdjusted")</f>
        <v>72548</v>
      </c>
      <c r="C410" s="60">
        <f ca="1"/>
        <v>4.9999999999999996E-2</v>
      </c>
    </row>
    <row r="411" spans="2:3" x14ac:dyDescent="0.15">
      <c r="B411" s="52">
        <f ca="1">_xll.qlCalendarAdvance("Null",B410,$A$66,"UnAdjusted")</f>
        <v>72640</v>
      </c>
      <c r="C411" s="60">
        <f ca="1"/>
        <v>0.05</v>
      </c>
    </row>
    <row r="412" spans="2:3" x14ac:dyDescent="0.15">
      <c r="B412" s="52">
        <f ca="1">_xll.qlCalendarAdvance("Null",B411,$A$66,"UnAdjusted")</f>
        <v>72732</v>
      </c>
      <c r="C412" s="60">
        <f ca="1"/>
        <v>0.05</v>
      </c>
    </row>
    <row r="413" spans="2:3" x14ac:dyDescent="0.15">
      <c r="B413" s="52">
        <f ca="1">_xll.qlCalendarAdvance("Null",B412,$A$66,"UnAdjusted")</f>
        <v>72821</v>
      </c>
      <c r="C413" s="60">
        <f ca="1"/>
        <v>0.05</v>
      </c>
    </row>
    <row r="414" spans="2:3" x14ac:dyDescent="0.15">
      <c r="B414" s="52">
        <f ca="1">_xll.qlCalendarAdvance("Null",B413,$A$66,"UnAdjusted")</f>
        <v>72913</v>
      </c>
      <c r="C414" s="60">
        <f ca="1"/>
        <v>0.05</v>
      </c>
    </row>
    <row r="415" spans="2:3" x14ac:dyDescent="0.15">
      <c r="B415" s="52">
        <f ca="1">_xll.qlCalendarAdvance("Null",B414,$A$66,"UnAdjusted")</f>
        <v>73005</v>
      </c>
      <c r="C415" s="60">
        <f ca="1"/>
        <v>4.9999999999999996E-2</v>
      </c>
    </row>
    <row r="416" spans="2:3" x14ac:dyDescent="0.15">
      <c r="B416" s="52">
        <f ca="1">_xll.qlCalendarAdvance("Null",B415,$A$66,"UnAdjusted")</f>
        <v>73097</v>
      </c>
      <c r="C416" s="60">
        <f ca="1"/>
        <v>0.05</v>
      </c>
    </row>
    <row r="417" spans="2:3" x14ac:dyDescent="0.15">
      <c r="B417" s="52">
        <f ca="1">_xll.qlCalendarAdvance("Null",B416,$A$66,"UnAdjusted")</f>
        <v>73186</v>
      </c>
      <c r="C417" s="60">
        <f ca="1"/>
        <v>0.05</v>
      </c>
    </row>
    <row r="418" spans="2:3" x14ac:dyDescent="0.15">
      <c r="B418" s="52">
        <f ca="1">_xll.qlCalendarAdvance("Null",B417,$A$66,"UnAdjusted")</f>
        <v>73278</v>
      </c>
      <c r="C418" s="60">
        <f ca="1"/>
        <v>0.05</v>
      </c>
    </row>
    <row r="419" spans="2:3" x14ac:dyDescent="0.15">
      <c r="B419" s="52">
        <f ca="1">_xll.qlCalendarAdvance("Null",B418,$A$66,"UnAdjusted")</f>
        <v>73370</v>
      </c>
      <c r="C419" s="60">
        <f ca="1"/>
        <v>0.05</v>
      </c>
    </row>
    <row r="420" spans="2:3" x14ac:dyDescent="0.15">
      <c r="B420" s="52">
        <f ca="1">_xll.qlCalendarAdvance("Null",B419,$A$66,"UnAdjusted")</f>
        <v>73462</v>
      </c>
      <c r="C420" s="60">
        <f ca="1"/>
        <v>4.9999999999999996E-2</v>
      </c>
    </row>
    <row r="421" spans="2:3" x14ac:dyDescent="0.15">
      <c r="B421" s="52">
        <f ca="1">_xll.qlCalendarAdvance("Null",B420,$A$66,"UnAdjusted")</f>
        <v>73551</v>
      </c>
      <c r="C421" s="60">
        <f ca="1"/>
        <v>0.05</v>
      </c>
    </row>
    <row r="422" spans="2:3" x14ac:dyDescent="0.15">
      <c r="B422" s="52">
        <f ca="1">_xll.qlCalendarAdvance("Null",B421,$A$66,"UnAdjusted")</f>
        <v>73643</v>
      </c>
      <c r="C422" s="60">
        <f ca="1"/>
        <v>0.05</v>
      </c>
    </row>
    <row r="423" spans="2:3" x14ac:dyDescent="0.15">
      <c r="B423" s="52">
        <f ca="1">_xll.qlCalendarAdvance("Null",B422,$A$66,"UnAdjusted")</f>
        <v>73735</v>
      </c>
      <c r="C423" s="60">
        <f ca="1"/>
        <v>0.05</v>
      </c>
    </row>
    <row r="424" spans="2:3" x14ac:dyDescent="0.15">
      <c r="B424" s="52">
        <f ca="1">_xll.qlCalendarAdvance("Null",B423,$A$66,"UnAdjusted")</f>
        <v>73827</v>
      </c>
      <c r="C424" s="60">
        <f ca="1"/>
        <v>0.05</v>
      </c>
    </row>
    <row r="425" spans="2:3" x14ac:dyDescent="0.15">
      <c r="B425" s="52">
        <f ca="1">_xll.qlCalendarAdvance("Null",B424,$A$66,"UnAdjusted")</f>
        <v>73916</v>
      </c>
      <c r="C425" s="60">
        <f ca="1"/>
        <v>4.9999999999999996E-2</v>
      </c>
    </row>
    <row r="426" spans="2:3" x14ac:dyDescent="0.15">
      <c r="B426" s="52">
        <f ca="1">_xll.qlCalendarAdvance("Null",B425,$A$66,"UnAdjusted")</f>
        <v>74008</v>
      </c>
      <c r="C426" s="60">
        <f ca="1"/>
        <v>0.05</v>
      </c>
    </row>
    <row r="427" spans="2:3" x14ac:dyDescent="0.15">
      <c r="B427" s="52">
        <f ca="1">_xll.qlCalendarAdvance("Null",B426,$A$66,"UnAdjusted")</f>
        <v>74100</v>
      </c>
      <c r="C427" s="60">
        <f ca="1"/>
        <v>0.05</v>
      </c>
    </row>
    <row r="428" spans="2:3" x14ac:dyDescent="0.15">
      <c r="B428" s="52">
        <f ca="1">_xll.qlCalendarAdvance("Null",B427,$A$66,"UnAdjusted")</f>
        <v>74192</v>
      </c>
      <c r="C428" s="60">
        <f ca="1"/>
        <v>0.05</v>
      </c>
    </row>
    <row r="429" spans="2:3" x14ac:dyDescent="0.15">
      <c r="B429" s="52">
        <f ca="1">_xll.qlCalendarAdvance("Null",B428,$A$66,"UnAdjusted")</f>
        <v>74281</v>
      </c>
      <c r="C429" s="60">
        <f ca="1"/>
        <v>0.05</v>
      </c>
    </row>
    <row r="430" spans="2:3" x14ac:dyDescent="0.15">
      <c r="B430" s="52">
        <f ca="1">_xll.qlCalendarAdvance("Null",B429,$A$66,"UnAdjusted")</f>
        <v>74373</v>
      </c>
      <c r="C430" s="60">
        <f ca="1"/>
        <v>4.9999999999999996E-2</v>
      </c>
    </row>
    <row r="431" spans="2:3" x14ac:dyDescent="0.15">
      <c r="B431" s="52">
        <f ca="1">_xll.qlCalendarAdvance("Null",B430,$A$66,"UnAdjusted")</f>
        <v>74465</v>
      </c>
      <c r="C431" s="60">
        <f ca="1"/>
        <v>0.05</v>
      </c>
    </row>
    <row r="432" spans="2:3" x14ac:dyDescent="0.15">
      <c r="B432" s="52">
        <f ca="1">_xll.qlCalendarAdvance("Null",B431,$A$66,"UnAdjusted")</f>
        <v>74557</v>
      </c>
      <c r="C432" s="60">
        <f ca="1"/>
        <v>0.05</v>
      </c>
    </row>
    <row r="433" spans="2:3" x14ac:dyDescent="0.15">
      <c r="B433" s="52">
        <f ca="1">_xll.qlCalendarAdvance("Null",B432,$A$66,"UnAdjusted")</f>
        <v>74647</v>
      </c>
      <c r="C433" s="60">
        <f ca="1"/>
        <v>0.05</v>
      </c>
    </row>
    <row r="434" spans="2:3" x14ac:dyDescent="0.15">
      <c r="B434" s="52">
        <f ca="1">_xll.qlCalendarAdvance("Null",B433,$A$66,"UnAdjusted")</f>
        <v>74739</v>
      </c>
      <c r="C434" s="60">
        <f ca="1"/>
        <v>0.05</v>
      </c>
    </row>
    <row r="435" spans="2:3" x14ac:dyDescent="0.15">
      <c r="B435" s="52">
        <f ca="1">_xll.qlCalendarAdvance("Null",B434,$A$66,"UnAdjusted")</f>
        <v>74831</v>
      </c>
      <c r="C435" s="60">
        <f ca="1"/>
        <v>4.9999999999999996E-2</v>
      </c>
    </row>
    <row r="436" spans="2:3" x14ac:dyDescent="0.15">
      <c r="B436" s="52">
        <f ca="1">_xll.qlCalendarAdvance("Null",B435,$A$66,"UnAdjusted")</f>
        <v>74923</v>
      </c>
      <c r="C436" s="60">
        <f ca="1"/>
        <v>0.05</v>
      </c>
    </row>
    <row r="437" spans="2:3" x14ac:dyDescent="0.15">
      <c r="B437" s="52">
        <f ca="1">_xll.qlCalendarAdvance("Null",B436,$A$66,"UnAdjusted")</f>
        <v>75012</v>
      </c>
      <c r="C437" s="60">
        <f ca="1"/>
        <v>0.05</v>
      </c>
    </row>
    <row r="438" spans="2:3" x14ac:dyDescent="0.15">
      <c r="B438" s="52">
        <f ca="1">_xll.qlCalendarAdvance("Null",B437,$A$66,"UnAdjusted")</f>
        <v>75104</v>
      </c>
      <c r="C438" s="60">
        <f ca="1"/>
        <v>0.05</v>
      </c>
    </row>
    <row r="439" spans="2:3" x14ac:dyDescent="0.15">
      <c r="B439" s="52">
        <f ca="1">_xll.qlCalendarAdvance("Null",B438,$A$66,"UnAdjusted")</f>
        <v>75196</v>
      </c>
      <c r="C439" s="60">
        <f ca="1"/>
        <v>0.05</v>
      </c>
    </row>
    <row r="440" spans="2:3" x14ac:dyDescent="0.15">
      <c r="B440" s="52">
        <f ca="1">_xll.qlCalendarAdvance("Null",B439,$A$66,"UnAdjusted")</f>
        <v>75288</v>
      </c>
      <c r="C440" s="60">
        <f ca="1"/>
        <v>4.9999999999999996E-2</v>
      </c>
    </row>
    <row r="441" spans="2:3" x14ac:dyDescent="0.15">
      <c r="B441" s="52">
        <f ca="1">_xll.qlCalendarAdvance("Null",B440,$A$66,"UnAdjusted")</f>
        <v>75377</v>
      </c>
      <c r="C441" s="60">
        <f ca="1"/>
        <v>0.05</v>
      </c>
    </row>
    <row r="442" spans="2:3" x14ac:dyDescent="0.15">
      <c r="B442" s="52">
        <f ca="1">_xll.qlCalendarAdvance("Null",B441,$A$66,"UnAdjusted")</f>
        <v>75469</v>
      </c>
      <c r="C442" s="60">
        <f ca="1"/>
        <v>0.05</v>
      </c>
    </row>
    <row r="443" spans="2:3" x14ac:dyDescent="0.15">
      <c r="B443" s="52">
        <f ca="1">_xll.qlCalendarAdvance("Null",B442,$A$66,"UnAdjusted")</f>
        <v>75561</v>
      </c>
      <c r="C443" s="60">
        <f ca="1"/>
        <v>0.05</v>
      </c>
    </row>
    <row r="444" spans="2:3" x14ac:dyDescent="0.15">
      <c r="B444" s="52">
        <f ca="1">_xll.qlCalendarAdvance("Null",B443,$A$66,"UnAdjusted")</f>
        <v>75653</v>
      </c>
      <c r="C444" s="60">
        <f ca="1"/>
        <v>0.05</v>
      </c>
    </row>
    <row r="445" spans="2:3" x14ac:dyDescent="0.15">
      <c r="B445" s="52">
        <f ca="1">_xll.qlCalendarAdvance("Null",B444,$A$66,"UnAdjusted")</f>
        <v>75742</v>
      </c>
      <c r="C445" s="60">
        <f ca="1"/>
        <v>4.9999999999999996E-2</v>
      </c>
    </row>
    <row r="446" spans="2:3" x14ac:dyDescent="0.15">
      <c r="B446" s="52">
        <f ca="1">_xll.qlCalendarAdvance("Null",B445,$A$66,"UnAdjusted")</f>
        <v>75834</v>
      </c>
      <c r="C446" s="60">
        <f ca="1"/>
        <v>0.05</v>
      </c>
    </row>
    <row r="447" spans="2:3" x14ac:dyDescent="0.15">
      <c r="B447" s="52">
        <f ca="1">_xll.qlCalendarAdvance("Null",B446,$A$66,"UnAdjusted")</f>
        <v>75926</v>
      </c>
      <c r="C447" s="60">
        <f ca="1"/>
        <v>0.05</v>
      </c>
    </row>
    <row r="448" spans="2:3" x14ac:dyDescent="0.15">
      <c r="B448" s="52">
        <f ca="1">_xll.qlCalendarAdvance("Null",B447,$A$66,"UnAdjusted")</f>
        <v>76018</v>
      </c>
      <c r="C448" s="60">
        <f ca="1"/>
        <v>0.05</v>
      </c>
    </row>
    <row r="449" spans="2:3" x14ac:dyDescent="0.15">
      <c r="B449" s="52">
        <f ca="1">_xll.qlCalendarAdvance("Null",B448,$A$66,"UnAdjusted")</f>
        <v>76108</v>
      </c>
      <c r="C449" s="60">
        <f ca="1"/>
        <v>0.05</v>
      </c>
    </row>
    <row r="450" spans="2:3" x14ac:dyDescent="0.15">
      <c r="B450" s="52">
        <f ca="1">_xll.qlCalendarAdvance("Null",B449,$A$66,"UnAdjusted")</f>
        <v>76200</v>
      </c>
      <c r="C450" s="60">
        <f ca="1"/>
        <v>5.000000000000001E-2</v>
      </c>
    </row>
    <row r="451" spans="2:3" x14ac:dyDescent="0.15">
      <c r="B451" s="52">
        <f ca="1">_xll.qlCalendarAdvance("Null",B450,$A$66,"UnAdjusted")</f>
        <v>76292</v>
      </c>
      <c r="C451" s="60">
        <f ca="1"/>
        <v>0.05</v>
      </c>
    </row>
    <row r="452" spans="2:3" x14ac:dyDescent="0.15">
      <c r="B452" s="52">
        <f ca="1">_xll.qlCalendarAdvance("Null",B451,$A$66,"UnAdjusted")</f>
        <v>76384</v>
      </c>
      <c r="C452" s="60">
        <f ca="1"/>
        <v>0.05</v>
      </c>
    </row>
    <row r="453" spans="2:3" x14ac:dyDescent="0.15">
      <c r="B453" s="52">
        <f ca="1">_xll.qlCalendarAdvance("Null",B452,$A$66,"UnAdjusted")</f>
        <v>76473</v>
      </c>
      <c r="C453" s="60">
        <f ca="1"/>
        <v>0.05</v>
      </c>
    </row>
    <row r="454" spans="2:3" x14ac:dyDescent="0.15">
      <c r="B454" s="52">
        <f ca="1">_xll.qlCalendarAdvance("Null",B453,$A$66,"UnAdjusted")</f>
        <v>76565</v>
      </c>
      <c r="C454" s="60">
        <f ca="1"/>
        <v>0.05</v>
      </c>
    </row>
    <row r="455" spans="2:3" x14ac:dyDescent="0.15">
      <c r="B455" s="52">
        <f ca="1">_xll.qlCalendarAdvance("Null",B454,$A$66,"UnAdjusted")</f>
        <v>76657</v>
      </c>
      <c r="C455" s="60">
        <f ca="1"/>
        <v>5.000000000000001E-2</v>
      </c>
    </row>
    <row r="456" spans="2:3" x14ac:dyDescent="0.15">
      <c r="B456" s="52">
        <f ca="1">_xll.qlCalendarAdvance("Null",B455,$A$66,"UnAdjusted")</f>
        <v>76749</v>
      </c>
      <c r="C456" s="60">
        <f ca="1"/>
        <v>0.05</v>
      </c>
    </row>
    <row r="457" spans="2:3" x14ac:dyDescent="0.15">
      <c r="B457" s="52">
        <f ca="1">_xll.qlCalendarAdvance("Null",B456,$A$66,"UnAdjusted")</f>
        <v>76838</v>
      </c>
      <c r="C457" s="60">
        <f ca="1"/>
        <v>0.05</v>
      </c>
    </row>
    <row r="458" spans="2:3" x14ac:dyDescent="0.15">
      <c r="B458" s="52">
        <f ca="1">_xll.qlCalendarAdvance("Null",B457,$A$66,"UnAdjusted")</f>
        <v>76930</v>
      </c>
      <c r="C458" s="60">
        <f ca="1"/>
        <v>0.05</v>
      </c>
    </row>
    <row r="459" spans="2:3" x14ac:dyDescent="0.15">
      <c r="B459" s="52">
        <f ca="1">_xll.qlCalendarAdvance("Null",B458,$A$66,"UnAdjusted")</f>
        <v>77022</v>
      </c>
      <c r="C459" s="60">
        <f ca="1"/>
        <v>0.05</v>
      </c>
    </row>
    <row r="460" spans="2:3" x14ac:dyDescent="0.15">
      <c r="B460" s="52">
        <f ca="1">_xll.qlCalendarAdvance("Null",B459,$A$66,"UnAdjusted")</f>
        <v>77114</v>
      </c>
      <c r="C460" s="60">
        <f ca="1"/>
        <v>5.000000000000001E-2</v>
      </c>
    </row>
    <row r="461" spans="2:3" x14ac:dyDescent="0.15">
      <c r="B461" s="52">
        <f ca="1">_xll.qlCalendarAdvance("Null",B460,$A$66,"UnAdjusted")</f>
        <v>77203</v>
      </c>
      <c r="C461" s="60">
        <f ca="1"/>
        <v>0.05</v>
      </c>
    </row>
    <row r="462" spans="2:3" x14ac:dyDescent="0.15">
      <c r="B462" s="52">
        <f ca="1">_xll.qlCalendarAdvance("Null",B461,$A$66,"UnAdjusted")</f>
        <v>77295</v>
      </c>
      <c r="C462" s="60">
        <f ca="1"/>
        <v>0.05</v>
      </c>
    </row>
    <row r="463" spans="2:3" x14ac:dyDescent="0.15">
      <c r="B463" s="52">
        <f ca="1">_xll.qlCalendarAdvance("Null",B462,$A$66,"UnAdjusted")</f>
        <v>77387</v>
      </c>
      <c r="C463" s="60">
        <f ca="1"/>
        <v>0.05</v>
      </c>
    </row>
    <row r="464" spans="2:3" x14ac:dyDescent="0.15">
      <c r="B464" s="52">
        <f ca="1">_xll.qlCalendarAdvance("Null",B463,$A$66,"UnAdjusted")</f>
        <v>77479</v>
      </c>
      <c r="C464" s="60">
        <f ca="1"/>
        <v>0.05</v>
      </c>
    </row>
    <row r="465" spans="2:3" x14ac:dyDescent="0.15">
      <c r="B465" s="52">
        <f ca="1">_xll.qlCalendarAdvance("Null",B464,$A$66,"UnAdjusted")</f>
        <v>77569</v>
      </c>
      <c r="C465" s="60">
        <f ca="1"/>
        <v>5.000000000000001E-2</v>
      </c>
    </row>
    <row r="466" spans="2:3" x14ac:dyDescent="0.15">
      <c r="B466" s="52">
        <f ca="1">_xll.qlCalendarAdvance("Null",B465,$A$66,"UnAdjusted")</f>
        <v>77661</v>
      </c>
      <c r="C466" s="60">
        <f ca="1"/>
        <v>0.05</v>
      </c>
    </row>
    <row r="467" spans="2:3" x14ac:dyDescent="0.15">
      <c r="B467" s="52">
        <f ca="1">_xll.qlCalendarAdvance("Null",B466,$A$66,"UnAdjusted")</f>
        <v>77753</v>
      </c>
      <c r="C467" s="60">
        <f ca="1"/>
        <v>0.05</v>
      </c>
    </row>
    <row r="468" spans="2:3" x14ac:dyDescent="0.15">
      <c r="B468" s="52">
        <f ca="1">_xll.qlCalendarAdvance("Null",B467,$A$66,"UnAdjusted")</f>
        <v>77845</v>
      </c>
      <c r="C468" s="60">
        <f ca="1"/>
        <v>0.05</v>
      </c>
    </row>
    <row r="469" spans="2:3" x14ac:dyDescent="0.15">
      <c r="B469" s="52">
        <f ca="1">_xll.qlCalendarAdvance("Null",B468,$A$66,"UnAdjusted")</f>
        <v>77934</v>
      </c>
      <c r="C469" s="60">
        <f ca="1"/>
        <v>0.05</v>
      </c>
    </row>
    <row r="470" spans="2:3" x14ac:dyDescent="0.15">
      <c r="B470" s="52">
        <f ca="1">_xll.qlCalendarAdvance("Null",B469,$A$66,"UnAdjusted")</f>
        <v>78026</v>
      </c>
      <c r="C470" s="60">
        <f ca="1"/>
        <v>5.000000000000001E-2</v>
      </c>
    </row>
    <row r="471" spans="2:3" x14ac:dyDescent="0.15">
      <c r="B471" s="52">
        <f ca="1">_xll.qlCalendarAdvance("Null",B470,$A$66,"UnAdjusted")</f>
        <v>78118</v>
      </c>
      <c r="C471" s="60">
        <f ca="1"/>
        <v>0.05</v>
      </c>
    </row>
    <row r="472" spans="2:3" x14ac:dyDescent="0.15">
      <c r="B472" s="52">
        <f ca="1">_xll.qlCalendarAdvance("Null",B471,$A$66,"UnAdjusted")</f>
        <v>78210</v>
      </c>
      <c r="C472" s="60">
        <f ca="1"/>
        <v>0.05</v>
      </c>
    </row>
    <row r="473" spans="2:3" x14ac:dyDescent="0.15">
      <c r="B473" s="52">
        <f ca="1">_xll.qlCalendarAdvance("Null",B472,$A$66,"UnAdjusted")</f>
        <v>78299</v>
      </c>
      <c r="C473" s="60">
        <f ca="1"/>
        <v>0.05</v>
      </c>
    </row>
    <row r="474" spans="2:3" x14ac:dyDescent="0.15">
      <c r="B474" s="52">
        <f ca="1">_xll.qlCalendarAdvance("Null",B473,$A$66,"UnAdjusted")</f>
        <v>78391</v>
      </c>
      <c r="C474" s="60">
        <f ca="1"/>
        <v>0.05</v>
      </c>
    </row>
    <row r="475" spans="2:3" x14ac:dyDescent="0.15">
      <c r="B475" s="52">
        <f ca="1">_xll.qlCalendarAdvance("Null",B474,$A$66,"UnAdjusted")</f>
        <v>78483</v>
      </c>
      <c r="C475" s="60">
        <f ca="1"/>
        <v>5.000000000000001E-2</v>
      </c>
    </row>
    <row r="476" spans="2:3" x14ac:dyDescent="0.15">
      <c r="B476" s="52">
        <f ca="1">_xll.qlCalendarAdvance("Null",B475,$A$66,"UnAdjusted")</f>
        <v>78575</v>
      </c>
      <c r="C476" s="60">
        <f ca="1"/>
        <v>0.05</v>
      </c>
    </row>
    <row r="477" spans="2:3" x14ac:dyDescent="0.15">
      <c r="B477" s="52">
        <f ca="1">_xll.qlCalendarAdvance("Null",B476,$A$66,"UnAdjusted")</f>
        <v>78664</v>
      </c>
      <c r="C477" s="60">
        <f ca="1"/>
        <v>0.05</v>
      </c>
    </row>
    <row r="478" spans="2:3" x14ac:dyDescent="0.15">
      <c r="B478" s="52">
        <f ca="1">_xll.qlCalendarAdvance("Null",B477,$A$66,"UnAdjusted")</f>
        <v>78756</v>
      </c>
      <c r="C478" s="60">
        <f ca="1"/>
        <v>0.05</v>
      </c>
    </row>
    <row r="479" spans="2:3" x14ac:dyDescent="0.15">
      <c r="B479" s="52">
        <f ca="1">_xll.qlCalendarAdvance("Null",B478,$A$66,"UnAdjusted")</f>
        <v>78848</v>
      </c>
      <c r="C479" s="60">
        <f ca="1"/>
        <v>0.05</v>
      </c>
    </row>
    <row r="480" spans="2:3" x14ac:dyDescent="0.15">
      <c r="B480" s="52">
        <f ca="1">_xll.qlCalendarAdvance("Null",B479,$A$66,"UnAdjusted")</f>
        <v>78940</v>
      </c>
      <c r="C480" s="60">
        <f ca="1"/>
        <v>5.000000000000001E-2</v>
      </c>
    </row>
    <row r="481" spans="2:3" x14ac:dyDescent="0.15">
      <c r="B481" s="52">
        <f ca="1">_xll.qlCalendarAdvance("Null",B480,$A$66,"UnAdjusted")</f>
        <v>79030</v>
      </c>
      <c r="C481" s="60">
        <f ca="1"/>
        <v>0.05</v>
      </c>
    </row>
    <row r="482" spans="2:3" x14ac:dyDescent="0.15">
      <c r="B482" s="52">
        <f ca="1">_xll.qlCalendarAdvance("Null",B481,$A$66,"UnAdjusted")</f>
        <v>79122</v>
      </c>
      <c r="C482" s="60">
        <f ca="1"/>
        <v>0.05</v>
      </c>
    </row>
    <row r="483" spans="2:3" x14ac:dyDescent="0.15">
      <c r="B483" s="52">
        <f ca="1">_xll.qlCalendarAdvance("Null",B482,$A$66,"UnAdjusted")</f>
        <v>79214</v>
      </c>
      <c r="C483" s="60">
        <f ca="1"/>
        <v>0.05</v>
      </c>
    </row>
    <row r="484" spans="2:3" x14ac:dyDescent="0.15">
      <c r="B484" s="52">
        <f ca="1">_xll.qlCalendarAdvance("Null",B483,$A$66,"UnAdjusted")</f>
        <v>79306</v>
      </c>
      <c r="C484" s="60">
        <f ca="1"/>
        <v>0.05</v>
      </c>
    </row>
    <row r="485" spans="2:3" x14ac:dyDescent="0.15">
      <c r="B485" s="52">
        <f ca="1">_xll.qlCalendarAdvance("Null",B484,$A$66,"UnAdjusted")</f>
        <v>79395</v>
      </c>
      <c r="C485" s="60">
        <f ca="1"/>
        <v>5.000000000000001E-2</v>
      </c>
    </row>
    <row r="486" spans="2:3" x14ac:dyDescent="0.15">
      <c r="B486" s="52">
        <f ca="1">_xll.qlCalendarAdvance("Null",B485,$A$66,"UnAdjusted")</f>
        <v>79487</v>
      </c>
      <c r="C486" s="60">
        <f ca="1"/>
        <v>0.05</v>
      </c>
    </row>
    <row r="487" spans="2:3" x14ac:dyDescent="0.15">
      <c r="B487" s="52">
        <f ca="1">_xll.qlCalendarAdvance("Null",B486,$A$66,"UnAdjusted")</f>
        <v>79579</v>
      </c>
      <c r="C487" s="60">
        <f ca="1"/>
        <v>0.05</v>
      </c>
    </row>
    <row r="488" spans="2:3" x14ac:dyDescent="0.15">
      <c r="B488" s="52">
        <f ca="1">_xll.qlCalendarAdvance("Null",B487,$A$66,"UnAdjusted")</f>
        <v>79671</v>
      </c>
      <c r="C488" s="60">
        <f ca="1"/>
        <v>0.05</v>
      </c>
    </row>
    <row r="489" spans="2:3" x14ac:dyDescent="0.15">
      <c r="B489" s="52">
        <f ca="1">_xll.qlCalendarAdvance("Null",B488,$A$66,"UnAdjusted")</f>
        <v>79760</v>
      </c>
      <c r="C489" s="60">
        <f ca="1"/>
        <v>0.05</v>
      </c>
    </row>
    <row r="490" spans="2:3" x14ac:dyDescent="0.15">
      <c r="B490" s="52">
        <f ca="1">_xll.qlCalendarAdvance("Null",B489,$A$66,"UnAdjusted")</f>
        <v>79852</v>
      </c>
      <c r="C490" s="60">
        <f ca="1"/>
        <v>5.000000000000001E-2</v>
      </c>
    </row>
    <row r="491" spans="2:3" x14ac:dyDescent="0.15">
      <c r="B491" s="52">
        <f ca="1">_xll.qlCalendarAdvance("Null",B490,$A$66,"UnAdjusted")</f>
        <v>79944</v>
      </c>
      <c r="C491" s="60">
        <f ca="1"/>
        <v>0.05</v>
      </c>
    </row>
    <row r="492" spans="2:3" x14ac:dyDescent="0.15">
      <c r="B492" s="52">
        <f ca="1">_xll.qlCalendarAdvance("Null",B491,$A$66,"UnAdjusted")</f>
        <v>80036</v>
      </c>
      <c r="C492" s="60">
        <f ca="1"/>
        <v>0.05</v>
      </c>
    </row>
    <row r="493" spans="2:3" x14ac:dyDescent="0.15">
      <c r="B493" s="52">
        <f ca="1">_xll.qlCalendarAdvance("Null",B492,$A$66,"UnAdjusted")</f>
        <v>80125</v>
      </c>
      <c r="C493" s="60">
        <f ca="1"/>
        <v>0.05</v>
      </c>
    </row>
    <row r="494" spans="2:3" x14ac:dyDescent="0.15">
      <c r="B494" s="52">
        <f ca="1">_xll.qlCalendarAdvance("Null",B493,$A$66,"UnAdjusted")</f>
        <v>80217</v>
      </c>
      <c r="C494" s="60">
        <f ca="1"/>
        <v>0.05</v>
      </c>
    </row>
    <row r="495" spans="2:3" x14ac:dyDescent="0.15">
      <c r="B495" s="52">
        <f ca="1">_xll.qlCalendarAdvance("Null",B494,$A$66,"UnAdjusted")</f>
        <v>80309</v>
      </c>
      <c r="C495" s="60">
        <f ca="1"/>
        <v>5.000000000000001E-2</v>
      </c>
    </row>
    <row r="496" spans="2:3" x14ac:dyDescent="0.15">
      <c r="B496" s="52">
        <f ca="1">_xll.qlCalendarAdvance("Null",B495,$A$66,"UnAdjusted")</f>
        <v>80401</v>
      </c>
      <c r="C496" s="60">
        <f ca="1"/>
        <v>0.05</v>
      </c>
    </row>
    <row r="497" spans="2:3" x14ac:dyDescent="0.15">
      <c r="B497" s="52">
        <f ca="1">_xll.qlCalendarAdvance("Null",B496,$A$66,"UnAdjusted")</f>
        <v>80491</v>
      </c>
      <c r="C497" s="60">
        <f ca="1"/>
        <v>0.05</v>
      </c>
    </row>
    <row r="498" spans="2:3" x14ac:dyDescent="0.15">
      <c r="B498" s="52">
        <f ca="1">_xll.qlCalendarAdvance("Null",B497,$A$66,"UnAdjusted")</f>
        <v>80583</v>
      </c>
      <c r="C498" s="60">
        <f ca="1"/>
        <v>0.05</v>
      </c>
    </row>
    <row r="499" spans="2:3" x14ac:dyDescent="0.15">
      <c r="B499" s="52">
        <f ca="1">_xll.qlCalendarAdvance("Null",B498,$A$66,"UnAdjusted")</f>
        <v>80675</v>
      </c>
      <c r="C499" s="60">
        <f ca="1"/>
        <v>0.05</v>
      </c>
    </row>
    <row r="500" spans="2:3" x14ac:dyDescent="0.15">
      <c r="B500" s="52">
        <f ca="1">_xll.qlCalendarAdvance("Null",B499,$A$66,"UnAdjusted")</f>
        <v>80767</v>
      </c>
      <c r="C500" s="60">
        <f ca="1"/>
        <v>5.000000000000001E-2</v>
      </c>
    </row>
    <row r="501" spans="2:3" x14ac:dyDescent="0.15">
      <c r="B501" s="52">
        <f ca="1">_xll.qlCalendarAdvance("Null",B500,$A$66,"UnAdjusted")</f>
        <v>80856</v>
      </c>
      <c r="C501" s="60">
        <f ca="1"/>
        <v>0.05</v>
      </c>
    </row>
    <row r="502" spans="2:3" x14ac:dyDescent="0.15">
      <c r="B502" s="52">
        <f ca="1">_xll.qlCalendarAdvance("Null",B501,$A$66,"UnAdjusted")</f>
        <v>80948</v>
      </c>
      <c r="C502" s="60">
        <f ca="1"/>
        <v>0.05</v>
      </c>
    </row>
    <row r="503" spans="2:3" x14ac:dyDescent="0.15">
      <c r="B503" s="52">
        <f ca="1">_xll.qlCalendarAdvance("Null",B502,$A$66,"UnAdjusted")</f>
        <v>81040</v>
      </c>
      <c r="C503" s="60">
        <f ca="1"/>
        <v>0.05</v>
      </c>
    </row>
    <row r="504" spans="2:3" x14ac:dyDescent="0.15">
      <c r="B504" s="52">
        <f ca="1">_xll.qlCalendarAdvance("Null",B503,$A$66,"UnAdjusted")</f>
        <v>81132</v>
      </c>
      <c r="C504" s="60">
        <f ca="1"/>
        <v>0.05</v>
      </c>
    </row>
    <row r="505" spans="2:3" x14ac:dyDescent="0.15">
      <c r="B505" s="52">
        <f ca="1">_xll.qlCalendarAdvance("Null",B504,$A$66,"UnAdjusted")</f>
        <v>81221</v>
      </c>
      <c r="C505" s="60">
        <f ca="1"/>
        <v>5.000000000000001E-2</v>
      </c>
    </row>
    <row r="506" spans="2:3" x14ac:dyDescent="0.15">
      <c r="B506" s="52">
        <f ca="1">_xll.qlCalendarAdvance("Null",B505,$A$66,"UnAdjusted")</f>
        <v>81313</v>
      </c>
      <c r="C506" s="60">
        <f ca="1"/>
        <v>0.05</v>
      </c>
    </row>
    <row r="507" spans="2:3" x14ac:dyDescent="0.15">
      <c r="B507" s="52">
        <f ca="1">_xll.qlCalendarAdvance("Null",B506,$A$66,"UnAdjusted")</f>
        <v>81405</v>
      </c>
      <c r="C507" s="60">
        <f ca="1"/>
        <v>0.05</v>
      </c>
    </row>
    <row r="508" spans="2:3" x14ac:dyDescent="0.15">
      <c r="B508" s="52">
        <f ca="1">_xll.qlCalendarAdvance("Null",B507,$A$66,"UnAdjusted")</f>
        <v>81497</v>
      </c>
      <c r="C508" s="60">
        <f ca="1"/>
        <v>0.05</v>
      </c>
    </row>
    <row r="509" spans="2:3" x14ac:dyDescent="0.15">
      <c r="B509" s="52">
        <f ca="1">_xll.qlCalendarAdvance("Null",B508,$A$66,"UnAdjusted")</f>
        <v>81586</v>
      </c>
      <c r="C509" s="60">
        <f ca="1"/>
        <v>0.05</v>
      </c>
    </row>
    <row r="510" spans="2:3" x14ac:dyDescent="0.15">
      <c r="B510" s="52">
        <f ca="1">_xll.qlCalendarAdvance("Null",B509,$A$66,"UnAdjusted")</f>
        <v>81678</v>
      </c>
      <c r="C510" s="60">
        <f ca="1"/>
        <v>5.000000000000001E-2</v>
      </c>
    </row>
    <row r="511" spans="2:3" x14ac:dyDescent="0.15">
      <c r="B511" s="52">
        <f ca="1">_xll.qlCalendarAdvance("Null",B510,$A$66,"UnAdjusted")</f>
        <v>81770</v>
      </c>
      <c r="C511" s="60">
        <f ca="1"/>
        <v>0.05</v>
      </c>
    </row>
    <row r="512" spans="2:3" x14ac:dyDescent="0.15">
      <c r="B512" s="52">
        <f ca="1">_xll.qlCalendarAdvance("Null",B511,$A$66,"UnAdjusted")</f>
        <v>81862</v>
      </c>
      <c r="C512" s="60">
        <f ca="1"/>
        <v>0.05</v>
      </c>
    </row>
    <row r="513" spans="2:3" x14ac:dyDescent="0.15">
      <c r="B513" s="52">
        <f ca="1">_xll.qlCalendarAdvance("Null",B512,$A$66,"UnAdjusted")</f>
        <v>81952</v>
      </c>
      <c r="C513" s="60">
        <f ca="1"/>
        <v>0.05</v>
      </c>
    </row>
    <row r="514" spans="2:3" x14ac:dyDescent="0.15">
      <c r="B514" s="52">
        <f ca="1">_xll.qlCalendarAdvance("Null",B513,$A$66,"UnAdjusted")</f>
        <v>82044</v>
      </c>
      <c r="C514" s="60">
        <f ca="1"/>
        <v>0.05</v>
      </c>
    </row>
    <row r="515" spans="2:3" x14ac:dyDescent="0.15">
      <c r="B515" s="52">
        <f ca="1">_xll.qlCalendarAdvance("Null",B514,$A$66,"UnAdjusted")</f>
        <v>82136</v>
      </c>
      <c r="C515" s="60">
        <f ca="1"/>
        <v>5.000000000000001E-2</v>
      </c>
    </row>
    <row r="516" spans="2:3" x14ac:dyDescent="0.15">
      <c r="B516" s="52">
        <f ca="1">_xll.qlCalendarAdvance("Null",B515,$A$66,"UnAdjusted")</f>
        <v>82228</v>
      </c>
      <c r="C516" s="60">
        <f ca="1"/>
        <v>0.05</v>
      </c>
    </row>
    <row r="517" spans="2:3" x14ac:dyDescent="0.15">
      <c r="B517" s="52">
        <f ca="1">_xll.qlCalendarAdvance("Null",B516,$A$66,"UnAdjusted")</f>
        <v>82317</v>
      </c>
      <c r="C517" s="60">
        <f ca="1"/>
        <v>0.05</v>
      </c>
    </row>
    <row r="518" spans="2:3" x14ac:dyDescent="0.15">
      <c r="B518" s="52">
        <f ca="1">_xll.qlCalendarAdvance("Null",B517,$A$66,"UnAdjusted")</f>
        <v>82409</v>
      </c>
      <c r="C518" s="60">
        <f ca="1"/>
        <v>0.05</v>
      </c>
    </row>
    <row r="519" spans="2:3" x14ac:dyDescent="0.15">
      <c r="B519" s="52">
        <f ca="1">_xll.qlCalendarAdvance("Null",B518,$A$66,"UnAdjusted")</f>
        <v>82501</v>
      </c>
      <c r="C519" s="60">
        <f ca="1"/>
        <v>0.05</v>
      </c>
    </row>
    <row r="520" spans="2:3" x14ac:dyDescent="0.15">
      <c r="B520" s="52">
        <f ca="1">_xll.qlCalendarAdvance("Null",B519,$A$66,"UnAdjusted")</f>
        <v>82593</v>
      </c>
      <c r="C520" s="60">
        <f ca="1"/>
        <v>5.000000000000001E-2</v>
      </c>
    </row>
    <row r="521" spans="2:3" x14ac:dyDescent="0.15">
      <c r="B521" s="52">
        <f ca="1">_xll.qlCalendarAdvance("Null",B520,$A$66,"UnAdjusted")</f>
        <v>82682</v>
      </c>
      <c r="C521" s="60">
        <f ca="1"/>
        <v>0.05</v>
      </c>
    </row>
    <row r="522" spans="2:3" x14ac:dyDescent="0.15">
      <c r="B522" s="52">
        <f ca="1">_xll.qlCalendarAdvance("Null",B521,$A$66,"UnAdjusted")</f>
        <v>82774</v>
      </c>
      <c r="C522" s="60">
        <f ca="1"/>
        <v>0.05</v>
      </c>
    </row>
    <row r="523" spans="2:3" x14ac:dyDescent="0.15">
      <c r="B523" s="52">
        <f ca="1">_xll.qlCalendarAdvance("Null",B522,$A$66,"UnAdjusted")</f>
        <v>82866</v>
      </c>
      <c r="C523" s="60">
        <f ca="1"/>
        <v>0.05</v>
      </c>
    </row>
    <row r="524" spans="2:3" x14ac:dyDescent="0.15">
      <c r="B524" s="52">
        <f ca="1">_xll.qlCalendarAdvance("Null",B523,$A$66,"UnAdjusted")</f>
        <v>82958</v>
      </c>
      <c r="C524" s="60">
        <f ca="1"/>
        <v>0.05</v>
      </c>
    </row>
    <row r="525" spans="2:3" x14ac:dyDescent="0.15">
      <c r="B525" s="52">
        <f ca="1">_xll.qlCalendarAdvance("Null",B524,$A$66,"UnAdjusted")</f>
        <v>83047</v>
      </c>
      <c r="C525" s="60">
        <f ca="1"/>
        <v>0.05</v>
      </c>
    </row>
    <row r="526" spans="2:3" x14ac:dyDescent="0.15">
      <c r="B526" s="52">
        <f ca="1">_xll.qlCalendarAdvance("Null",B525,$A$66,"UnAdjusted")</f>
        <v>83139</v>
      </c>
      <c r="C526" s="60">
        <f ca="1"/>
        <v>0.05</v>
      </c>
    </row>
    <row r="527" spans="2:3" x14ac:dyDescent="0.15">
      <c r="B527" s="52">
        <f ca="1">_xll.qlCalendarAdvance("Null",B526,$A$66,"UnAdjusted")</f>
        <v>83231</v>
      </c>
      <c r="C527" s="60">
        <f ca="1"/>
        <v>0.05</v>
      </c>
    </row>
    <row r="528" spans="2:3" x14ac:dyDescent="0.15">
      <c r="B528" s="52">
        <f ca="1">_xll.qlCalendarAdvance("Null",B527,$A$66,"UnAdjusted")</f>
        <v>83323</v>
      </c>
      <c r="C528" s="60">
        <f ca="1"/>
        <v>0.05</v>
      </c>
    </row>
    <row r="529" spans="2:3" x14ac:dyDescent="0.15">
      <c r="B529" s="52">
        <f ca="1">_xll.qlCalendarAdvance("Null",B528,$A$66,"UnAdjusted")</f>
        <v>83413</v>
      </c>
      <c r="C529" s="60">
        <f ca="1"/>
        <v>0.05</v>
      </c>
    </row>
    <row r="530" spans="2:3" x14ac:dyDescent="0.15">
      <c r="B530" s="52">
        <f ca="1">_xll.qlCalendarAdvance("Null",B529,$A$66,"UnAdjusted")</f>
        <v>83505</v>
      </c>
      <c r="C530" s="60">
        <f ca="1"/>
        <v>0.05</v>
      </c>
    </row>
    <row r="531" spans="2:3" x14ac:dyDescent="0.15">
      <c r="B531" s="52">
        <f ca="1">_xll.qlCalendarAdvance("Null",B530,$A$66,"UnAdjusted")</f>
        <v>83597</v>
      </c>
      <c r="C531" s="60">
        <f ca="1"/>
        <v>0.05</v>
      </c>
    </row>
    <row r="532" spans="2:3" x14ac:dyDescent="0.15">
      <c r="B532" s="52">
        <f ca="1">_xll.qlCalendarAdvance("Null",B531,$A$66,"UnAdjusted")</f>
        <v>83689</v>
      </c>
      <c r="C532" s="60">
        <f ca="1"/>
        <v>0.05</v>
      </c>
    </row>
    <row r="533" spans="2:3" x14ac:dyDescent="0.15">
      <c r="B533" s="52">
        <f ca="1">_xll.qlCalendarAdvance("Null",B532,$A$66,"UnAdjusted")</f>
        <v>83778</v>
      </c>
      <c r="C533" s="60">
        <f ca="1"/>
        <v>0.05</v>
      </c>
    </row>
    <row r="534" spans="2:3" x14ac:dyDescent="0.15">
      <c r="B534" s="52">
        <f ca="1">_xll.qlCalendarAdvance("Null",B533,$A$66,"UnAdjusted")</f>
        <v>83870</v>
      </c>
      <c r="C534" s="60">
        <f ca="1"/>
        <v>0.05</v>
      </c>
    </row>
    <row r="535" spans="2:3" x14ac:dyDescent="0.15">
      <c r="B535" s="52">
        <f ca="1">_xll.qlCalendarAdvance("Null",B534,$A$66,"UnAdjusted")</f>
        <v>83962</v>
      </c>
      <c r="C535" s="60">
        <f ca="1"/>
        <v>0.05</v>
      </c>
    </row>
    <row r="536" spans="2:3" x14ac:dyDescent="0.15">
      <c r="B536" s="52">
        <f ca="1">_xll.qlCalendarAdvance("Null",B535,$A$66,"UnAdjusted")</f>
        <v>84054</v>
      </c>
      <c r="C536" s="60">
        <f ca="1"/>
        <v>0.05</v>
      </c>
    </row>
    <row r="537" spans="2:3" x14ac:dyDescent="0.15">
      <c r="B537" s="52">
        <f ca="1">_xll.qlCalendarAdvance("Null",B536,$A$66,"UnAdjusted")</f>
        <v>84143</v>
      </c>
      <c r="C537" s="60">
        <f ca="1"/>
        <v>0.05</v>
      </c>
    </row>
    <row r="538" spans="2:3" x14ac:dyDescent="0.15">
      <c r="B538" s="52">
        <f ca="1">_xll.qlCalendarAdvance("Null",B537,$A$66,"UnAdjusted")</f>
        <v>84235</v>
      </c>
      <c r="C538" s="60">
        <f ca="1"/>
        <v>0.05</v>
      </c>
    </row>
    <row r="539" spans="2:3" x14ac:dyDescent="0.15">
      <c r="B539" s="52">
        <f ca="1">_xll.qlCalendarAdvance("Null",B538,$A$66,"UnAdjusted")</f>
        <v>84327</v>
      </c>
      <c r="C539" s="60">
        <f ca="1"/>
        <v>0.05</v>
      </c>
    </row>
    <row r="540" spans="2:3" x14ac:dyDescent="0.15">
      <c r="B540" s="52">
        <f ca="1">_xll.qlCalendarAdvance("Null",B539,$A$66,"UnAdjusted")</f>
        <v>84419</v>
      </c>
      <c r="C540" s="60">
        <f ca="1"/>
        <v>0.05</v>
      </c>
    </row>
    <row r="541" spans="2:3" x14ac:dyDescent="0.15">
      <c r="B541" s="52">
        <f ca="1">_xll.qlCalendarAdvance("Null",B540,$A$66,"UnAdjusted")</f>
        <v>84508</v>
      </c>
      <c r="C541" s="60">
        <f ca="1"/>
        <v>0.05</v>
      </c>
    </row>
    <row r="542" spans="2:3" x14ac:dyDescent="0.15">
      <c r="B542" s="52">
        <f ca="1">_xll.qlCalendarAdvance("Null",B541,$A$66,"UnAdjusted")</f>
        <v>84600</v>
      </c>
      <c r="C542" s="60">
        <f ca="1"/>
        <v>0.05</v>
      </c>
    </row>
    <row r="543" spans="2:3" x14ac:dyDescent="0.15">
      <c r="B543" s="52">
        <f ca="1">_xll.qlCalendarAdvance("Null",B542,$A$66,"UnAdjusted")</f>
        <v>84692</v>
      </c>
      <c r="C543" s="60">
        <f ca="1"/>
        <v>0.05</v>
      </c>
    </row>
    <row r="544" spans="2:3" x14ac:dyDescent="0.15">
      <c r="B544" s="52">
        <f ca="1">_xll.qlCalendarAdvance("Null",B543,$A$66,"UnAdjusted")</f>
        <v>84784</v>
      </c>
      <c r="C544" s="60">
        <f ca="1"/>
        <v>0.05</v>
      </c>
    </row>
    <row r="545" spans="2:3" x14ac:dyDescent="0.15">
      <c r="B545" s="52">
        <f ca="1">_xll.qlCalendarAdvance("Null",B544,$A$66,"UnAdjusted")</f>
        <v>84874</v>
      </c>
      <c r="C545" s="60">
        <f ca="1"/>
        <v>0.05</v>
      </c>
    </row>
    <row r="546" spans="2:3" x14ac:dyDescent="0.15">
      <c r="B546" s="52">
        <f ca="1">_xll.qlCalendarAdvance("Null",B545,$A$66,"UnAdjusted")</f>
        <v>84966</v>
      </c>
      <c r="C546" s="60">
        <f ca="1"/>
        <v>0.05</v>
      </c>
    </row>
    <row r="547" spans="2:3" x14ac:dyDescent="0.15">
      <c r="B547" s="52">
        <f ca="1">_xll.qlCalendarAdvance("Null",B546,$A$66,"UnAdjusted")</f>
        <v>85058</v>
      </c>
      <c r="C547" s="60">
        <f ca="1"/>
        <v>0.05</v>
      </c>
    </row>
    <row r="548" spans="2:3" x14ac:dyDescent="0.15">
      <c r="B548" s="52">
        <f ca="1">_xll.qlCalendarAdvance("Null",B547,$A$66,"UnAdjusted")</f>
        <v>85150</v>
      </c>
      <c r="C548" s="60">
        <f ca="1"/>
        <v>0.05</v>
      </c>
    </row>
    <row r="549" spans="2:3" x14ac:dyDescent="0.15">
      <c r="B549" s="52">
        <f ca="1">_xll.qlCalendarAdvance("Null",B548,$A$66,"UnAdjusted")</f>
        <v>85239</v>
      </c>
      <c r="C549" s="60">
        <f ca="1"/>
        <v>0.05</v>
      </c>
    </row>
    <row r="550" spans="2:3" x14ac:dyDescent="0.15">
      <c r="B550" s="52">
        <f ca="1">_xll.qlCalendarAdvance("Null",B549,$A$66,"UnAdjusted")</f>
        <v>85331</v>
      </c>
      <c r="C550" s="60">
        <f ca="1"/>
        <v>0.05</v>
      </c>
    </row>
    <row r="551" spans="2:3" x14ac:dyDescent="0.15">
      <c r="B551" s="52">
        <f ca="1">_xll.qlCalendarAdvance("Null",B550,$A$66,"UnAdjusted")</f>
        <v>85423</v>
      </c>
      <c r="C551" s="60">
        <f ca="1"/>
        <v>0.05</v>
      </c>
    </row>
    <row r="552" spans="2:3" x14ac:dyDescent="0.15">
      <c r="B552" s="52">
        <f ca="1">_xll.qlCalendarAdvance("Null",B551,$A$66,"UnAdjusted")</f>
        <v>85515</v>
      </c>
      <c r="C552" s="60">
        <f ca="1"/>
        <v>0.05</v>
      </c>
    </row>
    <row r="553" spans="2:3" x14ac:dyDescent="0.15">
      <c r="B553" s="52">
        <f ca="1">_xll.qlCalendarAdvance("Null",B552,$A$66,"UnAdjusted")</f>
        <v>85604</v>
      </c>
      <c r="C553" s="60">
        <f ca="1"/>
        <v>0.05</v>
      </c>
    </row>
    <row r="554" spans="2:3" x14ac:dyDescent="0.15">
      <c r="B554" s="52">
        <f ca="1">_xll.qlCalendarAdvance("Null",B553,$A$66,"UnAdjusted")</f>
        <v>85696</v>
      </c>
      <c r="C554" s="60">
        <f ca="1"/>
        <v>0.05</v>
      </c>
    </row>
    <row r="555" spans="2:3" x14ac:dyDescent="0.15">
      <c r="B555" s="52">
        <f ca="1">_xll.qlCalendarAdvance("Null",B554,$A$66,"UnAdjusted")</f>
        <v>85788</v>
      </c>
      <c r="C555" s="60">
        <f ca="1"/>
        <v>0.05</v>
      </c>
    </row>
    <row r="556" spans="2:3" x14ac:dyDescent="0.15">
      <c r="B556" s="52">
        <f ca="1">_xll.qlCalendarAdvance("Null",B555,$A$66,"UnAdjusted")</f>
        <v>85880</v>
      </c>
      <c r="C556" s="60">
        <f ca="1"/>
        <v>0.05</v>
      </c>
    </row>
    <row r="557" spans="2:3" x14ac:dyDescent="0.15">
      <c r="B557" s="52">
        <f ca="1">_xll.qlCalendarAdvance("Null",B556,$A$66,"UnAdjusted")</f>
        <v>85969</v>
      </c>
      <c r="C557" s="60">
        <f ca="1"/>
        <v>0.05</v>
      </c>
    </row>
    <row r="558" spans="2:3" x14ac:dyDescent="0.15">
      <c r="B558" s="52">
        <f ca="1">_xll.qlCalendarAdvance("Null",B557,$A$66,"UnAdjusted")</f>
        <v>86061</v>
      </c>
      <c r="C558" s="60">
        <f ca="1"/>
        <v>0.05</v>
      </c>
    </row>
    <row r="559" spans="2:3" x14ac:dyDescent="0.15">
      <c r="B559" s="52">
        <f ca="1">_xll.qlCalendarAdvance("Null",B558,$A$66,"UnAdjusted")</f>
        <v>86153</v>
      </c>
      <c r="C559" s="60">
        <f ca="1"/>
        <v>0.05</v>
      </c>
    </row>
    <row r="560" spans="2:3" x14ac:dyDescent="0.15">
      <c r="B560" s="52">
        <f ca="1">_xll.qlCalendarAdvance("Null",B559,$A$66,"UnAdjusted")</f>
        <v>86245</v>
      </c>
      <c r="C560" s="60">
        <f ca="1"/>
        <v>0.05</v>
      </c>
    </row>
    <row r="561" spans="2:3" x14ac:dyDescent="0.15">
      <c r="B561" s="52">
        <f ca="1">_xll.qlCalendarAdvance("Null",B560,$A$66,"UnAdjusted")</f>
        <v>86335</v>
      </c>
      <c r="C561" s="60">
        <f ca="1"/>
        <v>0.05</v>
      </c>
    </row>
    <row r="562" spans="2:3" x14ac:dyDescent="0.15">
      <c r="B562" s="52">
        <f ca="1">_xll.qlCalendarAdvance("Null",B561,$A$66,"UnAdjusted")</f>
        <v>86427</v>
      </c>
      <c r="C562" s="60">
        <f ca="1"/>
        <v>0.05</v>
      </c>
    </row>
    <row r="563" spans="2:3" x14ac:dyDescent="0.15">
      <c r="B563" s="52">
        <f ca="1">_xll.qlCalendarAdvance("Null",B562,$A$66,"UnAdjusted")</f>
        <v>86519</v>
      </c>
      <c r="C563" s="60">
        <f ca="1"/>
        <v>0.05</v>
      </c>
    </row>
    <row r="564" spans="2:3" x14ac:dyDescent="0.15">
      <c r="B564" s="52">
        <f ca="1">_xll.qlCalendarAdvance("Null",B563,$A$66,"UnAdjusted")</f>
        <v>86611</v>
      </c>
      <c r="C564" s="60">
        <f ca="1"/>
        <v>0.05</v>
      </c>
    </row>
    <row r="565" spans="2:3" x14ac:dyDescent="0.15">
      <c r="B565" s="52">
        <f ca="1">_xll.qlCalendarAdvance("Null",B564,$A$66,"UnAdjusted")</f>
        <v>86700</v>
      </c>
      <c r="C565" s="60">
        <f ca="1"/>
        <v>0.05</v>
      </c>
    </row>
    <row r="566" spans="2:3" x14ac:dyDescent="0.15">
      <c r="B566" s="52">
        <f ca="1">_xll.qlCalendarAdvance("Null",B565,$A$66,"UnAdjusted")</f>
        <v>86792</v>
      </c>
      <c r="C566" s="60">
        <f ca="1"/>
        <v>0.05</v>
      </c>
    </row>
    <row r="567" spans="2:3" x14ac:dyDescent="0.15">
      <c r="B567" s="52">
        <f ca="1">_xll.qlCalendarAdvance("Null",B566,$A$66,"UnAdjusted")</f>
        <v>86884</v>
      </c>
      <c r="C567" s="60">
        <f ca="1"/>
        <v>0.05</v>
      </c>
    </row>
    <row r="568" spans="2:3" x14ac:dyDescent="0.15">
      <c r="B568" s="52">
        <f ca="1">_xll.qlCalendarAdvance("Null",B567,$A$66,"UnAdjusted")</f>
        <v>86976</v>
      </c>
      <c r="C568" s="60">
        <f ca="1"/>
        <v>0.05</v>
      </c>
    </row>
    <row r="569" spans="2:3" x14ac:dyDescent="0.15">
      <c r="B569" s="52">
        <f ca="1">_xll.qlCalendarAdvance("Null",B568,$A$66,"UnAdjusted")</f>
        <v>87065</v>
      </c>
      <c r="C569" s="60">
        <f ca="1"/>
        <v>0.05</v>
      </c>
    </row>
    <row r="570" spans="2:3" x14ac:dyDescent="0.15">
      <c r="B570" s="52">
        <f ca="1">_xll.qlCalendarAdvance("Null",B569,$A$66,"UnAdjusted")</f>
        <v>87157</v>
      </c>
      <c r="C570" s="60">
        <f ca="1"/>
        <v>0.05</v>
      </c>
    </row>
    <row r="571" spans="2:3" x14ac:dyDescent="0.15">
      <c r="B571" s="52">
        <f ca="1">_xll.qlCalendarAdvance("Null",B570,$A$66,"UnAdjusted")</f>
        <v>87249</v>
      </c>
      <c r="C571" s="60">
        <f ca="1"/>
        <v>0.05</v>
      </c>
    </row>
    <row r="572" spans="2:3" x14ac:dyDescent="0.15">
      <c r="B572" s="52">
        <f ca="1">_xll.qlCalendarAdvance("Null",B571,$A$66,"UnAdjusted")</f>
        <v>87341</v>
      </c>
      <c r="C572" s="60">
        <f ca="1"/>
        <v>0.05</v>
      </c>
    </row>
    <row r="573" spans="2:3" x14ac:dyDescent="0.15">
      <c r="B573" s="52">
        <f ca="1">_xll.qlCalendarAdvance("Null",B572,$A$66,"UnAdjusted")</f>
        <v>87430</v>
      </c>
      <c r="C573" s="60">
        <f ca="1"/>
        <v>0.05</v>
      </c>
    </row>
    <row r="574" spans="2:3" x14ac:dyDescent="0.15">
      <c r="B574" s="52">
        <f ca="1">_xll.qlCalendarAdvance("Null",B573,$A$66,"UnAdjusted")</f>
        <v>87522</v>
      </c>
      <c r="C574" s="60">
        <f ca="1"/>
        <v>0.05</v>
      </c>
    </row>
    <row r="575" spans="2:3" x14ac:dyDescent="0.15">
      <c r="B575" s="52">
        <f ca="1">_xll.qlCalendarAdvance("Null",B574,$A$66,"UnAdjusted")</f>
        <v>87614</v>
      </c>
      <c r="C575" s="60">
        <f ca="1"/>
        <v>0.05</v>
      </c>
    </row>
    <row r="576" spans="2:3" x14ac:dyDescent="0.15">
      <c r="B576" s="52">
        <f ca="1">_xll.qlCalendarAdvance("Null",B575,$A$66,"UnAdjusted")</f>
        <v>87706</v>
      </c>
      <c r="C576" s="60">
        <f ca="1"/>
        <v>0.05</v>
      </c>
    </row>
    <row r="577" spans="2:3" x14ac:dyDescent="0.15">
      <c r="B577" s="52">
        <f ca="1">_xll.qlCalendarAdvance("Null",B576,$A$66,"UnAdjusted")</f>
        <v>87796</v>
      </c>
      <c r="C577" s="60">
        <f ca="1"/>
        <v>0.05</v>
      </c>
    </row>
    <row r="578" spans="2:3" x14ac:dyDescent="0.15">
      <c r="B578" s="52">
        <f ca="1">_xll.qlCalendarAdvance("Null",B577,$A$66,"UnAdjusted")</f>
        <v>87888</v>
      </c>
      <c r="C578" s="60">
        <f ca="1"/>
        <v>0.05</v>
      </c>
    </row>
    <row r="579" spans="2:3" x14ac:dyDescent="0.15">
      <c r="B579" s="52">
        <f ca="1">_xll.qlCalendarAdvance("Null",B578,$A$66,"UnAdjusted")</f>
        <v>87980</v>
      </c>
      <c r="C579" s="60">
        <f ca="1"/>
        <v>0.05</v>
      </c>
    </row>
    <row r="580" spans="2:3" x14ac:dyDescent="0.15">
      <c r="B580" s="52">
        <f ca="1">_xll.qlCalendarAdvance("Null",B579,$A$66,"UnAdjusted")</f>
        <v>88072</v>
      </c>
      <c r="C580" s="60">
        <f ca="1"/>
        <v>0.05</v>
      </c>
    </row>
    <row r="581" spans="2:3" x14ac:dyDescent="0.15">
      <c r="B581" s="52">
        <f ca="1">_xll.qlCalendarAdvance("Null",B580,$A$66,"UnAdjusted")</f>
        <v>88161</v>
      </c>
      <c r="C581" s="60">
        <f ca="1"/>
        <v>0.05</v>
      </c>
    </row>
    <row r="582" spans="2:3" x14ac:dyDescent="0.15">
      <c r="B582" s="52">
        <f ca="1">_xll.qlCalendarAdvance("Null",B581,$A$66,"UnAdjusted")</f>
        <v>88253</v>
      </c>
      <c r="C582" s="60">
        <f ca="1"/>
        <v>0.05</v>
      </c>
    </row>
    <row r="583" spans="2:3" x14ac:dyDescent="0.15">
      <c r="B583" s="52">
        <f ca="1">_xll.qlCalendarAdvance("Null",B582,$A$66,"UnAdjusted")</f>
        <v>88345</v>
      </c>
      <c r="C583" s="60">
        <f ca="1"/>
        <v>0.05</v>
      </c>
    </row>
    <row r="584" spans="2:3" x14ac:dyDescent="0.15">
      <c r="B584" s="52">
        <f ca="1">_xll.qlCalendarAdvance("Null",B583,$A$66,"UnAdjusted")</f>
        <v>88437</v>
      </c>
      <c r="C584" s="60">
        <f ca="1"/>
        <v>0.05</v>
      </c>
    </row>
    <row r="585" spans="2:3" x14ac:dyDescent="0.15">
      <c r="B585" s="52">
        <f ca="1">_xll.qlCalendarAdvance("Null",B584,$A$66,"UnAdjusted")</f>
        <v>88526</v>
      </c>
      <c r="C585" s="60">
        <f ca="1"/>
        <v>0.05</v>
      </c>
    </row>
    <row r="586" spans="2:3" x14ac:dyDescent="0.15">
      <c r="B586" s="52">
        <f ca="1">_xll.qlCalendarAdvance("Null",B585,$A$66,"UnAdjusted")</f>
        <v>88618</v>
      </c>
      <c r="C586" s="60">
        <f ca="1"/>
        <v>0.05</v>
      </c>
    </row>
    <row r="587" spans="2:3" x14ac:dyDescent="0.15">
      <c r="B587" s="52">
        <f ca="1">_xll.qlCalendarAdvance("Null",B586,$A$66,"UnAdjusted")</f>
        <v>88710</v>
      </c>
      <c r="C587" s="60">
        <f ca="1"/>
        <v>0.05</v>
      </c>
    </row>
    <row r="588" spans="2:3" x14ac:dyDescent="0.15">
      <c r="B588" s="52">
        <f ca="1">_xll.qlCalendarAdvance("Null",B587,$A$66,"UnAdjusted")</f>
        <v>88802</v>
      </c>
      <c r="C588" s="60">
        <f ca="1"/>
        <v>0.05</v>
      </c>
    </row>
    <row r="589" spans="2:3" x14ac:dyDescent="0.15">
      <c r="B589" s="52">
        <f ca="1">_xll.qlCalendarAdvance("Null",B588,$A$66,"UnAdjusted")</f>
        <v>88891</v>
      </c>
      <c r="C589" s="60">
        <f ca="1"/>
        <v>0.05</v>
      </c>
    </row>
    <row r="590" spans="2:3" x14ac:dyDescent="0.15">
      <c r="B590" s="52">
        <f ca="1">_xll.qlCalendarAdvance("Null",B589,$A$66,"UnAdjusted")</f>
        <v>88983</v>
      </c>
      <c r="C590" s="60">
        <f ca="1"/>
        <v>0.05</v>
      </c>
    </row>
    <row r="591" spans="2:3" x14ac:dyDescent="0.15">
      <c r="B591" s="52">
        <f ca="1">_xll.qlCalendarAdvance("Null",B590,$A$66,"UnAdjusted")</f>
        <v>89075</v>
      </c>
      <c r="C591" s="60">
        <f ca="1"/>
        <v>0.05</v>
      </c>
    </row>
    <row r="592" spans="2:3" x14ac:dyDescent="0.15">
      <c r="B592" s="52">
        <f ca="1">_xll.qlCalendarAdvance("Null",B591,$A$66,"UnAdjusted")</f>
        <v>89167</v>
      </c>
      <c r="C592" s="60">
        <f ca="1"/>
        <v>0.05</v>
      </c>
    </row>
    <row r="593" spans="2:3" x14ac:dyDescent="0.15">
      <c r="B593" s="52">
        <f ca="1">_xll.qlCalendarAdvance("Null",B592,$A$66,"UnAdjusted")</f>
        <v>89257</v>
      </c>
      <c r="C593" s="60">
        <f ca="1"/>
        <v>0.05</v>
      </c>
    </row>
    <row r="594" spans="2:3" x14ac:dyDescent="0.15">
      <c r="B594" s="52">
        <f ca="1">_xll.qlCalendarAdvance("Null",B593,$A$66,"UnAdjusted")</f>
        <v>89349</v>
      </c>
      <c r="C594" s="60">
        <f ca="1"/>
        <v>0.05</v>
      </c>
    </row>
    <row r="595" spans="2:3" x14ac:dyDescent="0.15">
      <c r="B595" s="52">
        <f ca="1">_xll.qlCalendarAdvance("Null",B594,$A$66,"UnAdjusted")</f>
        <v>89441</v>
      </c>
      <c r="C595" s="60">
        <f ca="1"/>
        <v>0.05</v>
      </c>
    </row>
    <row r="596" spans="2:3" x14ac:dyDescent="0.15">
      <c r="B596" s="52">
        <f ca="1">_xll.qlCalendarAdvance("Null",B595,$A$66,"UnAdjusted")</f>
        <v>89533</v>
      </c>
      <c r="C596" s="60">
        <f ca="1"/>
        <v>0.05</v>
      </c>
    </row>
    <row r="597" spans="2:3" x14ac:dyDescent="0.15">
      <c r="B597" s="52">
        <f ca="1">_xll.qlCalendarAdvance("Null",B596,$A$66,"UnAdjusted")</f>
        <v>89622</v>
      </c>
      <c r="C597" s="60">
        <f ca="1"/>
        <v>0.05</v>
      </c>
    </row>
    <row r="598" spans="2:3" x14ac:dyDescent="0.15">
      <c r="B598" s="52">
        <f ca="1">_xll.qlCalendarAdvance("Null",B597,$A$66,"UnAdjusted")</f>
        <v>89714</v>
      </c>
      <c r="C598" s="60">
        <f ca="1"/>
        <v>0.05</v>
      </c>
    </row>
    <row r="599" spans="2:3" x14ac:dyDescent="0.15">
      <c r="B599" s="52">
        <f ca="1">_xll.qlCalendarAdvance("Null",B598,$A$66,"UnAdjusted")</f>
        <v>89806</v>
      </c>
      <c r="C599" s="60">
        <f ca="1"/>
        <v>0.05</v>
      </c>
    </row>
    <row r="600" spans="2:3" x14ac:dyDescent="0.15">
      <c r="B600" s="52">
        <f ca="1">_xll.qlCalendarAdvance("Null",B599,$A$66,"UnAdjusted")</f>
        <v>89898</v>
      </c>
      <c r="C600" s="60">
        <f ca="1"/>
        <v>0.05</v>
      </c>
    </row>
    <row r="601" spans="2:3" x14ac:dyDescent="0.15">
      <c r="B601" s="52">
        <f ca="1">_xll.qlCalendarAdvance("Null",B600,$A$66,"UnAdjusted")</f>
        <v>89987</v>
      </c>
      <c r="C601" s="60">
        <f ca="1"/>
        <v>0.05</v>
      </c>
    </row>
    <row r="602" spans="2:3" x14ac:dyDescent="0.15">
      <c r="B602" s="52">
        <f ca="1">_xll.qlCalendarAdvance("Null",B601,$A$66,"UnAdjusted")</f>
        <v>90079</v>
      </c>
      <c r="C602" s="60">
        <f ca="1"/>
        <v>0.05</v>
      </c>
    </row>
    <row r="603" spans="2:3" x14ac:dyDescent="0.15">
      <c r="B603" s="52">
        <f ca="1">_xll.qlCalendarAdvance("Null",B602,$A$66,"UnAdjusted")</f>
        <v>90171</v>
      </c>
      <c r="C603" s="60">
        <f ca="1"/>
        <v>0.05</v>
      </c>
    </row>
    <row r="604" spans="2:3" x14ac:dyDescent="0.15">
      <c r="B604" s="52">
        <f ca="1">_xll.qlCalendarAdvance("Null",B603,$A$66,"UnAdjusted")</f>
        <v>90263</v>
      </c>
      <c r="C604" s="60">
        <f ca="1"/>
        <v>0.05</v>
      </c>
    </row>
    <row r="605" spans="2:3" x14ac:dyDescent="0.15">
      <c r="B605" s="52">
        <f ca="1">_xll.qlCalendarAdvance("Null",B604,$A$66,"UnAdjusted")</f>
        <v>90352</v>
      </c>
      <c r="C605" s="60">
        <f ca="1"/>
        <v>0.05</v>
      </c>
    </row>
    <row r="606" spans="2:3" x14ac:dyDescent="0.15">
      <c r="B606" s="52">
        <f ca="1">_xll.qlCalendarAdvance("Null",B605,$A$66,"UnAdjusted")</f>
        <v>90444</v>
      </c>
      <c r="C606" s="60">
        <f ca="1"/>
        <v>0.05</v>
      </c>
    </row>
    <row r="607" spans="2:3" x14ac:dyDescent="0.15">
      <c r="B607" s="52">
        <f ca="1">_xll.qlCalendarAdvance("Null",B606,$A$66,"UnAdjusted")</f>
        <v>90536</v>
      </c>
      <c r="C607" s="60">
        <f ca="1"/>
        <v>0.05</v>
      </c>
    </row>
    <row r="608" spans="2:3" x14ac:dyDescent="0.15">
      <c r="B608" s="52">
        <f ca="1">_xll.qlCalendarAdvance("Null",B607,$A$66,"UnAdjusted")</f>
        <v>90628</v>
      </c>
      <c r="C608" s="60">
        <f ca="1"/>
        <v>0.05</v>
      </c>
    </row>
    <row r="609" spans="2:3" x14ac:dyDescent="0.15">
      <c r="B609" s="52">
        <f ca="1">_xll.qlCalendarAdvance("Null",B608,$A$66,"UnAdjusted")</f>
        <v>90718</v>
      </c>
      <c r="C609" s="60">
        <f ca="1"/>
        <v>0.05</v>
      </c>
    </row>
    <row r="610" spans="2:3" x14ac:dyDescent="0.15">
      <c r="B610" s="52">
        <f ca="1">_xll.qlCalendarAdvance("Null",B609,$A$66,"UnAdjusted")</f>
        <v>90810</v>
      </c>
      <c r="C610" s="60">
        <f ca="1"/>
        <v>0.05</v>
      </c>
    </row>
    <row r="611" spans="2:3" x14ac:dyDescent="0.15">
      <c r="B611" s="52">
        <f ca="1">_xll.qlCalendarAdvance("Null",B610,$A$66,"UnAdjusted")</f>
        <v>90902</v>
      </c>
      <c r="C611" s="60">
        <f ca="1"/>
        <v>0.05</v>
      </c>
    </row>
    <row r="612" spans="2:3" x14ac:dyDescent="0.15">
      <c r="B612" s="52">
        <f ca="1">_xll.qlCalendarAdvance("Null",B611,$A$66,"UnAdjusted")</f>
        <v>90994</v>
      </c>
      <c r="C612" s="60">
        <f ca="1"/>
        <v>0.05</v>
      </c>
    </row>
    <row r="613" spans="2:3" x14ac:dyDescent="0.15">
      <c r="B613" s="52">
        <f ca="1">_xll.qlCalendarAdvance("Null",B612,$A$66,"UnAdjusted")</f>
        <v>91083</v>
      </c>
      <c r="C613" s="60">
        <f ca="1"/>
        <v>0.05</v>
      </c>
    </row>
    <row r="614" spans="2:3" x14ac:dyDescent="0.15">
      <c r="B614" s="52">
        <f ca="1">_xll.qlCalendarAdvance("Null",B613,$A$66,"UnAdjusted")</f>
        <v>91175</v>
      </c>
      <c r="C614" s="60">
        <f ca="1"/>
        <v>0.05</v>
      </c>
    </row>
    <row r="615" spans="2:3" x14ac:dyDescent="0.15">
      <c r="B615" s="52">
        <f ca="1">_xll.qlCalendarAdvance("Null",B614,$A$66,"UnAdjusted")</f>
        <v>91267</v>
      </c>
      <c r="C615" s="60">
        <f ca="1"/>
        <v>0.05</v>
      </c>
    </row>
    <row r="616" spans="2:3" x14ac:dyDescent="0.15">
      <c r="B616" s="52">
        <f ca="1">_xll.qlCalendarAdvance("Null",B615,$A$66,"UnAdjusted")</f>
        <v>91359</v>
      </c>
      <c r="C616" s="60">
        <f ca="1"/>
        <v>0.05</v>
      </c>
    </row>
    <row r="617" spans="2:3" x14ac:dyDescent="0.15">
      <c r="B617" s="52">
        <f ca="1">_xll.qlCalendarAdvance("Null",B616,$A$66,"UnAdjusted")</f>
        <v>91448</v>
      </c>
      <c r="C617" s="60">
        <f ca="1"/>
        <v>0.05</v>
      </c>
    </row>
    <row r="618" spans="2:3" x14ac:dyDescent="0.15">
      <c r="B618" s="52">
        <f ca="1">_xll.qlCalendarAdvance("Null",B617,$A$66,"UnAdjusted")</f>
        <v>91540</v>
      </c>
      <c r="C618" s="60">
        <f ca="1"/>
        <v>0.05</v>
      </c>
    </row>
    <row r="619" spans="2:3" x14ac:dyDescent="0.15">
      <c r="B619" s="52">
        <f ca="1">_xll.qlCalendarAdvance("Null",B618,$A$66,"UnAdjusted")</f>
        <v>91632</v>
      </c>
      <c r="C619" s="60">
        <f ca="1"/>
        <v>0.05</v>
      </c>
    </row>
    <row r="620" spans="2:3" x14ac:dyDescent="0.15">
      <c r="B620" s="52">
        <f ca="1">_xll.qlCalendarAdvance("Null",B619,$A$66,"UnAdjusted")</f>
        <v>91724</v>
      </c>
      <c r="C620" s="60">
        <f ca="1"/>
        <v>0.05</v>
      </c>
    </row>
    <row r="621" spans="2:3" x14ac:dyDescent="0.15">
      <c r="B621" s="52">
        <f ca="1">_xll.qlCalendarAdvance("Null",B620,$A$66,"UnAdjusted")</f>
        <v>91813</v>
      </c>
      <c r="C621" s="60">
        <f ca="1"/>
        <v>0.05</v>
      </c>
    </row>
    <row r="622" spans="2:3" x14ac:dyDescent="0.15">
      <c r="B622" s="52">
        <f ca="1">_xll.qlCalendarAdvance("Null",B621,$A$66,"UnAdjusted")</f>
        <v>91905</v>
      </c>
      <c r="C622" s="60">
        <f ca="1"/>
        <v>0.05</v>
      </c>
    </row>
    <row r="623" spans="2:3" x14ac:dyDescent="0.15">
      <c r="B623" s="52">
        <f ca="1">_xll.qlCalendarAdvance("Null",B622,$A$66,"UnAdjusted")</f>
        <v>91997</v>
      </c>
      <c r="C623" s="60">
        <f ca="1"/>
        <v>0.05</v>
      </c>
    </row>
    <row r="624" spans="2:3" x14ac:dyDescent="0.15">
      <c r="B624" s="52">
        <f ca="1">_xll.qlCalendarAdvance("Null",B623,$A$66,"UnAdjusted")</f>
        <v>92089</v>
      </c>
      <c r="C624" s="60">
        <f ca="1"/>
        <v>0.05</v>
      </c>
    </row>
    <row r="625" spans="2:3" x14ac:dyDescent="0.15">
      <c r="B625" s="52">
        <f ca="1">_xll.qlCalendarAdvance("Null",B624,$A$66,"UnAdjusted")</f>
        <v>92179</v>
      </c>
      <c r="C625" s="60">
        <f ca="1"/>
        <v>0.05</v>
      </c>
    </row>
    <row r="626" spans="2:3" x14ac:dyDescent="0.15">
      <c r="B626" s="52">
        <f ca="1">_xll.qlCalendarAdvance("Null",B625,$A$66,"UnAdjusted")</f>
        <v>92271</v>
      </c>
      <c r="C626" s="60">
        <f ca="1"/>
        <v>0.05</v>
      </c>
    </row>
    <row r="627" spans="2:3" x14ac:dyDescent="0.15">
      <c r="B627" s="52">
        <f ca="1">_xll.qlCalendarAdvance("Null",B626,$A$66,"UnAdjusted")</f>
        <v>92363</v>
      </c>
      <c r="C627" s="60">
        <f ca="1"/>
        <v>0.05</v>
      </c>
    </row>
    <row r="628" spans="2:3" x14ac:dyDescent="0.15">
      <c r="B628" s="52">
        <f ca="1">_xll.qlCalendarAdvance("Null",B627,$A$66,"UnAdjusted")</f>
        <v>92455</v>
      </c>
      <c r="C628" s="60">
        <f ca="1"/>
        <v>0.05</v>
      </c>
    </row>
    <row r="629" spans="2:3" x14ac:dyDescent="0.15">
      <c r="B629" s="52">
        <f ca="1">_xll.qlCalendarAdvance("Null",B628,$A$66,"UnAdjusted")</f>
        <v>92544</v>
      </c>
      <c r="C629" s="60">
        <f ca="1"/>
        <v>0.05</v>
      </c>
    </row>
    <row r="630" spans="2:3" x14ac:dyDescent="0.15">
      <c r="B630" s="52">
        <f ca="1">_xll.qlCalendarAdvance("Null",B629,$A$66,"UnAdjusted")</f>
        <v>92636</v>
      </c>
      <c r="C630" s="60">
        <f ca="1"/>
        <v>0.05</v>
      </c>
    </row>
    <row r="631" spans="2:3" x14ac:dyDescent="0.15">
      <c r="B631" s="52">
        <f ca="1">_xll.qlCalendarAdvance("Null",B630,$A$66,"UnAdjusted")</f>
        <v>92728</v>
      </c>
      <c r="C631" s="60">
        <f ca="1"/>
        <v>0.05</v>
      </c>
    </row>
    <row r="632" spans="2:3" x14ac:dyDescent="0.15">
      <c r="B632" s="52">
        <f ca="1">_xll.qlCalendarAdvance("Null",B631,$A$66,"UnAdjusted")</f>
        <v>92820</v>
      </c>
      <c r="C632" s="60">
        <f ca="1"/>
        <v>0.05</v>
      </c>
    </row>
    <row r="633" spans="2:3" x14ac:dyDescent="0.15">
      <c r="B633" s="52">
        <f ca="1">_xll.qlCalendarAdvance("Null",B632,$A$66,"UnAdjusted")</f>
        <v>92909</v>
      </c>
      <c r="C633" s="60">
        <f ca="1"/>
        <v>0.05</v>
      </c>
    </row>
    <row r="634" spans="2:3" x14ac:dyDescent="0.15">
      <c r="B634" s="52">
        <f ca="1">_xll.qlCalendarAdvance("Null",B633,$A$66,"UnAdjusted")</f>
        <v>93001</v>
      </c>
      <c r="C634" s="60">
        <f ca="1"/>
        <v>0.05</v>
      </c>
    </row>
    <row r="635" spans="2:3" x14ac:dyDescent="0.15">
      <c r="B635" s="52">
        <f ca="1">_xll.qlCalendarAdvance("Null",B634,$A$66,"UnAdjusted")</f>
        <v>93093</v>
      </c>
      <c r="C635" s="60">
        <f ca="1"/>
        <v>0.05</v>
      </c>
    </row>
    <row r="636" spans="2:3" x14ac:dyDescent="0.15">
      <c r="B636" s="52">
        <f ca="1">_xll.qlCalendarAdvance("Null",B635,$A$66,"UnAdjusted")</f>
        <v>93185</v>
      </c>
      <c r="C636" s="60">
        <f ca="1"/>
        <v>0.05</v>
      </c>
    </row>
    <row r="637" spans="2:3" x14ac:dyDescent="0.15">
      <c r="B637" s="52">
        <f ca="1">_xll.qlCalendarAdvance("Null",B636,$A$66,"UnAdjusted")</f>
        <v>93274</v>
      </c>
      <c r="C637" s="60">
        <f ca="1"/>
        <v>0.05</v>
      </c>
    </row>
    <row r="638" spans="2:3" x14ac:dyDescent="0.15">
      <c r="B638" s="52">
        <f ca="1">_xll.qlCalendarAdvance("Null",B637,$A$66,"UnAdjusted")</f>
        <v>93366</v>
      </c>
      <c r="C638" s="60">
        <f ca="1"/>
        <v>0.05</v>
      </c>
    </row>
    <row r="639" spans="2:3" x14ac:dyDescent="0.15">
      <c r="B639" s="52">
        <f ca="1">_xll.qlCalendarAdvance("Null",B638,$A$66,"UnAdjusted")</f>
        <v>93458</v>
      </c>
      <c r="C639" s="60">
        <f ca="1"/>
        <v>0.05</v>
      </c>
    </row>
    <row r="640" spans="2:3" x14ac:dyDescent="0.15">
      <c r="B640" s="52">
        <f ca="1">_xll.qlCalendarAdvance("Null",B639,$A$66,"UnAdjusted")</f>
        <v>93550</v>
      </c>
      <c r="C640" s="60">
        <f ca="1"/>
        <v>0.05</v>
      </c>
    </row>
    <row r="641" spans="2:3" x14ac:dyDescent="0.15">
      <c r="B641" s="52">
        <f ca="1">_xll.qlCalendarAdvance("Null",B640,$A$66,"UnAdjusted")</f>
        <v>93640</v>
      </c>
      <c r="C641" s="60">
        <f ca="1"/>
        <v>0.05</v>
      </c>
    </row>
    <row r="642" spans="2:3" x14ac:dyDescent="0.15">
      <c r="B642" s="52">
        <f ca="1">_xll.qlCalendarAdvance("Null",B641,$A$66,"UnAdjusted")</f>
        <v>93732</v>
      </c>
      <c r="C642" s="60">
        <f ca="1"/>
        <v>0.05</v>
      </c>
    </row>
    <row r="643" spans="2:3" x14ac:dyDescent="0.15">
      <c r="B643" s="52">
        <f ca="1">_xll.qlCalendarAdvance("Null",B642,$A$66,"UnAdjusted")</f>
        <v>93824</v>
      </c>
      <c r="C643" s="60">
        <f ca="1"/>
        <v>0.05</v>
      </c>
    </row>
    <row r="644" spans="2:3" x14ac:dyDescent="0.15">
      <c r="B644" s="52">
        <f ca="1">_xll.qlCalendarAdvance("Null",B643,$A$66,"UnAdjusted")</f>
        <v>93916</v>
      </c>
      <c r="C644" s="60">
        <f ca="1"/>
        <v>0.05</v>
      </c>
    </row>
    <row r="645" spans="2:3" x14ac:dyDescent="0.15">
      <c r="B645" s="52">
        <f ca="1">_xll.qlCalendarAdvance("Null",B644,$A$66,"UnAdjusted")</f>
        <v>94005</v>
      </c>
      <c r="C645" s="60">
        <f ca="1"/>
        <v>0.05</v>
      </c>
    </row>
    <row r="646" spans="2:3" x14ac:dyDescent="0.15">
      <c r="B646" s="52">
        <f ca="1">_xll.qlCalendarAdvance("Null",B645,$A$66,"UnAdjusted")</f>
        <v>94097</v>
      </c>
      <c r="C646" s="60">
        <f ca="1"/>
        <v>0.05</v>
      </c>
    </row>
    <row r="647" spans="2:3" x14ac:dyDescent="0.15">
      <c r="B647" s="52">
        <f ca="1">_xll.qlCalendarAdvance("Null",B646,$A$66,"UnAdjusted")</f>
        <v>94189</v>
      </c>
      <c r="C647" s="60">
        <f ca="1"/>
        <v>0.05</v>
      </c>
    </row>
    <row r="648" spans="2:3" x14ac:dyDescent="0.15">
      <c r="B648" s="52">
        <f ca="1">_xll.qlCalendarAdvance("Null",B647,$A$66,"UnAdjusted")</f>
        <v>94281</v>
      </c>
      <c r="C648" s="60">
        <f ca="1"/>
        <v>0.05</v>
      </c>
    </row>
    <row r="649" spans="2:3" x14ac:dyDescent="0.15">
      <c r="B649" s="52">
        <f ca="1">_xll.qlCalendarAdvance("Null",B648,$A$66,"UnAdjusted")</f>
        <v>94370</v>
      </c>
      <c r="C649" s="60">
        <f ca="1"/>
        <v>0.05</v>
      </c>
    </row>
    <row r="650" spans="2:3" x14ac:dyDescent="0.15">
      <c r="B650" s="52">
        <f ca="1">_xll.qlCalendarAdvance("Null",B649,$A$66,"UnAdjusted")</f>
        <v>94462</v>
      </c>
      <c r="C650" s="60">
        <f ca="1"/>
        <v>0.05</v>
      </c>
    </row>
    <row r="651" spans="2:3" x14ac:dyDescent="0.15">
      <c r="B651" s="52">
        <f ca="1">_xll.qlCalendarAdvance("Null",B650,$A$66,"UnAdjusted")</f>
        <v>94554</v>
      </c>
      <c r="C651" s="60">
        <f ca="1"/>
        <v>0.05</v>
      </c>
    </row>
    <row r="652" spans="2:3" x14ac:dyDescent="0.15">
      <c r="B652" s="52">
        <f ca="1">_xll.qlCalendarAdvance("Null",B651,$A$66,"UnAdjusted")</f>
        <v>94646</v>
      </c>
      <c r="C652" s="60">
        <f ca="1"/>
        <v>0.05</v>
      </c>
    </row>
    <row r="653" spans="2:3" x14ac:dyDescent="0.15">
      <c r="B653" s="52">
        <f ca="1">_xll.qlCalendarAdvance("Null",B652,$A$66,"UnAdjusted")</f>
        <v>94735</v>
      </c>
      <c r="C653" s="60">
        <f ca="1"/>
        <v>0.05</v>
      </c>
    </row>
    <row r="654" spans="2:3" x14ac:dyDescent="0.15">
      <c r="B654" s="52">
        <f ca="1">_xll.qlCalendarAdvance("Null",B653,$A$66,"UnAdjusted")</f>
        <v>94827</v>
      </c>
      <c r="C654" s="60">
        <f ca="1"/>
        <v>0.05</v>
      </c>
    </row>
    <row r="655" spans="2:3" x14ac:dyDescent="0.15">
      <c r="B655" s="52">
        <f ca="1">_xll.qlCalendarAdvance("Null",B654,$A$66,"UnAdjusted")</f>
        <v>94919</v>
      </c>
      <c r="C655" s="60">
        <f ca="1"/>
        <v>0.05</v>
      </c>
    </row>
    <row r="656" spans="2:3" x14ac:dyDescent="0.15">
      <c r="B656" s="52">
        <f ca="1">_xll.qlCalendarAdvance("Null",B655,$A$66,"UnAdjusted")</f>
        <v>95011</v>
      </c>
      <c r="C656" s="60">
        <f ca="1"/>
        <v>0.05</v>
      </c>
    </row>
    <row r="657" spans="2:3" x14ac:dyDescent="0.15">
      <c r="B657" s="52">
        <f ca="1">_xll.qlCalendarAdvance("Null",B656,$A$66,"UnAdjusted")</f>
        <v>95101</v>
      </c>
      <c r="C657" s="60">
        <f ca="1"/>
        <v>0.05</v>
      </c>
    </row>
    <row r="658" spans="2:3" x14ac:dyDescent="0.15">
      <c r="B658" s="52">
        <f ca="1">_xll.qlCalendarAdvance("Null",B657,$A$66,"UnAdjusted")</f>
        <v>95193</v>
      </c>
      <c r="C658" s="60">
        <f ca="1"/>
        <v>0.05</v>
      </c>
    </row>
    <row r="659" spans="2:3" x14ac:dyDescent="0.15">
      <c r="B659" s="52">
        <f ca="1">_xll.qlCalendarAdvance("Null",B658,$A$66,"UnAdjusted")</f>
        <v>95285</v>
      </c>
      <c r="C659" s="60">
        <f ca="1"/>
        <v>0.05</v>
      </c>
    </row>
    <row r="660" spans="2:3" x14ac:dyDescent="0.15">
      <c r="B660" s="52">
        <f ca="1">_xll.qlCalendarAdvance("Null",B659,$A$66,"UnAdjusted")</f>
        <v>95377</v>
      </c>
      <c r="C660" s="60">
        <f ca="1"/>
        <v>0.05</v>
      </c>
    </row>
    <row r="661" spans="2:3" x14ac:dyDescent="0.15">
      <c r="B661" s="52">
        <f ca="1">_xll.qlCalendarAdvance("Null",B660,$A$66,"UnAdjusted")</f>
        <v>95466</v>
      </c>
      <c r="C661" s="60">
        <f ca="1"/>
        <v>0.05</v>
      </c>
    </row>
    <row r="662" spans="2:3" x14ac:dyDescent="0.15">
      <c r="B662" s="52">
        <f ca="1">_xll.qlCalendarAdvance("Null",B661,$A$66,"UnAdjusted")</f>
        <v>95558</v>
      </c>
      <c r="C662" s="60">
        <f ca="1"/>
        <v>0.05</v>
      </c>
    </row>
    <row r="663" spans="2:3" x14ac:dyDescent="0.15">
      <c r="B663" s="52">
        <f ca="1">_xll.qlCalendarAdvance("Null",B662,$A$66,"UnAdjusted")</f>
        <v>95650</v>
      </c>
      <c r="C663" s="60">
        <f ca="1"/>
        <v>0.05</v>
      </c>
    </row>
    <row r="664" spans="2:3" x14ac:dyDescent="0.15">
      <c r="B664" s="52">
        <f ca="1">_xll.qlCalendarAdvance("Null",B663,$A$66,"UnAdjusted")</f>
        <v>95742</v>
      </c>
      <c r="C664" s="60">
        <f ca="1"/>
        <v>0.05</v>
      </c>
    </row>
    <row r="665" spans="2:3" x14ac:dyDescent="0.15">
      <c r="B665" s="52">
        <f ca="1">_xll.qlCalendarAdvance("Null",B664,$A$66,"UnAdjusted")</f>
        <v>95831</v>
      </c>
      <c r="C665" s="60">
        <f ca="1"/>
        <v>0.05</v>
      </c>
    </row>
    <row r="666" spans="2:3" x14ac:dyDescent="0.15">
      <c r="B666" s="52">
        <f ca="1">_xll.qlCalendarAdvance("Null",B665,$A$66,"UnAdjusted")</f>
        <v>95923</v>
      </c>
      <c r="C666" s="60">
        <f ca="1"/>
        <v>0.05</v>
      </c>
    </row>
    <row r="667" spans="2:3" x14ac:dyDescent="0.15">
      <c r="B667" s="52">
        <f ca="1">_xll.qlCalendarAdvance("Null",B666,$A$66,"UnAdjusted")</f>
        <v>96015</v>
      </c>
      <c r="C667" s="60">
        <f ca="1"/>
        <v>0.05</v>
      </c>
    </row>
    <row r="668" spans="2:3" x14ac:dyDescent="0.15">
      <c r="B668" s="52">
        <f ca="1">_xll.qlCalendarAdvance("Null",B667,$A$66,"UnAdjusted")</f>
        <v>96107</v>
      </c>
      <c r="C668" s="60">
        <f ca="1"/>
        <v>0.05</v>
      </c>
    </row>
    <row r="669" spans="2:3" x14ac:dyDescent="0.15">
      <c r="B669" s="52">
        <f ca="1">_xll.qlCalendarAdvance("Null",B668,$A$66,"UnAdjusted")</f>
        <v>96196</v>
      </c>
      <c r="C669" s="60">
        <f ca="1"/>
        <v>0.05</v>
      </c>
    </row>
    <row r="670" spans="2:3" x14ac:dyDescent="0.15">
      <c r="B670" s="52">
        <f ca="1">_xll.qlCalendarAdvance("Null",B669,$A$66,"UnAdjusted")</f>
        <v>96288</v>
      </c>
      <c r="C670" s="60">
        <f ca="1"/>
        <v>0.05</v>
      </c>
    </row>
    <row r="671" spans="2:3" x14ac:dyDescent="0.15">
      <c r="B671" s="52">
        <f ca="1">_xll.qlCalendarAdvance("Null",B670,$A$66,"UnAdjusted")</f>
        <v>96380</v>
      </c>
      <c r="C671" s="60">
        <f ca="1"/>
        <v>0.05</v>
      </c>
    </row>
    <row r="672" spans="2:3" x14ac:dyDescent="0.15">
      <c r="B672" s="52">
        <f ca="1">_xll.qlCalendarAdvance("Null",B671,$A$66,"UnAdjusted")</f>
        <v>96472</v>
      </c>
      <c r="C672" s="60">
        <f ca="1"/>
        <v>0.05</v>
      </c>
    </row>
    <row r="673" spans="2:3" x14ac:dyDescent="0.15">
      <c r="B673" s="52">
        <f ca="1">_xll.qlCalendarAdvance("Null",B672,$A$66,"UnAdjusted")</f>
        <v>96562</v>
      </c>
      <c r="C673" s="60">
        <f ca="1"/>
        <v>0.05</v>
      </c>
    </row>
    <row r="674" spans="2:3" x14ac:dyDescent="0.15">
      <c r="B674" s="52">
        <f ca="1">_xll.qlCalendarAdvance("Null",B673,$A$66,"UnAdjusted")</f>
        <v>96654</v>
      </c>
      <c r="C674" s="60">
        <f ca="1"/>
        <v>0.05</v>
      </c>
    </row>
    <row r="675" spans="2:3" x14ac:dyDescent="0.15">
      <c r="B675" s="52">
        <f ca="1">_xll.qlCalendarAdvance("Null",B674,$A$66,"UnAdjusted")</f>
        <v>96746</v>
      </c>
      <c r="C675" s="60">
        <f ca="1"/>
        <v>0.05</v>
      </c>
    </row>
    <row r="676" spans="2:3" x14ac:dyDescent="0.15">
      <c r="B676" s="52">
        <f ca="1">_xll.qlCalendarAdvance("Null",B675,$A$66,"UnAdjusted")</f>
        <v>96838</v>
      </c>
      <c r="C676" s="60">
        <f ca="1"/>
        <v>0.05</v>
      </c>
    </row>
    <row r="677" spans="2:3" x14ac:dyDescent="0.15">
      <c r="B677" s="52">
        <f ca="1">_xll.qlCalendarAdvance("Null",B676,$A$66,"UnAdjusted")</f>
        <v>96927</v>
      </c>
      <c r="C677" s="60">
        <f ca="1"/>
        <v>0.05</v>
      </c>
    </row>
    <row r="678" spans="2:3" x14ac:dyDescent="0.15">
      <c r="B678" s="52">
        <f ca="1">_xll.qlCalendarAdvance("Null",B677,$A$66,"UnAdjusted")</f>
        <v>97019</v>
      </c>
      <c r="C678" s="60">
        <f ca="1"/>
        <v>0.05</v>
      </c>
    </row>
    <row r="679" spans="2:3" x14ac:dyDescent="0.15">
      <c r="B679" s="52">
        <f ca="1">_xll.qlCalendarAdvance("Null",B678,$A$66,"UnAdjusted")</f>
        <v>97111</v>
      </c>
      <c r="C679" s="60">
        <f ca="1"/>
        <v>0.05</v>
      </c>
    </row>
    <row r="680" spans="2:3" x14ac:dyDescent="0.15">
      <c r="B680" s="52">
        <f ca="1">_xll.qlCalendarAdvance("Null",B679,$A$66,"UnAdjusted")</f>
        <v>97203</v>
      </c>
      <c r="C680" s="60">
        <f ca="1"/>
        <v>0.05</v>
      </c>
    </row>
    <row r="681" spans="2:3" x14ac:dyDescent="0.15">
      <c r="B681" s="52">
        <f ca="1">_xll.qlCalendarAdvance("Null",B680,$A$66,"UnAdjusted")</f>
        <v>97292</v>
      </c>
      <c r="C681" s="60">
        <f ca="1"/>
        <v>0.05</v>
      </c>
    </row>
    <row r="682" spans="2:3" x14ac:dyDescent="0.15">
      <c r="B682" s="52">
        <f ca="1">_xll.qlCalendarAdvance("Null",B681,$A$66,"UnAdjusted")</f>
        <v>97384</v>
      </c>
      <c r="C682" s="60">
        <f ca="1"/>
        <v>0.05</v>
      </c>
    </row>
    <row r="683" spans="2:3" x14ac:dyDescent="0.15">
      <c r="B683" s="52">
        <f ca="1">_xll.qlCalendarAdvance("Null",B682,$A$66,"UnAdjusted")</f>
        <v>97476</v>
      </c>
      <c r="C683" s="60">
        <f ca="1"/>
        <v>0.05</v>
      </c>
    </row>
    <row r="684" spans="2:3" x14ac:dyDescent="0.15">
      <c r="B684" s="52">
        <f ca="1">_xll.qlCalendarAdvance("Null",B683,$A$66,"UnAdjusted")</f>
        <v>97568</v>
      </c>
      <c r="C684" s="60">
        <f ca="1"/>
        <v>0.05</v>
      </c>
    </row>
    <row r="685" spans="2:3" x14ac:dyDescent="0.15">
      <c r="B685" s="52">
        <f ca="1">_xll.qlCalendarAdvance("Null",B684,$A$66,"UnAdjusted")</f>
        <v>97657</v>
      </c>
      <c r="C685" s="60">
        <f ca="1"/>
        <v>0.05</v>
      </c>
    </row>
    <row r="686" spans="2:3" x14ac:dyDescent="0.15">
      <c r="B686" s="52">
        <f ca="1">_xll.qlCalendarAdvance("Null",B685,$A$66,"UnAdjusted")</f>
        <v>97749</v>
      </c>
      <c r="C686" s="60">
        <f ca="1"/>
        <v>0.05</v>
      </c>
    </row>
    <row r="687" spans="2:3" x14ac:dyDescent="0.15">
      <c r="B687" s="52">
        <f ca="1">_xll.qlCalendarAdvance("Null",B686,$A$66,"UnAdjusted")</f>
        <v>97841</v>
      </c>
      <c r="C687" s="60">
        <f ca="1"/>
        <v>0.05</v>
      </c>
    </row>
    <row r="688" spans="2:3" x14ac:dyDescent="0.15">
      <c r="B688" s="52">
        <f ca="1">_xll.qlCalendarAdvance("Null",B687,$A$66,"UnAdjusted")</f>
        <v>97933</v>
      </c>
      <c r="C688" s="60">
        <f ca="1"/>
        <v>0.05</v>
      </c>
    </row>
    <row r="689" spans="2:3" x14ac:dyDescent="0.15">
      <c r="B689" s="52">
        <f ca="1">_xll.qlCalendarAdvance("Null",B688,$A$66,"UnAdjusted")</f>
        <v>98023</v>
      </c>
      <c r="C689" s="60">
        <f ca="1"/>
        <v>0.05</v>
      </c>
    </row>
    <row r="690" spans="2:3" x14ac:dyDescent="0.15">
      <c r="B690" s="52">
        <f ca="1">_xll.qlCalendarAdvance("Null",B689,$A$66,"UnAdjusted")</f>
        <v>98115</v>
      </c>
      <c r="C690" s="60">
        <f ca="1"/>
        <v>0.05</v>
      </c>
    </row>
    <row r="691" spans="2:3" x14ac:dyDescent="0.15">
      <c r="B691" s="52">
        <f ca="1">_xll.qlCalendarAdvance("Null",B690,$A$66,"UnAdjusted")</f>
        <v>98207</v>
      </c>
      <c r="C691" s="60">
        <f ca="1"/>
        <v>0.05</v>
      </c>
    </row>
    <row r="692" spans="2:3" x14ac:dyDescent="0.15">
      <c r="B692" s="52">
        <f ca="1">_xll.qlCalendarAdvance("Null",B691,$A$66,"UnAdjusted")</f>
        <v>98299</v>
      </c>
      <c r="C692" s="60">
        <f ca="1"/>
        <v>0.05</v>
      </c>
    </row>
    <row r="693" spans="2:3" x14ac:dyDescent="0.15">
      <c r="B693" s="52">
        <f ca="1">_xll.qlCalendarAdvance("Null",B692,$A$66,"UnAdjusted")</f>
        <v>98388</v>
      </c>
      <c r="C693" s="60">
        <f ca="1"/>
        <v>0.05</v>
      </c>
    </row>
    <row r="694" spans="2:3" x14ac:dyDescent="0.15">
      <c r="B694" s="52">
        <f ca="1">_xll.qlCalendarAdvance("Null",B693,$A$66,"UnAdjusted")</f>
        <v>98480</v>
      </c>
      <c r="C694" s="60">
        <f ca="1"/>
        <v>0.05</v>
      </c>
    </row>
    <row r="695" spans="2:3" x14ac:dyDescent="0.15">
      <c r="B695" s="52">
        <f ca="1">_xll.qlCalendarAdvance("Null",B694,$A$66,"UnAdjusted")</f>
        <v>98572</v>
      </c>
      <c r="C695" s="60">
        <f ca="1"/>
        <v>0.05</v>
      </c>
    </row>
    <row r="696" spans="2:3" x14ac:dyDescent="0.15">
      <c r="B696" s="52">
        <f ca="1">_xll.qlCalendarAdvance("Null",B695,$A$66,"UnAdjusted")</f>
        <v>98664</v>
      </c>
      <c r="C696" s="60">
        <f ca="1"/>
        <v>0.05</v>
      </c>
    </row>
    <row r="697" spans="2:3" x14ac:dyDescent="0.15">
      <c r="B697" s="52">
        <f ca="1">_xll.qlCalendarAdvance("Null",B696,$A$66,"UnAdjusted")</f>
        <v>98753</v>
      </c>
      <c r="C697" s="60">
        <f ca="1"/>
        <v>0.05</v>
      </c>
    </row>
    <row r="698" spans="2:3" x14ac:dyDescent="0.15">
      <c r="B698" s="52">
        <f ca="1">_xll.qlCalendarAdvance("Null",B697,$A$66,"UnAdjusted")</f>
        <v>98845</v>
      </c>
      <c r="C698" s="60">
        <f ca="1"/>
        <v>0.05</v>
      </c>
    </row>
    <row r="699" spans="2:3" x14ac:dyDescent="0.15">
      <c r="B699" s="52">
        <f ca="1">_xll.qlCalendarAdvance("Null",B698,$A$66,"UnAdjusted")</f>
        <v>98937</v>
      </c>
      <c r="C699" s="60">
        <f ca="1"/>
        <v>0.05</v>
      </c>
    </row>
    <row r="700" spans="2:3" x14ac:dyDescent="0.15">
      <c r="B700" s="52">
        <f ca="1">_xll.qlCalendarAdvance("Null",B699,$A$66,"UnAdjusted")</f>
        <v>99029</v>
      </c>
      <c r="C700" s="60">
        <f ca="1"/>
        <v>0.05</v>
      </c>
    </row>
    <row r="701" spans="2:3" x14ac:dyDescent="0.15">
      <c r="B701" s="52">
        <f ca="1">_xll.qlCalendarAdvance("Null",B700,$A$66,"UnAdjusted")</f>
        <v>99118</v>
      </c>
      <c r="C701" s="60">
        <f ca="1"/>
        <v>0.05</v>
      </c>
    </row>
    <row r="702" spans="2:3" x14ac:dyDescent="0.15">
      <c r="B702" s="52">
        <f ca="1">_xll.qlCalendarAdvance("Null",B701,$A$66,"UnAdjusted")</f>
        <v>99210</v>
      </c>
      <c r="C702" s="60">
        <f ca="1"/>
        <v>0.05</v>
      </c>
    </row>
    <row r="703" spans="2:3" x14ac:dyDescent="0.15">
      <c r="B703" s="52">
        <f ca="1">_xll.qlCalendarAdvance("Null",B702,$A$66,"UnAdjusted")</f>
        <v>99302</v>
      </c>
      <c r="C703" s="60">
        <f ca="1"/>
        <v>0.05</v>
      </c>
    </row>
    <row r="704" spans="2:3" x14ac:dyDescent="0.15">
      <c r="B704" s="52">
        <f ca="1">_xll.qlCalendarAdvance("Null",B703,$A$66,"UnAdjusted")</f>
        <v>99394</v>
      </c>
      <c r="C704" s="60">
        <f ca="1"/>
        <v>0.05</v>
      </c>
    </row>
    <row r="705" spans="2:3" x14ac:dyDescent="0.15">
      <c r="B705" s="52">
        <f ca="1">_xll.qlCalendarAdvance("Null",B704,$A$66,"UnAdjusted")</f>
        <v>99484</v>
      </c>
      <c r="C705" s="60">
        <f ca="1"/>
        <v>0.05</v>
      </c>
    </row>
    <row r="706" spans="2:3" x14ac:dyDescent="0.15">
      <c r="B706" s="52">
        <f ca="1">_xll.qlCalendarAdvance("Null",B705,$A$66,"UnAdjusted")</f>
        <v>99576</v>
      </c>
      <c r="C706" s="60">
        <f ca="1"/>
        <v>0.05</v>
      </c>
    </row>
    <row r="707" spans="2:3" x14ac:dyDescent="0.15">
      <c r="B707" s="52">
        <f ca="1">_xll.qlCalendarAdvance("Null",B706,$A$66,"UnAdjusted")</f>
        <v>99668</v>
      </c>
      <c r="C707" s="60">
        <f ca="1"/>
        <v>5.000000000000001E-2</v>
      </c>
    </row>
    <row r="708" spans="2:3" x14ac:dyDescent="0.15">
      <c r="B708" s="52">
        <f ca="1">_xll.qlCalendarAdvance("Null",B707,$A$66,"UnAdjusted")</f>
        <v>99760</v>
      </c>
      <c r="C708" s="60">
        <f ca="1"/>
        <v>0.05</v>
      </c>
    </row>
    <row r="709" spans="2:3" x14ac:dyDescent="0.15">
      <c r="B709" s="52">
        <f ca="1">_xll.qlCalendarAdvance("Null",B708,$A$66,"UnAdjusted")</f>
        <v>99849</v>
      </c>
      <c r="C709" s="60">
        <f ca="1"/>
        <v>4.9999999999999996E-2</v>
      </c>
    </row>
    <row r="710" spans="2:3" x14ac:dyDescent="0.15">
      <c r="B710" s="52">
        <f ca="1">_xll.qlCalendarAdvance("Null",B709,$A$66,"UnAdjusted")</f>
        <v>99941</v>
      </c>
      <c r="C710" s="60">
        <f ca="1"/>
        <v>0.05</v>
      </c>
    </row>
    <row r="711" spans="2:3" x14ac:dyDescent="0.15">
      <c r="B711" s="52">
        <f ca="1">_xll.qlCalendarAdvance("Null",B710,$A$66,"UnAdjusted")</f>
        <v>100033</v>
      </c>
      <c r="C711" s="60">
        <f ca="1"/>
        <v>0.05</v>
      </c>
    </row>
    <row r="712" spans="2:3" x14ac:dyDescent="0.15">
      <c r="B712" s="52">
        <f ca="1">_xll.qlCalendarAdvance("Null",B711,$A$66,"UnAdjusted")</f>
        <v>100125</v>
      </c>
      <c r="C712" s="60">
        <f ca="1"/>
        <v>5.000000000000001E-2</v>
      </c>
    </row>
    <row r="713" spans="2:3" x14ac:dyDescent="0.15">
      <c r="B713" s="52">
        <f ca="1">_xll.qlCalendarAdvance("Null",B712,$A$66,"UnAdjusted")</f>
        <v>100214</v>
      </c>
      <c r="C713" s="60">
        <f ca="1"/>
        <v>0.05</v>
      </c>
    </row>
    <row r="714" spans="2:3" x14ac:dyDescent="0.15">
      <c r="B714" s="52">
        <f ca="1">_xll.qlCalendarAdvance("Null",B713,$A$66,"UnAdjusted")</f>
        <v>100306</v>
      </c>
      <c r="C714" s="60">
        <f ca="1"/>
        <v>4.9999999999999996E-2</v>
      </c>
    </row>
    <row r="715" spans="2:3" x14ac:dyDescent="0.15">
      <c r="B715" s="52">
        <f ca="1">_xll.qlCalendarAdvance("Null",B714,$A$66,"UnAdjusted")</f>
        <v>100398</v>
      </c>
      <c r="C715" s="60">
        <f ca="1"/>
        <v>0.05</v>
      </c>
    </row>
    <row r="716" spans="2:3" x14ac:dyDescent="0.15">
      <c r="B716" s="52">
        <f ca="1">_xll.qlCalendarAdvance("Null",B715,$A$66,"UnAdjusted")</f>
        <v>100490</v>
      </c>
      <c r="C716" s="60">
        <f ca="1"/>
        <v>0.05</v>
      </c>
    </row>
    <row r="717" spans="2:3" x14ac:dyDescent="0.15">
      <c r="B717" s="52">
        <f ca="1">_xll.qlCalendarAdvance("Null",B716,$A$66,"UnAdjusted")</f>
        <v>100579</v>
      </c>
      <c r="C717" s="60">
        <f ca="1"/>
        <v>5.000000000000001E-2</v>
      </c>
    </row>
    <row r="718" spans="2:3" x14ac:dyDescent="0.15">
      <c r="B718" s="52">
        <f ca="1">_xll.qlCalendarAdvance("Null",B717,$A$66,"UnAdjusted")</f>
        <v>100671</v>
      </c>
      <c r="C718" s="60">
        <f ca="1"/>
        <v>0.05</v>
      </c>
    </row>
    <row r="719" spans="2:3" x14ac:dyDescent="0.15">
      <c r="B719" s="52">
        <f ca="1">_xll.qlCalendarAdvance("Null",B718,$A$66,"UnAdjusted")</f>
        <v>100763</v>
      </c>
      <c r="C719" s="60">
        <f ca="1"/>
        <v>4.9999999999999996E-2</v>
      </c>
    </row>
    <row r="720" spans="2:3" x14ac:dyDescent="0.15">
      <c r="B720" s="52">
        <f ca="1">_xll.qlCalendarAdvance("Null",B719,$A$66,"UnAdjusted")</f>
        <v>100855</v>
      </c>
      <c r="C720" s="60">
        <f ca="1"/>
        <v>0.05</v>
      </c>
    </row>
    <row r="721" spans="2:3" x14ac:dyDescent="0.15">
      <c r="B721" s="52">
        <f ca="1">_xll.qlCalendarAdvance("Null",B720,$A$66,"UnAdjusted")</f>
        <v>100945</v>
      </c>
      <c r="C721" s="60">
        <f ca="1"/>
        <v>0.05</v>
      </c>
    </row>
    <row r="722" spans="2:3" x14ac:dyDescent="0.15">
      <c r="B722" s="52">
        <f ca="1">_xll.qlCalendarAdvance("Null",B721,$A$66,"UnAdjusted")</f>
        <v>101037</v>
      </c>
      <c r="C722" s="60">
        <f ca="1"/>
        <v>5.000000000000001E-2</v>
      </c>
    </row>
    <row r="723" spans="2:3" x14ac:dyDescent="0.15">
      <c r="B723" s="52">
        <f ca="1">_xll.qlCalendarAdvance("Null",B722,$A$66,"UnAdjusted")</f>
        <v>101129</v>
      </c>
      <c r="C723" s="60">
        <f ca="1"/>
        <v>0.05</v>
      </c>
    </row>
    <row r="724" spans="2:3" x14ac:dyDescent="0.15">
      <c r="B724" s="52">
        <f ca="1">_xll.qlCalendarAdvance("Null",B723,$A$66,"UnAdjusted")</f>
        <v>101221</v>
      </c>
      <c r="C724" s="60">
        <f ca="1"/>
        <v>4.9999999999999996E-2</v>
      </c>
    </row>
    <row r="725" spans="2:3" x14ac:dyDescent="0.15">
      <c r="B725" s="52">
        <f ca="1">_xll.qlCalendarAdvance("Null",B724,$A$66,"UnAdjusted")</f>
        <v>101310</v>
      </c>
      <c r="C725" s="60">
        <f ca="1"/>
        <v>0.05</v>
      </c>
    </row>
    <row r="726" spans="2:3" x14ac:dyDescent="0.15">
      <c r="B726" s="52">
        <f ca="1">_xll.qlCalendarAdvance("Null",B725,$A$66,"UnAdjusted")</f>
        <v>101402</v>
      </c>
      <c r="C726" s="60">
        <f ca="1"/>
        <v>0.05</v>
      </c>
    </row>
    <row r="727" spans="2:3" x14ac:dyDescent="0.15">
      <c r="B727" s="52">
        <f ca="1">_xll.qlCalendarAdvance("Null",B726,$A$66,"UnAdjusted")</f>
        <v>101494</v>
      </c>
      <c r="C727" s="60">
        <f ca="1"/>
        <v>5.000000000000001E-2</v>
      </c>
    </row>
    <row r="728" spans="2:3" x14ac:dyDescent="0.15">
      <c r="B728" s="52">
        <f ca="1">_xll.qlCalendarAdvance("Null",B727,$A$66,"UnAdjusted")</f>
        <v>101586</v>
      </c>
      <c r="C728" s="60">
        <f ca="1"/>
        <v>0.05</v>
      </c>
    </row>
    <row r="729" spans="2:3" x14ac:dyDescent="0.15">
      <c r="B729" s="52">
        <f ca="1">_xll.qlCalendarAdvance("Null",B728,$A$66,"UnAdjusted")</f>
        <v>101675</v>
      </c>
      <c r="C729" s="60">
        <f ca="1"/>
        <v>4.9999999999999996E-2</v>
      </c>
    </row>
    <row r="730" spans="2:3" x14ac:dyDescent="0.15">
      <c r="B730" s="52">
        <f ca="1">_xll.qlCalendarAdvance("Null",B729,$A$66,"UnAdjusted")</f>
        <v>101767</v>
      </c>
      <c r="C730" s="60">
        <f ca="1"/>
        <v>0.05</v>
      </c>
    </row>
    <row r="731" spans="2:3" x14ac:dyDescent="0.15">
      <c r="B731" s="52">
        <f ca="1">_xll.qlCalendarAdvance("Null",B730,$A$66,"UnAdjusted")</f>
        <v>101859</v>
      </c>
      <c r="C731" s="60">
        <f ca="1"/>
        <v>0.05</v>
      </c>
    </row>
    <row r="732" spans="2:3" x14ac:dyDescent="0.15">
      <c r="B732" s="52">
        <f ca="1">_xll.qlCalendarAdvance("Null",B731,$A$66,"UnAdjusted")</f>
        <v>101951</v>
      </c>
      <c r="C732" s="60">
        <f ca="1"/>
        <v>5.000000000000001E-2</v>
      </c>
    </row>
    <row r="733" spans="2:3" x14ac:dyDescent="0.15">
      <c r="B733" s="52">
        <f ca="1">_xll.qlCalendarAdvance("Null",B732,$A$66,"UnAdjusted")</f>
        <v>102040</v>
      </c>
      <c r="C733" s="60">
        <f ca="1"/>
        <v>0.05</v>
      </c>
    </row>
    <row r="734" spans="2:3" x14ac:dyDescent="0.15">
      <c r="B734" s="52">
        <f ca="1">_xll.qlCalendarAdvance("Null",B733,$A$66,"UnAdjusted")</f>
        <v>102132</v>
      </c>
      <c r="C734" s="60">
        <f ca="1"/>
        <v>4.9999999999999996E-2</v>
      </c>
    </row>
    <row r="735" spans="2:3" x14ac:dyDescent="0.15">
      <c r="B735" s="52">
        <f ca="1">_xll.qlCalendarAdvance("Null",B734,$A$66,"UnAdjusted")</f>
        <v>102224</v>
      </c>
      <c r="C735" s="60">
        <f ca="1"/>
        <v>0.05</v>
      </c>
    </row>
    <row r="736" spans="2:3" x14ac:dyDescent="0.15">
      <c r="B736" s="52">
        <f ca="1">_xll.qlCalendarAdvance("Null",B735,$A$66,"UnAdjusted")</f>
        <v>102316</v>
      </c>
      <c r="C736" s="60">
        <f ca="1"/>
        <v>0.05</v>
      </c>
    </row>
    <row r="737" spans="2:3" x14ac:dyDescent="0.15">
      <c r="B737" s="52">
        <f ca="1">_xll.qlCalendarAdvance("Null",B736,$A$66,"UnAdjusted")</f>
        <v>102406</v>
      </c>
      <c r="C737" s="60">
        <f ca="1"/>
        <v>5.000000000000001E-2</v>
      </c>
    </row>
    <row r="738" spans="2:3" x14ac:dyDescent="0.15">
      <c r="B738" s="52">
        <f ca="1">_xll.qlCalendarAdvance("Null",B737,$A$66,"UnAdjusted")</f>
        <v>102498</v>
      </c>
      <c r="C738" s="60">
        <f ca="1"/>
        <v>0.05</v>
      </c>
    </row>
    <row r="739" spans="2:3" x14ac:dyDescent="0.15">
      <c r="B739" s="52">
        <f ca="1">_xll.qlCalendarAdvance("Null",B738,$A$66,"UnAdjusted")</f>
        <v>102590</v>
      </c>
      <c r="C739" s="60">
        <f ca="1"/>
        <v>4.9999999999999996E-2</v>
      </c>
    </row>
    <row r="740" spans="2:3" x14ac:dyDescent="0.15">
      <c r="B740" s="52">
        <f ca="1">_xll.qlCalendarAdvance("Null",B739,$A$66,"UnAdjusted")</f>
        <v>102682</v>
      </c>
      <c r="C740" s="60">
        <f ca="1"/>
        <v>0.05</v>
      </c>
    </row>
    <row r="741" spans="2:3" x14ac:dyDescent="0.15">
      <c r="B741" s="52">
        <f ca="1">_xll.qlCalendarAdvance("Null",B740,$A$66,"UnAdjusted")</f>
        <v>102771</v>
      </c>
      <c r="C741" s="60">
        <f ca="1"/>
        <v>0.05</v>
      </c>
    </row>
    <row r="742" spans="2:3" x14ac:dyDescent="0.15">
      <c r="B742" s="52">
        <f ca="1">_xll.qlCalendarAdvance("Null",B741,$A$66,"UnAdjusted")</f>
        <v>102863</v>
      </c>
      <c r="C742" s="60">
        <f ca="1"/>
        <v>5.000000000000001E-2</v>
      </c>
    </row>
    <row r="743" spans="2:3" x14ac:dyDescent="0.15">
      <c r="B743" s="52">
        <f ca="1">_xll.qlCalendarAdvance("Null",B742,$A$66,"UnAdjusted")</f>
        <v>102955</v>
      </c>
      <c r="C743" s="60">
        <f ca="1"/>
        <v>0.05</v>
      </c>
    </row>
    <row r="744" spans="2:3" x14ac:dyDescent="0.15">
      <c r="B744" s="52">
        <f ca="1">_xll.qlCalendarAdvance("Null",B743,$A$66,"UnAdjusted")</f>
        <v>103047</v>
      </c>
      <c r="C744" s="60">
        <f ca="1"/>
        <v>4.9999999999999996E-2</v>
      </c>
    </row>
    <row r="745" spans="2:3" x14ac:dyDescent="0.15">
      <c r="B745" s="52">
        <f ca="1">_xll.qlCalendarAdvance("Null",B744,$A$66,"UnAdjusted")</f>
        <v>103136</v>
      </c>
      <c r="C745" s="60">
        <f ca="1"/>
        <v>0.05</v>
      </c>
    </row>
    <row r="746" spans="2:3" x14ac:dyDescent="0.15">
      <c r="B746" s="52">
        <f ca="1">_xll.qlCalendarAdvance("Null",B745,$A$66,"UnAdjusted")</f>
        <v>103228</v>
      </c>
      <c r="C746" s="60">
        <f ca="1"/>
        <v>0.05</v>
      </c>
    </row>
    <row r="747" spans="2:3" x14ac:dyDescent="0.15">
      <c r="B747" s="52">
        <f ca="1">_xll.qlCalendarAdvance("Null",B746,$A$66,"UnAdjusted")</f>
        <v>103320</v>
      </c>
      <c r="C747" s="60">
        <f ca="1"/>
        <v>5.000000000000001E-2</v>
      </c>
    </row>
    <row r="748" spans="2:3" x14ac:dyDescent="0.15">
      <c r="B748" s="52">
        <f ca="1">_xll.qlCalendarAdvance("Null",B747,$A$66,"UnAdjusted")</f>
        <v>103412</v>
      </c>
      <c r="C748" s="60">
        <f ca="1"/>
        <v>0.05</v>
      </c>
    </row>
    <row r="749" spans="2:3" x14ac:dyDescent="0.15">
      <c r="B749" s="52">
        <f ca="1">_xll.qlCalendarAdvance("Null",B748,$A$66,"UnAdjusted")</f>
        <v>103501</v>
      </c>
      <c r="C749" s="60">
        <f ca="1"/>
        <v>4.9999999999999996E-2</v>
      </c>
    </row>
    <row r="750" spans="2:3" x14ac:dyDescent="0.15">
      <c r="B750" s="52">
        <f ca="1">_xll.qlCalendarAdvance("Null",B749,$A$66,"UnAdjusted")</f>
        <v>103593</v>
      </c>
      <c r="C750" s="60">
        <f ca="1"/>
        <v>0.05</v>
      </c>
    </row>
    <row r="751" spans="2:3" x14ac:dyDescent="0.15">
      <c r="B751" s="52">
        <f ca="1">_xll.qlCalendarAdvance("Null",B750,$A$66,"UnAdjusted")</f>
        <v>103685</v>
      </c>
      <c r="C751" s="60">
        <f ca="1"/>
        <v>0.05</v>
      </c>
    </row>
    <row r="752" spans="2:3" x14ac:dyDescent="0.15">
      <c r="B752" s="52">
        <f ca="1">_xll.qlCalendarAdvance("Null",B751,$A$66,"UnAdjusted")</f>
        <v>103777</v>
      </c>
      <c r="C752" s="60">
        <f ca="1"/>
        <v>0.05</v>
      </c>
    </row>
    <row r="753" spans="2:3" x14ac:dyDescent="0.15">
      <c r="B753" s="52">
        <f ca="1">_xll.qlCalendarAdvance("Null",B752,$A$66,"UnAdjusted")</f>
        <v>103867</v>
      </c>
      <c r="C753" s="60">
        <f ca="1"/>
        <v>0.05</v>
      </c>
    </row>
    <row r="754" spans="2:3" x14ac:dyDescent="0.15">
      <c r="B754" s="52">
        <f ca="1">_xll.qlCalendarAdvance("Null",B753,$A$66,"UnAdjusted")</f>
        <v>103959</v>
      </c>
      <c r="C754" s="60">
        <f ca="1"/>
        <v>4.9999999999999996E-2</v>
      </c>
    </row>
    <row r="755" spans="2:3" x14ac:dyDescent="0.15">
      <c r="B755" s="52">
        <f ca="1">_xll.qlCalendarAdvance("Null",B754,$A$66,"UnAdjusted")</f>
        <v>104051</v>
      </c>
      <c r="C755" s="60">
        <f ca="1"/>
        <v>0.05</v>
      </c>
    </row>
    <row r="756" spans="2:3" x14ac:dyDescent="0.15">
      <c r="B756" s="52">
        <f ca="1">_xll.qlCalendarAdvance("Null",B755,$A$66,"UnAdjusted")</f>
        <v>104143</v>
      </c>
      <c r="C756" s="60">
        <f ca="1"/>
        <v>0.05</v>
      </c>
    </row>
    <row r="757" spans="2:3" x14ac:dyDescent="0.15">
      <c r="B757" s="52">
        <f ca="1">_xll.qlCalendarAdvance("Null",B756,$A$66,"UnAdjusted")</f>
        <v>104232</v>
      </c>
      <c r="C757" s="60">
        <f ca="1"/>
        <v>0.05</v>
      </c>
    </row>
    <row r="758" spans="2:3" x14ac:dyDescent="0.15">
      <c r="B758" s="52">
        <f ca="1">_xll.qlCalendarAdvance("Null",B757,$A$66,"UnAdjusted")</f>
        <v>104324</v>
      </c>
      <c r="C758" s="60">
        <f ca="1"/>
        <v>0.05</v>
      </c>
    </row>
    <row r="759" spans="2:3" x14ac:dyDescent="0.15">
      <c r="B759" s="52">
        <f ca="1">_xll.qlCalendarAdvance("Null",B758,$A$66,"UnAdjusted")</f>
        <v>104416</v>
      </c>
      <c r="C759" s="60">
        <f ca="1"/>
        <v>4.9999999999999996E-2</v>
      </c>
    </row>
    <row r="760" spans="2:3" x14ac:dyDescent="0.15">
      <c r="B760" s="52">
        <f ca="1">_xll.qlCalendarAdvance("Null",B759,$A$66,"UnAdjusted")</f>
        <v>104508</v>
      </c>
      <c r="C760" s="60">
        <f ca="1"/>
        <v>0.05</v>
      </c>
    </row>
    <row r="761" spans="2:3" x14ac:dyDescent="0.15">
      <c r="B761" s="52">
        <f ca="1">_xll.qlCalendarAdvance("Null",B760,$A$66,"UnAdjusted")</f>
        <v>104597</v>
      </c>
      <c r="C761" s="60">
        <f ca="1"/>
        <v>0.05</v>
      </c>
    </row>
    <row r="762" spans="2:3" x14ac:dyDescent="0.15">
      <c r="B762" s="52">
        <f ca="1">_xll.qlCalendarAdvance("Null",B761,$A$66,"UnAdjusted")</f>
        <v>104689</v>
      </c>
      <c r="C762" s="60">
        <f ca="1"/>
        <v>0.05</v>
      </c>
    </row>
    <row r="763" spans="2:3" x14ac:dyDescent="0.15">
      <c r="B763" s="52">
        <f ca="1">_xll.qlCalendarAdvance("Null",B762,$A$66,"UnAdjusted")</f>
        <v>104781</v>
      </c>
      <c r="C763" s="60">
        <f ca="1"/>
        <v>0.05</v>
      </c>
    </row>
    <row r="764" spans="2:3" x14ac:dyDescent="0.15">
      <c r="B764" s="52">
        <f ca="1">_xll.qlCalendarAdvance("Null",B763,$A$66,"UnAdjusted")</f>
        <v>104873</v>
      </c>
      <c r="C764" s="60">
        <f ca="1"/>
        <v>4.9999999999999996E-2</v>
      </c>
    </row>
    <row r="765" spans="2:3" x14ac:dyDescent="0.15">
      <c r="B765" s="52">
        <f ca="1">_xll.qlCalendarAdvance("Null",B764,$A$66,"UnAdjusted")</f>
        <v>104962</v>
      </c>
      <c r="C765" s="60">
        <f ca="1"/>
        <v>0.05</v>
      </c>
    </row>
    <row r="766" spans="2:3" x14ac:dyDescent="0.15">
      <c r="B766" s="52">
        <f ca="1">_xll.qlCalendarAdvance("Null",B765,$A$66,"UnAdjusted")</f>
        <v>105054</v>
      </c>
      <c r="C766" s="60">
        <f ca="1"/>
        <v>0.05</v>
      </c>
    </row>
    <row r="767" spans="2:3" x14ac:dyDescent="0.15">
      <c r="B767" s="52">
        <f ca="1">_xll.qlCalendarAdvance("Null",B766,$A$66,"UnAdjusted")</f>
        <v>105146</v>
      </c>
      <c r="C767" s="60">
        <f ca="1"/>
        <v>0.05</v>
      </c>
    </row>
    <row r="768" spans="2:3" x14ac:dyDescent="0.15">
      <c r="B768" s="52">
        <f ca="1">_xll.qlCalendarAdvance("Null",B767,$A$66,"UnAdjusted")</f>
        <v>105238</v>
      </c>
      <c r="C768" s="60">
        <f ca="1"/>
        <v>0.05</v>
      </c>
    </row>
    <row r="769" spans="2:3" x14ac:dyDescent="0.15">
      <c r="B769" s="52">
        <f ca="1">_xll.qlCalendarAdvance("Null",B768,$A$66,"UnAdjusted")</f>
        <v>105328</v>
      </c>
      <c r="C769" s="60">
        <f ca="1"/>
        <v>4.9999999999999996E-2</v>
      </c>
    </row>
    <row r="770" spans="2:3" x14ac:dyDescent="0.15">
      <c r="B770" s="52">
        <f ca="1">_xll.qlCalendarAdvance("Null",B769,$A$66,"UnAdjusted")</f>
        <v>105420</v>
      </c>
      <c r="C770" s="60">
        <f ca="1"/>
        <v>0.05</v>
      </c>
    </row>
    <row r="771" spans="2:3" x14ac:dyDescent="0.15">
      <c r="B771" s="52">
        <f ca="1">_xll.qlCalendarAdvance("Null",B770,$A$66,"UnAdjusted")</f>
        <v>105512</v>
      </c>
      <c r="C771" s="60">
        <f ca="1"/>
        <v>0.05</v>
      </c>
    </row>
    <row r="772" spans="2:3" x14ac:dyDescent="0.15">
      <c r="B772" s="52">
        <f ca="1">_xll.qlCalendarAdvance("Null",B771,$A$66,"UnAdjusted")</f>
        <v>105604</v>
      </c>
      <c r="C772" s="60">
        <f ca="1"/>
        <v>0.05</v>
      </c>
    </row>
    <row r="773" spans="2:3" x14ac:dyDescent="0.15">
      <c r="B773" s="52">
        <f ca="1">_xll.qlCalendarAdvance("Null",B772,$A$66,"UnAdjusted")</f>
        <v>105693</v>
      </c>
      <c r="C773" s="60">
        <f ca="1"/>
        <v>0.05</v>
      </c>
    </row>
    <row r="774" spans="2:3" x14ac:dyDescent="0.15">
      <c r="B774" s="52">
        <f ca="1">_xll.qlCalendarAdvance("Null",B773,$A$66,"UnAdjusted")</f>
        <v>105785</v>
      </c>
      <c r="C774" s="60">
        <f ca="1"/>
        <v>4.9999999999999996E-2</v>
      </c>
    </row>
    <row r="775" spans="2:3" x14ac:dyDescent="0.15">
      <c r="B775" s="52">
        <f ca="1">_xll.qlCalendarAdvance("Null",B774,$A$66,"UnAdjusted")</f>
        <v>105877</v>
      </c>
      <c r="C775" s="60">
        <f ca="1"/>
        <v>0.05</v>
      </c>
    </row>
    <row r="776" spans="2:3" x14ac:dyDescent="0.15">
      <c r="B776" s="52">
        <f ca="1">_xll.qlCalendarAdvance("Null",B775,$A$66,"UnAdjusted")</f>
        <v>105969</v>
      </c>
      <c r="C776" s="60">
        <f ca="1"/>
        <v>0.05</v>
      </c>
    </row>
    <row r="777" spans="2:3" x14ac:dyDescent="0.15">
      <c r="B777" s="52">
        <f ca="1">_xll.qlCalendarAdvance("Null",B776,$A$66,"UnAdjusted")</f>
        <v>106058</v>
      </c>
      <c r="C777" s="60">
        <f ca="1"/>
        <v>0.05</v>
      </c>
    </row>
    <row r="778" spans="2:3" x14ac:dyDescent="0.15">
      <c r="B778" s="52">
        <f ca="1">_xll.qlCalendarAdvance("Null",B777,$A$66,"UnAdjusted")</f>
        <v>106150</v>
      </c>
      <c r="C778" s="60">
        <f ca="1"/>
        <v>0.05</v>
      </c>
    </row>
    <row r="779" spans="2:3" x14ac:dyDescent="0.15">
      <c r="B779" s="52">
        <f ca="1">_xll.qlCalendarAdvance("Null",B778,$A$66,"UnAdjusted")</f>
        <v>106242</v>
      </c>
      <c r="C779" s="60">
        <f ca="1"/>
        <v>4.9999999999999996E-2</v>
      </c>
    </row>
    <row r="780" spans="2:3" x14ac:dyDescent="0.15">
      <c r="B780" s="52">
        <f ca="1">_xll.qlCalendarAdvance("Null",B779,$A$66,"UnAdjusted")</f>
        <v>106334</v>
      </c>
      <c r="C780" s="60">
        <f ca="1"/>
        <v>0.05</v>
      </c>
    </row>
    <row r="781" spans="2:3" x14ac:dyDescent="0.15">
      <c r="B781" s="52">
        <f ca="1">_xll.qlCalendarAdvance("Null",B780,$A$66,"UnAdjusted")</f>
        <v>106423</v>
      </c>
      <c r="C781" s="60">
        <f ca="1"/>
        <v>0.05</v>
      </c>
    </row>
    <row r="782" spans="2:3" x14ac:dyDescent="0.15">
      <c r="B782" s="52">
        <f ca="1">_xll.qlCalendarAdvance("Null",B781,$A$66,"UnAdjusted")</f>
        <v>106515</v>
      </c>
      <c r="C782" s="60">
        <f ca="1"/>
        <v>0.05</v>
      </c>
    </row>
    <row r="783" spans="2:3" x14ac:dyDescent="0.15">
      <c r="B783" s="52">
        <f ca="1">_xll.qlCalendarAdvance("Null",B782,$A$66,"UnAdjusted")</f>
        <v>106607</v>
      </c>
      <c r="C783" s="60">
        <f ca="1"/>
        <v>0.05</v>
      </c>
    </row>
    <row r="784" spans="2:3" x14ac:dyDescent="0.15">
      <c r="B784" s="52">
        <f ca="1">_xll.qlCalendarAdvance("Null",B783,$A$66,"UnAdjusted")</f>
        <v>106699</v>
      </c>
      <c r="C784" s="60">
        <f ca="1"/>
        <v>4.9999999999999996E-2</v>
      </c>
    </row>
    <row r="785" spans="2:3" x14ac:dyDescent="0.15">
      <c r="B785" s="52">
        <f ca="1">_xll.qlCalendarAdvance("Null",B784,$A$66,"UnAdjusted")</f>
        <v>106789</v>
      </c>
      <c r="C785" s="60">
        <f ca="1"/>
        <v>0.05</v>
      </c>
    </row>
    <row r="786" spans="2:3" x14ac:dyDescent="0.15">
      <c r="B786" s="52">
        <f ca="1">_xll.qlCalendarAdvance("Null",B785,$A$66,"UnAdjusted")</f>
        <v>106881</v>
      </c>
      <c r="C786" s="60">
        <f ca="1"/>
        <v>0.05</v>
      </c>
    </row>
    <row r="787" spans="2:3" x14ac:dyDescent="0.15">
      <c r="B787" s="52">
        <f ca="1">_xll.qlCalendarAdvance("Null",B786,$A$66,"UnAdjusted")</f>
        <v>106973</v>
      </c>
      <c r="C787" s="60">
        <f ca="1"/>
        <v>0.05</v>
      </c>
    </row>
    <row r="788" spans="2:3" x14ac:dyDescent="0.15">
      <c r="B788" s="52">
        <f ca="1">_xll.qlCalendarAdvance("Null",B787,$A$66,"UnAdjusted")</f>
        <v>107065</v>
      </c>
      <c r="C788" s="60">
        <f ca="1"/>
        <v>0.05</v>
      </c>
    </row>
    <row r="789" spans="2:3" x14ac:dyDescent="0.15">
      <c r="B789" s="52">
        <f ca="1">_xll.qlCalendarAdvance("Null",B788,$A$66,"UnAdjusted")</f>
        <v>107154</v>
      </c>
      <c r="C789" s="60">
        <f ca="1"/>
        <v>4.9999999999999996E-2</v>
      </c>
    </row>
    <row r="790" spans="2:3" x14ac:dyDescent="0.15">
      <c r="B790" s="52">
        <f ca="1">_xll.qlCalendarAdvance("Null",B789,$A$66,"UnAdjusted")</f>
        <v>107246</v>
      </c>
      <c r="C790" s="60">
        <f ca="1"/>
        <v>0.05</v>
      </c>
    </row>
    <row r="791" spans="2:3" x14ac:dyDescent="0.15">
      <c r="B791" s="52">
        <f ca="1">_xll.qlCalendarAdvance("Null",B790,$A$66,"UnAdjusted")</f>
        <v>107338</v>
      </c>
      <c r="C791" s="60">
        <f ca="1"/>
        <v>0.05</v>
      </c>
    </row>
    <row r="792" spans="2:3" x14ac:dyDescent="0.15">
      <c r="B792" s="52">
        <f ca="1">_xll.qlCalendarAdvance("Null",B791,$A$66,"UnAdjusted")</f>
        <v>107430</v>
      </c>
      <c r="C792" s="60">
        <f ca="1"/>
        <v>0.05</v>
      </c>
    </row>
    <row r="793" spans="2:3" x14ac:dyDescent="0.15">
      <c r="B793" s="52">
        <f ca="1">_xll.qlCalendarAdvance("Null",B792,$A$66,"UnAdjusted")</f>
        <v>107519</v>
      </c>
      <c r="C793" s="60">
        <f ca="1"/>
        <v>0.05</v>
      </c>
    </row>
    <row r="794" spans="2:3" x14ac:dyDescent="0.15">
      <c r="B794" s="52">
        <f ca="1">_xll.qlCalendarAdvance("Null",B793,$A$66,"UnAdjusted")</f>
        <v>107611</v>
      </c>
      <c r="C794" s="60">
        <f ca="1"/>
        <v>4.9999999999999996E-2</v>
      </c>
    </row>
    <row r="795" spans="2:3" x14ac:dyDescent="0.15">
      <c r="B795" s="52">
        <f ca="1">_xll.qlCalendarAdvance("Null",B794,$A$66,"UnAdjusted")</f>
        <v>107703</v>
      </c>
      <c r="C795" s="60">
        <f ca="1"/>
        <v>0.05</v>
      </c>
    </row>
    <row r="796" spans="2:3" x14ac:dyDescent="0.15">
      <c r="B796" s="52">
        <f ca="1">_xll.qlCalendarAdvance("Null",B795,$A$66,"UnAdjusted")</f>
        <v>107795</v>
      </c>
      <c r="C796" s="60">
        <f ca="1"/>
        <v>0.05</v>
      </c>
    </row>
    <row r="797" spans="2:3" x14ac:dyDescent="0.15">
      <c r="B797" s="52">
        <f ca="1">_xll.qlCalendarAdvance("Null",B796,$A$66,"UnAdjusted")</f>
        <v>107884</v>
      </c>
      <c r="C797" s="60">
        <f ca="1"/>
        <v>0.05</v>
      </c>
    </row>
    <row r="798" spans="2:3" x14ac:dyDescent="0.15">
      <c r="B798" s="52">
        <f ca="1">_xll.qlCalendarAdvance("Null",B797,$A$66,"UnAdjusted")</f>
        <v>107976</v>
      </c>
      <c r="C798" s="60">
        <f ca="1"/>
        <v>0.05</v>
      </c>
    </row>
    <row r="799" spans="2:3" x14ac:dyDescent="0.15">
      <c r="B799" s="52">
        <f ca="1">_xll.qlCalendarAdvance("Null",B798,$A$66,"UnAdjusted")</f>
        <v>108068</v>
      </c>
      <c r="C799" s="60">
        <f ca="1"/>
        <v>4.9999999999999996E-2</v>
      </c>
    </row>
    <row r="800" spans="2:3" x14ac:dyDescent="0.15">
      <c r="B800" s="52">
        <f ca="1">_xll.qlCalendarAdvance("Null",B799,$A$66,"UnAdjusted")</f>
        <v>108160</v>
      </c>
      <c r="C800" s="60">
        <f ca="1"/>
        <v>0.05</v>
      </c>
    </row>
    <row r="801" spans="2:3" x14ac:dyDescent="0.15">
      <c r="B801" s="52">
        <f ca="1">_xll.qlCalendarAdvance("Null",B800,$A$66,"UnAdjusted")</f>
        <v>108250</v>
      </c>
      <c r="C801" s="60">
        <f ca="1"/>
        <v>0.05</v>
      </c>
    </row>
    <row r="802" spans="2:3" x14ac:dyDescent="0.15">
      <c r="B802" s="52">
        <f ca="1">_xll.qlCalendarAdvance("Null",B801,$A$66,"UnAdjusted")</f>
        <v>108342</v>
      </c>
      <c r="C802" s="60">
        <f ca="1"/>
        <v>0.05</v>
      </c>
    </row>
    <row r="803" spans="2:3" x14ac:dyDescent="0.15">
      <c r="B803" s="52">
        <f ca="1">_xll.qlCalendarAdvance("Null",B802,$A$66,"UnAdjusted")</f>
        <v>108434</v>
      </c>
      <c r="C803" s="60">
        <f ca="1"/>
        <v>0.05</v>
      </c>
    </row>
    <row r="804" spans="2:3" x14ac:dyDescent="0.15">
      <c r="B804" s="52">
        <f ca="1">_xll.qlCalendarAdvance("Null",B803,$A$66,"UnAdjusted")</f>
        <v>108526</v>
      </c>
      <c r="C804" s="60">
        <f ca="1"/>
        <v>4.9999999999999996E-2</v>
      </c>
    </row>
    <row r="805" spans="2:3" x14ac:dyDescent="0.15">
      <c r="B805" s="52">
        <f ca="1">_xll.qlCalendarAdvance("Null",B804,$A$66,"UnAdjusted")</f>
        <v>108615</v>
      </c>
      <c r="C805" s="60">
        <f ca="1"/>
        <v>0.05</v>
      </c>
    </row>
    <row r="806" spans="2:3" x14ac:dyDescent="0.15">
      <c r="B806" s="52">
        <f ca="1">_xll.qlCalendarAdvance("Null",B805,$A$66,"UnAdjusted")</f>
        <v>108707</v>
      </c>
      <c r="C806" s="60">
        <f ca="1"/>
        <v>0.05</v>
      </c>
    </row>
    <row r="807" spans="2:3" x14ac:dyDescent="0.15">
      <c r="B807" s="52">
        <f ca="1">_xll.qlCalendarAdvance("Null",B806,$A$66,"UnAdjusted")</f>
        <v>108799</v>
      </c>
      <c r="C807" s="60">
        <f ca="1"/>
        <v>0.05</v>
      </c>
    </row>
    <row r="808" spans="2:3" x14ac:dyDescent="0.15">
      <c r="B808" s="52">
        <f ca="1">_xll.qlCalendarAdvance("Null",B807,$A$66,"UnAdjusted")</f>
        <v>108891</v>
      </c>
      <c r="C808" s="60">
        <f ca="1"/>
        <v>0.05</v>
      </c>
    </row>
    <row r="809" spans="2:3" x14ac:dyDescent="0.15">
      <c r="B809" s="52">
        <f ca="1">_xll.qlCalendarAdvance("Null",B808,$A$66,"UnAdjusted")</f>
        <v>108980</v>
      </c>
      <c r="C809" s="60">
        <f ca="1"/>
        <v>4.9999999999999996E-2</v>
      </c>
    </row>
    <row r="810" spans="2:3" x14ac:dyDescent="0.15">
      <c r="B810" s="52">
        <f ca="1">_xll.qlCalendarAdvance("Null",B809,$A$66,"UnAdjusted")</f>
        <v>109072</v>
      </c>
      <c r="C810" s="60">
        <f ca="1"/>
        <v>0.05</v>
      </c>
    </row>
    <row r="811" spans="2:3" x14ac:dyDescent="0.15">
      <c r="B811" s="52">
        <f ca="1">_xll.qlCalendarAdvance("Null",B810,$A$66,"UnAdjusted")</f>
        <v>109164</v>
      </c>
      <c r="C811" s="60">
        <f ca="1"/>
        <v>0.05</v>
      </c>
    </row>
    <row r="812" spans="2:3" x14ac:dyDescent="0.15">
      <c r="B812" s="52">
        <f ca="1">_xll.qlCalendarAdvance("Null",B811,$A$66,"UnAdjusted")</f>
        <v>109256</v>
      </c>
      <c r="C812" s="60">
        <f ca="1"/>
        <v>0.05</v>
      </c>
    </row>
    <row r="813" spans="2:3" x14ac:dyDescent="0.15">
      <c r="B813" s="52">
        <f ca="1">_xll.qlCalendarAdvance("Null",B812,$A$66,"UnAdjusted")</f>
        <v>109345</v>
      </c>
      <c r="C813" s="60">
        <f ca="1"/>
        <v>0.05</v>
      </c>
    </row>
    <row r="814" spans="2:3" x14ac:dyDescent="0.15">
      <c r="B814" s="52">
        <f ca="1">_xll.qlCalendarAdvance("Null",B813,$A$66,"UnAdjusted")</f>
        <v>109437</v>
      </c>
      <c r="C814" s="60">
        <f ca="1"/>
        <v>4.9999999999999996E-2</v>
      </c>
    </row>
    <row r="815" spans="2:3" x14ac:dyDescent="0.15">
      <c r="B815" s="52">
        <f ca="1">_xll.qlCalendarAdvance("Null",B814,$A$66,"UnAdjusted")</f>
        <v>109529</v>
      </c>
      <c r="C815" s="60">
        <f ca="1"/>
        <v>0.05</v>
      </c>
    </row>
    <row r="816" spans="2:3" x14ac:dyDescent="0.15">
      <c r="B816" s="52"/>
      <c r="C816" s="60" t="e">
        <f ca="1"/>
        <v>#N/A</v>
      </c>
    </row>
    <row r="817" spans="2:3" x14ac:dyDescent="0.15">
      <c r="B817" s="52"/>
      <c r="C817" s="60" t="e">
        <f ca="1"/>
        <v>#N/A</v>
      </c>
    </row>
    <row r="818" spans="2:3" x14ac:dyDescent="0.15">
      <c r="B818" s="52"/>
      <c r="C818" s="60" t="e">
        <f ca="1"/>
        <v>#N/A</v>
      </c>
    </row>
    <row r="819" spans="2:3" x14ac:dyDescent="0.15">
      <c r="B819" s="52"/>
      <c r="C819" s="60" t="e">
        <f ca="1"/>
        <v>#N/A</v>
      </c>
    </row>
    <row r="820" spans="2:3" x14ac:dyDescent="0.15">
      <c r="B820" s="52"/>
      <c r="C820" s="60" t="e">
        <f ca="1"/>
        <v>#N/A</v>
      </c>
    </row>
    <row r="821" spans="2:3" x14ac:dyDescent="0.15">
      <c r="B821" s="52"/>
      <c r="C821" s="60" t="e">
        <f ca="1"/>
        <v>#N/A</v>
      </c>
    </row>
    <row r="822" spans="2:3" x14ac:dyDescent="0.15">
      <c r="B822" s="52"/>
      <c r="C822" s="60" t="e">
        <f ca="1"/>
        <v>#N/A</v>
      </c>
    </row>
    <row r="823" spans="2:3" x14ac:dyDescent="0.15">
      <c r="B823" s="52"/>
      <c r="C823" s="60" t="e">
        <f ca="1"/>
        <v>#N/A</v>
      </c>
    </row>
    <row r="824" spans="2:3" x14ac:dyDescent="0.15">
      <c r="B824" s="52"/>
      <c r="C824" s="60" t="e">
        <f ca="1"/>
        <v>#N/A</v>
      </c>
    </row>
    <row r="825" spans="2:3" x14ac:dyDescent="0.15">
      <c r="B825" s="52"/>
      <c r="C825" s="60" t="e">
        <f ca="1"/>
        <v>#N/A</v>
      </c>
    </row>
    <row r="826" spans="2:3" x14ac:dyDescent="0.15">
      <c r="B826" s="52"/>
      <c r="C826" s="60" t="e">
        <f ca="1"/>
        <v>#N/A</v>
      </c>
    </row>
    <row r="827" spans="2:3" x14ac:dyDescent="0.15">
      <c r="B827" s="52"/>
      <c r="C827" s="60" t="e">
        <f ca="1"/>
        <v>#N/A</v>
      </c>
    </row>
    <row r="828" spans="2:3" x14ac:dyDescent="0.15">
      <c r="B828" s="52"/>
      <c r="C828" s="60" t="e">
        <f ca="1"/>
        <v>#N/A</v>
      </c>
    </row>
    <row r="829" spans="2:3" x14ac:dyDescent="0.15">
      <c r="B829" s="52"/>
      <c r="C829" s="60" t="e">
        <f ca="1"/>
        <v>#N/A</v>
      </c>
    </row>
    <row r="830" spans="2:3" x14ac:dyDescent="0.15">
      <c r="B830" s="52"/>
      <c r="C830" s="60" t="e">
        <f ca="1"/>
        <v>#N/A</v>
      </c>
    </row>
    <row r="831" spans="2:3" x14ac:dyDescent="0.15">
      <c r="B831" s="52"/>
      <c r="C831" s="60" t="e">
        <f ca="1"/>
        <v>#N/A</v>
      </c>
    </row>
    <row r="832" spans="2:3" x14ac:dyDescent="0.15">
      <c r="B832" s="52"/>
      <c r="C832" s="60" t="e">
        <f ca="1"/>
        <v>#N/A</v>
      </c>
    </row>
    <row r="833" spans="2:3" x14ac:dyDescent="0.15">
      <c r="B833" s="52"/>
      <c r="C833" s="60" t="e">
        <f ca="1"/>
        <v>#N/A</v>
      </c>
    </row>
    <row r="834" spans="2:3" x14ac:dyDescent="0.15">
      <c r="B834" s="52"/>
      <c r="C834" s="60" t="e">
        <f ca="1"/>
        <v>#N/A</v>
      </c>
    </row>
    <row r="835" spans="2:3" x14ac:dyDescent="0.15">
      <c r="B835" s="52"/>
      <c r="C835" s="60" t="e">
        <f ca="1"/>
        <v>#N/A</v>
      </c>
    </row>
    <row r="836" spans="2:3" x14ac:dyDescent="0.15">
      <c r="B836" s="52"/>
      <c r="C836" s="60" t="e">
        <f ca="1"/>
        <v>#N/A</v>
      </c>
    </row>
    <row r="837" spans="2:3" x14ac:dyDescent="0.15">
      <c r="B837" s="52"/>
      <c r="C837" s="60" t="e">
        <f ca="1"/>
        <v>#N/A</v>
      </c>
    </row>
    <row r="838" spans="2:3" x14ac:dyDescent="0.15">
      <c r="B838" s="52"/>
      <c r="C838" s="60" t="e">
        <f ca="1"/>
        <v>#N/A</v>
      </c>
    </row>
    <row r="839" spans="2:3" x14ac:dyDescent="0.15">
      <c r="B839" s="52"/>
      <c r="C839" s="60" t="e">
        <f ca="1"/>
        <v>#N/A</v>
      </c>
    </row>
    <row r="840" spans="2:3" x14ac:dyDescent="0.15">
      <c r="B840" s="52"/>
      <c r="C840" s="60" t="e">
        <f ca="1"/>
        <v>#N/A</v>
      </c>
    </row>
    <row r="841" spans="2:3" x14ac:dyDescent="0.15">
      <c r="B841" s="52"/>
      <c r="C841" s="60" t="e">
        <f ca="1"/>
        <v>#N/A</v>
      </c>
    </row>
    <row r="842" spans="2:3" x14ac:dyDescent="0.15">
      <c r="B842" s="52"/>
      <c r="C842" s="60" t="e">
        <f ca="1"/>
        <v>#N/A</v>
      </c>
    </row>
    <row r="843" spans="2:3" x14ac:dyDescent="0.15">
      <c r="B843" s="52"/>
      <c r="C843" s="60" t="e">
        <f ca="1"/>
        <v>#N/A</v>
      </c>
    </row>
    <row r="844" spans="2:3" x14ac:dyDescent="0.15">
      <c r="B844" s="52"/>
      <c r="C844" s="60" t="e">
        <f ca="1"/>
        <v>#N/A</v>
      </c>
    </row>
    <row r="845" spans="2:3" x14ac:dyDescent="0.15">
      <c r="B845" s="52"/>
      <c r="C845" s="60" t="e">
        <f ca="1"/>
        <v>#N/A</v>
      </c>
    </row>
    <row r="846" spans="2:3" x14ac:dyDescent="0.15">
      <c r="B846" s="52"/>
      <c r="C846" s="60" t="e">
        <f ca="1"/>
        <v>#N/A</v>
      </c>
    </row>
    <row r="847" spans="2:3" x14ac:dyDescent="0.15">
      <c r="B847" s="52"/>
      <c r="C847" s="60" t="e">
        <f ca="1"/>
        <v>#N/A</v>
      </c>
    </row>
    <row r="848" spans="2:3" x14ac:dyDescent="0.15">
      <c r="B848" s="52"/>
      <c r="C848" s="60" t="e">
        <f ca="1"/>
        <v>#N/A</v>
      </c>
    </row>
    <row r="849" spans="2:3" x14ac:dyDescent="0.15">
      <c r="B849" s="52"/>
      <c r="C849" s="60" t="e">
        <f ca="1"/>
        <v>#N/A</v>
      </c>
    </row>
    <row r="850" spans="2:3" x14ac:dyDescent="0.15">
      <c r="B850" s="52"/>
      <c r="C850" s="60" t="e">
        <f ca="1"/>
        <v>#N/A</v>
      </c>
    </row>
    <row r="851" spans="2:3" x14ac:dyDescent="0.15">
      <c r="B851" s="52"/>
      <c r="C851" s="60" t="e">
        <f ca="1"/>
        <v>#N/A</v>
      </c>
    </row>
    <row r="852" spans="2:3" x14ac:dyDescent="0.15">
      <c r="B852" s="52"/>
      <c r="C852" s="60" t="e">
        <f ca="1"/>
        <v>#N/A</v>
      </c>
    </row>
    <row r="853" spans="2:3" x14ac:dyDescent="0.15">
      <c r="B853" s="52"/>
      <c r="C853" s="60" t="e">
        <f ca="1"/>
        <v>#N/A</v>
      </c>
    </row>
    <row r="854" spans="2:3" x14ac:dyDescent="0.15">
      <c r="B854" s="52"/>
      <c r="C854" s="60" t="e">
        <f ca="1"/>
        <v>#N/A</v>
      </c>
    </row>
    <row r="855" spans="2:3" x14ac:dyDescent="0.15">
      <c r="B855" s="52"/>
      <c r="C855" s="60" t="e">
        <f ca="1"/>
        <v>#N/A</v>
      </c>
    </row>
    <row r="856" spans="2:3" x14ac:dyDescent="0.15">
      <c r="B856" s="52"/>
      <c r="C856" s="60" t="e">
        <f ca="1"/>
        <v>#N/A</v>
      </c>
    </row>
    <row r="857" spans="2:3" x14ac:dyDescent="0.15">
      <c r="B857" s="52"/>
      <c r="C857" s="60" t="e">
        <f ca="1"/>
        <v>#N/A</v>
      </c>
    </row>
    <row r="858" spans="2:3" x14ac:dyDescent="0.15">
      <c r="B858" s="52"/>
      <c r="C858" s="60" t="e">
        <f ca="1"/>
        <v>#N/A</v>
      </c>
    </row>
    <row r="859" spans="2:3" x14ac:dyDescent="0.15">
      <c r="B859" s="52"/>
      <c r="C859" s="60" t="e">
        <f ca="1"/>
        <v>#N/A</v>
      </c>
    </row>
    <row r="860" spans="2:3" x14ac:dyDescent="0.15">
      <c r="B860" s="52"/>
      <c r="C860" s="60" t="e">
        <f ca="1"/>
        <v>#N/A</v>
      </c>
    </row>
    <row r="861" spans="2:3" x14ac:dyDescent="0.15">
      <c r="B861" s="52"/>
      <c r="C861" s="60" t="e">
        <f ca="1"/>
        <v>#N/A</v>
      </c>
    </row>
    <row r="862" spans="2:3" x14ac:dyDescent="0.15">
      <c r="B862" s="52"/>
      <c r="C862" s="60" t="e">
        <f ca="1"/>
        <v>#N/A</v>
      </c>
    </row>
    <row r="863" spans="2:3" x14ac:dyDescent="0.15">
      <c r="B863" s="52"/>
      <c r="C863" s="60" t="e">
        <f ca="1"/>
        <v>#N/A</v>
      </c>
    </row>
    <row r="864" spans="2:3" x14ac:dyDescent="0.15">
      <c r="B864" s="52"/>
      <c r="C864" s="60" t="e">
        <f ca="1"/>
        <v>#N/A</v>
      </c>
    </row>
    <row r="865" spans="2:3" x14ac:dyDescent="0.15">
      <c r="B865" s="52"/>
      <c r="C865" s="60" t="e">
        <f ca="1"/>
        <v>#N/A</v>
      </c>
    </row>
    <row r="866" spans="2:3" x14ac:dyDescent="0.15">
      <c r="B866" s="52"/>
      <c r="C866" s="60" t="e">
        <f ca="1"/>
        <v>#N/A</v>
      </c>
    </row>
    <row r="867" spans="2:3" x14ac:dyDescent="0.15">
      <c r="B867" s="52"/>
      <c r="C867" s="60" t="e">
        <f ca="1"/>
        <v>#N/A</v>
      </c>
    </row>
    <row r="868" spans="2:3" x14ac:dyDescent="0.15">
      <c r="B868" s="52"/>
      <c r="C868" s="60" t="e">
        <f ca="1"/>
        <v>#N/A</v>
      </c>
    </row>
    <row r="869" spans="2:3" x14ac:dyDescent="0.15">
      <c r="B869" s="52"/>
      <c r="C869" s="60" t="e">
        <f ca="1"/>
        <v>#N/A</v>
      </c>
    </row>
    <row r="870" spans="2:3" x14ac:dyDescent="0.15">
      <c r="B870" s="52"/>
      <c r="C870" s="60" t="e">
        <f ca="1"/>
        <v>#N/A</v>
      </c>
    </row>
    <row r="871" spans="2:3" x14ac:dyDescent="0.15">
      <c r="B871" s="52"/>
      <c r="C871" s="60" t="e">
        <f ca="1"/>
        <v>#N/A</v>
      </c>
    </row>
    <row r="872" spans="2:3" x14ac:dyDescent="0.15">
      <c r="B872" s="52"/>
      <c r="C872" s="60" t="e">
        <f ca="1"/>
        <v>#N/A</v>
      </c>
    </row>
    <row r="873" spans="2:3" x14ac:dyDescent="0.15">
      <c r="B873" s="52"/>
      <c r="C873" s="60" t="e">
        <f ca="1"/>
        <v>#N/A</v>
      </c>
    </row>
    <row r="874" spans="2:3" x14ac:dyDescent="0.15">
      <c r="B874" s="52"/>
      <c r="C874" s="60" t="e">
        <f ca="1"/>
        <v>#N/A</v>
      </c>
    </row>
    <row r="875" spans="2:3" x14ac:dyDescent="0.15">
      <c r="B875" s="52"/>
      <c r="C875" s="60" t="e">
        <f ca="1"/>
        <v>#N/A</v>
      </c>
    </row>
    <row r="876" spans="2:3" x14ac:dyDescent="0.15">
      <c r="B876" s="52"/>
      <c r="C876" s="60" t="e">
        <f ca="1"/>
        <v>#N/A</v>
      </c>
    </row>
    <row r="877" spans="2:3" x14ac:dyDescent="0.15">
      <c r="B877" s="52"/>
      <c r="C877" s="60" t="e">
        <f ca="1"/>
        <v>#N/A</v>
      </c>
    </row>
    <row r="878" spans="2:3" x14ac:dyDescent="0.15">
      <c r="B878" s="52"/>
      <c r="C878" s="60" t="e">
        <f ca="1"/>
        <v>#N/A</v>
      </c>
    </row>
    <row r="879" spans="2:3" x14ac:dyDescent="0.15">
      <c r="B879" s="52"/>
      <c r="C879" s="60" t="e">
        <f ca="1"/>
        <v>#N/A</v>
      </c>
    </row>
    <row r="880" spans="2:3" x14ac:dyDescent="0.15">
      <c r="B880" s="52"/>
      <c r="C880" s="60" t="e">
        <f ca="1"/>
        <v>#N/A</v>
      </c>
    </row>
    <row r="881" spans="2:3" x14ac:dyDescent="0.15">
      <c r="B881" s="52"/>
      <c r="C881" s="60" t="e">
        <f ca="1"/>
        <v>#N/A</v>
      </c>
    </row>
    <row r="882" spans="2:3" x14ac:dyDescent="0.15">
      <c r="B882" s="52"/>
      <c r="C882" s="60" t="e">
        <f ca="1"/>
        <v>#N/A</v>
      </c>
    </row>
    <row r="883" spans="2:3" x14ac:dyDescent="0.15">
      <c r="B883" s="52"/>
      <c r="C883" s="60" t="e">
        <f ca="1"/>
        <v>#N/A</v>
      </c>
    </row>
    <row r="884" spans="2:3" x14ac:dyDescent="0.15">
      <c r="B884" s="52"/>
      <c r="C884" s="60" t="e">
        <f ca="1"/>
        <v>#N/A</v>
      </c>
    </row>
    <row r="885" spans="2:3" x14ac:dyDescent="0.15">
      <c r="B885" s="52"/>
      <c r="C885" s="60" t="e">
        <f ca="1"/>
        <v>#N/A</v>
      </c>
    </row>
    <row r="886" spans="2:3" x14ac:dyDescent="0.15">
      <c r="B886" s="52"/>
      <c r="C886" s="60" t="e">
        <f ca="1"/>
        <v>#N/A</v>
      </c>
    </row>
    <row r="887" spans="2:3" x14ac:dyDescent="0.15">
      <c r="B887" s="52"/>
      <c r="C887" s="60" t="e">
        <f ca="1"/>
        <v>#N/A</v>
      </c>
    </row>
    <row r="888" spans="2:3" x14ac:dyDescent="0.15">
      <c r="B888" s="52"/>
      <c r="C888" s="60" t="e">
        <f ca="1"/>
        <v>#N/A</v>
      </c>
    </row>
    <row r="889" spans="2:3" x14ac:dyDescent="0.15">
      <c r="B889" s="52"/>
      <c r="C889" s="60" t="e">
        <f ca="1"/>
        <v>#N/A</v>
      </c>
    </row>
    <row r="890" spans="2:3" x14ac:dyDescent="0.15">
      <c r="B890" s="52"/>
      <c r="C890" s="60" t="e">
        <f ca="1"/>
        <v>#N/A</v>
      </c>
    </row>
    <row r="891" spans="2:3" x14ac:dyDescent="0.15">
      <c r="B891" s="52"/>
      <c r="C891" s="60" t="e">
        <f ca="1"/>
        <v>#N/A</v>
      </c>
    </row>
    <row r="892" spans="2:3" x14ac:dyDescent="0.15">
      <c r="B892" s="52"/>
      <c r="C892" s="60" t="e">
        <f ca="1"/>
        <v>#N/A</v>
      </c>
    </row>
    <row r="893" spans="2:3" x14ac:dyDescent="0.15">
      <c r="B893" s="52"/>
      <c r="C893" s="60" t="e">
        <f ca="1"/>
        <v>#N/A</v>
      </c>
    </row>
    <row r="894" spans="2:3" x14ac:dyDescent="0.15">
      <c r="B894" s="52"/>
      <c r="C894" s="60" t="e">
        <f ca="1"/>
        <v>#N/A</v>
      </c>
    </row>
    <row r="895" spans="2:3" x14ac:dyDescent="0.15">
      <c r="B895" s="52"/>
      <c r="C895" s="60" t="e">
        <f ca="1"/>
        <v>#N/A</v>
      </c>
    </row>
    <row r="896" spans="2:3" x14ac:dyDescent="0.15">
      <c r="B896" s="52"/>
      <c r="C896" s="60" t="e">
        <f ca="1"/>
        <v>#N/A</v>
      </c>
    </row>
    <row r="897" spans="2:3" x14ac:dyDescent="0.15">
      <c r="B897" s="52"/>
      <c r="C897" s="60" t="e">
        <f ca="1"/>
        <v>#N/A</v>
      </c>
    </row>
    <row r="898" spans="2:3" x14ac:dyDescent="0.15">
      <c r="B898" s="52"/>
      <c r="C898" s="60" t="e">
        <f ca="1"/>
        <v>#N/A</v>
      </c>
    </row>
    <row r="899" spans="2:3" x14ac:dyDescent="0.15">
      <c r="B899" s="52"/>
      <c r="C899" s="60" t="e">
        <f ca="1"/>
        <v>#N/A</v>
      </c>
    </row>
    <row r="900" spans="2:3" x14ac:dyDescent="0.15">
      <c r="B900" s="52"/>
      <c r="C900" s="60" t="e">
        <f ca="1"/>
        <v>#N/A</v>
      </c>
    </row>
    <row r="901" spans="2:3" x14ac:dyDescent="0.15">
      <c r="B901" s="52"/>
      <c r="C901" s="60" t="e">
        <f ca="1"/>
        <v>#N/A</v>
      </c>
    </row>
    <row r="902" spans="2:3" x14ac:dyDescent="0.15">
      <c r="B902" s="52"/>
      <c r="C902" s="60" t="e">
        <f ca="1"/>
        <v>#N/A</v>
      </c>
    </row>
    <row r="903" spans="2:3" x14ac:dyDescent="0.15">
      <c r="B903" s="52"/>
      <c r="C903" s="60" t="e">
        <f ca="1"/>
        <v>#N/A</v>
      </c>
    </row>
    <row r="904" spans="2:3" x14ac:dyDescent="0.15">
      <c r="B904" s="52"/>
      <c r="C904" s="60" t="e">
        <f ca="1"/>
        <v>#N/A</v>
      </c>
    </row>
    <row r="905" spans="2:3" x14ac:dyDescent="0.15">
      <c r="B905" s="52"/>
      <c r="C905" s="60" t="e">
        <f ca="1"/>
        <v>#N/A</v>
      </c>
    </row>
    <row r="906" spans="2:3" x14ac:dyDescent="0.15">
      <c r="B906" s="52"/>
      <c r="C906" s="60" t="e">
        <f ca="1"/>
        <v>#N/A</v>
      </c>
    </row>
    <row r="907" spans="2:3" x14ac:dyDescent="0.15">
      <c r="B907" s="52"/>
      <c r="C907" s="60" t="e">
        <f ca="1"/>
        <v>#N/A</v>
      </c>
    </row>
    <row r="908" spans="2:3" x14ac:dyDescent="0.15">
      <c r="B908" s="52"/>
      <c r="C908" s="60" t="e">
        <f ca="1"/>
        <v>#N/A</v>
      </c>
    </row>
    <row r="909" spans="2:3" x14ac:dyDescent="0.15">
      <c r="B909" s="52"/>
      <c r="C909" s="60" t="e">
        <f ca="1"/>
        <v>#N/A</v>
      </c>
    </row>
    <row r="910" spans="2:3" x14ac:dyDescent="0.15">
      <c r="B910" s="52"/>
      <c r="C910" s="60" t="e">
        <f ca="1"/>
        <v>#N/A</v>
      </c>
    </row>
    <row r="911" spans="2:3" x14ac:dyDescent="0.15">
      <c r="B911" s="52"/>
      <c r="C911" s="60" t="e">
        <f ca="1"/>
        <v>#N/A</v>
      </c>
    </row>
    <row r="912" spans="2:3" x14ac:dyDescent="0.15">
      <c r="B912" s="52"/>
      <c r="C912" s="60" t="e">
        <f ca="1"/>
        <v>#N/A</v>
      </c>
    </row>
    <row r="913" spans="2:3" x14ac:dyDescent="0.15">
      <c r="B913" s="52"/>
      <c r="C913" s="60" t="e">
        <f ca="1"/>
        <v>#N/A</v>
      </c>
    </row>
    <row r="914" spans="2:3" x14ac:dyDescent="0.15">
      <c r="B914" s="52"/>
      <c r="C914" s="60" t="e">
        <f ca="1"/>
        <v>#N/A</v>
      </c>
    </row>
    <row r="915" spans="2:3" x14ac:dyDescent="0.15">
      <c r="B915" s="52"/>
      <c r="C915" s="60" t="e">
        <f ca="1"/>
        <v>#N/A</v>
      </c>
    </row>
    <row r="916" spans="2:3" x14ac:dyDescent="0.15">
      <c r="B916" s="52"/>
      <c r="C916" s="60" t="e">
        <f ca="1"/>
        <v>#N/A</v>
      </c>
    </row>
    <row r="917" spans="2:3" x14ac:dyDescent="0.15">
      <c r="B917" s="52"/>
      <c r="C917" s="60" t="e">
        <f ca="1"/>
        <v>#N/A</v>
      </c>
    </row>
    <row r="918" spans="2:3" x14ac:dyDescent="0.15">
      <c r="B918" s="52"/>
      <c r="C918" s="60" t="e">
        <f ca="1"/>
        <v>#N/A</v>
      </c>
    </row>
    <row r="919" spans="2:3" x14ac:dyDescent="0.15">
      <c r="B919" s="52"/>
      <c r="C919" s="60" t="e">
        <f ca="1"/>
        <v>#N/A</v>
      </c>
    </row>
    <row r="920" spans="2:3" x14ac:dyDescent="0.15">
      <c r="B920" s="52"/>
      <c r="C920" s="51" t="e">
        <f ca="1"/>
        <v>#N/A</v>
      </c>
    </row>
    <row r="921" spans="2:3" x14ac:dyDescent="0.15">
      <c r="B921" s="52"/>
      <c r="C921" s="51" t="e">
        <f ca="1"/>
        <v>#N/A</v>
      </c>
    </row>
    <row r="922" spans="2:3" x14ac:dyDescent="0.15">
      <c r="B922" s="52"/>
      <c r="C922" s="51" t="e">
        <f ca="1"/>
        <v>#N/A</v>
      </c>
    </row>
    <row r="923" spans="2:3" x14ac:dyDescent="0.15">
      <c r="B923" s="52"/>
      <c r="C923" s="51" t="e">
        <f ca="1"/>
        <v>#N/A</v>
      </c>
    </row>
    <row r="924" spans="2:3" x14ac:dyDescent="0.15">
      <c r="B924" s="52"/>
      <c r="C924" s="51" t="e">
        <f ca="1"/>
        <v>#N/A</v>
      </c>
    </row>
    <row r="925" spans="2:3" x14ac:dyDescent="0.15">
      <c r="B925" s="52"/>
      <c r="C925" s="51" t="e">
        <f ca="1"/>
        <v>#N/A</v>
      </c>
    </row>
    <row r="926" spans="2:3" x14ac:dyDescent="0.15">
      <c r="B926" s="52"/>
      <c r="C926" s="51" t="e">
        <f ca="1"/>
        <v>#N/A</v>
      </c>
    </row>
    <row r="927" spans="2:3" x14ac:dyDescent="0.15">
      <c r="B927" s="52"/>
      <c r="C927" s="51" t="e">
        <f ca="1"/>
        <v>#N/A</v>
      </c>
    </row>
    <row r="928" spans="2:3" x14ac:dyDescent="0.15">
      <c r="B928" s="52"/>
      <c r="C928" s="51" t="e">
        <f ca="1"/>
        <v>#N/A</v>
      </c>
    </row>
    <row r="929" spans="2:3" x14ac:dyDescent="0.15">
      <c r="B929" s="52"/>
      <c r="C929" s="51" t="e">
        <f ca="1"/>
        <v>#N/A</v>
      </c>
    </row>
    <row r="930" spans="2:3" x14ac:dyDescent="0.15">
      <c r="B930" s="52"/>
      <c r="C930" s="51" t="e">
        <f ca="1"/>
        <v>#N/A</v>
      </c>
    </row>
    <row r="931" spans="2:3" x14ac:dyDescent="0.15">
      <c r="B931" s="52"/>
      <c r="C931" s="51" t="e">
        <f ca="1"/>
        <v>#N/A</v>
      </c>
    </row>
    <row r="932" spans="2:3" x14ac:dyDescent="0.15">
      <c r="B932" s="52"/>
      <c r="C932" s="51" t="e">
        <f ca="1"/>
        <v>#N/A</v>
      </c>
    </row>
    <row r="933" spans="2:3" x14ac:dyDescent="0.15">
      <c r="B933" s="52"/>
      <c r="C933" s="51" t="e">
        <f ca="1"/>
        <v>#N/A</v>
      </c>
    </row>
    <row r="934" spans="2:3" x14ac:dyDescent="0.15">
      <c r="B934" s="52"/>
      <c r="C934" s="51" t="e">
        <f ca="1"/>
        <v>#N/A</v>
      </c>
    </row>
    <row r="935" spans="2:3" x14ac:dyDescent="0.15">
      <c r="B935" s="52"/>
      <c r="C935" s="51" t="e">
        <f ca="1"/>
        <v>#N/A</v>
      </c>
    </row>
    <row r="936" spans="2:3" x14ac:dyDescent="0.15">
      <c r="B936" s="52"/>
      <c r="C936" s="51" t="e">
        <f ca="1"/>
        <v>#N/A</v>
      </c>
    </row>
    <row r="937" spans="2:3" x14ac:dyDescent="0.15">
      <c r="B937" s="52"/>
      <c r="C937" s="51" t="e">
        <f ca="1"/>
        <v>#N/A</v>
      </c>
    </row>
    <row r="938" spans="2:3" x14ac:dyDescent="0.15">
      <c r="B938" s="52"/>
      <c r="C938" s="51" t="e">
        <f ca="1"/>
        <v>#N/A</v>
      </c>
    </row>
    <row r="939" spans="2:3" x14ac:dyDescent="0.15">
      <c r="B939" s="52"/>
      <c r="C939" s="51" t="e">
        <f ca="1"/>
        <v>#N/A</v>
      </c>
    </row>
    <row r="940" spans="2:3" x14ac:dyDescent="0.15">
      <c r="B940" s="52"/>
      <c r="C940" s="51" t="e">
        <f ca="1"/>
        <v>#N/A</v>
      </c>
    </row>
    <row r="941" spans="2:3" x14ac:dyDescent="0.15">
      <c r="B941" s="52"/>
      <c r="C941" s="51" t="e">
        <f ca="1"/>
        <v>#N/A</v>
      </c>
    </row>
    <row r="942" spans="2:3" x14ac:dyDescent="0.15">
      <c r="B942" s="52"/>
      <c r="C942" s="51" t="e">
        <f ca="1"/>
        <v>#N/A</v>
      </c>
    </row>
    <row r="943" spans="2:3" x14ac:dyDescent="0.15">
      <c r="B943" s="52"/>
      <c r="C943" s="51" t="e">
        <f ca="1"/>
        <v>#N/A</v>
      </c>
    </row>
    <row r="944" spans="2:3" x14ac:dyDescent="0.15">
      <c r="B944" s="52"/>
      <c r="C944" s="51" t="e">
        <f ca="1"/>
        <v>#N/A</v>
      </c>
    </row>
    <row r="945" spans="2:3" x14ac:dyDescent="0.15">
      <c r="B945" s="52"/>
      <c r="C945" s="51" t="e">
        <f ca="1"/>
        <v>#N/A</v>
      </c>
    </row>
    <row r="946" spans="2:3" x14ac:dyDescent="0.15">
      <c r="B946" s="52"/>
      <c r="C946" s="51" t="e">
        <f ca="1"/>
        <v>#N/A</v>
      </c>
    </row>
    <row r="947" spans="2:3" x14ac:dyDescent="0.15">
      <c r="B947" s="52"/>
      <c r="C947" s="51" t="e">
        <f ca="1"/>
        <v>#N/A</v>
      </c>
    </row>
    <row r="948" spans="2:3" x14ac:dyDescent="0.15">
      <c r="B948" s="52"/>
      <c r="C948" s="51" t="e">
        <f ca="1"/>
        <v>#N/A</v>
      </c>
    </row>
    <row r="949" spans="2:3" x14ac:dyDescent="0.15">
      <c r="B949" s="52"/>
      <c r="C949" s="51" t="e">
        <f ca="1"/>
        <v>#N/A</v>
      </c>
    </row>
    <row r="950" spans="2:3" x14ac:dyDescent="0.15">
      <c r="B950" s="52"/>
      <c r="C950" s="51" t="e">
        <f ca="1"/>
        <v>#N/A</v>
      </c>
    </row>
    <row r="951" spans="2:3" x14ac:dyDescent="0.15">
      <c r="B951" s="52"/>
      <c r="C951" s="51" t="e">
        <f ca="1"/>
        <v>#N/A</v>
      </c>
    </row>
    <row r="952" spans="2:3" x14ac:dyDescent="0.15">
      <c r="B952" s="52"/>
      <c r="C952" s="51" t="e">
        <f ca="1"/>
        <v>#N/A</v>
      </c>
    </row>
    <row r="953" spans="2:3" x14ac:dyDescent="0.15">
      <c r="B953" s="52"/>
      <c r="C953" s="51" t="e">
        <f ca="1"/>
        <v>#N/A</v>
      </c>
    </row>
    <row r="954" spans="2:3" x14ac:dyDescent="0.15">
      <c r="B954" s="52"/>
      <c r="C954" s="51" t="e">
        <f ca="1"/>
        <v>#N/A</v>
      </c>
    </row>
    <row r="955" spans="2:3" x14ac:dyDescent="0.15">
      <c r="B955" s="52"/>
      <c r="C955" s="51" t="e">
        <f ca="1"/>
        <v>#N/A</v>
      </c>
    </row>
    <row r="956" spans="2:3" x14ac:dyDescent="0.15">
      <c r="B956" s="52"/>
      <c r="C956" s="51" t="e">
        <f ca="1"/>
        <v>#N/A</v>
      </c>
    </row>
    <row r="957" spans="2:3" x14ac:dyDescent="0.15">
      <c r="B957" s="52"/>
      <c r="C957" s="51" t="e">
        <f ca="1"/>
        <v>#N/A</v>
      </c>
    </row>
    <row r="958" spans="2:3" x14ac:dyDescent="0.15">
      <c r="B958" s="52"/>
      <c r="C958" s="51" t="e">
        <f ca="1"/>
        <v>#N/A</v>
      </c>
    </row>
    <row r="959" spans="2:3" x14ac:dyDescent="0.15">
      <c r="B959" s="52"/>
      <c r="C959" s="51" t="e">
        <f ca="1"/>
        <v>#N/A</v>
      </c>
    </row>
    <row r="960" spans="2:3" x14ac:dyDescent="0.15">
      <c r="B960" s="52"/>
      <c r="C960" s="51" t="e">
        <f ca="1"/>
        <v>#N/A</v>
      </c>
    </row>
    <row r="961" spans="2:3" x14ac:dyDescent="0.15">
      <c r="B961" s="52"/>
      <c r="C961" s="51" t="e">
        <f ca="1"/>
        <v>#N/A</v>
      </c>
    </row>
    <row r="962" spans="2:3" x14ac:dyDescent="0.15">
      <c r="B962" s="52"/>
      <c r="C962" s="51" t="e">
        <f ca="1"/>
        <v>#N/A</v>
      </c>
    </row>
    <row r="963" spans="2:3" x14ac:dyDescent="0.15">
      <c r="B963" s="52"/>
      <c r="C963" s="51" t="e">
        <f ca="1"/>
        <v>#N/A</v>
      </c>
    </row>
    <row r="964" spans="2:3" x14ac:dyDescent="0.15">
      <c r="B964" s="52"/>
      <c r="C964" s="51" t="e">
        <f ca="1"/>
        <v>#N/A</v>
      </c>
    </row>
    <row r="965" spans="2:3" x14ac:dyDescent="0.15">
      <c r="B965" s="52"/>
      <c r="C965" s="51" t="e">
        <f ca="1"/>
        <v>#N/A</v>
      </c>
    </row>
    <row r="966" spans="2:3" x14ac:dyDescent="0.15">
      <c r="B966" s="52"/>
      <c r="C966" s="51" t="e">
        <f ca="1"/>
        <v>#N/A</v>
      </c>
    </row>
    <row r="967" spans="2:3" x14ac:dyDescent="0.15">
      <c r="B967" s="52"/>
      <c r="C967" s="51" t="e">
        <f ca="1"/>
        <v>#N/A</v>
      </c>
    </row>
    <row r="968" spans="2:3" x14ac:dyDescent="0.15">
      <c r="B968" s="52"/>
      <c r="C968" s="51" t="e">
        <f ca="1"/>
        <v>#N/A</v>
      </c>
    </row>
    <row r="969" spans="2:3" x14ac:dyDescent="0.15">
      <c r="B969" s="52"/>
      <c r="C969" s="51" t="e">
        <f ca="1"/>
        <v>#N/A</v>
      </c>
    </row>
    <row r="970" spans="2:3" x14ac:dyDescent="0.15">
      <c r="B970" s="52"/>
      <c r="C970" s="51" t="e">
        <f ca="1"/>
        <v>#N/A</v>
      </c>
    </row>
    <row r="971" spans="2:3" x14ac:dyDescent="0.15">
      <c r="B971" s="52"/>
      <c r="C971" s="51" t="e">
        <f ca="1"/>
        <v>#N/A</v>
      </c>
    </row>
    <row r="972" spans="2:3" x14ac:dyDescent="0.15">
      <c r="B972" s="52"/>
      <c r="C972" s="51" t="e">
        <f ca="1"/>
        <v>#N/A</v>
      </c>
    </row>
    <row r="973" spans="2:3" x14ac:dyDescent="0.15">
      <c r="B973" s="52"/>
      <c r="C973" s="51" t="e">
        <f ca="1"/>
        <v>#N/A</v>
      </c>
    </row>
    <row r="974" spans="2:3" x14ac:dyDescent="0.15">
      <c r="B974" s="52"/>
      <c r="C974" s="51" t="e">
        <f ca="1"/>
        <v>#N/A</v>
      </c>
    </row>
    <row r="975" spans="2:3" x14ac:dyDescent="0.15">
      <c r="B975" s="52"/>
      <c r="C975" s="51" t="e">
        <f ca="1"/>
        <v>#N/A</v>
      </c>
    </row>
    <row r="976" spans="2:3" x14ac:dyDescent="0.15">
      <c r="B976" s="52"/>
      <c r="C976" s="51" t="e">
        <f ca="1"/>
        <v>#N/A</v>
      </c>
    </row>
    <row r="977" spans="2:3" x14ac:dyDescent="0.15">
      <c r="B977" s="52"/>
      <c r="C977" s="51" t="e">
        <f ca="1"/>
        <v>#N/A</v>
      </c>
    </row>
    <row r="978" spans="2:3" x14ac:dyDescent="0.15">
      <c r="B978" s="52"/>
      <c r="C978" s="51" t="e">
        <f ca="1"/>
        <v>#N/A</v>
      </c>
    </row>
    <row r="979" spans="2:3" x14ac:dyDescent="0.15">
      <c r="B979" s="52"/>
      <c r="C979" s="51" t="e">
        <f ca="1"/>
        <v>#N/A</v>
      </c>
    </row>
    <row r="980" spans="2:3" x14ac:dyDescent="0.15">
      <c r="B980" s="52"/>
      <c r="C980" s="51" t="e">
        <f ca="1"/>
        <v>#N/A</v>
      </c>
    </row>
    <row r="981" spans="2:3" x14ac:dyDescent="0.15">
      <c r="B981" s="52"/>
      <c r="C981" s="51" t="e">
        <f ca="1"/>
        <v>#N/A</v>
      </c>
    </row>
    <row r="982" spans="2:3" x14ac:dyDescent="0.15">
      <c r="B982" s="52"/>
      <c r="C982" s="51" t="e">
        <f ca="1"/>
        <v>#N/A</v>
      </c>
    </row>
    <row r="983" spans="2:3" x14ac:dyDescent="0.15">
      <c r="B983" s="52"/>
      <c r="C983" s="51" t="e">
        <f ca="1"/>
        <v>#N/A</v>
      </c>
    </row>
    <row r="984" spans="2:3" x14ac:dyDescent="0.15">
      <c r="B984" s="52"/>
      <c r="C984" s="51" t="e">
        <f ca="1"/>
        <v>#N/A</v>
      </c>
    </row>
    <row r="985" spans="2:3" x14ac:dyDescent="0.15">
      <c r="B985" s="52"/>
      <c r="C985" s="51" t="e">
        <f ca="1"/>
        <v>#N/A</v>
      </c>
    </row>
    <row r="986" spans="2:3" x14ac:dyDescent="0.15">
      <c r="B986" s="52"/>
      <c r="C986" s="51" t="e">
        <f ca="1"/>
        <v>#N/A</v>
      </c>
    </row>
    <row r="987" spans="2:3" x14ac:dyDescent="0.15">
      <c r="B987" s="52"/>
      <c r="C987" s="51" t="e">
        <f ca="1"/>
        <v>#N/A</v>
      </c>
    </row>
    <row r="988" spans="2:3" x14ac:dyDescent="0.15">
      <c r="B988" s="52"/>
      <c r="C988" s="51" t="e">
        <f ca="1"/>
        <v>#N/A</v>
      </c>
    </row>
    <row r="989" spans="2:3" x14ac:dyDescent="0.15">
      <c r="B989" s="52"/>
      <c r="C989" s="51" t="e">
        <f ca="1"/>
        <v>#N/A</v>
      </c>
    </row>
    <row r="990" spans="2:3" x14ac:dyDescent="0.15">
      <c r="B990" s="52"/>
      <c r="C990" s="51" t="e">
        <f ca="1"/>
        <v>#N/A</v>
      </c>
    </row>
    <row r="991" spans="2:3" x14ac:dyDescent="0.15">
      <c r="B991" s="52"/>
      <c r="C991" s="51" t="e">
        <f ca="1"/>
        <v>#N/A</v>
      </c>
    </row>
    <row r="992" spans="2:3" x14ac:dyDescent="0.15">
      <c r="B992" s="52"/>
      <c r="C992" s="51" t="e">
        <f ca="1"/>
        <v>#N/A</v>
      </c>
    </row>
    <row r="993" spans="2:3" x14ac:dyDescent="0.15">
      <c r="B993" s="52"/>
      <c r="C993" s="51" t="e">
        <f ca="1"/>
        <v>#N/A</v>
      </c>
    </row>
    <row r="994" spans="2:3" x14ac:dyDescent="0.15">
      <c r="B994" s="52"/>
      <c r="C994" s="51" t="e">
        <f ca="1"/>
        <v>#N/A</v>
      </c>
    </row>
    <row r="995" spans="2:3" x14ac:dyDescent="0.15">
      <c r="B995" s="52"/>
      <c r="C995" s="51" t="e">
        <f ca="1"/>
        <v>#N/A</v>
      </c>
    </row>
    <row r="996" spans="2:3" x14ac:dyDescent="0.15">
      <c r="B996" s="52"/>
      <c r="C996" s="51" t="e">
        <f ca="1"/>
        <v>#N/A</v>
      </c>
    </row>
    <row r="997" spans="2:3" x14ac:dyDescent="0.15">
      <c r="B997" s="52"/>
      <c r="C997" s="51" t="e">
        <f ca="1"/>
        <v>#N/A</v>
      </c>
    </row>
    <row r="998" spans="2:3" x14ac:dyDescent="0.15">
      <c r="B998" s="52"/>
      <c r="C998" s="51" t="e">
        <f ca="1"/>
        <v>#N/A</v>
      </c>
    </row>
    <row r="999" spans="2:3" x14ac:dyDescent="0.15">
      <c r="B999" s="52"/>
      <c r="C999" s="51" t="e">
        <f ca="1"/>
        <v>#N/A</v>
      </c>
    </row>
    <row r="1000" spans="2:3" x14ac:dyDescent="0.15">
      <c r="B1000" s="52"/>
      <c r="C1000" s="51" t="e">
        <f ca="1"/>
        <v>#N/A</v>
      </c>
    </row>
    <row r="1001" spans="2:3" x14ac:dyDescent="0.15">
      <c r="B1001" s="52"/>
      <c r="C1001" s="51" t="e">
        <f ca="1"/>
        <v>#N/A</v>
      </c>
    </row>
    <row r="1002" spans="2:3" x14ac:dyDescent="0.15">
      <c r="B1002" s="52"/>
      <c r="C1002" s="51" t="e">
        <f ca="1"/>
        <v>#N/A</v>
      </c>
    </row>
    <row r="1003" spans="2:3" x14ac:dyDescent="0.15">
      <c r="B1003" s="52"/>
      <c r="C1003" s="51" t="e">
        <f ca="1"/>
        <v>#N/A</v>
      </c>
    </row>
    <row r="1004" spans="2:3" x14ac:dyDescent="0.15">
      <c r="B1004" s="52"/>
      <c r="C1004" s="51" t="e">
        <f ca="1"/>
        <v>#N/A</v>
      </c>
    </row>
    <row r="1005" spans="2:3" x14ac:dyDescent="0.15">
      <c r="B1005" s="52"/>
      <c r="C1005" s="51" t="e">
        <f ca="1"/>
        <v>#N/A</v>
      </c>
    </row>
    <row r="1006" spans="2:3" x14ac:dyDescent="0.15">
      <c r="B1006" s="52"/>
      <c r="C1006" s="51" t="e">
        <f ca="1"/>
        <v>#N/A</v>
      </c>
    </row>
    <row r="1007" spans="2:3" x14ac:dyDescent="0.15">
      <c r="B1007" s="52"/>
      <c r="C1007" s="51" t="e">
        <f ca="1"/>
        <v>#N/A</v>
      </c>
    </row>
    <row r="1008" spans="2:3" x14ac:dyDescent="0.15">
      <c r="B1008" s="52"/>
      <c r="C1008" s="51" t="e">
        <f ca="1"/>
        <v>#N/A</v>
      </c>
    </row>
    <row r="1009" spans="2:3" x14ac:dyDescent="0.15">
      <c r="B1009" s="52"/>
      <c r="C1009" s="51" t="e">
        <f ca="1"/>
        <v>#N/A</v>
      </c>
    </row>
    <row r="1010" spans="2:3" x14ac:dyDescent="0.15">
      <c r="B1010" s="52"/>
      <c r="C1010" s="51" t="e">
        <f ca="1"/>
        <v>#N/A</v>
      </c>
    </row>
    <row r="1011" spans="2:3" x14ac:dyDescent="0.15">
      <c r="B1011" s="52"/>
      <c r="C1011" s="51" t="e">
        <f ca="1"/>
        <v>#N/A</v>
      </c>
    </row>
    <row r="1012" spans="2:3" x14ac:dyDescent="0.15">
      <c r="B1012" s="52"/>
      <c r="C1012" s="51" t="e">
        <f ca="1"/>
        <v>#N/A</v>
      </c>
    </row>
    <row r="1013" spans="2:3" x14ac:dyDescent="0.15">
      <c r="B1013" s="52"/>
      <c r="C1013" s="51" t="e">
        <f ca="1"/>
        <v>#N/A</v>
      </c>
    </row>
    <row r="1014" spans="2:3" x14ac:dyDescent="0.15">
      <c r="B1014" s="52"/>
      <c r="C1014" s="51" t="e">
        <f ca="1"/>
        <v>#N/A</v>
      </c>
    </row>
    <row r="1015" spans="2:3" x14ac:dyDescent="0.15">
      <c r="B1015" s="52"/>
      <c r="C1015" s="51" t="e">
        <f ca="1"/>
        <v>#N/A</v>
      </c>
    </row>
    <row r="1016" spans="2:3" x14ac:dyDescent="0.15">
      <c r="B1016" s="52"/>
      <c r="C1016" s="51" t="e">
        <f ca="1"/>
        <v>#N/A</v>
      </c>
    </row>
    <row r="1017" spans="2:3" x14ac:dyDescent="0.15">
      <c r="B1017" s="52"/>
      <c r="C1017" s="51" t="e">
        <f ca="1"/>
        <v>#N/A</v>
      </c>
    </row>
    <row r="1018" spans="2:3" x14ac:dyDescent="0.15">
      <c r="B1018" s="52"/>
      <c r="C1018" s="51" t="e">
        <f ca="1"/>
        <v>#N/A</v>
      </c>
    </row>
    <row r="1019" spans="2:3" x14ac:dyDescent="0.15">
      <c r="B1019" s="52"/>
      <c r="C1019" s="51" t="e">
        <f ca="1"/>
        <v>#N/A</v>
      </c>
    </row>
    <row r="1020" spans="2:3" x14ac:dyDescent="0.15">
      <c r="B1020" s="52"/>
      <c r="C1020" s="51" t="e">
        <f ca="1"/>
        <v>#N/A</v>
      </c>
    </row>
    <row r="1021" spans="2:3" x14ac:dyDescent="0.15">
      <c r="B1021" s="52"/>
      <c r="C1021" s="51" t="e">
        <f ca="1"/>
        <v>#N/A</v>
      </c>
    </row>
    <row r="1022" spans="2:3" x14ac:dyDescent="0.15">
      <c r="B1022" s="52"/>
      <c r="C1022" s="51" t="e">
        <f ca="1"/>
        <v>#N/A</v>
      </c>
    </row>
    <row r="1023" spans="2:3" x14ac:dyDescent="0.15">
      <c r="B1023" s="52"/>
      <c r="C1023" s="51" t="e">
        <f ca="1"/>
        <v>#N/A</v>
      </c>
    </row>
    <row r="1024" spans="2:3" x14ac:dyDescent="0.15">
      <c r="B1024" s="52"/>
      <c r="C1024" s="51" t="e">
        <f ca="1"/>
        <v>#N/A</v>
      </c>
    </row>
    <row r="1025" spans="2:3" x14ac:dyDescent="0.15">
      <c r="B1025" s="52"/>
      <c r="C1025" s="51" t="e">
        <f ca="1"/>
        <v>#N/A</v>
      </c>
    </row>
    <row r="1026" spans="2:3" x14ac:dyDescent="0.15">
      <c r="B1026" s="52"/>
      <c r="C1026" s="51" t="e">
        <f ca="1"/>
        <v>#N/A</v>
      </c>
    </row>
    <row r="1027" spans="2:3" x14ac:dyDescent="0.15">
      <c r="B1027" s="52"/>
      <c r="C1027" s="51" t="e">
        <f ca="1"/>
        <v>#N/A</v>
      </c>
    </row>
    <row r="1028" spans="2:3" x14ac:dyDescent="0.15">
      <c r="B1028" s="52"/>
      <c r="C1028" s="51" t="e">
        <f ca="1"/>
        <v>#N/A</v>
      </c>
    </row>
    <row r="1029" spans="2:3" x14ac:dyDescent="0.15">
      <c r="B1029" s="52"/>
      <c r="C1029" s="51" t="e">
        <f ca="1"/>
        <v>#N/A</v>
      </c>
    </row>
    <row r="1030" spans="2:3" x14ac:dyDescent="0.15">
      <c r="B1030" s="52"/>
      <c r="C1030" s="51" t="e">
        <f ca="1"/>
        <v>#N/A</v>
      </c>
    </row>
    <row r="1031" spans="2:3" x14ac:dyDescent="0.15">
      <c r="B1031" s="52"/>
      <c r="C1031" s="51" t="e">
        <f ca="1"/>
        <v>#N/A</v>
      </c>
    </row>
    <row r="1032" spans="2:3" x14ac:dyDescent="0.15">
      <c r="B1032" s="52"/>
      <c r="C1032" s="51" t="e">
        <f ca="1"/>
        <v>#N/A</v>
      </c>
    </row>
    <row r="1033" spans="2:3" x14ac:dyDescent="0.15">
      <c r="B1033" s="52"/>
      <c r="C1033" s="51" t="e">
        <f ca="1"/>
        <v>#N/A</v>
      </c>
    </row>
    <row r="1034" spans="2:3" x14ac:dyDescent="0.15">
      <c r="B1034" s="52"/>
      <c r="C1034" s="51" t="e">
        <f ca="1"/>
        <v>#N/A</v>
      </c>
    </row>
    <row r="1035" spans="2:3" x14ac:dyDescent="0.15">
      <c r="B1035" s="52"/>
      <c r="C1035" s="51" t="e">
        <f ca="1"/>
        <v>#N/A</v>
      </c>
    </row>
    <row r="1036" spans="2:3" x14ac:dyDescent="0.15">
      <c r="B1036" s="52"/>
      <c r="C1036" s="51" t="e">
        <f ca="1"/>
        <v>#N/A</v>
      </c>
    </row>
    <row r="1037" spans="2:3" x14ac:dyDescent="0.15">
      <c r="B1037" s="52"/>
      <c r="C1037" s="51" t="e">
        <f ca="1"/>
        <v>#N/A</v>
      </c>
    </row>
    <row r="1038" spans="2:3" x14ac:dyDescent="0.15">
      <c r="B1038" s="52"/>
      <c r="C1038" s="51" t="e">
        <f ca="1"/>
        <v>#N/A</v>
      </c>
    </row>
    <row r="1039" spans="2:3" x14ac:dyDescent="0.15">
      <c r="B1039" s="52"/>
      <c r="C1039" s="51" t="e">
        <f ca="1"/>
        <v>#N/A</v>
      </c>
    </row>
    <row r="1040" spans="2:3" x14ac:dyDescent="0.15">
      <c r="B1040" s="52"/>
      <c r="C1040" s="51" t="e">
        <f ca="1"/>
        <v>#N/A</v>
      </c>
    </row>
    <row r="1041" spans="2:3" x14ac:dyDescent="0.15">
      <c r="B1041" s="52"/>
      <c r="C1041" s="51" t="e">
        <f ca="1"/>
        <v>#N/A</v>
      </c>
    </row>
    <row r="1042" spans="2:3" x14ac:dyDescent="0.15">
      <c r="B1042" s="52"/>
      <c r="C1042" s="51" t="e">
        <f ca="1"/>
        <v>#N/A</v>
      </c>
    </row>
    <row r="1043" spans="2:3" x14ac:dyDescent="0.15">
      <c r="B1043" s="52"/>
      <c r="C1043" s="51" t="e">
        <f ca="1"/>
        <v>#N/A</v>
      </c>
    </row>
    <row r="1044" spans="2:3" x14ac:dyDescent="0.15">
      <c r="B1044" s="52"/>
      <c r="C1044" s="51" t="e">
        <f ca="1"/>
        <v>#N/A</v>
      </c>
    </row>
    <row r="1045" spans="2:3" x14ac:dyDescent="0.15">
      <c r="B1045" s="52"/>
      <c r="C1045" s="51" t="e">
        <f ca="1"/>
        <v>#N/A</v>
      </c>
    </row>
    <row r="1046" spans="2:3" x14ac:dyDescent="0.15">
      <c r="B1046" s="52"/>
      <c r="C1046" s="51" t="e">
        <f ca="1"/>
        <v>#N/A</v>
      </c>
    </row>
    <row r="1047" spans="2:3" x14ac:dyDescent="0.15">
      <c r="B1047" s="52"/>
      <c r="C1047" s="51" t="e">
        <f ca="1"/>
        <v>#N/A</v>
      </c>
    </row>
    <row r="1048" spans="2:3" x14ac:dyDescent="0.15">
      <c r="B1048" s="52"/>
      <c r="C1048" s="51" t="e">
        <f ca="1"/>
        <v>#N/A</v>
      </c>
    </row>
    <row r="1049" spans="2:3" x14ac:dyDescent="0.15">
      <c r="B1049" s="52"/>
      <c r="C1049" s="51" t="e">
        <f ca="1"/>
        <v>#N/A</v>
      </c>
    </row>
    <row r="1050" spans="2:3" x14ac:dyDescent="0.15">
      <c r="B1050" s="52"/>
      <c r="C1050" s="51" t="e">
        <f ca="1"/>
        <v>#N/A</v>
      </c>
    </row>
    <row r="1051" spans="2:3" x14ac:dyDescent="0.15">
      <c r="B1051" s="52"/>
      <c r="C1051" s="51" t="e">
        <f ca="1"/>
        <v>#N/A</v>
      </c>
    </row>
    <row r="1052" spans="2:3" x14ac:dyDescent="0.15">
      <c r="B1052" s="52"/>
      <c r="C1052" s="51" t="e">
        <f ca="1"/>
        <v>#N/A</v>
      </c>
    </row>
    <row r="1053" spans="2:3" x14ac:dyDescent="0.15">
      <c r="B1053" s="52"/>
      <c r="C1053" s="51" t="e">
        <f ca="1"/>
        <v>#N/A</v>
      </c>
    </row>
    <row r="1054" spans="2:3" x14ac:dyDescent="0.15">
      <c r="B1054" s="52"/>
      <c r="C1054" s="51" t="e">
        <f ca="1"/>
        <v>#N/A</v>
      </c>
    </row>
    <row r="1055" spans="2:3" x14ac:dyDescent="0.15">
      <c r="B1055" s="52"/>
      <c r="C1055" s="51" t="e">
        <f ca="1"/>
        <v>#N/A</v>
      </c>
    </row>
    <row r="1056" spans="2:3" x14ac:dyDescent="0.15">
      <c r="B1056" s="52"/>
      <c r="C1056" s="51" t="e">
        <f ca="1"/>
        <v>#N/A</v>
      </c>
    </row>
    <row r="1057" spans="2:3" x14ac:dyDescent="0.15">
      <c r="B1057" s="52"/>
      <c r="C1057" s="51" t="e">
        <f ca="1"/>
        <v>#N/A</v>
      </c>
    </row>
    <row r="1058" spans="2:3" x14ac:dyDescent="0.15">
      <c r="B1058" s="52"/>
      <c r="C1058" s="51" t="e">
        <f ca="1"/>
        <v>#N/A</v>
      </c>
    </row>
    <row r="1059" spans="2:3" x14ac:dyDescent="0.15">
      <c r="B1059" s="52"/>
      <c r="C1059" s="51" t="e">
        <f ca="1"/>
        <v>#N/A</v>
      </c>
    </row>
    <row r="1060" spans="2:3" x14ac:dyDescent="0.15">
      <c r="B1060" s="52"/>
      <c r="C1060" s="51" t="e">
        <f ca="1"/>
        <v>#N/A</v>
      </c>
    </row>
    <row r="1061" spans="2:3" x14ac:dyDescent="0.15">
      <c r="B1061" s="52"/>
      <c r="C1061" s="51" t="e">
        <f ca="1"/>
        <v>#N/A</v>
      </c>
    </row>
    <row r="1062" spans="2:3" x14ac:dyDescent="0.15">
      <c r="B1062" s="52"/>
      <c r="C1062" s="51" t="e">
        <f ca="1"/>
        <v>#N/A</v>
      </c>
    </row>
    <row r="1063" spans="2:3" x14ac:dyDescent="0.15">
      <c r="B1063" s="52"/>
      <c r="C1063" s="51" t="e">
        <f ca="1"/>
        <v>#N/A</v>
      </c>
    </row>
    <row r="1064" spans="2:3" x14ac:dyDescent="0.15">
      <c r="B1064" s="52"/>
      <c r="C1064" s="51" t="e">
        <f ca="1"/>
        <v>#N/A</v>
      </c>
    </row>
    <row r="1065" spans="2:3" x14ac:dyDescent="0.15">
      <c r="B1065" s="52"/>
      <c r="C1065" s="51" t="e">
        <f ca="1"/>
        <v>#N/A</v>
      </c>
    </row>
    <row r="1066" spans="2:3" x14ac:dyDescent="0.15">
      <c r="B1066" s="52"/>
      <c r="C1066" s="51" t="e">
        <f ca="1"/>
        <v>#N/A</v>
      </c>
    </row>
    <row r="1067" spans="2:3" x14ac:dyDescent="0.15">
      <c r="B1067" s="52"/>
      <c r="C1067" s="51" t="e">
        <f ca="1"/>
        <v>#N/A</v>
      </c>
    </row>
    <row r="1068" spans="2:3" x14ac:dyDescent="0.15">
      <c r="B1068" s="52"/>
      <c r="C1068" s="51" t="e">
        <f ca="1"/>
        <v>#N/A</v>
      </c>
    </row>
    <row r="1069" spans="2:3" x14ac:dyDescent="0.15">
      <c r="B1069" s="52"/>
      <c r="C1069" s="51" t="e">
        <f ca="1"/>
        <v>#N/A</v>
      </c>
    </row>
    <row r="1070" spans="2:3" x14ac:dyDescent="0.15">
      <c r="B1070" s="52"/>
      <c r="C1070" s="51" t="e">
        <f ca="1"/>
        <v>#N/A</v>
      </c>
    </row>
    <row r="1071" spans="2:3" x14ac:dyDescent="0.15">
      <c r="B1071" s="52"/>
      <c r="C1071" s="51" t="e">
        <f ca="1"/>
        <v>#N/A</v>
      </c>
    </row>
    <row r="1072" spans="2:3" x14ac:dyDescent="0.15">
      <c r="B1072" s="52"/>
      <c r="C1072" s="51" t="e">
        <f ca="1"/>
        <v>#N/A</v>
      </c>
    </row>
    <row r="1073" spans="2:3" x14ac:dyDescent="0.15">
      <c r="B1073" s="52"/>
      <c r="C1073" s="51" t="e">
        <f ca="1"/>
        <v>#N/A</v>
      </c>
    </row>
    <row r="1074" spans="2:3" x14ac:dyDescent="0.15">
      <c r="B1074" s="52"/>
      <c r="C1074" s="51" t="e">
        <f ca="1"/>
        <v>#N/A</v>
      </c>
    </row>
    <row r="1075" spans="2:3" x14ac:dyDescent="0.15">
      <c r="B1075" s="52"/>
      <c r="C1075" s="51" t="e">
        <f ca="1"/>
        <v>#N/A</v>
      </c>
    </row>
    <row r="1076" spans="2:3" x14ac:dyDescent="0.15">
      <c r="B1076" s="52"/>
      <c r="C1076" s="51" t="e">
        <f ca="1"/>
        <v>#N/A</v>
      </c>
    </row>
    <row r="1077" spans="2:3" x14ac:dyDescent="0.15">
      <c r="B1077" s="52"/>
      <c r="C1077" s="51" t="e">
        <f ca="1"/>
        <v>#N/A</v>
      </c>
    </row>
    <row r="1078" spans="2:3" x14ac:dyDescent="0.15">
      <c r="B1078" s="52"/>
      <c r="C1078" s="51" t="e">
        <f ca="1"/>
        <v>#N/A</v>
      </c>
    </row>
    <row r="1079" spans="2:3" x14ac:dyDescent="0.15">
      <c r="B1079" s="52"/>
      <c r="C1079" s="51" t="e">
        <f ca="1"/>
        <v>#N/A</v>
      </c>
    </row>
    <row r="1080" spans="2:3" x14ac:dyDescent="0.15">
      <c r="B1080" s="52"/>
      <c r="C1080" s="51" t="e">
        <f ca="1"/>
        <v>#N/A</v>
      </c>
    </row>
    <row r="1081" spans="2:3" x14ac:dyDescent="0.15">
      <c r="B1081" s="52"/>
      <c r="C1081" s="51" t="e">
        <f ca="1"/>
        <v>#N/A</v>
      </c>
    </row>
    <row r="1082" spans="2:3" x14ac:dyDescent="0.15">
      <c r="B1082" s="52"/>
      <c r="C1082" s="51" t="e">
        <f ca="1"/>
        <v>#N/A</v>
      </c>
    </row>
    <row r="1083" spans="2:3" x14ac:dyDescent="0.15">
      <c r="B1083" s="52"/>
      <c r="C1083" s="51" t="e">
        <f ca="1"/>
        <v>#N/A</v>
      </c>
    </row>
    <row r="1084" spans="2:3" x14ac:dyDescent="0.15">
      <c r="B1084" s="52"/>
      <c r="C1084" s="51" t="e">
        <f ca="1"/>
        <v>#N/A</v>
      </c>
    </row>
    <row r="1085" spans="2:3" x14ac:dyDescent="0.15">
      <c r="B1085" s="52"/>
      <c r="C1085" s="51" t="e">
        <f ca="1"/>
        <v>#N/A</v>
      </c>
    </row>
    <row r="1086" spans="2:3" x14ac:dyDescent="0.15">
      <c r="B1086" s="52"/>
      <c r="C1086" s="51" t="e">
        <f ca="1"/>
        <v>#N/A</v>
      </c>
    </row>
    <row r="1087" spans="2:3" x14ac:dyDescent="0.15">
      <c r="B1087" s="52"/>
      <c r="C1087" s="51" t="e">
        <f ca="1"/>
        <v>#N/A</v>
      </c>
    </row>
    <row r="1088" spans="2:3" x14ac:dyDescent="0.15">
      <c r="B1088" s="52"/>
      <c r="C1088" s="51" t="e">
        <f ca="1"/>
        <v>#N/A</v>
      </c>
    </row>
    <row r="1089" spans="2:3" x14ac:dyDescent="0.15">
      <c r="B1089" s="52"/>
      <c r="C1089" s="51" t="e">
        <f ca="1"/>
        <v>#N/A</v>
      </c>
    </row>
  </sheetData>
  <phoneticPr fontId="2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204"/>
  <sheetViews>
    <sheetView workbookViewId="0">
      <selection activeCell="B2" sqref="B2"/>
    </sheetView>
  </sheetViews>
  <sheetFormatPr defaultRowHeight="13.5" x14ac:dyDescent="0.15"/>
  <cols>
    <col min="1" max="1" width="11.625" bestFit="1" customWidth="1"/>
    <col min="9" max="9" width="19.375" bestFit="1" customWidth="1"/>
    <col min="10" max="16" width="20.5" bestFit="1" customWidth="1"/>
  </cols>
  <sheetData>
    <row r="1" spans="1:15" x14ac:dyDescent="0.15">
      <c r="A1" s="61" t="s">
        <v>113</v>
      </c>
      <c r="B1">
        <v>1</v>
      </c>
      <c r="C1">
        <v>2</v>
      </c>
      <c r="D1">
        <v>5</v>
      </c>
      <c r="E1">
        <v>7</v>
      </c>
      <c r="F1">
        <v>10</v>
      </c>
      <c r="G1">
        <v>20</v>
      </c>
      <c r="H1">
        <v>30</v>
      </c>
      <c r="I1">
        <v>1</v>
      </c>
      <c r="J1">
        <v>2</v>
      </c>
      <c r="K1">
        <v>5</v>
      </c>
      <c r="L1">
        <v>7</v>
      </c>
      <c r="M1">
        <v>10</v>
      </c>
      <c r="N1">
        <v>20</v>
      </c>
      <c r="O1">
        <v>30</v>
      </c>
    </row>
    <row r="2" spans="1:15" x14ac:dyDescent="0.15">
      <c r="A2" s="61">
        <v>41138</v>
      </c>
      <c r="B2">
        <v>4.9095604781046007E-2</v>
      </c>
      <c r="C2">
        <v>4.9095604781046007E-2</v>
      </c>
      <c r="D2">
        <v>4.9095604781046007E-2</v>
      </c>
      <c r="E2">
        <v>4.9095604781046007E-2</v>
      </c>
      <c r="F2">
        <v>4.9095604781046007E-2</v>
      </c>
      <c r="G2">
        <v>4.9095604781046007E-2</v>
      </c>
      <c r="H2">
        <v>4.9095604781046007E-2</v>
      </c>
      <c r="I2" s="62">
        <v>5.0000000001760858E-2</v>
      </c>
      <c r="J2" s="62">
        <v>5.026490800011052E-2</v>
      </c>
      <c r="K2" s="62">
        <v>5.0000000001760858E-2</v>
      </c>
      <c r="L2" s="62">
        <v>5.0000000001760858E-2</v>
      </c>
      <c r="M2" s="62">
        <v>5.0000000001760858E-2</v>
      </c>
      <c r="N2" s="62">
        <v>5.0000000001760858E-2</v>
      </c>
      <c r="O2" s="62">
        <v>5.0000000001760858E-2</v>
      </c>
    </row>
    <row r="3" spans="1:15" x14ac:dyDescent="0.15">
      <c r="A3" s="61">
        <v>41232</v>
      </c>
      <c r="B3">
        <v>4.9095604781046007E-2</v>
      </c>
      <c r="C3">
        <v>4.9351039563654706E-2</v>
      </c>
      <c r="D3">
        <v>4.9095604781046007E-2</v>
      </c>
      <c r="E3">
        <v>4.9095604781046007E-2</v>
      </c>
      <c r="F3">
        <v>4.9095604781046007E-2</v>
      </c>
      <c r="G3">
        <v>4.9095604781046007E-2</v>
      </c>
      <c r="H3">
        <v>4.9095604781046007E-2</v>
      </c>
      <c r="I3" s="62">
        <v>5.00000000017784E-2</v>
      </c>
      <c r="J3" s="62">
        <v>5.0264908000100306E-2</v>
      </c>
      <c r="K3" s="62">
        <v>5.00000000017784E-2</v>
      </c>
      <c r="L3" s="62">
        <v>5.00000000017784E-2</v>
      </c>
      <c r="M3" s="62">
        <v>5.00000000017784E-2</v>
      </c>
      <c r="N3" s="62">
        <v>5.00000000017784E-2</v>
      </c>
      <c r="O3" s="62">
        <v>5.00000000017784E-2</v>
      </c>
    </row>
    <row r="4" spans="1:15" x14ac:dyDescent="0.15">
      <c r="A4" s="61">
        <v>41324</v>
      </c>
      <c r="B4">
        <v>4.9396874776212463E-2</v>
      </c>
      <c r="C4">
        <v>4.9902309558821162E-2</v>
      </c>
      <c r="D4">
        <v>4.9396874776212463E-2</v>
      </c>
      <c r="E4">
        <v>4.9396874776212463E-2</v>
      </c>
      <c r="F4">
        <v>4.9396874776212463E-2</v>
      </c>
      <c r="G4">
        <v>4.9396874776212463E-2</v>
      </c>
      <c r="H4">
        <v>4.9396874776212463E-2</v>
      </c>
      <c r="I4" s="62">
        <v>5.0000000001069411E-2</v>
      </c>
      <c r="J4" s="62">
        <v>5.0516456986090974E-2</v>
      </c>
      <c r="K4" s="62">
        <v>5.0000000001069411E-2</v>
      </c>
      <c r="L4" s="62">
        <v>5.0000000001069411E-2</v>
      </c>
      <c r="M4" s="62">
        <v>5.0000000001069411E-2</v>
      </c>
      <c r="N4" s="62">
        <v>5.0000000001069411E-2</v>
      </c>
      <c r="O4" s="62">
        <v>5.0000000001069411E-2</v>
      </c>
    </row>
    <row r="5" spans="1:15" x14ac:dyDescent="0.15">
      <c r="A5" s="61">
        <v>41414</v>
      </c>
      <c r="B5">
        <v>4.9703998427645578E-2</v>
      </c>
      <c r="C5">
        <v>5.0453998427645579E-2</v>
      </c>
      <c r="D5">
        <v>4.9703998427645578E-2</v>
      </c>
      <c r="E5">
        <v>4.9703998427645578E-2</v>
      </c>
      <c r="F5">
        <v>4.9703998427645578E-2</v>
      </c>
      <c r="G5">
        <v>4.9703998427645578E-2</v>
      </c>
      <c r="H5">
        <v>4.9703998427645578E-2</v>
      </c>
      <c r="I5" s="62">
        <v>5.0000000000006928E-2</v>
      </c>
      <c r="J5" s="62">
        <v>5.0757158286949045E-2</v>
      </c>
      <c r="K5" s="62">
        <v>5.0000000000006928E-2</v>
      </c>
      <c r="L5" s="62">
        <v>5.0000000000006928E-2</v>
      </c>
      <c r="M5" s="62">
        <v>5.0000000000006928E-2</v>
      </c>
      <c r="N5" s="62">
        <v>5.0000000000006928E-2</v>
      </c>
      <c r="O5" s="62">
        <v>5.0000000000006928E-2</v>
      </c>
    </row>
    <row r="6" spans="1:15" x14ac:dyDescent="0.15">
      <c r="A6" s="61">
        <v>41506</v>
      </c>
      <c r="B6">
        <v>4.9989591808261472E-2</v>
      </c>
      <c r="C6">
        <v>5.0989591808261472E-2</v>
      </c>
      <c r="D6">
        <v>4.9989591808261472E-2</v>
      </c>
      <c r="E6">
        <v>4.9989591808261472E-2</v>
      </c>
      <c r="F6">
        <v>4.9989591808261472E-2</v>
      </c>
      <c r="G6">
        <v>4.9989591808261472E-2</v>
      </c>
      <c r="H6">
        <v>4.9989591808261472E-2</v>
      </c>
      <c r="I6" s="62">
        <v>5.0000000000004929E-2</v>
      </c>
      <c r="J6" s="62">
        <v>5.0998405214587983E-2</v>
      </c>
      <c r="K6" s="62">
        <v>5.0000000000004929E-2</v>
      </c>
      <c r="L6" s="62">
        <v>5.0000000000004929E-2</v>
      </c>
      <c r="M6" s="62">
        <v>5.0000000000004929E-2</v>
      </c>
      <c r="N6" s="62">
        <v>5.0000000000004929E-2</v>
      </c>
      <c r="O6" s="62">
        <v>5.0000000000004929E-2</v>
      </c>
    </row>
    <row r="7" spans="1:15" x14ac:dyDescent="0.15">
      <c r="A7" s="61">
        <v>41598</v>
      </c>
      <c r="B7">
        <v>4.9807738163394767E-2</v>
      </c>
      <c r="C7">
        <v>5.055568336887422E-2</v>
      </c>
      <c r="D7">
        <v>5.0059792957915315E-2</v>
      </c>
      <c r="E7">
        <v>4.9807738163394767E-2</v>
      </c>
      <c r="F7">
        <v>4.9807738163394767E-2</v>
      </c>
      <c r="G7">
        <v>4.9807738163394767E-2</v>
      </c>
      <c r="H7">
        <v>4.9807738163394767E-2</v>
      </c>
      <c r="I7" s="62">
        <v>4.9999999999556399E-2</v>
      </c>
      <c r="J7" s="62">
        <v>5.0754031293961832E-2</v>
      </c>
      <c r="K7" s="62">
        <v>5.0254136280145412E-2</v>
      </c>
      <c r="L7" s="62">
        <v>4.9999999999556399E-2</v>
      </c>
      <c r="M7" s="62">
        <v>4.9999999999556399E-2</v>
      </c>
      <c r="N7" s="62">
        <v>4.9999999999556399E-2</v>
      </c>
      <c r="O7" s="62">
        <v>4.9999999999556399E-2</v>
      </c>
    </row>
    <row r="8" spans="1:15" x14ac:dyDescent="0.15">
      <c r="A8" s="61">
        <v>41690</v>
      </c>
      <c r="B8">
        <v>4.9791280181410325E-2</v>
      </c>
      <c r="C8">
        <v>5.0287170592369229E-2</v>
      </c>
      <c r="D8">
        <v>5.0295389770451421E-2</v>
      </c>
      <c r="E8">
        <v>4.9791280181410325E-2</v>
      </c>
      <c r="F8">
        <v>4.9791280181410325E-2</v>
      </c>
      <c r="G8">
        <v>4.9791280181410325E-2</v>
      </c>
      <c r="H8">
        <v>4.9791280181410325E-2</v>
      </c>
      <c r="I8" s="62">
        <v>4.9999999999620348E-2</v>
      </c>
      <c r="J8" s="62">
        <v>5.0499482660100181E-2</v>
      </c>
      <c r="K8" s="62">
        <v>5.0511831141904384E-2</v>
      </c>
      <c r="L8" s="62">
        <v>4.9999999999620348E-2</v>
      </c>
      <c r="M8" s="62">
        <v>4.9999999999620348E-2</v>
      </c>
      <c r="N8" s="62">
        <v>4.9999999999620348E-2</v>
      </c>
      <c r="O8" s="62">
        <v>4.9999999999620348E-2</v>
      </c>
    </row>
    <row r="9" spans="1:15" x14ac:dyDescent="0.15">
      <c r="A9" s="61">
        <v>41779</v>
      </c>
      <c r="B9">
        <v>4.986878705526112E-2</v>
      </c>
      <c r="C9">
        <v>5.0120841849781668E-2</v>
      </c>
      <c r="D9">
        <v>5.0616732260740573E-2</v>
      </c>
      <c r="E9">
        <v>4.986878705526112E-2</v>
      </c>
      <c r="F9">
        <v>4.986878705526112E-2</v>
      </c>
      <c r="G9">
        <v>4.986878705526112E-2</v>
      </c>
      <c r="H9">
        <v>4.986878705526112E-2</v>
      </c>
      <c r="I9" s="62">
        <v>5.0000000000002931E-2</v>
      </c>
      <c r="J9" s="62">
        <v>5.0245138859883465E-2</v>
      </c>
      <c r="K9" s="62">
        <v>5.0763186020012396E-2</v>
      </c>
      <c r="L9" s="62">
        <v>5.0000000000002931E-2</v>
      </c>
      <c r="M9" s="62">
        <v>5.0000000000002931E-2</v>
      </c>
      <c r="N9" s="62">
        <v>5.0000000000002931E-2</v>
      </c>
      <c r="O9" s="62">
        <v>5.0000000000002931E-2</v>
      </c>
    </row>
    <row r="10" spans="1:15" x14ac:dyDescent="0.15">
      <c r="A10" s="61">
        <v>41871</v>
      </c>
      <c r="B10">
        <v>4.9994646322111549E-2</v>
      </c>
      <c r="C10">
        <v>4.9994646322111549E-2</v>
      </c>
      <c r="D10">
        <v>5.099464632211155E-2</v>
      </c>
      <c r="E10">
        <v>4.9994646322111549E-2</v>
      </c>
      <c r="F10">
        <v>4.9994646322111549E-2</v>
      </c>
      <c r="G10">
        <v>4.9994646322111549E-2</v>
      </c>
      <c r="H10">
        <v>4.9994646322111549E-2</v>
      </c>
      <c r="I10" s="62">
        <v>5.0000000000002709E-2</v>
      </c>
      <c r="J10" s="62">
        <v>4.9975313032564195E-2</v>
      </c>
      <c r="K10" s="62">
        <v>5.1024439220511253E-2</v>
      </c>
      <c r="L10" s="62">
        <v>4.9999999999714273E-2</v>
      </c>
      <c r="M10" s="62">
        <v>4.9999999999714273E-2</v>
      </c>
      <c r="N10" s="62">
        <v>4.9999999999714273E-2</v>
      </c>
      <c r="O10" s="62">
        <v>4.9999999999714273E-2</v>
      </c>
    </row>
    <row r="11" spans="1:15" x14ac:dyDescent="0.15">
      <c r="A11" s="61">
        <v>41963</v>
      </c>
      <c r="B11">
        <v>4.9890083892058353E-2</v>
      </c>
      <c r="C11">
        <v>4.9890083892058353E-2</v>
      </c>
      <c r="D11">
        <v>5.0806371426180282E-2</v>
      </c>
      <c r="E11">
        <v>4.9973796357936424E-2</v>
      </c>
      <c r="F11">
        <v>4.9890083892058353E-2</v>
      </c>
      <c r="G11">
        <v>4.9890083892058353E-2</v>
      </c>
      <c r="H11">
        <v>4.9890083892058353E-2</v>
      </c>
      <c r="I11" s="62">
        <v>5.0000000000012035E-2</v>
      </c>
      <c r="J11" s="62">
        <v>4.9978957662925483E-2</v>
      </c>
      <c r="K11" s="62">
        <v>5.0939603413445056E-2</v>
      </c>
      <c r="L11" s="62">
        <v>5.008645485398211E-2</v>
      </c>
      <c r="M11" s="62">
        <v>5.0000000000012035E-2</v>
      </c>
      <c r="N11" s="62">
        <v>5.0000000000012035E-2</v>
      </c>
      <c r="O11" s="62">
        <v>5.0000000000012035E-2</v>
      </c>
    </row>
    <row r="12" spans="1:15" x14ac:dyDescent="0.15">
      <c r="A12" s="61">
        <v>42055</v>
      </c>
      <c r="B12">
        <v>4.987123605799787E-2</v>
      </c>
      <c r="C12">
        <v>4.987123605799787E-2</v>
      </c>
      <c r="D12">
        <v>5.0703811126241727E-2</v>
      </c>
      <c r="E12">
        <v>5.0038660989754014E-2</v>
      </c>
      <c r="F12">
        <v>4.987123605799787E-2</v>
      </c>
      <c r="G12">
        <v>4.987123605799787E-2</v>
      </c>
      <c r="H12">
        <v>4.987123605799787E-2</v>
      </c>
      <c r="I12" s="62">
        <v>5.0000000000008038E-2</v>
      </c>
      <c r="J12" s="62">
        <v>4.9982514277876255E-2</v>
      </c>
      <c r="K12" s="62">
        <v>5.0850538664917178E-2</v>
      </c>
      <c r="L12" s="62">
        <v>5.0174091637136042E-2</v>
      </c>
      <c r="M12" s="62">
        <v>5.0000000000244293E-2</v>
      </c>
      <c r="N12" s="62">
        <v>5.0000000000244293E-2</v>
      </c>
      <c r="O12" s="62">
        <v>5.0000000000244293E-2</v>
      </c>
    </row>
    <row r="13" spans="1:15" x14ac:dyDescent="0.15">
      <c r="A13" s="61">
        <v>42144</v>
      </c>
      <c r="B13">
        <v>4.9914251401490327E-2</v>
      </c>
      <c r="C13">
        <v>4.9914251401490327E-2</v>
      </c>
      <c r="D13">
        <v>5.0665843758178224E-2</v>
      </c>
      <c r="E13">
        <v>5.0162659044802431E-2</v>
      </c>
      <c r="F13">
        <v>4.9914251401490327E-2</v>
      </c>
      <c r="G13">
        <v>4.9914251401490327E-2</v>
      </c>
      <c r="H13">
        <v>4.9914251401490327E-2</v>
      </c>
      <c r="I13" s="62">
        <v>5.0000000000219647E-2</v>
      </c>
      <c r="J13" s="62">
        <v>4.9984197714804779E-2</v>
      </c>
      <c r="K13" s="62">
        <v>5.0761521695923406E-2</v>
      </c>
      <c r="L13" s="62">
        <v>5.0259729645020013E-2</v>
      </c>
      <c r="M13" s="62">
        <v>5.0000000000219647E-2</v>
      </c>
      <c r="N13" s="62">
        <v>5.0000000000219647E-2</v>
      </c>
      <c r="O13" s="62">
        <v>5.0000000000219647E-2</v>
      </c>
    </row>
    <row r="14" spans="1:15" x14ac:dyDescent="0.15">
      <c r="A14" s="61">
        <v>42236</v>
      </c>
      <c r="B14">
        <v>4.9996339373731269E-2</v>
      </c>
      <c r="C14">
        <v>4.9996339373731269E-2</v>
      </c>
      <c r="D14">
        <v>5.0664219264541094E-2</v>
      </c>
      <c r="E14">
        <v>5.0328459482921445E-2</v>
      </c>
      <c r="F14">
        <v>4.9996339373731269E-2</v>
      </c>
      <c r="G14">
        <v>4.9996339373731269E-2</v>
      </c>
      <c r="H14">
        <v>4.9996339373731269E-2</v>
      </c>
      <c r="I14" s="62">
        <v>5.0000000000001821E-2</v>
      </c>
      <c r="J14" s="62">
        <v>4.9983510967096301E-2</v>
      </c>
      <c r="K14" s="62">
        <v>5.0667193633473939E-2</v>
      </c>
      <c r="L14" s="62">
        <v>5.0348902397578055E-2</v>
      </c>
      <c r="M14" s="62">
        <v>5.0000000000213429E-2</v>
      </c>
      <c r="N14" s="62">
        <v>5.0000000000213429E-2</v>
      </c>
      <c r="O14" s="62">
        <v>5.0000000000213429E-2</v>
      </c>
    </row>
    <row r="15" spans="1:15" x14ac:dyDescent="0.15">
      <c r="A15" s="61">
        <v>42328</v>
      </c>
      <c r="B15">
        <v>4.9921929297289232E-2</v>
      </c>
      <c r="C15">
        <v>4.9921929297289232E-2</v>
      </c>
      <c r="D15">
        <v>5.0506096722220985E-2</v>
      </c>
      <c r="E15">
        <v>5.0337761872357473E-2</v>
      </c>
      <c r="F15">
        <v>4.9921929297289232E-2</v>
      </c>
      <c r="G15">
        <v>4.9921929297289232E-2</v>
      </c>
      <c r="H15">
        <v>4.9921929297289232E-2</v>
      </c>
      <c r="I15" s="62">
        <v>5.0000000000008482E-2</v>
      </c>
      <c r="J15" s="62">
        <v>4.9985399564371313E-2</v>
      </c>
      <c r="K15" s="62">
        <v>5.0580619309585906E-2</v>
      </c>
      <c r="L15" s="62">
        <v>5.0437346546289064E-2</v>
      </c>
      <c r="M15" s="62">
        <v>5.000000000000826E-2</v>
      </c>
      <c r="N15" s="62">
        <v>5.000000000000826E-2</v>
      </c>
      <c r="O15" s="62">
        <v>5.000000000000826E-2</v>
      </c>
    </row>
    <row r="16" spans="1:15" x14ac:dyDescent="0.15">
      <c r="A16" s="61">
        <v>42422</v>
      </c>
      <c r="B16">
        <v>4.9906013211564008E-2</v>
      </c>
      <c r="C16">
        <v>4.9906013211564008E-2</v>
      </c>
      <c r="D16">
        <v>5.0404648334402953E-2</v>
      </c>
      <c r="E16">
        <v>5.0407378088725065E-2</v>
      </c>
      <c r="F16">
        <v>4.9906013211564008E-2</v>
      </c>
      <c r="G16">
        <v>4.9906013211564008E-2</v>
      </c>
      <c r="H16">
        <v>4.9906013211564008E-2</v>
      </c>
      <c r="I16" s="62">
        <v>5.0000000000182343E-2</v>
      </c>
      <c r="J16" s="62">
        <v>4.9987577550079543E-2</v>
      </c>
      <c r="K16" s="62">
        <v>5.0489197554027143E-2</v>
      </c>
      <c r="L16" s="62">
        <v>5.0528343083892091E-2</v>
      </c>
      <c r="M16" s="62">
        <v>5.0000000000174349E-2</v>
      </c>
      <c r="N16" s="62">
        <v>5.0000000000174349E-2</v>
      </c>
      <c r="O16" s="62">
        <v>5.0000000000174349E-2</v>
      </c>
    </row>
    <row r="17" spans="1:15" x14ac:dyDescent="0.15">
      <c r="A17" s="61">
        <v>42513</v>
      </c>
      <c r="B17">
        <v>4.9937311436353153E-2</v>
      </c>
      <c r="C17">
        <v>4.9937311436353153E-2</v>
      </c>
      <c r="D17">
        <v>5.0353144011421394E-2</v>
      </c>
      <c r="E17">
        <v>5.0521478861284906E-2</v>
      </c>
      <c r="F17">
        <v>4.9937311436353153E-2</v>
      </c>
      <c r="G17">
        <v>4.9937311436353153E-2</v>
      </c>
      <c r="H17">
        <v>4.9937311436353153E-2</v>
      </c>
      <c r="I17" s="62">
        <v>4.9999999999826406E-2</v>
      </c>
      <c r="J17" s="62">
        <v>4.9988414702204276E-2</v>
      </c>
      <c r="K17" s="62">
        <v>5.0398717625653511E-2</v>
      </c>
      <c r="L17" s="62">
        <v>5.0616911923710761E-2</v>
      </c>
      <c r="M17" s="62">
        <v>4.9999999999993605E-2</v>
      </c>
      <c r="N17" s="62">
        <v>4.9999999999993605E-2</v>
      </c>
      <c r="O17" s="62">
        <v>4.9999999999993605E-2</v>
      </c>
    </row>
    <row r="18" spans="1:15" x14ac:dyDescent="0.15">
      <c r="A18" s="61">
        <v>42605</v>
      </c>
      <c r="B18">
        <v>4.9994569235313605E-2</v>
      </c>
      <c r="C18">
        <v>4.9994569235313605E-2</v>
      </c>
      <c r="D18">
        <v>5.0326689344503781E-2</v>
      </c>
      <c r="E18">
        <v>5.0662449126123429E-2</v>
      </c>
      <c r="F18">
        <v>4.9994569235313605E-2</v>
      </c>
      <c r="G18">
        <v>4.9994569235313605E-2</v>
      </c>
      <c r="H18">
        <v>4.9994569235313605E-2</v>
      </c>
      <c r="I18" s="62">
        <v>5.0000000000001599E-2</v>
      </c>
      <c r="J18" s="62">
        <v>4.9987671081189067E-2</v>
      </c>
      <c r="K18" s="62">
        <v>5.0305611464779965E-2</v>
      </c>
      <c r="L18" s="62">
        <v>5.0706837637376934E-2</v>
      </c>
      <c r="M18" s="62">
        <v>5.0000000000001155E-2</v>
      </c>
      <c r="N18" s="62">
        <v>5.0000000000001155E-2</v>
      </c>
      <c r="O18" s="62">
        <v>5.0000000000001155E-2</v>
      </c>
    </row>
    <row r="19" spans="1:15" x14ac:dyDescent="0.15">
      <c r="A19" s="61">
        <v>42697</v>
      </c>
      <c r="B19">
        <v>4.9937810135054606E-2</v>
      </c>
      <c r="C19">
        <v>4.9937810135054606E-2</v>
      </c>
      <c r="D19">
        <v>5.018621777836671E-2</v>
      </c>
      <c r="E19">
        <v>5.0689402491742502E-2</v>
      </c>
      <c r="F19">
        <v>4.9937810135054606E-2</v>
      </c>
      <c r="G19">
        <v>4.9937810135054606E-2</v>
      </c>
      <c r="H19">
        <v>4.9937810135054606E-2</v>
      </c>
      <c r="I19" s="62">
        <v>5.0000000000157696E-2</v>
      </c>
      <c r="J19" s="62">
        <v>4.9988881834894361E-2</v>
      </c>
      <c r="K19" s="62">
        <v>5.0216993492907536E-2</v>
      </c>
      <c r="L19" s="62">
        <v>5.0797281812478001E-2</v>
      </c>
      <c r="M19" s="62">
        <v>5.0000000000157252E-2</v>
      </c>
      <c r="N19" s="62">
        <v>5.0000000000157252E-2</v>
      </c>
      <c r="O19" s="62">
        <v>5.0000000000157252E-2</v>
      </c>
    </row>
    <row r="20" spans="1:15" x14ac:dyDescent="0.15">
      <c r="A20" s="61">
        <v>42789</v>
      </c>
      <c r="B20">
        <v>4.9923529019879648E-2</v>
      </c>
      <c r="C20">
        <v>4.9923529019879648E-2</v>
      </c>
      <c r="D20">
        <v>5.008822419731368E-2</v>
      </c>
      <c r="E20">
        <v>5.0758833842445616E-2</v>
      </c>
      <c r="F20">
        <v>4.9923529019879648E-2</v>
      </c>
      <c r="G20">
        <v>4.9923529019879648E-2</v>
      </c>
      <c r="H20">
        <v>4.9923529019879648E-2</v>
      </c>
      <c r="I20" s="62">
        <v>4.9999999999997158E-2</v>
      </c>
      <c r="J20" s="62">
        <v>4.999030739241106E-2</v>
      </c>
      <c r="K20" s="62">
        <v>5.0126506922753666E-2</v>
      </c>
      <c r="L20" s="62">
        <v>5.0887994157833294E-2</v>
      </c>
      <c r="M20" s="62">
        <v>5.0000000000135714E-2</v>
      </c>
      <c r="N20" s="62">
        <v>5.0000000000135714E-2</v>
      </c>
      <c r="O20" s="62">
        <v>5.0000000000135714E-2</v>
      </c>
    </row>
    <row r="21" spans="1:15" x14ac:dyDescent="0.15">
      <c r="A21" s="61">
        <v>42878</v>
      </c>
      <c r="B21">
        <v>4.9949270328347811E-2</v>
      </c>
      <c r="C21">
        <v>4.9949270328347811E-2</v>
      </c>
      <c r="D21">
        <v>5.0032982794225883E-2</v>
      </c>
      <c r="E21">
        <v>5.086555786246974E-2</v>
      </c>
      <c r="F21">
        <v>4.9949270328347811E-2</v>
      </c>
      <c r="G21">
        <v>4.9949270328347811E-2</v>
      </c>
      <c r="H21">
        <v>4.9949270328347811E-2</v>
      </c>
      <c r="I21" s="62">
        <v>5.0000000000001599E-2</v>
      </c>
      <c r="J21" s="62">
        <v>4.9990841078577208E-2</v>
      </c>
      <c r="K21" s="62">
        <v>5.0037346579034914E-2</v>
      </c>
      <c r="L21" s="62">
        <v>5.0975977379436044E-2</v>
      </c>
      <c r="M21" s="62">
        <v>5.0000000000133937E-2</v>
      </c>
      <c r="N21" s="62">
        <v>5.0000000000133937E-2</v>
      </c>
      <c r="O21" s="62">
        <v>5.0000000000133937E-2</v>
      </c>
    </row>
    <row r="22" spans="1:15" x14ac:dyDescent="0.15">
      <c r="A22" s="61">
        <v>42970</v>
      </c>
      <c r="B22">
        <v>4.999554830006428E-2</v>
      </c>
      <c r="C22">
        <v>4.999554830006428E-2</v>
      </c>
      <c r="D22">
        <v>4.999554830006428E-2</v>
      </c>
      <c r="E22">
        <v>5.0995548300064281E-2</v>
      </c>
      <c r="F22">
        <v>4.999554830006428E-2</v>
      </c>
      <c r="G22">
        <v>4.999554830006428E-2</v>
      </c>
      <c r="H22">
        <v>4.999554830006428E-2</v>
      </c>
      <c r="I22" s="62">
        <v>5.0000000000134825E-2</v>
      </c>
      <c r="J22" s="62">
        <v>4.9990127062572887E-2</v>
      </c>
      <c r="K22" s="62">
        <v>4.9944073744514927E-2</v>
      </c>
      <c r="L22" s="62">
        <v>5.1067125831258275E-2</v>
      </c>
      <c r="M22" s="62">
        <v>5.0000000000134603E-2</v>
      </c>
      <c r="N22" s="62">
        <v>5.0000000000134603E-2</v>
      </c>
      <c r="O22" s="62">
        <v>5.0000000000134603E-2</v>
      </c>
    </row>
    <row r="23" spans="1:15" x14ac:dyDescent="0.15">
      <c r="A23" s="61">
        <v>43062</v>
      </c>
      <c r="B23">
        <v>4.994841195727745E-2</v>
      </c>
      <c r="C23">
        <v>4.994841195727745E-2</v>
      </c>
      <c r="D23">
        <v>4.994841195727745E-2</v>
      </c>
      <c r="E23">
        <v>5.0898275717495431E-2</v>
      </c>
      <c r="F23">
        <v>4.9998548197059463E-2</v>
      </c>
      <c r="G23">
        <v>4.994841195727745E-2</v>
      </c>
      <c r="H23">
        <v>4.994841195727745E-2</v>
      </c>
      <c r="I23" s="62">
        <v>4.9999999999998934E-2</v>
      </c>
      <c r="J23" s="62">
        <v>4.9990989365419791E-2</v>
      </c>
      <c r="K23" s="62">
        <v>4.9946591503837068E-2</v>
      </c>
      <c r="L23" s="62">
        <v>5.1010010755156987E-2</v>
      </c>
      <c r="M23" s="62">
        <v>5.0055821178073723E-2</v>
      </c>
      <c r="N23" s="62">
        <v>4.999999999999849E-2</v>
      </c>
      <c r="O23" s="62">
        <v>4.999999999999849E-2</v>
      </c>
    </row>
    <row r="24" spans="1:15" x14ac:dyDescent="0.15">
      <c r="A24" s="61">
        <v>43154</v>
      </c>
      <c r="B24">
        <v>4.9935892568078281E-2</v>
      </c>
      <c r="C24">
        <v>4.9935892568078281E-2</v>
      </c>
      <c r="D24">
        <v>4.9935892568078281E-2</v>
      </c>
      <c r="E24">
        <v>5.083562008851425E-2</v>
      </c>
      <c r="F24">
        <v>5.0036165047642314E-2</v>
      </c>
      <c r="G24">
        <v>4.9935892568078281E-2</v>
      </c>
      <c r="H24">
        <v>4.9935892568078281E-2</v>
      </c>
      <c r="I24" s="62">
        <v>4.9999999999997824E-2</v>
      </c>
      <c r="J24" s="62">
        <v>4.9992060978402586E-2</v>
      </c>
      <c r="K24" s="62">
        <v>4.9948991308309321E-2</v>
      </c>
      <c r="L24" s="62">
        <v>5.0950903997016406E-2</v>
      </c>
      <c r="M24" s="62">
        <v>5.0112402635480224E-2</v>
      </c>
      <c r="N24" s="62">
        <v>5.0000000000111289E-2</v>
      </c>
      <c r="O24" s="62">
        <v>5.0000000000111289E-2</v>
      </c>
    </row>
    <row r="25" spans="1:15" x14ac:dyDescent="0.15">
      <c r="A25" s="61">
        <v>43243</v>
      </c>
      <c r="B25">
        <v>4.9957069967986122E-2</v>
      </c>
      <c r="C25">
        <v>4.9957069967986122E-2</v>
      </c>
      <c r="D25">
        <v>4.9957069967986122E-2</v>
      </c>
      <c r="E25">
        <v>5.080829612602427E-2</v>
      </c>
      <c r="F25">
        <v>5.0105843809947974E-2</v>
      </c>
      <c r="G25">
        <v>4.9957069967986122E-2</v>
      </c>
      <c r="H25">
        <v>4.9957069967986122E-2</v>
      </c>
      <c r="I25" s="62">
        <v>5.0000000000001377E-2</v>
      </c>
      <c r="J25" s="62">
        <v>4.9992427043552778E-2</v>
      </c>
      <c r="K25" s="62">
        <v>4.9951087806899164E-2</v>
      </c>
      <c r="L25" s="62">
        <v>5.0892079796130751E-2</v>
      </c>
      <c r="M25" s="62">
        <v>5.0167791976332143E-2</v>
      </c>
      <c r="N25" s="62">
        <v>4.9999999999869482E-2</v>
      </c>
      <c r="O25" s="62">
        <v>4.9999999999869482E-2</v>
      </c>
    </row>
    <row r="26" spans="1:15" x14ac:dyDescent="0.15">
      <c r="A26" s="61">
        <v>43335</v>
      </c>
      <c r="B26">
        <v>4.9996200636936362E-2</v>
      </c>
      <c r="C26">
        <v>4.9996200636936362E-2</v>
      </c>
      <c r="D26">
        <v>4.9996200636936362E-2</v>
      </c>
      <c r="E26">
        <v>5.0797290555192491E-2</v>
      </c>
      <c r="F26">
        <v>5.0195110718680234E-2</v>
      </c>
      <c r="G26">
        <v>4.9996200636936362E-2</v>
      </c>
      <c r="H26">
        <v>4.9996200636936362E-2</v>
      </c>
      <c r="I26" s="62">
        <v>4.9999999999995381E-2</v>
      </c>
      <c r="J26" s="62">
        <v>4.9991767091207784E-2</v>
      </c>
      <c r="K26" s="62">
        <v>4.9953363694017261E-2</v>
      </c>
      <c r="L26" s="62">
        <v>5.0829735698830314E-2</v>
      </c>
      <c r="M26" s="62">
        <v>5.0225632225762151E-2</v>
      </c>
      <c r="N26" s="62">
        <v>5.0000000000112177E-2</v>
      </c>
      <c r="O26" s="62">
        <v>5.0000000000112177E-2</v>
      </c>
    </row>
    <row r="27" spans="1:15" x14ac:dyDescent="0.15">
      <c r="A27" s="61">
        <v>43427</v>
      </c>
      <c r="B27">
        <v>4.9955617737935651E-2</v>
      </c>
      <c r="C27">
        <v>4.9955617737935651E-2</v>
      </c>
      <c r="D27">
        <v>4.9955617737935651E-2</v>
      </c>
      <c r="E27">
        <v>5.0706571416409767E-2</v>
      </c>
      <c r="F27">
        <v>5.0204664059461536E-2</v>
      </c>
      <c r="G27">
        <v>4.9955617737935651E-2</v>
      </c>
      <c r="H27">
        <v>4.9955617737935651E-2</v>
      </c>
      <c r="I27" s="62">
        <v>5.0000000000112843E-2</v>
      </c>
      <c r="J27" s="62">
        <v>4.9992425155780396E-2</v>
      </c>
      <c r="K27" s="62">
        <v>4.9955101805286173E-2</v>
      </c>
      <c r="L27" s="62">
        <v>5.0772592707871267E-2</v>
      </c>
      <c r="M27" s="62">
        <v>5.0282258656644263E-2</v>
      </c>
      <c r="N27" s="62">
        <v>5.0000000000112621E-2</v>
      </c>
      <c r="O27" s="62">
        <v>5.0000000000112621E-2</v>
      </c>
    </row>
    <row r="28" spans="1:15" x14ac:dyDescent="0.15">
      <c r="A28" s="61">
        <v>43521</v>
      </c>
      <c r="B28">
        <v>4.9945695634951742E-2</v>
      </c>
      <c r="C28">
        <v>4.9945695634951742E-2</v>
      </c>
      <c r="D28">
        <v>4.9945695634951742E-2</v>
      </c>
      <c r="E28">
        <v>5.0645423155387712E-2</v>
      </c>
      <c r="F28">
        <v>5.0245968114515774E-2</v>
      </c>
      <c r="G28">
        <v>4.9945695634951742E-2</v>
      </c>
      <c r="H28">
        <v>4.9945695634951742E-2</v>
      </c>
      <c r="I28" s="62">
        <v>4.9999999999998046E-2</v>
      </c>
      <c r="J28" s="62">
        <v>4.999329664580987E-2</v>
      </c>
      <c r="K28" s="62">
        <v>4.9956860185955687E-2</v>
      </c>
      <c r="L28" s="62">
        <v>5.0712354639352863E-2</v>
      </c>
      <c r="M28" s="62">
        <v>5.034075078195821E-2</v>
      </c>
      <c r="N28" s="62">
        <v>5.0000000000094635E-2</v>
      </c>
      <c r="O28" s="62">
        <v>5.0000000000094635E-2</v>
      </c>
    </row>
    <row r="29" spans="1:15" x14ac:dyDescent="0.15">
      <c r="A29" s="61">
        <v>43612</v>
      </c>
      <c r="B29">
        <v>4.9963897184124098E-2</v>
      </c>
      <c r="C29">
        <v>4.9963897184124098E-2</v>
      </c>
      <c r="D29">
        <v>4.9963897184124098E-2</v>
      </c>
      <c r="E29">
        <v>5.0614033423906114E-2</v>
      </c>
      <c r="F29">
        <v>5.0313760944342083E-2</v>
      </c>
      <c r="G29">
        <v>4.9963897184124098E-2</v>
      </c>
      <c r="H29">
        <v>4.9963897184124098E-2</v>
      </c>
      <c r="I29" s="62">
        <v>5.0000000000000711E-2</v>
      </c>
      <c r="J29" s="62">
        <v>4.9993553131705504E-2</v>
      </c>
      <c r="K29" s="62">
        <v>4.9958451475074384E-2</v>
      </c>
      <c r="L29" s="62">
        <v>5.0652606061823313E-2</v>
      </c>
      <c r="M29" s="62">
        <v>5.0397947180809588E-2</v>
      </c>
      <c r="N29" s="62">
        <v>4.999999999999627E-2</v>
      </c>
      <c r="O29" s="62">
        <v>4.999999999999627E-2</v>
      </c>
    </row>
    <row r="30" spans="1:15" x14ac:dyDescent="0.15">
      <c r="A30" s="61">
        <v>43704</v>
      </c>
      <c r="B30">
        <v>4.9994453636780685E-2</v>
      </c>
      <c r="C30">
        <v>4.9994453636780685E-2</v>
      </c>
      <c r="D30">
        <v>4.9994453636780685E-2</v>
      </c>
      <c r="E30">
        <v>5.0594453636780688E-2</v>
      </c>
      <c r="F30">
        <v>5.0394453636780683E-2</v>
      </c>
      <c r="G30">
        <v>4.9994453636780685E-2</v>
      </c>
      <c r="H30">
        <v>4.9994453636780685E-2</v>
      </c>
      <c r="I30" s="62">
        <v>4.9999999999890798E-2</v>
      </c>
      <c r="J30" s="62">
        <v>4.999297007104464E-2</v>
      </c>
      <c r="K30" s="62">
        <v>4.996007769208366E-2</v>
      </c>
      <c r="L30" s="62">
        <v>5.0591231443752438E-2</v>
      </c>
      <c r="M30" s="62">
        <v>5.0456128058301131E-2</v>
      </c>
      <c r="N30" s="62">
        <v>5.0000000000096412E-2</v>
      </c>
      <c r="O30" s="62">
        <v>5.0000000000096412E-2</v>
      </c>
    </row>
    <row r="31" spans="1:15" x14ac:dyDescent="0.15">
      <c r="A31" s="61">
        <v>43796</v>
      </c>
      <c r="B31">
        <v>4.9959819456683617E-2</v>
      </c>
      <c r="C31">
        <v>4.9959819456683617E-2</v>
      </c>
      <c r="D31">
        <v>4.9959819456683617E-2</v>
      </c>
      <c r="E31">
        <v>5.0509683216901601E-2</v>
      </c>
      <c r="F31">
        <v>5.0409955696465635E-2</v>
      </c>
      <c r="G31">
        <v>4.9959819456683617E-2</v>
      </c>
      <c r="H31">
        <v>4.9959819456683617E-2</v>
      </c>
      <c r="I31" s="62">
        <v>5.00000000000973E-2</v>
      </c>
      <c r="J31" s="62">
        <v>4.9993524053102867E-2</v>
      </c>
      <c r="K31" s="62">
        <v>4.9961348781897508E-2</v>
      </c>
      <c r="L31" s="62">
        <v>5.0533503822101089E-2</v>
      </c>
      <c r="M31" s="62">
        <v>5.0513787919692188E-2</v>
      </c>
      <c r="N31" s="62">
        <v>5.0000000000096412E-2</v>
      </c>
      <c r="O31" s="62">
        <v>5.0000000000096412E-2</v>
      </c>
    </row>
    <row r="32" spans="1:15" x14ac:dyDescent="0.15">
      <c r="A32" s="61">
        <v>43888</v>
      </c>
      <c r="B32">
        <v>4.9951889729051478E-2</v>
      </c>
      <c r="C32">
        <v>4.9951889729051478E-2</v>
      </c>
      <c r="D32">
        <v>4.9951889729051478E-2</v>
      </c>
      <c r="E32">
        <v>5.0451617249487449E-2</v>
      </c>
      <c r="F32">
        <v>5.0452162208615509E-2</v>
      </c>
      <c r="G32">
        <v>4.9951889729051478E-2</v>
      </c>
      <c r="H32">
        <v>4.9951889729051478E-2</v>
      </c>
      <c r="I32" s="62">
        <v>4.9999999999998712E-2</v>
      </c>
      <c r="J32" s="62">
        <v>4.9994205104798128E-2</v>
      </c>
      <c r="K32" s="62">
        <v>4.9962571990575189E-2</v>
      </c>
      <c r="L32" s="62">
        <v>5.0474380596330803E-2</v>
      </c>
      <c r="M32" s="62">
        <v>5.0571889493253863E-2</v>
      </c>
      <c r="N32" s="62">
        <v>5.0000000000082201E-2</v>
      </c>
      <c r="O32" s="62">
        <v>5.0000000000082201E-2</v>
      </c>
    </row>
    <row r="33" spans="1:15" x14ac:dyDescent="0.15">
      <c r="A33" s="61">
        <v>43978</v>
      </c>
      <c r="B33">
        <v>4.9967805934997014E-2</v>
      </c>
      <c r="C33">
        <v>4.9967805934997014E-2</v>
      </c>
      <c r="D33">
        <v>4.9967805934997014E-2</v>
      </c>
      <c r="E33">
        <v>5.0418487133907099E-2</v>
      </c>
      <c r="F33">
        <v>5.0517124736086931E-2</v>
      </c>
      <c r="G33">
        <v>4.9967805934997014E-2</v>
      </c>
      <c r="H33">
        <v>4.9967805934997014E-2</v>
      </c>
      <c r="I33" s="62">
        <v>5.0000000000000711E-2</v>
      </c>
      <c r="J33" s="62">
        <v>4.9994381094442097E-2</v>
      </c>
      <c r="K33" s="62">
        <v>4.9963787486678291E-2</v>
      </c>
      <c r="L33" s="62">
        <v>5.0415161623558857E-2</v>
      </c>
      <c r="M33" s="62">
        <v>5.0629278469264571E-2</v>
      </c>
      <c r="N33" s="62">
        <v>4.9999999999996936E-2</v>
      </c>
      <c r="O33" s="62">
        <v>4.9999999999996936E-2</v>
      </c>
    </row>
    <row r="34" spans="1:15" x14ac:dyDescent="0.15">
      <c r="A34" s="61">
        <v>44070</v>
      </c>
      <c r="B34">
        <v>4.999503197717655E-2</v>
      </c>
      <c r="C34">
        <v>4.999503197717655E-2</v>
      </c>
      <c r="D34">
        <v>4.999503197717655E-2</v>
      </c>
      <c r="E34">
        <v>5.0395576936304615E-2</v>
      </c>
      <c r="F34">
        <v>5.0594487018048487E-2</v>
      </c>
      <c r="G34">
        <v>4.999503197717655E-2</v>
      </c>
      <c r="H34">
        <v>4.999503197717655E-2</v>
      </c>
      <c r="I34" s="62">
        <v>5.0000000000001155E-2</v>
      </c>
      <c r="J34" s="62">
        <v>4.999384536416196E-2</v>
      </c>
      <c r="K34" s="62">
        <v>4.9965048340621543E-2</v>
      </c>
      <c r="L34" s="62">
        <v>5.0353862235420044E-2</v>
      </c>
      <c r="M34" s="62">
        <v>5.0688160963367368E-2</v>
      </c>
      <c r="N34" s="62">
        <v>5.0000000000084199E-2</v>
      </c>
      <c r="O34" s="62">
        <v>5.0000000000084199E-2</v>
      </c>
    </row>
    <row r="35" spans="1:15" x14ac:dyDescent="0.15">
      <c r="A35" s="61">
        <v>44162</v>
      </c>
      <c r="B35">
        <v>4.9963853846758867E-2</v>
      </c>
      <c r="C35">
        <v>4.9963853846758867E-2</v>
      </c>
      <c r="D35">
        <v>4.9963853846758867E-2</v>
      </c>
      <c r="E35">
        <v>5.0314262566104918E-2</v>
      </c>
      <c r="F35">
        <v>5.0613445127412816E-2</v>
      </c>
      <c r="G35">
        <v>4.9963853846758867E-2</v>
      </c>
      <c r="H35">
        <v>4.9963853846758867E-2</v>
      </c>
      <c r="I35" s="62">
        <v>4.9999999999990719E-2</v>
      </c>
      <c r="J35" s="62">
        <v>4.9994305451746657E-2</v>
      </c>
      <c r="K35" s="62">
        <v>4.9966012500991086E-2</v>
      </c>
      <c r="L35" s="62">
        <v>5.0295385793396763E-2</v>
      </c>
      <c r="M35" s="62">
        <v>5.0746962077257818E-2</v>
      </c>
      <c r="N35" s="62">
        <v>5.0000000000084865E-2</v>
      </c>
      <c r="O35" s="62">
        <v>5.0000000000084865E-2</v>
      </c>
    </row>
    <row r="36" spans="1:15" x14ac:dyDescent="0.15">
      <c r="A36" s="61">
        <v>44256</v>
      </c>
      <c r="B36">
        <v>4.995677973729467E-2</v>
      </c>
      <c r="C36">
        <v>4.995677973729467E-2</v>
      </c>
      <c r="D36">
        <v>4.995677973729467E-2</v>
      </c>
      <c r="E36">
        <v>5.0255962298602574E-2</v>
      </c>
      <c r="F36">
        <v>5.0657597175986765E-2</v>
      </c>
      <c r="G36">
        <v>4.995677973729467E-2</v>
      </c>
      <c r="H36">
        <v>4.995677973729467E-2</v>
      </c>
      <c r="I36" s="62">
        <v>4.999999999999849E-2</v>
      </c>
      <c r="J36" s="62">
        <v>4.9994940117529252E-2</v>
      </c>
      <c r="K36" s="62">
        <v>4.9966953686508386E-2</v>
      </c>
      <c r="L36" s="62">
        <v>5.0234445323972254E-2</v>
      </c>
      <c r="M36" s="62">
        <v>5.0807334302317209E-2</v>
      </c>
      <c r="N36" s="62">
        <v>5.0000000000073319E-2</v>
      </c>
      <c r="O36" s="62">
        <v>5.0000000000073319E-2</v>
      </c>
    </row>
    <row r="37" spans="1:15" x14ac:dyDescent="0.15">
      <c r="A37" s="61">
        <v>44348</v>
      </c>
      <c r="B37">
        <v>4.997157842252764E-2</v>
      </c>
      <c r="C37">
        <v>4.997157842252764E-2</v>
      </c>
      <c r="D37">
        <v>4.997157842252764E-2</v>
      </c>
      <c r="E37">
        <v>5.0220624744053526E-2</v>
      </c>
      <c r="F37">
        <v>5.0722532101001756E-2</v>
      </c>
      <c r="G37">
        <v>4.997157842252764E-2</v>
      </c>
      <c r="H37">
        <v>4.997157842252764E-2</v>
      </c>
      <c r="I37" s="62">
        <v>4.9999999999909006E-2</v>
      </c>
      <c r="J37" s="62">
        <v>4.9994983826854744E-2</v>
      </c>
      <c r="K37" s="62">
        <v>4.9967915681963904E-2</v>
      </c>
      <c r="L37" s="62">
        <v>5.0173603140934775E-2</v>
      </c>
      <c r="M37" s="62">
        <v>5.0866948475754459E-2</v>
      </c>
      <c r="N37" s="62">
        <v>5.0000000000088418E-2</v>
      </c>
      <c r="O37" s="62">
        <v>5.0000000000088418E-2</v>
      </c>
    </row>
    <row r="38" spans="1:15" x14ac:dyDescent="0.15">
      <c r="A38" s="61">
        <v>44440</v>
      </c>
      <c r="B38">
        <v>4.9991977387831781E-2</v>
      </c>
      <c r="C38">
        <v>4.9991977387831781E-2</v>
      </c>
      <c r="D38">
        <v>4.9991977387831781E-2</v>
      </c>
      <c r="E38">
        <v>5.0190887469575653E-2</v>
      </c>
      <c r="F38">
        <v>5.0793067306087909E-2</v>
      </c>
      <c r="G38">
        <v>4.9991977387831781E-2</v>
      </c>
      <c r="H38">
        <v>4.9991977387831781E-2</v>
      </c>
      <c r="I38" s="62">
        <v>5.0000000000090861E-2</v>
      </c>
      <c r="J38" s="62">
        <v>4.9994573976053447E-2</v>
      </c>
      <c r="K38" s="62">
        <v>4.9968977216633403E-2</v>
      </c>
      <c r="L38" s="62">
        <v>5.0112075674823897E-2</v>
      </c>
      <c r="M38" s="62">
        <v>5.0926790771531616E-2</v>
      </c>
      <c r="N38" s="62">
        <v>4.9999999999894573E-2</v>
      </c>
      <c r="O38" s="62">
        <v>4.9999999999894573E-2</v>
      </c>
    </row>
    <row r="39" spans="1:15" x14ac:dyDescent="0.15">
      <c r="A39" s="61">
        <v>44531</v>
      </c>
      <c r="B39">
        <v>4.9965065337496263E-2</v>
      </c>
      <c r="C39">
        <v>4.9965065337496263E-2</v>
      </c>
      <c r="D39">
        <v>4.9965065337496263E-2</v>
      </c>
      <c r="E39">
        <v>5.0114384138586182E-2</v>
      </c>
      <c r="F39">
        <v>5.0815746536406345E-2</v>
      </c>
      <c r="G39">
        <v>4.9965065337496263E-2</v>
      </c>
      <c r="H39">
        <v>4.9965065337496263E-2</v>
      </c>
      <c r="I39" s="62">
        <v>4.9999999999992051E-2</v>
      </c>
      <c r="J39" s="62">
        <v>4.9994977479621339E-2</v>
      </c>
      <c r="K39" s="62">
        <v>4.9969715779484059E-2</v>
      </c>
      <c r="L39" s="62">
        <v>5.0053336951246807E-2</v>
      </c>
      <c r="M39" s="62">
        <v>5.0986159425997712E-2</v>
      </c>
      <c r="N39" s="62">
        <v>5.0000000000075095E-2</v>
      </c>
      <c r="O39" s="62">
        <v>5.0000000000075095E-2</v>
      </c>
    </row>
    <row r="40" spans="1:15" x14ac:dyDescent="0.15">
      <c r="A40" s="61">
        <v>44621</v>
      </c>
      <c r="B40">
        <v>4.9960423161874358E-2</v>
      </c>
      <c r="C40">
        <v>4.9960423161874358E-2</v>
      </c>
      <c r="D40">
        <v>4.9960423161874358E-2</v>
      </c>
      <c r="E40">
        <v>5.0060695641438391E-2</v>
      </c>
      <c r="F40">
        <v>5.0860150682310326E-2</v>
      </c>
      <c r="G40">
        <v>4.9960423161874358E-2</v>
      </c>
      <c r="H40">
        <v>4.9960423161874358E-2</v>
      </c>
      <c r="I40" s="62">
        <v>4.9999999999998712E-2</v>
      </c>
      <c r="J40" s="62">
        <v>4.9995469900126821E-2</v>
      </c>
      <c r="K40" s="62">
        <v>4.9970413734424124E-2</v>
      </c>
      <c r="L40" s="62">
        <v>4.9994223852081854E-2</v>
      </c>
      <c r="M40" s="62">
        <v>5.1045118575370863E-2</v>
      </c>
      <c r="N40" s="62">
        <v>5.0000000000065548E-2</v>
      </c>
      <c r="O40" s="62">
        <v>5.0000000000065548E-2</v>
      </c>
    </row>
    <row r="41" spans="1:15" x14ac:dyDescent="0.15">
      <c r="A41" s="61">
        <v>44713</v>
      </c>
      <c r="B41">
        <v>4.9973898465538638E-2</v>
      </c>
      <c r="C41">
        <v>4.9973898465538638E-2</v>
      </c>
      <c r="D41">
        <v>4.9973898465538638E-2</v>
      </c>
      <c r="E41">
        <v>5.0024034705320651E-2</v>
      </c>
      <c r="F41">
        <v>5.0923762225756619E-2</v>
      </c>
      <c r="G41">
        <v>4.9973898465538638E-2</v>
      </c>
      <c r="H41">
        <v>4.9973898465538638E-2</v>
      </c>
      <c r="I41" s="62">
        <v>5.0000000000004929E-2</v>
      </c>
      <c r="J41" s="62">
        <v>4.9995495789532107E-2</v>
      </c>
      <c r="K41" s="62">
        <v>4.9971190279997968E-2</v>
      </c>
      <c r="L41" s="62">
        <v>4.9932858643972011E-2</v>
      </c>
      <c r="M41" s="62">
        <v>5.1105766149332155E-2</v>
      </c>
      <c r="N41" s="62">
        <v>4.9999999999992939E-2</v>
      </c>
      <c r="O41" s="62">
        <v>4.9999999999992939E-2</v>
      </c>
    </row>
    <row r="42" spans="1:15" x14ac:dyDescent="0.15">
      <c r="A42" s="61">
        <v>44805</v>
      </c>
      <c r="B42">
        <v>4.9992612006209414E-2</v>
      </c>
      <c r="C42">
        <v>4.9992612006209414E-2</v>
      </c>
      <c r="D42">
        <v>4.9992612006209414E-2</v>
      </c>
      <c r="E42">
        <v>4.9992612006209414E-2</v>
      </c>
      <c r="F42">
        <v>5.0992612006209415E-2</v>
      </c>
      <c r="G42">
        <v>4.9992612006209414E-2</v>
      </c>
      <c r="H42">
        <v>4.9992612006209414E-2</v>
      </c>
      <c r="I42" s="62">
        <v>4.999999999999627E-2</v>
      </c>
      <c r="J42" s="62">
        <v>4.999511422797287E-2</v>
      </c>
      <c r="K42" s="62">
        <v>4.9972066030456341E-2</v>
      </c>
      <c r="L42" s="62">
        <v>4.9870856957471954E-2</v>
      </c>
      <c r="M42" s="62">
        <v>5.1166641738583207E-2</v>
      </c>
      <c r="N42" s="62">
        <v>4.9999999999990496E-2</v>
      </c>
      <c r="O42" s="62">
        <v>4.9999999999990496E-2</v>
      </c>
    </row>
    <row r="43" spans="1:15" x14ac:dyDescent="0.15">
      <c r="A43" s="61">
        <v>44896</v>
      </c>
      <c r="B43">
        <v>4.9967742580478258E-2</v>
      </c>
      <c r="C43">
        <v>4.9967742580478258E-2</v>
      </c>
      <c r="D43">
        <v>4.9967742580478258E-2</v>
      </c>
      <c r="E43">
        <v>4.9967742580478258E-2</v>
      </c>
      <c r="F43">
        <v>5.0942872397368118E-2</v>
      </c>
      <c r="G43">
        <v>4.99926127635884E-2</v>
      </c>
      <c r="H43">
        <v>4.9967742580478258E-2</v>
      </c>
      <c r="I43" s="62">
        <v>4.9999999999992939E-2</v>
      </c>
      <c r="J43" s="62">
        <v>4.9995465108353399E-2</v>
      </c>
      <c r="K43" s="62">
        <v>4.9972656032594598E-2</v>
      </c>
      <c r="L43" s="62">
        <v>4.9873782555657442E-2</v>
      </c>
      <c r="M43" s="62">
        <v>5.1132070904614135E-2</v>
      </c>
      <c r="N43" s="62">
        <v>5.0031538333131342E-2</v>
      </c>
      <c r="O43" s="62">
        <v>4.9999999999899236E-2</v>
      </c>
    </row>
    <row r="44" spans="1:15" x14ac:dyDescent="0.15">
      <c r="A44" s="61">
        <v>44986</v>
      </c>
      <c r="B44">
        <v>4.9963364438895486E-2</v>
      </c>
      <c r="C44">
        <v>4.9963364438895486E-2</v>
      </c>
      <c r="D44">
        <v>4.9963364438895486E-2</v>
      </c>
      <c r="E44">
        <v>4.9963364438895486E-2</v>
      </c>
      <c r="F44">
        <v>5.0913897371390703E-2</v>
      </c>
      <c r="G44">
        <v>5.001283150640027E-2</v>
      </c>
      <c r="H44">
        <v>4.9963364438895486E-2</v>
      </c>
      <c r="I44" s="62">
        <v>4.9999999999998712E-2</v>
      </c>
      <c r="J44" s="62">
        <v>4.9995899241153108E-2</v>
      </c>
      <c r="K44" s="62">
        <v>4.9973217790317603E-2</v>
      </c>
      <c r="L44" s="62">
        <v>4.9876613102695311E-2</v>
      </c>
      <c r="M44" s="62">
        <v>5.1096736163524836E-2</v>
      </c>
      <c r="N44" s="62">
        <v>5.0063162235648218E-2</v>
      </c>
      <c r="O44" s="62">
        <v>5.000000000005933E-2</v>
      </c>
    </row>
    <row r="45" spans="1:15" x14ac:dyDescent="0.15">
      <c r="A45" s="61">
        <v>45078</v>
      </c>
      <c r="B45">
        <v>4.9975781288927677E-2</v>
      </c>
      <c r="C45">
        <v>4.9975781288927677E-2</v>
      </c>
      <c r="D45">
        <v>4.9975781288927677E-2</v>
      </c>
      <c r="E45">
        <v>4.9975781288927677E-2</v>
      </c>
      <c r="F45">
        <v>5.0901170739597261E-2</v>
      </c>
      <c r="G45">
        <v>5.0050391838258095E-2</v>
      </c>
      <c r="H45">
        <v>4.9975781288927677E-2</v>
      </c>
      <c r="I45" s="62">
        <v>5.0000000000004485E-2</v>
      </c>
      <c r="J45" s="62">
        <v>4.9995912914831742E-2</v>
      </c>
      <c r="K45" s="62">
        <v>4.9973858285652373E-2</v>
      </c>
      <c r="L45" s="62">
        <v>4.9879495250852557E-2</v>
      </c>
      <c r="M45" s="62">
        <v>5.1059635617963783E-2</v>
      </c>
      <c r="N45" s="62">
        <v>5.0095891727159447E-2</v>
      </c>
      <c r="O45" s="62">
        <v>5.0000000000075984E-2</v>
      </c>
    </row>
    <row r="46" spans="1:15" x14ac:dyDescent="0.15">
      <c r="A46" s="61">
        <v>45170</v>
      </c>
      <c r="B46">
        <v>4.999312960056819E-2</v>
      </c>
      <c r="C46">
        <v>4.999312960056819E-2</v>
      </c>
      <c r="D46">
        <v>4.999312960056819E-2</v>
      </c>
      <c r="E46">
        <v>4.999312960056819E-2</v>
      </c>
      <c r="F46">
        <v>5.0893375569412133E-2</v>
      </c>
      <c r="G46">
        <v>5.009288363172424E-2</v>
      </c>
      <c r="H46">
        <v>4.999312960056819E-2</v>
      </c>
      <c r="I46" s="62">
        <v>4.9999999999996714E-2</v>
      </c>
      <c r="J46" s="62">
        <v>4.9995556635767935E-2</v>
      </c>
      <c r="K46" s="62">
        <v>4.9974595439524983E-2</v>
      </c>
      <c r="L46" s="62">
        <v>4.9882550293750771E-2</v>
      </c>
      <c r="M46" s="62">
        <v>5.1021498342474825E-2</v>
      </c>
      <c r="N46" s="62">
        <v>5.0129037423598088E-2</v>
      </c>
      <c r="O46" s="62">
        <v>4.9999999999909894E-2</v>
      </c>
    </row>
    <row r="47" spans="1:15" x14ac:dyDescent="0.15">
      <c r="A47" s="61">
        <v>45261</v>
      </c>
      <c r="B47">
        <v>4.9969936786199785E-2</v>
      </c>
      <c r="C47">
        <v>4.9969936786199785E-2</v>
      </c>
      <c r="D47">
        <v>4.9969936786199785E-2</v>
      </c>
      <c r="E47">
        <v>4.9969936786199785E-2</v>
      </c>
      <c r="F47">
        <v>5.0845312571933594E-2</v>
      </c>
      <c r="G47">
        <v>5.0094561000465977E-2</v>
      </c>
      <c r="H47">
        <v>4.9969936786199785E-2</v>
      </c>
      <c r="I47" s="62">
        <v>5.0000000000074207E-2</v>
      </c>
      <c r="J47" s="62">
        <v>4.9995866417090751E-2</v>
      </c>
      <c r="K47" s="62">
        <v>4.9975075802064728E-2</v>
      </c>
      <c r="L47" s="62">
        <v>4.9884951531925514E-2</v>
      </c>
      <c r="M47" s="62">
        <v>5.0987236927756641E-2</v>
      </c>
      <c r="N47" s="62">
        <v>5.0160951774770535E-2</v>
      </c>
      <c r="O47" s="62">
        <v>4.999999999998872E-2</v>
      </c>
    </row>
    <row r="48" spans="1:15" x14ac:dyDescent="0.15">
      <c r="A48" s="61">
        <v>45352</v>
      </c>
      <c r="B48">
        <v>4.9965786072669327E-2</v>
      </c>
      <c r="C48">
        <v>4.9965786072669327E-2</v>
      </c>
      <c r="D48">
        <v>4.9965786072669327E-2</v>
      </c>
      <c r="E48">
        <v>4.9965786072669327E-2</v>
      </c>
      <c r="F48">
        <v>5.0816291675292995E-2</v>
      </c>
      <c r="G48">
        <v>5.011528047004566E-2</v>
      </c>
      <c r="H48">
        <v>4.9965786072669327E-2</v>
      </c>
      <c r="I48" s="62">
        <v>4.9999999999998934E-2</v>
      </c>
      <c r="J48" s="62">
        <v>4.9996254232174575E-2</v>
      </c>
      <c r="K48" s="62">
        <v>4.9975536261157805E-2</v>
      </c>
      <c r="L48" s="62">
        <v>4.9887293962061152E-2</v>
      </c>
      <c r="M48" s="62">
        <v>5.0951919996011563E-2</v>
      </c>
      <c r="N48" s="62">
        <v>5.0193264040681029E-2</v>
      </c>
      <c r="O48" s="62">
        <v>5.0000000000054223E-2</v>
      </c>
    </row>
    <row r="49" spans="1:15" x14ac:dyDescent="0.15">
      <c r="A49" s="61">
        <v>45446</v>
      </c>
      <c r="B49">
        <v>4.9978084342686427E-2</v>
      </c>
      <c r="C49">
        <v>4.9978084342686427E-2</v>
      </c>
      <c r="D49">
        <v>4.9978084342686427E-2</v>
      </c>
      <c r="E49">
        <v>4.9978084342686427E-2</v>
      </c>
      <c r="F49">
        <v>5.0802899866053464E-2</v>
      </c>
      <c r="G49">
        <v>5.0153268819319384E-2</v>
      </c>
      <c r="H49">
        <v>4.9978084342686427E-2</v>
      </c>
      <c r="I49" s="62">
        <v>5.0000000000003819E-2</v>
      </c>
      <c r="J49" s="62">
        <v>4.9996295710751593E-2</v>
      </c>
      <c r="K49" s="62">
        <v>4.9976120929257073E-2</v>
      </c>
      <c r="L49" s="62">
        <v>4.9889673895654463E-2</v>
      </c>
      <c r="M49" s="62">
        <v>5.0914479975690874E-2</v>
      </c>
      <c r="N49" s="62">
        <v>5.022698905901013E-2</v>
      </c>
      <c r="O49" s="62">
        <v>5.0000000000069766E-2</v>
      </c>
    </row>
    <row r="50" spans="1:15" x14ac:dyDescent="0.15">
      <c r="A50" s="61">
        <v>45538</v>
      </c>
      <c r="B50">
        <v>4.9994314045804712E-2</v>
      </c>
      <c r="C50">
        <v>4.9994314045804712E-2</v>
      </c>
      <c r="D50">
        <v>4.9994314045804712E-2</v>
      </c>
      <c r="E50">
        <v>4.9994314045804712E-2</v>
      </c>
      <c r="F50">
        <v>5.0793986087346116E-2</v>
      </c>
      <c r="G50">
        <v>5.019464200426331E-2</v>
      </c>
      <c r="H50">
        <v>4.9994314045804712E-2</v>
      </c>
      <c r="I50" s="62">
        <v>4.9999999999996936E-2</v>
      </c>
      <c r="J50" s="62">
        <v>4.9995910069289939E-2</v>
      </c>
      <c r="K50" s="62">
        <v>4.9976693468679834E-2</v>
      </c>
      <c r="L50" s="62">
        <v>4.9892351918947808E-2</v>
      </c>
      <c r="M50" s="62">
        <v>5.0876848309415079E-2</v>
      </c>
      <c r="N50" s="62">
        <v>5.0260380296114571E-2</v>
      </c>
      <c r="O50" s="62">
        <v>5.0000000000074207E-2</v>
      </c>
    </row>
    <row r="51" spans="1:15" x14ac:dyDescent="0.15">
      <c r="A51" s="61">
        <v>45629</v>
      </c>
      <c r="B51">
        <v>4.9972506836444497E-2</v>
      </c>
      <c r="C51">
        <v>4.9972506836444497E-2</v>
      </c>
      <c r="D51">
        <v>4.9972506836444497E-2</v>
      </c>
      <c r="E51">
        <v>4.9972506836444497E-2</v>
      </c>
      <c r="F51">
        <v>5.0747308694875759E-2</v>
      </c>
      <c r="G51">
        <v>5.0197704978013229E-2</v>
      </c>
      <c r="H51">
        <v>4.9972506836444497E-2</v>
      </c>
      <c r="I51" s="62">
        <v>4.9999999999990496E-2</v>
      </c>
      <c r="J51" s="62">
        <v>4.9996196824719119E-2</v>
      </c>
      <c r="K51" s="62">
        <v>4.9977110731020513E-2</v>
      </c>
      <c r="L51" s="62">
        <v>4.9894324985135796E-2</v>
      </c>
      <c r="M51" s="62">
        <v>5.0842643497460704E-2</v>
      </c>
      <c r="N51" s="62">
        <v>5.0292788296130375E-2</v>
      </c>
      <c r="O51" s="62">
        <v>4.9999999999911227E-2</v>
      </c>
    </row>
    <row r="52" spans="1:15" x14ac:dyDescent="0.15">
      <c r="A52" s="61">
        <v>45719</v>
      </c>
      <c r="B52">
        <v>4.9967567839578848E-2</v>
      </c>
      <c r="C52">
        <v>4.9967567839578848E-2</v>
      </c>
      <c r="D52">
        <v>4.9967567839578848E-2</v>
      </c>
      <c r="E52">
        <v>4.9967567839578848E-2</v>
      </c>
      <c r="F52">
        <v>5.0717772813615468E-2</v>
      </c>
      <c r="G52">
        <v>5.021736286554223E-2</v>
      </c>
      <c r="H52">
        <v>4.9967567839578848E-2</v>
      </c>
      <c r="I52" s="62">
        <v>4.9999999999999156E-2</v>
      </c>
      <c r="J52" s="62">
        <v>4.9996537366180593E-2</v>
      </c>
      <c r="K52" s="62">
        <v>4.9977553320037726E-2</v>
      </c>
      <c r="L52" s="62">
        <v>4.9896295538938817E-2</v>
      </c>
      <c r="M52" s="62">
        <v>5.0807846350723329E-2</v>
      </c>
      <c r="N52" s="62">
        <v>5.0325177839816382E-2</v>
      </c>
      <c r="O52" s="62">
        <v>5.0000000000050449E-2</v>
      </c>
    </row>
    <row r="53" spans="1:15" x14ac:dyDescent="0.15">
      <c r="A53" s="61">
        <v>45811</v>
      </c>
      <c r="B53">
        <v>4.9979347943782428E-2</v>
      </c>
      <c r="C53">
        <v>4.9979347943782428E-2</v>
      </c>
      <c r="D53">
        <v>4.9979347943782428E-2</v>
      </c>
      <c r="E53">
        <v>4.9979347943782428E-2</v>
      </c>
      <c r="F53">
        <v>5.0704409435993414E-2</v>
      </c>
      <c r="G53">
        <v>5.0254286451571442E-2</v>
      </c>
      <c r="H53">
        <v>4.9979347943782428E-2</v>
      </c>
      <c r="I53" s="62">
        <v>5.0000000000003375E-2</v>
      </c>
      <c r="J53" s="62">
        <v>4.9996585014608907E-2</v>
      </c>
      <c r="K53" s="62">
        <v>4.9977985877786013E-2</v>
      </c>
      <c r="L53" s="62">
        <v>4.9898290007040158E-2</v>
      </c>
      <c r="M53" s="62">
        <v>5.0771397133526852E-2</v>
      </c>
      <c r="N53" s="62">
        <v>5.0358573299122078E-2</v>
      </c>
      <c r="O53" s="62">
        <v>4.999999999998761E-2</v>
      </c>
    </row>
    <row r="54" spans="1:15" x14ac:dyDescent="0.15">
      <c r="A54" s="61">
        <v>45903</v>
      </c>
      <c r="B54">
        <v>4.9994633539580224E-2</v>
      </c>
      <c r="C54">
        <v>4.9994633539580224E-2</v>
      </c>
      <c r="D54">
        <v>4.9994633539580224E-2</v>
      </c>
      <c r="E54">
        <v>4.9994633539580224E-2</v>
      </c>
      <c r="F54">
        <v>5.0694551549965577E-2</v>
      </c>
      <c r="G54">
        <v>5.0294715529194872E-2</v>
      </c>
      <c r="H54">
        <v>4.9994633539580224E-2</v>
      </c>
      <c r="I54" s="62">
        <v>4.9999999999997158E-2</v>
      </c>
      <c r="J54" s="62">
        <v>4.9996223495943903E-2</v>
      </c>
      <c r="K54" s="62">
        <v>4.9978479524296571E-2</v>
      </c>
      <c r="L54" s="62">
        <v>4.9900601037245806E-2</v>
      </c>
      <c r="M54" s="62">
        <v>5.0734019605000569E-2</v>
      </c>
      <c r="N54" s="62">
        <v>5.0392338567482486E-2</v>
      </c>
      <c r="O54" s="62">
        <v>5.0000000000068434E-2</v>
      </c>
    </row>
    <row r="55" spans="1:15" x14ac:dyDescent="0.15">
      <c r="A55" s="61">
        <v>45994</v>
      </c>
      <c r="B55">
        <v>4.9974011812553454E-2</v>
      </c>
      <c r="C55">
        <v>4.9974011812553454E-2</v>
      </c>
      <c r="D55">
        <v>4.9974011812553454E-2</v>
      </c>
      <c r="E55">
        <v>4.9974011812553454E-2</v>
      </c>
      <c r="F55">
        <v>5.0649059639828665E-2</v>
      </c>
      <c r="G55">
        <v>5.0298963985278243E-2</v>
      </c>
      <c r="H55">
        <v>4.9974011812553454E-2</v>
      </c>
      <c r="I55" s="62">
        <v>4.9999999999991163E-2</v>
      </c>
      <c r="J55" s="62">
        <v>4.9996482640992657E-2</v>
      </c>
      <c r="K55" s="62">
        <v>4.9978830909650496E-2</v>
      </c>
      <c r="L55" s="62">
        <v>4.9902266406410378E-2</v>
      </c>
      <c r="M55" s="62">
        <v>5.069969269573904E-2</v>
      </c>
      <c r="N55" s="62">
        <v>5.0425312911402287E-2</v>
      </c>
      <c r="O55" s="62">
        <v>5.00000000000691E-2</v>
      </c>
    </row>
    <row r="56" spans="1:15" x14ac:dyDescent="0.15">
      <c r="A56" s="61">
        <v>46084</v>
      </c>
      <c r="B56">
        <v>4.9969298505160686E-2</v>
      </c>
      <c r="C56">
        <v>4.9969298505160686E-2</v>
      </c>
      <c r="D56">
        <v>4.9969298505160686E-2</v>
      </c>
      <c r="E56">
        <v>4.9969298505160686E-2</v>
      </c>
      <c r="F56">
        <v>5.0619749448041255E-2</v>
      </c>
      <c r="G56">
        <v>5.0318847562280118E-2</v>
      </c>
      <c r="H56">
        <v>4.9969298505160686E-2</v>
      </c>
      <c r="I56" s="62">
        <v>5.0000000000074429E-2</v>
      </c>
      <c r="J56" s="62">
        <v>4.9996792754798847E-2</v>
      </c>
      <c r="K56" s="62">
        <v>4.9979208897203087E-2</v>
      </c>
      <c r="L56" s="62">
        <v>4.9903944092554386E-2</v>
      </c>
      <c r="M56" s="62">
        <v>5.0664839565920383E-2</v>
      </c>
      <c r="N56" s="62">
        <v>5.0458229951473532E-2</v>
      </c>
      <c r="O56" s="62">
        <v>4.9999999999971623E-2</v>
      </c>
    </row>
    <row r="57" spans="1:15" x14ac:dyDescent="0.15">
      <c r="A57" s="61">
        <v>46176</v>
      </c>
      <c r="B57">
        <v>4.9980422955790631E-2</v>
      </c>
      <c r="C57">
        <v>4.9980422955790631E-2</v>
      </c>
      <c r="D57">
        <v>4.9980422955790631E-2</v>
      </c>
      <c r="E57">
        <v>4.9980422955790631E-2</v>
      </c>
      <c r="F57">
        <v>5.0605730416845567E-2</v>
      </c>
      <c r="G57">
        <v>5.0355115494735696E-2</v>
      </c>
      <c r="H57">
        <v>4.9980422955790631E-2</v>
      </c>
      <c r="I57" s="62">
        <v>5.0000000000003153E-2</v>
      </c>
      <c r="J57" s="62">
        <v>4.9996832397439128E-2</v>
      </c>
      <c r="K57" s="62">
        <v>4.9979580589825989E-2</v>
      </c>
      <c r="L57" s="62">
        <v>4.9905657663446013E-2</v>
      </c>
      <c r="M57" s="62">
        <v>5.0628420072650115E-2</v>
      </c>
      <c r="N57" s="62">
        <v>5.0492098978971445E-2</v>
      </c>
      <c r="O57" s="62">
        <v>5.0000000000063105E-2</v>
      </c>
    </row>
    <row r="58" spans="1:15" x14ac:dyDescent="0.15">
      <c r="A58" s="61">
        <v>46268</v>
      </c>
      <c r="B58">
        <v>4.9994906134179062E-2</v>
      </c>
      <c r="C58">
        <v>4.9994906134179062E-2</v>
      </c>
      <c r="D58">
        <v>4.9994906134179062E-2</v>
      </c>
      <c r="E58">
        <v>4.9994906134179062E-2</v>
      </c>
      <c r="F58">
        <v>5.0595070113408358E-2</v>
      </c>
      <c r="G58">
        <v>5.0394742154949768E-2</v>
      </c>
      <c r="H58">
        <v>4.9994906134179062E-2</v>
      </c>
      <c r="I58" s="62">
        <v>4.999999999999738E-2</v>
      </c>
      <c r="J58" s="62">
        <v>4.9996492302364359E-2</v>
      </c>
      <c r="K58" s="62">
        <v>4.9980011313130124E-2</v>
      </c>
      <c r="L58" s="62">
        <v>4.9907675833749332E-2</v>
      </c>
      <c r="M58" s="62">
        <v>5.0591113449766079E-2</v>
      </c>
      <c r="N58" s="62">
        <v>5.0526328976560952E-2</v>
      </c>
      <c r="O58" s="62">
        <v>4.9999999999989386E-2</v>
      </c>
    </row>
    <row r="59" spans="1:15" x14ac:dyDescent="0.15">
      <c r="A59" s="61">
        <v>46359</v>
      </c>
      <c r="B59">
        <v>4.997529953064335E-2</v>
      </c>
      <c r="C59">
        <v>4.997529953064335E-2</v>
      </c>
      <c r="D59">
        <v>4.997529953064335E-2</v>
      </c>
      <c r="E59">
        <v>4.997529953064335E-2</v>
      </c>
      <c r="F59">
        <v>5.0550593326762511E-2</v>
      </c>
      <c r="G59">
        <v>5.0400005734524189E-2</v>
      </c>
      <c r="H59">
        <v>4.997529953064335E-2</v>
      </c>
      <c r="I59" s="62">
        <v>4.9999999999991829E-2</v>
      </c>
      <c r="J59" s="62">
        <v>4.9996728493771903E-2</v>
      </c>
      <c r="K59" s="62">
        <v>4.9980310568985109E-2</v>
      </c>
      <c r="L59" s="62">
        <v>4.9909097477577324E-2</v>
      </c>
      <c r="M59" s="62">
        <v>5.0556529936089944E-2</v>
      </c>
      <c r="N59" s="62">
        <v>5.0559941837471811E-2</v>
      </c>
      <c r="O59" s="62">
        <v>4.9999999999990274E-2</v>
      </c>
    </row>
    <row r="60" spans="1:15" x14ac:dyDescent="0.15">
      <c r="A60" s="61">
        <v>46449</v>
      </c>
      <c r="B60">
        <v>4.9970783341287857E-2</v>
      </c>
      <c r="C60">
        <v>4.9970783341287857E-2</v>
      </c>
      <c r="D60">
        <v>4.9970783341287857E-2</v>
      </c>
      <c r="E60">
        <v>4.9970783341287857E-2</v>
      </c>
      <c r="F60">
        <v>5.0521480253012369E-2</v>
      </c>
      <c r="G60">
        <v>5.0420086429563339E-2</v>
      </c>
      <c r="H60">
        <v>4.9970783341287857E-2</v>
      </c>
      <c r="I60" s="62">
        <v>4.9999999999995826E-2</v>
      </c>
      <c r="J60" s="62">
        <v>4.9997013051028105E-2</v>
      </c>
      <c r="K60" s="62">
        <v>4.9980636984618299E-2</v>
      </c>
      <c r="L60" s="62">
        <v>4.9910541708560574E-2</v>
      </c>
      <c r="M60" s="62">
        <v>5.05214843941173E-2</v>
      </c>
      <c r="N60" s="62">
        <v>5.0593460443157046E-2</v>
      </c>
      <c r="O60" s="62">
        <v>4.9999999999973621E-2</v>
      </c>
    </row>
    <row r="61" spans="1:15" x14ac:dyDescent="0.15">
      <c r="A61" s="61">
        <v>46541</v>
      </c>
      <c r="B61">
        <v>4.9981347642161396E-2</v>
      </c>
      <c r="C61">
        <v>4.9981347642161396E-2</v>
      </c>
      <c r="D61">
        <v>4.9981347642161396E-2</v>
      </c>
      <c r="E61">
        <v>4.9981347642161396E-2</v>
      </c>
      <c r="F61">
        <v>5.0506901072060274E-2</v>
      </c>
      <c r="G61">
        <v>5.0455794212262518E-2</v>
      </c>
      <c r="H61">
        <v>4.9981347642161396E-2</v>
      </c>
      <c r="I61" s="62">
        <v>5.0000000000075984E-2</v>
      </c>
      <c r="J61" s="62">
        <v>4.9997046355675812E-2</v>
      </c>
      <c r="K61" s="62">
        <v>4.9980959835808525E-2</v>
      </c>
      <c r="L61" s="62">
        <v>4.9912029886979958E-2</v>
      </c>
      <c r="M61" s="62">
        <v>5.0484954073818811E-2</v>
      </c>
      <c r="N61" s="62">
        <v>5.0627880889825949E-2</v>
      </c>
      <c r="O61" s="62">
        <v>5.0000000000058886E-2</v>
      </c>
    </row>
    <row r="62" spans="1:15" x14ac:dyDescent="0.15">
      <c r="A62" s="61">
        <v>46633</v>
      </c>
      <c r="B62">
        <v>4.9995141189443974E-2</v>
      </c>
      <c r="C62">
        <v>4.9995141189443974E-2</v>
      </c>
      <c r="D62">
        <v>4.9995141189443974E-2</v>
      </c>
      <c r="E62">
        <v>4.9995141189443974E-2</v>
      </c>
      <c r="F62">
        <v>5.0495551137517219E-2</v>
      </c>
      <c r="G62">
        <v>5.049473124137073E-2</v>
      </c>
      <c r="H62">
        <v>4.9995141189443974E-2</v>
      </c>
      <c r="I62" s="62">
        <v>5.0000000000070211E-2</v>
      </c>
      <c r="J62" s="62">
        <v>4.9996725383632423E-2</v>
      </c>
      <c r="K62" s="62">
        <v>4.9981339524473922E-2</v>
      </c>
      <c r="L62" s="62">
        <v>4.9913810406939429E-2</v>
      </c>
      <c r="M62" s="62">
        <v>5.0447576866135213E-2</v>
      </c>
      <c r="N62" s="62">
        <v>5.066265395297842E-2</v>
      </c>
      <c r="O62" s="62">
        <v>5.0000000000062883E-2</v>
      </c>
    </row>
    <row r="63" spans="1:15" x14ac:dyDescent="0.15">
      <c r="A63" s="61">
        <v>46724</v>
      </c>
      <c r="B63">
        <v>4.9976412632679865E-2</v>
      </c>
      <c r="C63">
        <v>4.9976412632679865E-2</v>
      </c>
      <c r="D63">
        <v>4.9976412632679865E-2</v>
      </c>
      <c r="E63">
        <v>4.9976412632679865E-2</v>
      </c>
      <c r="F63">
        <v>5.0451952397642968E-2</v>
      </c>
      <c r="G63">
        <v>5.0500872867716762E-2</v>
      </c>
      <c r="H63">
        <v>4.9976412632679865E-2</v>
      </c>
      <c r="I63" s="62">
        <v>4.9999999999992495E-2</v>
      </c>
      <c r="J63" s="62">
        <v>4.9996942217282792E-2</v>
      </c>
      <c r="K63" s="62">
        <v>4.9981596859207889E-2</v>
      </c>
      <c r="L63" s="62">
        <v>4.9915035858893786E-2</v>
      </c>
      <c r="M63" s="62">
        <v>5.0412632947327563E-2</v>
      </c>
      <c r="N63" s="62">
        <v>5.0696969828251337E-2</v>
      </c>
      <c r="O63" s="62">
        <v>5.0000000000063327E-2</v>
      </c>
    </row>
    <row r="64" spans="1:15" x14ac:dyDescent="0.15">
      <c r="A64" s="61">
        <v>46815</v>
      </c>
      <c r="B64">
        <v>4.9972069822365968E-2</v>
      </c>
      <c r="C64">
        <v>4.9972069822365968E-2</v>
      </c>
      <c r="D64">
        <v>4.9972069822365968E-2</v>
      </c>
      <c r="E64">
        <v>4.9972069822365968E-2</v>
      </c>
      <c r="F64">
        <v>5.042273940421893E-2</v>
      </c>
      <c r="G64">
        <v>5.0521400240512999E-2</v>
      </c>
      <c r="H64">
        <v>4.9972069822365968E-2</v>
      </c>
      <c r="I64" s="62">
        <v>5.0000000000068212E-2</v>
      </c>
      <c r="J64" s="62">
        <v>4.9997205023069924E-2</v>
      </c>
      <c r="K64" s="62">
        <v>4.9981881458163624E-2</v>
      </c>
      <c r="L64" s="62">
        <v>4.9916291073197838E-2</v>
      </c>
      <c r="M64" s="62">
        <v>5.0376888883653548E-2</v>
      </c>
      <c r="N64" s="62">
        <v>5.0731559332832354E-2</v>
      </c>
      <c r="O64" s="62">
        <v>5.000000000004734E-2</v>
      </c>
    </row>
    <row r="65" spans="1:15" x14ac:dyDescent="0.15">
      <c r="A65" s="61">
        <v>46909</v>
      </c>
      <c r="B65">
        <v>4.9982523010446457E-2</v>
      </c>
      <c r="C65">
        <v>4.9982523010446457E-2</v>
      </c>
      <c r="D65">
        <v>4.9982523010446457E-2</v>
      </c>
      <c r="E65">
        <v>4.9982523010446457E-2</v>
      </c>
      <c r="F65">
        <v>5.0407502513042796E-2</v>
      </c>
      <c r="G65">
        <v>5.055754350785012E-2</v>
      </c>
      <c r="H65">
        <v>4.9982523010446457E-2</v>
      </c>
      <c r="I65" s="62">
        <v>4.9999999999927214E-2</v>
      </c>
      <c r="J65" s="62">
        <v>4.9997234568497806E-2</v>
      </c>
      <c r="K65" s="62">
        <v>4.9982127615391558E-2</v>
      </c>
      <c r="L65" s="62">
        <v>4.9917721073734267E-2</v>
      </c>
      <c r="M65" s="62">
        <v>5.0339261029970439E-2</v>
      </c>
      <c r="N65" s="62">
        <v>5.0767373345821154E-2</v>
      </c>
      <c r="O65" s="62">
        <v>4.9999999999911671E-2</v>
      </c>
    </row>
    <row r="66" spans="1:15" x14ac:dyDescent="0.15">
      <c r="A66" s="61">
        <v>47001</v>
      </c>
      <c r="B66">
        <v>4.9994807317381124E-2</v>
      </c>
      <c r="C66">
        <v>4.9994807317381124E-2</v>
      </c>
      <c r="D66">
        <v>4.9994807317381124E-2</v>
      </c>
      <c r="E66">
        <v>4.9994807317381124E-2</v>
      </c>
      <c r="F66">
        <v>5.0394643338151829E-2</v>
      </c>
      <c r="G66">
        <v>5.0594971296610419E-2</v>
      </c>
      <c r="H66">
        <v>4.9994807317381124E-2</v>
      </c>
      <c r="I66" s="62">
        <v>4.9999999999994493E-2</v>
      </c>
      <c r="J66" s="62">
        <v>4.9996934382994684E-2</v>
      </c>
      <c r="K66" s="62">
        <v>4.9982503410444634E-2</v>
      </c>
      <c r="L66" s="62">
        <v>4.9919208746579402E-2</v>
      </c>
      <c r="M66" s="62">
        <v>5.0301803199649608E-2</v>
      </c>
      <c r="N66" s="62">
        <v>5.0802755232993047E-2</v>
      </c>
      <c r="O66" s="62">
        <v>5.0000000000058886E-2</v>
      </c>
    </row>
    <row r="67" spans="1:15" x14ac:dyDescent="0.15">
      <c r="A67" s="61">
        <v>47092</v>
      </c>
      <c r="B67">
        <v>4.997716527689737E-2</v>
      </c>
      <c r="C67">
        <v>4.997716527689737E-2</v>
      </c>
      <c r="D67">
        <v>4.997716527689737E-2</v>
      </c>
      <c r="E67">
        <v>4.997716527689737E-2</v>
      </c>
      <c r="F67">
        <v>5.0352131114557934E-2</v>
      </c>
      <c r="G67">
        <v>5.0602199439236807E-2</v>
      </c>
      <c r="H67">
        <v>4.997716527689737E-2</v>
      </c>
      <c r="I67" s="62">
        <v>4.9999999999992717E-2</v>
      </c>
      <c r="J67" s="62">
        <v>4.9997140403637896E-2</v>
      </c>
      <c r="K67" s="62">
        <v>4.9982714252733373E-2</v>
      </c>
      <c r="L67" s="62">
        <v>4.9920301982554038E-2</v>
      </c>
      <c r="M67" s="62">
        <v>5.0266378432908931E-2</v>
      </c>
      <c r="N67" s="62">
        <v>5.0837846687777244E-2</v>
      </c>
      <c r="O67" s="62">
        <v>4.9999999999916778E-2</v>
      </c>
    </row>
    <row r="68" spans="1:15" x14ac:dyDescent="0.15">
      <c r="A68" s="61">
        <v>47182</v>
      </c>
      <c r="B68">
        <v>4.9973548313188461E-2</v>
      </c>
      <c r="C68">
        <v>4.9973548313188461E-2</v>
      </c>
      <c r="D68">
        <v>4.9973548313188461E-2</v>
      </c>
      <c r="E68">
        <v>4.9973548313188461E-2</v>
      </c>
      <c r="F68">
        <v>5.0323917266454382E-2</v>
      </c>
      <c r="G68">
        <v>5.062317935992254E-2</v>
      </c>
      <c r="H68">
        <v>4.9973548313188461E-2</v>
      </c>
      <c r="I68" s="62">
        <v>5.0000000000064437E-2</v>
      </c>
      <c r="J68" s="62">
        <v>4.9997388689170918E-2</v>
      </c>
      <c r="K68" s="62">
        <v>4.9982970550158434E-2</v>
      </c>
      <c r="L68" s="62">
        <v>4.9921393973505479E-2</v>
      </c>
      <c r="M68" s="62">
        <v>5.0230627704420661E-2</v>
      </c>
      <c r="N68" s="62">
        <v>5.0872753032612517E-2</v>
      </c>
      <c r="O68" s="62">
        <v>5.0000000000044897E-2</v>
      </c>
    </row>
    <row r="69" spans="1:15" x14ac:dyDescent="0.15">
      <c r="A69" s="61">
        <v>47274</v>
      </c>
      <c r="B69">
        <v>4.9983210979060284E-2</v>
      </c>
      <c r="C69">
        <v>4.9983210979060284E-2</v>
      </c>
      <c r="D69">
        <v>4.9983210979060284E-2</v>
      </c>
      <c r="E69">
        <v>4.9983210979060284E-2</v>
      </c>
      <c r="F69">
        <v>5.0308436450500565E-2</v>
      </c>
      <c r="G69">
        <v>5.0657985507619997E-2</v>
      </c>
      <c r="H69">
        <v>4.9983210979060284E-2</v>
      </c>
      <c r="I69" s="62">
        <v>5.0000000000002487E-2</v>
      </c>
      <c r="J69" s="62">
        <v>4.9997399071411985E-2</v>
      </c>
      <c r="K69" s="62">
        <v>4.9983190763366769E-2</v>
      </c>
      <c r="L69" s="62">
        <v>4.9922615337908871E-2</v>
      </c>
      <c r="M69" s="62">
        <v>5.0193530079785997E-2</v>
      </c>
      <c r="N69" s="62">
        <v>5.0908489627161435E-2</v>
      </c>
      <c r="O69" s="62">
        <v>4.9999999999987832E-2</v>
      </c>
    </row>
    <row r="70" spans="1:15" x14ac:dyDescent="0.15">
      <c r="A70" s="61">
        <v>47366</v>
      </c>
      <c r="B70">
        <v>4.9995007382807002E-2</v>
      </c>
      <c r="C70">
        <v>4.9995007382807002E-2</v>
      </c>
      <c r="D70">
        <v>4.9995007382807002E-2</v>
      </c>
      <c r="E70">
        <v>4.9995007382807002E-2</v>
      </c>
      <c r="F70">
        <v>5.029508937242165E-2</v>
      </c>
      <c r="G70">
        <v>5.0694925393192355E-2</v>
      </c>
      <c r="H70">
        <v>4.9995007382807002E-2</v>
      </c>
      <c r="I70" s="62">
        <v>4.9999999999994715E-2</v>
      </c>
      <c r="J70" s="62">
        <v>4.9997114129395781E-2</v>
      </c>
      <c r="K70" s="62">
        <v>4.9983529283896377E-2</v>
      </c>
      <c r="L70" s="62">
        <v>4.9923945627524224E-2</v>
      </c>
      <c r="M70" s="62">
        <v>5.0155788543529756E-2</v>
      </c>
      <c r="N70" s="62">
        <v>5.0944554762292871E-2</v>
      </c>
      <c r="O70" s="62">
        <v>5.0000000000055556E-2</v>
      </c>
    </row>
    <row r="71" spans="1:15" x14ac:dyDescent="0.15">
      <c r="A71" s="61">
        <v>47457</v>
      </c>
      <c r="B71">
        <v>4.9978026057426954E-2</v>
      </c>
      <c r="C71">
        <v>4.9978026057426954E-2</v>
      </c>
      <c r="D71">
        <v>4.9978026057426954E-2</v>
      </c>
      <c r="E71">
        <v>4.9978026057426954E-2</v>
      </c>
      <c r="F71">
        <v>5.025323786393146E-2</v>
      </c>
      <c r="G71">
        <v>5.0702814250922441E-2</v>
      </c>
      <c r="H71">
        <v>4.9978026057426954E-2</v>
      </c>
      <c r="I71" s="62">
        <v>4.9999999999922551E-2</v>
      </c>
      <c r="J71" s="62">
        <v>4.9997305567063499E-2</v>
      </c>
      <c r="K71" s="62">
        <v>4.9983712639439792E-2</v>
      </c>
      <c r="L71" s="62">
        <v>4.9924905037058709E-2</v>
      </c>
      <c r="M71" s="62">
        <v>5.0119856156971343E-2</v>
      </c>
      <c r="N71" s="62">
        <v>5.098046593171901E-2</v>
      </c>
      <c r="O71" s="62">
        <v>5.0000000000062661E-2</v>
      </c>
    </row>
    <row r="72" spans="1:15" x14ac:dyDescent="0.15">
      <c r="A72" s="61">
        <v>47547</v>
      </c>
      <c r="B72">
        <v>4.997452435650198E-2</v>
      </c>
      <c r="C72">
        <v>4.997452435650198E-2</v>
      </c>
      <c r="D72">
        <v>4.997452435650198E-2</v>
      </c>
      <c r="E72">
        <v>4.997452435650198E-2</v>
      </c>
      <c r="F72">
        <v>5.0225139278611844E-2</v>
      </c>
      <c r="G72">
        <v>5.0723909434392117E-2</v>
      </c>
      <c r="H72">
        <v>4.997452435650198E-2</v>
      </c>
      <c r="I72" s="62">
        <v>4.9999999999990496E-2</v>
      </c>
      <c r="J72" s="62">
        <v>4.9997537348480003E-2</v>
      </c>
      <c r="K72" s="62">
        <v>4.9983940024989959E-2</v>
      </c>
      <c r="L72" s="62">
        <v>4.992586883826089E-2</v>
      </c>
      <c r="M72" s="62">
        <v>5.008365415874505E-2</v>
      </c>
      <c r="N72" s="62">
        <v>5.1016159995620036E-2</v>
      </c>
      <c r="O72" s="62">
        <v>5.0000000000042233E-2</v>
      </c>
    </row>
    <row r="73" spans="1:15" x14ac:dyDescent="0.15">
      <c r="A73" s="61">
        <v>47639</v>
      </c>
      <c r="B73">
        <v>4.998381765147792E-2</v>
      </c>
      <c r="C73">
        <v>4.998381765147792E-2</v>
      </c>
      <c r="D73">
        <v>4.998381765147792E-2</v>
      </c>
      <c r="E73">
        <v>4.998381765147792E-2</v>
      </c>
      <c r="F73">
        <v>5.0209289091762151E-2</v>
      </c>
      <c r="G73">
        <v>5.075834621119369E-2</v>
      </c>
      <c r="H73">
        <v>4.998381765147792E-2</v>
      </c>
      <c r="I73" s="62">
        <v>5.0000000000002487E-2</v>
      </c>
      <c r="J73" s="62">
        <v>4.9997545099188523E-2</v>
      </c>
      <c r="K73" s="62">
        <v>4.998413451086825E-2</v>
      </c>
      <c r="L73" s="62">
        <v>4.9926959950313599E-2</v>
      </c>
      <c r="M73" s="62">
        <v>5.0046174030432766E-2</v>
      </c>
      <c r="N73" s="62">
        <v>5.1052643913038098E-2</v>
      </c>
      <c r="O73" s="62">
        <v>5.0000000000058886E-2</v>
      </c>
    </row>
    <row r="74" spans="1:15" x14ac:dyDescent="0.15">
      <c r="A74" s="61">
        <v>47731</v>
      </c>
      <c r="B74">
        <v>4.9995184095926133E-2</v>
      </c>
      <c r="C74">
        <v>4.9995184095926133E-2</v>
      </c>
      <c r="D74">
        <v>4.9995184095926133E-2</v>
      </c>
      <c r="E74">
        <v>4.9995184095926133E-2</v>
      </c>
      <c r="F74">
        <v>5.0195512054384731E-2</v>
      </c>
      <c r="G74">
        <v>5.0794856137467537E-2</v>
      </c>
      <c r="H74">
        <v>4.9995184095926133E-2</v>
      </c>
      <c r="I74" s="62">
        <v>5.0000000000065326E-2</v>
      </c>
      <c r="J74" s="62">
        <v>4.9997273964075939E-2</v>
      </c>
      <c r="K74" s="62">
        <v>4.9984441515512179E-2</v>
      </c>
      <c r="L74" s="62">
        <v>4.9928157790709138E-2</v>
      </c>
      <c r="M74" s="62">
        <v>5.0008074075564402E-2</v>
      </c>
      <c r="N74" s="62">
        <v>5.1089454799080558E-2</v>
      </c>
      <c r="O74" s="62">
        <v>5.0000000000052447E-2</v>
      </c>
    </row>
    <row r="75" spans="1:15" x14ac:dyDescent="0.15">
      <c r="A75" s="61">
        <v>47822</v>
      </c>
      <c r="B75">
        <v>4.997878760509035E-2</v>
      </c>
      <c r="C75">
        <v>4.997878760509035E-2</v>
      </c>
      <c r="D75">
        <v>4.997878760509035E-2</v>
      </c>
      <c r="E75">
        <v>4.997878760509035E-2</v>
      </c>
      <c r="F75">
        <v>5.0154245380438806E-2</v>
      </c>
      <c r="G75">
        <v>5.0803329829741894E-2</v>
      </c>
      <c r="H75">
        <v>4.997878760509035E-2</v>
      </c>
      <c r="I75" s="62">
        <v>4.9999999999996714E-2</v>
      </c>
      <c r="J75" s="62">
        <v>4.999745268954392E-2</v>
      </c>
      <c r="K75" s="62">
        <v>4.9984601971851728E-2</v>
      </c>
      <c r="L75" s="62">
        <v>4.9929005311015073E-2</v>
      </c>
      <c r="M75" s="62">
        <v>4.9971577458721939E-2</v>
      </c>
      <c r="N75" s="62">
        <v>5.1126242841154301E-2</v>
      </c>
      <c r="O75" s="62">
        <v>4.9999999999989164E-2</v>
      </c>
    </row>
    <row r="76" spans="1:15" x14ac:dyDescent="0.15">
      <c r="A76" s="61">
        <v>47912</v>
      </c>
      <c r="B76">
        <v>4.9975389228137539E-2</v>
      </c>
      <c r="C76">
        <v>4.9975389228137539E-2</v>
      </c>
      <c r="D76">
        <v>4.9975389228137539E-2</v>
      </c>
      <c r="E76">
        <v>4.9975389228137539E-2</v>
      </c>
      <c r="F76">
        <v>5.0126250119091352E-2</v>
      </c>
      <c r="G76">
        <v>5.0824528337183726E-2</v>
      </c>
      <c r="H76">
        <v>4.9975389228137539E-2</v>
      </c>
      <c r="I76" s="62">
        <v>4.9999999999990941E-2</v>
      </c>
      <c r="J76" s="62">
        <v>4.9997669989401805E-2</v>
      </c>
      <c r="K76" s="62">
        <v>4.9984805036856761E-2</v>
      </c>
      <c r="L76" s="62">
        <v>4.9929861539564246E-2</v>
      </c>
      <c r="M76" s="62">
        <v>4.9934865339134493E-2</v>
      </c>
      <c r="N76" s="62">
        <v>5.1162782869168089E-2</v>
      </c>
      <c r="O76" s="62">
        <v>4.9999999999900124E-2</v>
      </c>
    </row>
    <row r="77" spans="1:15" x14ac:dyDescent="0.15">
      <c r="A77" s="61">
        <v>48004</v>
      </c>
      <c r="B77">
        <v>4.9984356028596487E-2</v>
      </c>
      <c r="C77">
        <v>4.9984356028596487E-2</v>
      </c>
      <c r="D77">
        <v>4.9984356028596487E-2</v>
      </c>
      <c r="E77">
        <v>4.9984356028596487E-2</v>
      </c>
      <c r="F77">
        <v>5.0110073437724667E-2</v>
      </c>
      <c r="G77">
        <v>5.0858638619468308E-2</v>
      </c>
      <c r="H77">
        <v>4.9984356028596487E-2</v>
      </c>
      <c r="I77" s="62">
        <v>5.0000000000002265E-2</v>
      </c>
      <c r="J77" s="62">
        <v>4.9997675598983493E-2</v>
      </c>
      <c r="K77" s="62">
        <v>4.9984977903666961E-2</v>
      </c>
      <c r="L77" s="62">
        <v>4.9930842583499446E-2</v>
      </c>
      <c r="M77" s="62">
        <v>4.9896940596561024E-2</v>
      </c>
      <c r="N77" s="62">
        <v>5.12000744941008E-2</v>
      </c>
      <c r="O77" s="62">
        <v>5.0000000000055556E-2</v>
      </c>
    </row>
    <row r="78" spans="1:15" x14ac:dyDescent="0.15">
      <c r="A78" s="61">
        <v>48096</v>
      </c>
      <c r="B78">
        <v>4.9995341143264801E-2</v>
      </c>
      <c r="C78">
        <v>4.9995341143264801E-2</v>
      </c>
      <c r="D78">
        <v>4.9995341143264801E-2</v>
      </c>
      <c r="E78">
        <v>4.9995341143264801E-2</v>
      </c>
      <c r="F78">
        <v>5.0095915070567341E-2</v>
      </c>
      <c r="G78">
        <v>5.0894767215962262E-2</v>
      </c>
      <c r="H78">
        <v>4.9995341143264801E-2</v>
      </c>
      <c r="I78" s="62">
        <v>4.9999999999992051E-2</v>
      </c>
      <c r="J78" s="62">
        <v>4.999741702223881E-2</v>
      </c>
      <c r="K78" s="62">
        <v>4.9985257997350319E-2</v>
      </c>
      <c r="L78" s="62">
        <v>4.9931927847636004E-2</v>
      </c>
      <c r="M78" s="62">
        <v>4.9858419004270349E-2</v>
      </c>
      <c r="N78" s="62">
        <v>5.123769245491272E-2</v>
      </c>
      <c r="O78" s="62">
        <v>4.9999999999979838E-2</v>
      </c>
    </row>
    <row r="79" spans="1:15" x14ac:dyDescent="0.15">
      <c r="A79" s="61">
        <v>48187</v>
      </c>
      <c r="B79">
        <v>4.9979465381493247E-2</v>
      </c>
      <c r="C79">
        <v>4.9979465381493247E-2</v>
      </c>
      <c r="D79">
        <v>4.9979465381493247E-2</v>
      </c>
      <c r="E79">
        <v>4.9979465381493247E-2</v>
      </c>
      <c r="F79">
        <v>5.0055169125685653E-2</v>
      </c>
      <c r="G79">
        <v>5.0903761637300843E-2</v>
      </c>
      <c r="H79">
        <v>4.9979465381493247E-2</v>
      </c>
      <c r="I79" s="62">
        <v>4.9999999999996936E-2</v>
      </c>
      <c r="J79" s="62">
        <v>4.9997584574212883E-2</v>
      </c>
      <c r="K79" s="62">
        <v>4.9985399193450686E-2</v>
      </c>
      <c r="L79" s="62">
        <v>4.993268091712677E-2</v>
      </c>
      <c r="M79" s="62">
        <v>4.9821309711486572E-2</v>
      </c>
      <c r="N79" s="62">
        <v>5.1275414970886501E-2</v>
      </c>
      <c r="O79" s="62">
        <v>4.999999999998983E-2</v>
      </c>
    </row>
    <row r="80" spans="1:15" x14ac:dyDescent="0.15">
      <c r="A80" s="61">
        <v>48278</v>
      </c>
      <c r="B80">
        <v>4.997616003024323E-2</v>
      </c>
      <c r="C80">
        <v>4.997616003024323E-2</v>
      </c>
      <c r="D80">
        <v>4.997616003024323E-2</v>
      </c>
      <c r="E80">
        <v>4.997616003024323E-2</v>
      </c>
      <c r="F80">
        <v>5.0026993591325494E-2</v>
      </c>
      <c r="G80">
        <v>5.0925326469160967E-2</v>
      </c>
      <c r="H80">
        <v>4.997616003024323E-2</v>
      </c>
      <c r="I80" s="62">
        <v>4.9999999999991385E-2</v>
      </c>
      <c r="J80" s="62">
        <v>4.9997789068741749E-2</v>
      </c>
      <c r="K80" s="62">
        <v>4.9985581607335794E-2</v>
      </c>
      <c r="L80" s="62">
        <v>4.9933446025401729E-2</v>
      </c>
      <c r="M80" s="62">
        <v>4.97835942114353E-2</v>
      </c>
      <c r="N80" s="62">
        <v>5.131331522858873E-2</v>
      </c>
      <c r="O80" s="62">
        <v>5.0000000000044675E-2</v>
      </c>
    </row>
    <row r="81" spans="1:15" x14ac:dyDescent="0.15">
      <c r="A81" s="61">
        <v>48372</v>
      </c>
      <c r="B81">
        <v>4.9985191177254314E-2</v>
      </c>
      <c r="C81">
        <v>4.9985191177254314E-2</v>
      </c>
      <c r="D81">
        <v>4.9985191177254314E-2</v>
      </c>
      <c r="E81">
        <v>4.9985191177254314E-2</v>
      </c>
      <c r="F81">
        <v>5.0010334659079947E-2</v>
      </c>
      <c r="G81">
        <v>5.0960047695428681E-2</v>
      </c>
      <c r="H81">
        <v>4.9985191177254314E-2</v>
      </c>
      <c r="I81" s="62">
        <v>5.0000000000002265E-2</v>
      </c>
      <c r="J81" s="62">
        <v>4.9997845151420917E-2</v>
      </c>
      <c r="K81" s="62">
        <v>4.9985666643117765E-2</v>
      </c>
      <c r="L81" s="62">
        <v>4.993435563762616E-2</v>
      </c>
      <c r="M81" s="62">
        <v>4.9744362282327037E-2</v>
      </c>
      <c r="N81" s="62">
        <v>5.1352285786178786E-2</v>
      </c>
      <c r="O81" s="62">
        <v>4.9999999999983169E-2</v>
      </c>
    </row>
    <row r="82" spans="1:15" x14ac:dyDescent="0.15">
      <c r="A82" s="61">
        <v>48464</v>
      </c>
      <c r="B82">
        <v>4.9995029254991705E-2</v>
      </c>
      <c r="C82">
        <v>4.9995029254991705E-2</v>
      </c>
      <c r="D82">
        <v>4.9995029254991705E-2</v>
      </c>
      <c r="E82">
        <v>4.9995029254991705E-2</v>
      </c>
      <c r="F82">
        <v>4.9995029254991705E-2</v>
      </c>
      <c r="G82">
        <v>5.0995029254991706E-2</v>
      </c>
      <c r="H82">
        <v>4.9995029254991705E-2</v>
      </c>
      <c r="I82" s="62">
        <v>4.9999999999992495E-2</v>
      </c>
      <c r="J82" s="62">
        <v>4.9997524327185516E-2</v>
      </c>
      <c r="K82" s="62">
        <v>4.9986020288748989E-2</v>
      </c>
      <c r="L82" s="62">
        <v>4.9935337341604491E-2</v>
      </c>
      <c r="M82" s="62">
        <v>4.9705346838269771E-2</v>
      </c>
      <c r="N82" s="62">
        <v>5.1390809510270863E-2</v>
      </c>
      <c r="O82" s="62">
        <v>5.0000000000051115E-2</v>
      </c>
    </row>
    <row r="83" spans="1:15" x14ac:dyDescent="0.15">
      <c r="A83" s="61">
        <v>48555</v>
      </c>
      <c r="B83">
        <v>4.9979896343336369E-2</v>
      </c>
      <c r="C83">
        <v>4.9979896343336369E-2</v>
      </c>
      <c r="D83">
        <v>4.9979896343336369E-2</v>
      </c>
      <c r="E83">
        <v>4.9979896343336369E-2</v>
      </c>
      <c r="F83">
        <v>4.9979896343336369E-2</v>
      </c>
      <c r="G83">
        <v>5.095500575252674E-2</v>
      </c>
      <c r="H83">
        <v>5.0004786934145999E-2</v>
      </c>
      <c r="I83" s="62">
        <v>4.9999999999997158E-2</v>
      </c>
      <c r="J83" s="62">
        <v>4.9997708648173766E-2</v>
      </c>
      <c r="K83" s="62">
        <v>4.9986118552038494E-2</v>
      </c>
      <c r="L83" s="62">
        <v>4.9936010709303869E-2</v>
      </c>
      <c r="M83" s="62">
        <v>4.9708670533456623E-2</v>
      </c>
      <c r="N83" s="62">
        <v>5.1344589464629831E-2</v>
      </c>
      <c r="O83" s="62">
        <v>5.0041543152409496E-2</v>
      </c>
    </row>
    <row r="84" spans="1:15" x14ac:dyDescent="0.15">
      <c r="A84" s="61">
        <v>48645</v>
      </c>
      <c r="B84">
        <v>4.9976928907991755E-2</v>
      </c>
      <c r="C84">
        <v>4.9976928907991755E-2</v>
      </c>
      <c r="D84">
        <v>4.9976928907991755E-2</v>
      </c>
      <c r="E84">
        <v>4.9976928907991755E-2</v>
      </c>
      <c r="F84">
        <v>4.9976928907991755E-2</v>
      </c>
      <c r="G84">
        <v>5.0927421249348431E-2</v>
      </c>
      <c r="H84">
        <v>5.002643656663508E-2</v>
      </c>
      <c r="I84" s="62">
        <v>4.9999999999991829E-2</v>
      </c>
      <c r="J84" s="62">
        <v>4.9997905024738554E-2</v>
      </c>
      <c r="K84" s="62">
        <v>4.9986273171914952E-2</v>
      </c>
      <c r="L84" s="62">
        <v>4.9936691801675259E-2</v>
      </c>
      <c r="M84" s="62">
        <v>4.9712036728626785E-2</v>
      </c>
      <c r="N84" s="62">
        <v>5.1297727978988128E-2</v>
      </c>
      <c r="O84" s="62">
        <v>5.0083257596523101E-2</v>
      </c>
    </row>
    <row r="85" spans="1:15" x14ac:dyDescent="0.15">
      <c r="A85" s="61">
        <v>48737</v>
      </c>
      <c r="B85">
        <v>4.9985611843315424E-2</v>
      </c>
      <c r="C85">
        <v>4.9985611843315424E-2</v>
      </c>
      <c r="D85">
        <v>4.9985611843315424E-2</v>
      </c>
      <c r="E85">
        <v>4.9985611843315424E-2</v>
      </c>
      <c r="F85">
        <v>4.9985611843315424E-2</v>
      </c>
      <c r="G85">
        <v>5.0910940070886541E-2</v>
      </c>
      <c r="H85">
        <v>5.0060283615744307E-2</v>
      </c>
      <c r="I85" s="62">
        <v>5.0000000000071765E-2</v>
      </c>
      <c r="J85" s="62">
        <v>4.9997948662166003E-2</v>
      </c>
      <c r="K85" s="62">
        <v>4.9986355164603591E-2</v>
      </c>
      <c r="L85" s="62">
        <v>4.9937508877549108E-2</v>
      </c>
      <c r="M85" s="62">
        <v>4.9715679394273238E-2</v>
      </c>
      <c r="N85" s="62">
        <v>5.1248561952857541E-2</v>
      </c>
      <c r="O85" s="62">
        <v>5.0126487501787498E-2</v>
      </c>
    </row>
    <row r="86" spans="1:15" x14ac:dyDescent="0.15">
      <c r="A86" s="61">
        <v>48829</v>
      </c>
      <c r="B86">
        <v>4.999516781638267E-2</v>
      </c>
      <c r="C86">
        <v>4.999516781638267E-2</v>
      </c>
      <c r="D86">
        <v>4.999516781638267E-2</v>
      </c>
      <c r="E86">
        <v>4.999516781638267E-2</v>
      </c>
      <c r="F86">
        <v>4.999516781638267E-2</v>
      </c>
      <c r="G86">
        <v>5.0895331930168229E-2</v>
      </c>
      <c r="H86">
        <v>5.0095003702597111E-2</v>
      </c>
      <c r="I86" s="62">
        <v>4.9999999999992717E-2</v>
      </c>
      <c r="J86" s="62">
        <v>4.9997641872096876E-2</v>
      </c>
      <c r="K86" s="62">
        <v>4.9986684042717666E-2</v>
      </c>
      <c r="L86" s="62">
        <v>4.9938407442319921E-2</v>
      </c>
      <c r="M86" s="62">
        <v>4.9719335140398391E-2</v>
      </c>
      <c r="N86" s="62">
        <v>5.1198508919313657E-2</v>
      </c>
      <c r="O86" s="62">
        <v>5.0170364670506729E-2</v>
      </c>
    </row>
    <row r="87" spans="1:15" x14ac:dyDescent="0.15">
      <c r="A87" s="61">
        <v>48920</v>
      </c>
      <c r="B87">
        <v>4.9980446067483496E-2</v>
      </c>
      <c r="C87">
        <v>4.9980446067483496E-2</v>
      </c>
      <c r="D87">
        <v>4.9980446067483496E-2</v>
      </c>
      <c r="E87">
        <v>4.9980446067483496E-2</v>
      </c>
      <c r="F87">
        <v>4.9980446067483496E-2</v>
      </c>
      <c r="G87">
        <v>5.0855719590459425E-2</v>
      </c>
      <c r="H87">
        <v>5.0105172544507567E-2</v>
      </c>
      <c r="I87" s="62">
        <v>4.9999999999927658E-2</v>
      </c>
      <c r="J87" s="62">
        <v>4.9997816115483262E-2</v>
      </c>
      <c r="K87" s="62">
        <v>4.9986769612525128E-2</v>
      </c>
      <c r="L87" s="62">
        <v>4.9939011833870062E-2</v>
      </c>
      <c r="M87" s="62">
        <v>4.9722332615641074E-2</v>
      </c>
      <c r="N87" s="62">
        <v>5.1152355662361426E-2</v>
      </c>
      <c r="O87" s="62">
        <v>5.0212542316047548E-2</v>
      </c>
    </row>
    <row r="88" spans="1:15" x14ac:dyDescent="0.15">
      <c r="A88" s="61">
        <v>49010</v>
      </c>
      <c r="B88">
        <v>4.9977547984505051E-2</v>
      </c>
      <c r="C88">
        <v>4.9977547984505051E-2</v>
      </c>
      <c r="D88">
        <v>4.9977547984505051E-2</v>
      </c>
      <c r="E88">
        <v>4.9977547984505051E-2</v>
      </c>
      <c r="F88">
        <v>4.9977547984505051E-2</v>
      </c>
      <c r="G88">
        <v>5.0828204439647286E-2</v>
      </c>
      <c r="H88">
        <v>5.0126891529362817E-2</v>
      </c>
      <c r="I88" s="62">
        <v>4.9999999999992273E-2</v>
      </c>
      <c r="J88" s="62">
        <v>4.9998002133079034E-2</v>
      </c>
      <c r="K88" s="62">
        <v>4.9986909455573603E-2</v>
      </c>
      <c r="L88" s="62">
        <v>4.9939626279684957E-2</v>
      </c>
      <c r="M88" s="62">
        <v>4.9725383134953338E-2</v>
      </c>
      <c r="N88" s="62">
        <v>5.1105601540076595E-2</v>
      </c>
      <c r="O88" s="62">
        <v>5.0254863954938056E-2</v>
      </c>
    </row>
    <row r="89" spans="1:15" x14ac:dyDescent="0.15">
      <c r="A89" s="61">
        <v>49102</v>
      </c>
      <c r="B89">
        <v>4.9985990843675485E-2</v>
      </c>
      <c r="C89">
        <v>4.9985990843675485E-2</v>
      </c>
      <c r="D89">
        <v>4.9985990843675485E-2</v>
      </c>
      <c r="E89">
        <v>4.9985990843675485E-2</v>
      </c>
      <c r="F89">
        <v>4.9985990843675485E-2</v>
      </c>
      <c r="G89">
        <v>5.0811483185032161E-2</v>
      </c>
      <c r="H89">
        <v>5.0160498502318809E-2</v>
      </c>
      <c r="I89" s="62">
        <v>4.9999999999998712E-2</v>
      </c>
      <c r="J89" s="62">
        <v>4.9998042682527499E-2</v>
      </c>
      <c r="K89" s="62">
        <v>4.9986980558983207E-2</v>
      </c>
      <c r="L89" s="62">
        <v>4.9940373019172535E-2</v>
      </c>
      <c r="M89" s="62">
        <v>4.9728709296148699E-2</v>
      </c>
      <c r="N89" s="62">
        <v>5.1056629271559961E-2</v>
      </c>
      <c r="O89" s="62">
        <v>5.0298654122504782E-2</v>
      </c>
    </row>
    <row r="90" spans="1:15" x14ac:dyDescent="0.15">
      <c r="A90" s="61">
        <v>49194</v>
      </c>
      <c r="B90">
        <v>4.9995292783464047E-2</v>
      </c>
      <c r="C90">
        <v>4.9995292783464047E-2</v>
      </c>
      <c r="D90">
        <v>4.9995292783464047E-2</v>
      </c>
      <c r="E90">
        <v>4.9995292783464047E-2</v>
      </c>
      <c r="F90">
        <v>4.9995292783464047E-2</v>
      </c>
      <c r="G90">
        <v>5.0795621011035165E-2</v>
      </c>
      <c r="H90">
        <v>5.0194964555892931E-2</v>
      </c>
      <c r="I90" s="62">
        <v>4.9999999999923217E-2</v>
      </c>
      <c r="J90" s="62">
        <v>4.9997748760134408E-2</v>
      </c>
      <c r="K90" s="62">
        <v>4.9987287620524956E-2</v>
      </c>
      <c r="L90" s="62">
        <v>4.9941199211953391E-2</v>
      </c>
      <c r="M90" s="62">
        <v>4.9732055407663234E-2</v>
      </c>
      <c r="N90" s="62">
        <v>5.1006783390343813E-2</v>
      </c>
      <c r="O90" s="62">
        <v>5.0343095623573753E-2</v>
      </c>
    </row>
    <row r="91" spans="1:15" x14ac:dyDescent="0.15">
      <c r="A91" s="61">
        <v>49285</v>
      </c>
      <c r="B91">
        <v>4.9980942373196668E-2</v>
      </c>
      <c r="C91">
        <v>4.9980942373196668E-2</v>
      </c>
      <c r="D91">
        <v>4.9980942373196668E-2</v>
      </c>
      <c r="E91">
        <v>4.9980942373196668E-2</v>
      </c>
      <c r="F91">
        <v>4.9980942373196668E-2</v>
      </c>
      <c r="G91">
        <v>5.0756380009958156E-2</v>
      </c>
      <c r="H91">
        <v>5.0205504736435182E-2</v>
      </c>
      <c r="I91" s="62">
        <v>5.0000000000000711E-2</v>
      </c>
      <c r="J91" s="62">
        <v>4.9997913951343786E-2</v>
      </c>
      <c r="K91" s="62">
        <v>4.9987362323294926E-2</v>
      </c>
      <c r="L91" s="62">
        <v>4.994174399698359E-2</v>
      </c>
      <c r="M91" s="62">
        <v>4.9734770418674357E-2</v>
      </c>
      <c r="N91" s="62">
        <v>5.0960553562221955E-2</v>
      </c>
      <c r="O91" s="62">
        <v>5.0386018804196464E-2</v>
      </c>
    </row>
    <row r="92" spans="1:15" x14ac:dyDescent="0.15">
      <c r="A92" s="61">
        <v>49375</v>
      </c>
      <c r="B92">
        <v>4.9978107462462562E-2</v>
      </c>
      <c r="C92">
        <v>4.9978107462462562E-2</v>
      </c>
      <c r="D92">
        <v>4.9978107462462562E-2</v>
      </c>
      <c r="E92">
        <v>4.9978107462462562E-2</v>
      </c>
      <c r="F92">
        <v>4.9978107462462562E-2</v>
      </c>
      <c r="G92">
        <v>5.0728928031390355E-2</v>
      </c>
      <c r="H92">
        <v>5.022728689353477E-2</v>
      </c>
      <c r="I92" s="62">
        <v>4.9999999999992495E-2</v>
      </c>
      <c r="J92" s="62">
        <v>4.9998090635244186E-2</v>
      </c>
      <c r="K92" s="62">
        <v>4.9987489348847669E-2</v>
      </c>
      <c r="L92" s="62">
        <v>4.9942300696150799E-2</v>
      </c>
      <c r="M92" s="62">
        <v>4.9737546860770809E-2</v>
      </c>
      <c r="N92" s="62">
        <v>5.0913766080056488E-2</v>
      </c>
      <c r="O92" s="62">
        <v>5.0429057934468835E-2</v>
      </c>
    </row>
    <row r="93" spans="1:15" x14ac:dyDescent="0.15">
      <c r="A93" s="61">
        <v>49467</v>
      </c>
      <c r="B93">
        <v>4.9986333687639446E-2</v>
      </c>
      <c r="C93">
        <v>4.9986333687639446E-2</v>
      </c>
      <c r="D93">
        <v>4.9986333687639446E-2</v>
      </c>
      <c r="E93">
        <v>4.9986333687639446E-2</v>
      </c>
      <c r="F93">
        <v>4.9986333687639446E-2</v>
      </c>
      <c r="G93">
        <v>5.0711990142781681E-2</v>
      </c>
      <c r="H93">
        <v>5.0260677232497213E-2</v>
      </c>
      <c r="I93" s="62">
        <v>4.9999999999998712E-2</v>
      </c>
      <c r="J93" s="62">
        <v>4.9998128460507552E-2</v>
      </c>
      <c r="K93" s="62">
        <v>4.998755112770481E-2</v>
      </c>
      <c r="L93" s="62">
        <v>4.9942986078774565E-2</v>
      </c>
      <c r="M93" s="62">
        <v>4.9740597054162894E-2</v>
      </c>
      <c r="N93" s="62">
        <v>5.0864845738721964E-2</v>
      </c>
      <c r="O93" s="62">
        <v>5.0473520043035291E-2</v>
      </c>
    </row>
    <row r="94" spans="1:15" x14ac:dyDescent="0.15">
      <c r="A94" s="61">
        <v>49559</v>
      </c>
      <c r="B94">
        <v>4.9995405934893537E-2</v>
      </c>
      <c r="C94">
        <v>4.9995405934893537E-2</v>
      </c>
      <c r="D94">
        <v>4.9995405934893537E-2</v>
      </c>
      <c r="E94">
        <v>4.9995405934893537E-2</v>
      </c>
      <c r="F94">
        <v>4.9995405934893537E-2</v>
      </c>
      <c r="G94">
        <v>5.0695898276250213E-2</v>
      </c>
      <c r="H94">
        <v>5.0294913593536862E-2</v>
      </c>
      <c r="I94" s="62">
        <v>4.9999999999996714E-2</v>
      </c>
      <c r="J94" s="62">
        <v>4.9997846377901611E-2</v>
      </c>
      <c r="K94" s="62">
        <v>4.9987838850502619E-2</v>
      </c>
      <c r="L94" s="62">
        <v>4.9943748858777504E-2</v>
      </c>
      <c r="M94" s="62">
        <v>4.9743672585721432E-2</v>
      </c>
      <c r="N94" s="62">
        <v>5.0815066895293137E-2</v>
      </c>
      <c r="O94" s="62">
        <v>5.0518637866448168E-2</v>
      </c>
    </row>
    <row r="95" spans="1:15" x14ac:dyDescent="0.15">
      <c r="A95" s="61">
        <v>49650</v>
      </c>
      <c r="B95">
        <v>4.9981392175287444E-2</v>
      </c>
      <c r="C95">
        <v>4.9981392175287444E-2</v>
      </c>
      <c r="D95">
        <v>4.9981392175287444E-2</v>
      </c>
      <c r="E95">
        <v>4.9981392175287444E-2</v>
      </c>
      <c r="F95">
        <v>4.9981392175287444E-2</v>
      </c>
      <c r="G95">
        <v>5.065699392583449E-2</v>
      </c>
      <c r="H95">
        <v>5.0305790424740399E-2</v>
      </c>
      <c r="I95" s="62">
        <v>5.0000000000000711E-2</v>
      </c>
      <c r="J95" s="62">
        <v>4.9998003395041124E-2</v>
      </c>
      <c r="K95" s="62">
        <v>4.9987904192645427E-2</v>
      </c>
      <c r="L95" s="62">
        <v>4.9944241805333522E-2</v>
      </c>
      <c r="M95" s="62">
        <v>4.9746141453675063E-2</v>
      </c>
      <c r="N95" s="62">
        <v>5.0768638658941656E-2</v>
      </c>
      <c r="O95" s="62">
        <v>5.0562411961026621E-2</v>
      </c>
    </row>
    <row r="96" spans="1:15" x14ac:dyDescent="0.15">
      <c r="A96" s="61">
        <v>49741</v>
      </c>
      <c r="B96">
        <v>4.9978614976524241E-2</v>
      </c>
      <c r="C96">
        <v>4.9978614976524241E-2</v>
      </c>
      <c r="D96">
        <v>4.9978614976524241E-2</v>
      </c>
      <c r="E96">
        <v>4.9978614976524241E-2</v>
      </c>
      <c r="F96">
        <v>4.9978614976524241E-2</v>
      </c>
      <c r="G96">
        <v>5.0629326136261657E-2</v>
      </c>
      <c r="H96">
        <v>5.0327903816786826E-2</v>
      </c>
      <c r="I96" s="62">
        <v>5.0000000000063327E-2</v>
      </c>
      <c r="J96" s="62">
        <v>4.9998171626727483E-2</v>
      </c>
      <c r="K96" s="62">
        <v>4.9988020030152791E-2</v>
      </c>
      <c r="L96" s="62">
        <v>4.9944748156520724E-2</v>
      </c>
      <c r="M96" s="62">
        <v>4.9748678443991778E-2</v>
      </c>
      <c r="N96" s="62">
        <v>5.0721191641187158E-2</v>
      </c>
      <c r="O96" s="62">
        <v>5.0606780959569386E-2</v>
      </c>
    </row>
    <row r="97" spans="1:15" x14ac:dyDescent="0.15">
      <c r="A97" s="61">
        <v>49835</v>
      </c>
      <c r="B97">
        <v>4.9986852142374714E-2</v>
      </c>
      <c r="C97">
        <v>4.9986852142374714E-2</v>
      </c>
      <c r="D97">
        <v>4.9986852142374714E-2</v>
      </c>
      <c r="E97">
        <v>4.9986852142374714E-2</v>
      </c>
      <c r="F97">
        <v>4.9986852142374714E-2</v>
      </c>
      <c r="G97">
        <v>5.0611852142374715E-2</v>
      </c>
      <c r="H97">
        <v>5.0361852142374715E-2</v>
      </c>
      <c r="I97" s="62">
        <v>5.00000000000691E-2</v>
      </c>
      <c r="J97" s="62">
        <v>4.9998129074672715E-2</v>
      </c>
      <c r="K97" s="62">
        <v>4.9988178796438243E-2</v>
      </c>
      <c r="L97" s="62">
        <v>4.9945363548606903E-2</v>
      </c>
      <c r="M97" s="62">
        <v>4.9751552842009827E-2</v>
      </c>
      <c r="N97" s="62">
        <v>5.0671122036165972E-2</v>
      </c>
      <c r="O97" s="62">
        <v>5.0653010995520331E-2</v>
      </c>
    </row>
    <row r="98" spans="1:15" x14ac:dyDescent="0.15">
      <c r="A98" s="61">
        <v>49927</v>
      </c>
      <c r="B98">
        <v>4.9994618629373891E-2</v>
      </c>
      <c r="C98">
        <v>4.9994618629373891E-2</v>
      </c>
      <c r="D98">
        <v>4.9994618629373891E-2</v>
      </c>
      <c r="E98">
        <v>4.9994618629373891E-2</v>
      </c>
      <c r="F98">
        <v>4.9994618629373891E-2</v>
      </c>
      <c r="G98">
        <v>5.0594454515588333E-2</v>
      </c>
      <c r="H98">
        <v>5.039478274315945E-2</v>
      </c>
      <c r="I98" s="62">
        <v>4.9999999999996936E-2</v>
      </c>
      <c r="J98" s="62">
        <v>4.9997980693120558E-2</v>
      </c>
      <c r="K98" s="62">
        <v>4.9988331755473903E-2</v>
      </c>
      <c r="L98" s="62">
        <v>4.9946088024168445E-2</v>
      </c>
      <c r="M98" s="62">
        <v>4.9754381689934402E-2</v>
      </c>
      <c r="N98" s="62">
        <v>5.0621359985756342E-2</v>
      </c>
      <c r="O98" s="62">
        <v>5.0698912174065303E-2</v>
      </c>
    </row>
    <row r="99" spans="1:15" x14ac:dyDescent="0.15">
      <c r="A99" s="61">
        <v>50018</v>
      </c>
      <c r="B99">
        <v>4.9981288859722806E-2</v>
      </c>
      <c r="C99">
        <v>4.9981288859722806E-2</v>
      </c>
      <c r="D99">
        <v>4.9981288859722806E-2</v>
      </c>
      <c r="E99">
        <v>4.9981288859722806E-2</v>
      </c>
      <c r="F99">
        <v>4.9981288859722806E-2</v>
      </c>
      <c r="G99">
        <v>5.0556234155127618E-2</v>
      </c>
      <c r="H99">
        <v>5.0406343564317994E-2</v>
      </c>
      <c r="I99" s="62">
        <v>5.0000000000071099E-2</v>
      </c>
      <c r="J99" s="62">
        <v>4.9998106689069344E-2</v>
      </c>
      <c r="K99" s="62">
        <v>4.9988422011473688E-2</v>
      </c>
      <c r="L99" s="62">
        <v>4.9946530547098966E-2</v>
      </c>
      <c r="M99" s="62">
        <v>4.9756629117327922E-2</v>
      </c>
      <c r="N99" s="62">
        <v>5.0574611626018173E-2</v>
      </c>
      <c r="O99" s="62">
        <v>5.0743648668154284E-2</v>
      </c>
    </row>
    <row r="100" spans="1:15" x14ac:dyDescent="0.15">
      <c r="A100" s="61">
        <v>50108</v>
      </c>
      <c r="B100">
        <v>4.9978747945344348E-2</v>
      </c>
      <c r="C100">
        <v>4.9978747945344348E-2</v>
      </c>
      <c r="D100">
        <v>4.9978747945344348E-2</v>
      </c>
      <c r="E100">
        <v>4.9978747945344348E-2</v>
      </c>
      <c r="F100">
        <v>4.9978747945344348E-2</v>
      </c>
      <c r="G100">
        <v>5.0529076172915466E-2</v>
      </c>
      <c r="H100">
        <v>5.0428419717773232E-2</v>
      </c>
      <c r="I100" s="62">
        <v>4.999999999998983E-2</v>
      </c>
      <c r="J100" s="62">
        <v>4.9998251052960185E-2</v>
      </c>
      <c r="K100" s="62">
        <v>4.9988530524270658E-2</v>
      </c>
      <c r="L100" s="62">
        <v>4.9947009930518371E-2</v>
      </c>
      <c r="M100" s="62">
        <v>4.9758955163740737E-2</v>
      </c>
      <c r="N100" s="62">
        <v>5.0527427298133976E-2</v>
      </c>
      <c r="O100" s="62">
        <v>5.078841660494704E-2</v>
      </c>
    </row>
    <row r="101" spans="1:15" x14ac:dyDescent="0.15">
      <c r="A101" s="61">
        <v>50200</v>
      </c>
      <c r="B101">
        <v>4.9987131183895327E-2</v>
      </c>
      <c r="C101">
        <v>4.9987131183895327E-2</v>
      </c>
      <c r="D101">
        <v>4.9987131183895327E-2</v>
      </c>
      <c r="E101">
        <v>4.9987131183895327E-2</v>
      </c>
      <c r="F101">
        <v>4.9987131183895327E-2</v>
      </c>
      <c r="G101">
        <v>5.0512295297680886E-2</v>
      </c>
      <c r="H101">
        <v>5.0461967070109769E-2</v>
      </c>
      <c r="I101" s="62">
        <v>5.0000000000066436E-2</v>
      </c>
      <c r="J101" s="62">
        <v>4.9998204440291127E-2</v>
      </c>
      <c r="K101" s="62">
        <v>4.998865498608307E-2</v>
      </c>
      <c r="L101" s="62">
        <v>4.9947564408476364E-2</v>
      </c>
      <c r="M101" s="62">
        <v>4.9761559887448792E-2</v>
      </c>
      <c r="N101" s="62">
        <v>5.0478205704654444E-2</v>
      </c>
      <c r="O101" s="62">
        <v>5.0834559275331204E-2</v>
      </c>
    </row>
    <row r="102" spans="1:15" x14ac:dyDescent="0.15">
      <c r="A102" s="61">
        <v>50292</v>
      </c>
      <c r="B102">
        <v>4.9994730894718981E-2</v>
      </c>
      <c r="C102">
        <v>4.9994730894718981E-2</v>
      </c>
      <c r="D102">
        <v>4.9994730894718981E-2</v>
      </c>
      <c r="E102">
        <v>4.9994730894718981E-2</v>
      </c>
      <c r="F102">
        <v>4.9994730894718981E-2</v>
      </c>
      <c r="G102">
        <v>5.0494730894718981E-2</v>
      </c>
      <c r="H102">
        <v>5.0494730894718981E-2</v>
      </c>
      <c r="I102" s="62">
        <v>4.9999999999996936E-2</v>
      </c>
      <c r="J102" s="62">
        <v>4.9998061245205339E-2</v>
      </c>
      <c r="K102" s="62">
        <v>4.9988797211553138E-2</v>
      </c>
      <c r="L102" s="62">
        <v>4.9948238577418591E-2</v>
      </c>
      <c r="M102" s="62">
        <v>4.9764178570208761E-2</v>
      </c>
      <c r="N102" s="62">
        <v>5.042827897924762E-2</v>
      </c>
      <c r="O102" s="62">
        <v>5.0881353668928542E-2</v>
      </c>
    </row>
    <row r="103" spans="1:15" x14ac:dyDescent="0.15">
      <c r="A103" s="61">
        <v>50383</v>
      </c>
      <c r="B103">
        <v>4.9981672435154917E-2</v>
      </c>
      <c r="C103">
        <v>4.9981672435154917E-2</v>
      </c>
      <c r="D103">
        <v>4.9981672435154917E-2</v>
      </c>
      <c r="E103">
        <v>4.9981672435154917E-2</v>
      </c>
      <c r="F103">
        <v>4.9981672435154917E-2</v>
      </c>
      <c r="G103">
        <v>5.0456781844345287E-2</v>
      </c>
      <c r="H103">
        <v>5.0506563025964547E-2</v>
      </c>
      <c r="I103" s="62">
        <v>4.9999999999925659E-2</v>
      </c>
      <c r="J103" s="62">
        <v>4.9998181435870093E-2</v>
      </c>
      <c r="K103" s="62">
        <v>4.9988879106624529E-2</v>
      </c>
      <c r="L103" s="62">
        <v>4.9948641463159582E-2</v>
      </c>
      <c r="M103" s="62">
        <v>4.9766236314552348E-2</v>
      </c>
      <c r="N103" s="62">
        <v>5.0381138417085358E-2</v>
      </c>
      <c r="O103" s="62">
        <v>5.092714258675568E-2</v>
      </c>
    </row>
    <row r="104" spans="1:15" x14ac:dyDescent="0.15">
      <c r="A104" s="61">
        <v>50473</v>
      </c>
      <c r="B104">
        <v>4.9979176176540754E-2</v>
      </c>
      <c r="C104">
        <v>4.9979176176540754E-2</v>
      </c>
      <c r="D104">
        <v>4.9979176176540754E-2</v>
      </c>
      <c r="E104">
        <v>4.9979176176540754E-2</v>
      </c>
      <c r="F104">
        <v>4.9979176176540754E-2</v>
      </c>
      <c r="G104">
        <v>5.042966851789743E-2</v>
      </c>
      <c r="H104">
        <v>5.0528683835184079E-2</v>
      </c>
      <c r="I104" s="62">
        <v>4.9999999999990274E-2</v>
      </c>
      <c r="J104" s="62">
        <v>4.9998319419108928E-2</v>
      </c>
      <c r="K104" s="62">
        <v>4.9988978868155343E-2</v>
      </c>
      <c r="L104" s="62">
        <v>4.9949081283614971E-2</v>
      </c>
      <c r="M104" s="62">
        <v>4.9768376679305559E-2</v>
      </c>
      <c r="N104" s="62">
        <v>5.0333607470367303E-2</v>
      </c>
      <c r="O104" s="62">
        <v>5.0972935707589206E-2</v>
      </c>
    </row>
    <row r="105" spans="1:15" x14ac:dyDescent="0.15">
      <c r="A105" s="61">
        <v>50565</v>
      </c>
      <c r="B105">
        <v>4.99873861441026E-2</v>
      </c>
      <c r="C105">
        <v>4.99873861441026E-2</v>
      </c>
      <c r="D105">
        <v>4.99873861441026E-2</v>
      </c>
      <c r="E105">
        <v>4.99873861441026E-2</v>
      </c>
      <c r="F105">
        <v>4.99873861441026E-2</v>
      </c>
      <c r="G105">
        <v>5.0412714371673717E-2</v>
      </c>
      <c r="H105">
        <v>5.0562057916531483E-2</v>
      </c>
      <c r="I105" s="62">
        <v>4.9999999999992273E-2</v>
      </c>
      <c r="J105" s="62">
        <v>4.999827396817258E-2</v>
      </c>
      <c r="K105" s="62">
        <v>4.9989094289820457E-2</v>
      </c>
      <c r="L105" s="62">
        <v>4.994959479135197E-2</v>
      </c>
      <c r="M105" s="62">
        <v>4.9770791860431762E-2</v>
      </c>
      <c r="N105" s="62">
        <v>5.0284125083087883E-2</v>
      </c>
      <c r="O105" s="62">
        <v>5.102005918218655E-2</v>
      </c>
    </row>
    <row r="106" spans="1:15" x14ac:dyDescent="0.15">
      <c r="A106" s="61">
        <v>50657</v>
      </c>
      <c r="B106">
        <v>4.9994833544077869E-2</v>
      </c>
      <c r="C106">
        <v>4.9994833544077869E-2</v>
      </c>
      <c r="D106">
        <v>4.9994833544077869E-2</v>
      </c>
      <c r="E106">
        <v>4.9994833544077869E-2</v>
      </c>
      <c r="F106">
        <v>4.9994833544077869E-2</v>
      </c>
      <c r="G106">
        <v>5.0394997657863427E-2</v>
      </c>
      <c r="H106">
        <v>5.0594669430292311E-2</v>
      </c>
      <c r="I106" s="62">
        <v>5.0000000000068878E-2</v>
      </c>
      <c r="J106" s="62">
        <v>4.9998135616650341E-2</v>
      </c>
      <c r="K106" s="62">
        <v>4.9989226954527677E-2</v>
      </c>
      <c r="L106" s="62">
        <v>4.9950224127476739E-2</v>
      </c>
      <c r="M106" s="62">
        <v>4.9773223838267988E-2</v>
      </c>
      <c r="N106" s="62">
        <v>5.0233943407784754E-2</v>
      </c>
      <c r="O106" s="62">
        <v>5.1067849753820616E-2</v>
      </c>
    </row>
    <row r="107" spans="1:15" x14ac:dyDescent="0.15">
      <c r="A107" s="61">
        <v>50748</v>
      </c>
      <c r="B107">
        <v>4.9982023404095875E-2</v>
      </c>
      <c r="C107">
        <v>4.9982023404095875E-2</v>
      </c>
      <c r="D107">
        <v>4.9982023404095875E-2</v>
      </c>
      <c r="E107">
        <v>4.9982023404095875E-2</v>
      </c>
      <c r="F107">
        <v>4.9982023404095875E-2</v>
      </c>
      <c r="G107">
        <v>5.0357296927071804E-2</v>
      </c>
      <c r="H107">
        <v>5.0606749881119947E-2</v>
      </c>
      <c r="I107" s="62">
        <v>5.0000000000000488E-2</v>
      </c>
      <c r="J107" s="62">
        <v>4.9998250503401787E-2</v>
      </c>
      <c r="K107" s="62">
        <v>4.9989301470691139E-2</v>
      </c>
      <c r="L107" s="62">
        <v>4.99505919906853E-2</v>
      </c>
      <c r="M107" s="62">
        <v>4.9775113611376209E-2</v>
      </c>
      <c r="N107" s="62">
        <v>5.0186331482387603E-2</v>
      </c>
      <c r="O107" s="62">
        <v>5.1114791845241037E-2</v>
      </c>
    </row>
    <row r="108" spans="1:15" x14ac:dyDescent="0.15">
      <c r="A108" s="61">
        <v>50838</v>
      </c>
      <c r="B108">
        <v>4.9979568273208687E-2</v>
      </c>
      <c r="C108">
        <v>4.9979568273208687E-2</v>
      </c>
      <c r="D108">
        <v>4.9979568273208687E-2</v>
      </c>
      <c r="E108">
        <v>4.9979568273208687E-2</v>
      </c>
      <c r="F108">
        <v>4.9979568273208687E-2</v>
      </c>
      <c r="G108">
        <v>5.0330224728350921E-2</v>
      </c>
      <c r="H108">
        <v>5.0628911818066454E-2</v>
      </c>
      <c r="I108" s="62">
        <v>5.0000000000062883E-2</v>
      </c>
      <c r="J108" s="62">
        <v>4.9998382639692585E-2</v>
      </c>
      <c r="K108" s="62">
        <v>4.9989393468007348E-2</v>
      </c>
      <c r="L108" s="62">
        <v>4.9950996741384701E-2</v>
      </c>
      <c r="M108" s="62">
        <v>4.9777089166106903E-2</v>
      </c>
      <c r="N108" s="62">
        <v>5.0138375671873847E-2</v>
      </c>
      <c r="O108" s="62">
        <v>5.116171074899567E-2</v>
      </c>
    </row>
    <row r="109" spans="1:15" x14ac:dyDescent="0.15">
      <c r="A109" s="61">
        <v>50930</v>
      </c>
      <c r="B109">
        <v>4.998761974478505E-2</v>
      </c>
      <c r="C109">
        <v>4.998761974478505E-2</v>
      </c>
      <c r="D109">
        <v>4.998761974478505E-2</v>
      </c>
      <c r="E109">
        <v>4.998761974478505E-2</v>
      </c>
      <c r="F109">
        <v>4.998761974478505E-2</v>
      </c>
      <c r="G109">
        <v>5.0313112086141726E-2</v>
      </c>
      <c r="H109">
        <v>5.0662127403428375E-2</v>
      </c>
      <c r="I109" s="62">
        <v>5.0000000000064881E-2</v>
      </c>
      <c r="J109" s="62">
        <v>4.9998338311125545E-2</v>
      </c>
      <c r="K109" s="62">
        <v>4.9989500833659939E-2</v>
      </c>
      <c r="L109" s="62">
        <v>4.9951473766738141E-2</v>
      </c>
      <c r="M109" s="62">
        <v>4.977933545230373E-2</v>
      </c>
      <c r="N109" s="62">
        <v>5.0088552740920944E-2</v>
      </c>
      <c r="O109" s="62">
        <v>5.1209917007594807E-2</v>
      </c>
    </row>
    <row r="110" spans="1:15" x14ac:dyDescent="0.15">
      <c r="A110" s="61">
        <v>51022</v>
      </c>
      <c r="B110">
        <v>4.9994927654749374E-2</v>
      </c>
      <c r="C110">
        <v>4.9994927654749374E-2</v>
      </c>
      <c r="D110">
        <v>4.9994927654749374E-2</v>
      </c>
      <c r="E110">
        <v>4.9994927654749374E-2</v>
      </c>
      <c r="F110">
        <v>4.9994927654749374E-2</v>
      </c>
      <c r="G110">
        <v>5.0295255882320491E-2</v>
      </c>
      <c r="H110">
        <v>5.0694599427178258E-2</v>
      </c>
      <c r="I110" s="62">
        <v>4.9999999999993827E-2</v>
      </c>
      <c r="J110" s="62">
        <v>4.9998204492511134E-2</v>
      </c>
      <c r="K110" s="62">
        <v>4.9989624942839317E-2</v>
      </c>
      <c r="L110" s="62">
        <v>4.995206296263599E-2</v>
      </c>
      <c r="M110" s="62">
        <v>4.9781600794447378E-2</v>
      </c>
      <c r="N110" s="62">
        <v>5.0038036885149406E-2</v>
      </c>
      <c r="O110" s="62">
        <v>5.1258807154294761E-2</v>
      </c>
    </row>
    <row r="111" spans="1:15" x14ac:dyDescent="0.15">
      <c r="A111" s="61">
        <v>51113</v>
      </c>
      <c r="B111">
        <v>4.9982345387007424E-2</v>
      </c>
      <c r="C111">
        <v>4.9982345387007424E-2</v>
      </c>
      <c r="D111">
        <v>4.9982345387007424E-2</v>
      </c>
      <c r="E111">
        <v>4.9982345387007424E-2</v>
      </c>
      <c r="F111">
        <v>4.9982345387007424E-2</v>
      </c>
      <c r="G111">
        <v>5.0257783023768911E-2</v>
      </c>
      <c r="H111">
        <v>5.0706907750245937E-2</v>
      </c>
      <c r="I111" s="62">
        <v>5.0000000000000488E-2</v>
      </c>
      <c r="J111" s="62">
        <v>4.9998314515065756E-2</v>
      </c>
      <c r="K111" s="62">
        <v>4.9989692917278949E-2</v>
      </c>
      <c r="L111" s="62">
        <v>4.9952399740255116E-2</v>
      </c>
      <c r="M111" s="62">
        <v>4.9783341145919868E-2</v>
      </c>
      <c r="N111" s="62">
        <v>4.9989883946468083E-2</v>
      </c>
      <c r="O111" s="62">
        <v>5.1307004743320617E-2</v>
      </c>
    </row>
    <row r="112" spans="1:15" x14ac:dyDescent="0.15">
      <c r="A112" s="61">
        <v>51204</v>
      </c>
      <c r="B112">
        <v>4.9979928212640481E-2</v>
      </c>
      <c r="C112">
        <v>4.9979928212640481E-2</v>
      </c>
      <c r="D112">
        <v>4.9979928212640481E-2</v>
      </c>
      <c r="E112">
        <v>4.9979928212640481E-2</v>
      </c>
      <c r="F112">
        <v>4.9979928212640481E-2</v>
      </c>
      <c r="G112">
        <v>5.0230475258592339E-2</v>
      </c>
      <c r="H112">
        <v>5.0729381166688618E-2</v>
      </c>
      <c r="I112" s="62">
        <v>4.9999999999987388E-2</v>
      </c>
      <c r="J112" s="62">
        <v>4.9998441274707872E-2</v>
      </c>
      <c r="K112" s="62">
        <v>4.9989777995250728E-2</v>
      </c>
      <c r="L112" s="62">
        <v>4.9952773265730777E-2</v>
      </c>
      <c r="M112" s="62">
        <v>4.9785169761765724E-2</v>
      </c>
      <c r="N112" s="62">
        <v>4.9940875220664482E-2</v>
      </c>
      <c r="O112" s="62">
        <v>5.1355734151383947E-2</v>
      </c>
    </row>
    <row r="113" spans="1:15" x14ac:dyDescent="0.15">
      <c r="A113" s="61">
        <v>51298</v>
      </c>
      <c r="B113">
        <v>4.9988204739978948E-2</v>
      </c>
      <c r="C113">
        <v>4.9988204739978948E-2</v>
      </c>
      <c r="D113">
        <v>4.9988204739978948E-2</v>
      </c>
      <c r="E113">
        <v>4.9988204739978948E-2</v>
      </c>
      <c r="F113">
        <v>4.9988204739978948E-2</v>
      </c>
      <c r="G113">
        <v>5.0213040626193389E-2</v>
      </c>
      <c r="H113">
        <v>5.0763368853764507E-2</v>
      </c>
      <c r="I113" s="62">
        <v>4.9999999999989386E-2</v>
      </c>
      <c r="J113" s="62">
        <v>4.9998431624276973E-2</v>
      </c>
      <c r="K113" s="62">
        <v>4.9989870775920542E-2</v>
      </c>
      <c r="L113" s="62">
        <v>4.9953246120024719E-2</v>
      </c>
      <c r="M113" s="62">
        <v>4.978725282861185E-2</v>
      </c>
      <c r="N113" s="62">
        <v>4.9889563037146978E-2</v>
      </c>
      <c r="O113" s="62">
        <v>5.140619480165487E-2</v>
      </c>
    </row>
    <row r="114" spans="1:15" x14ac:dyDescent="0.15">
      <c r="A114" s="61">
        <v>51390</v>
      </c>
      <c r="B114">
        <v>4.9995033540974329E-2</v>
      </c>
      <c r="C114">
        <v>4.9995033540974329E-2</v>
      </c>
      <c r="D114">
        <v>4.9995033540974329E-2</v>
      </c>
      <c r="E114">
        <v>4.9995033540974329E-2</v>
      </c>
      <c r="F114">
        <v>4.9995033540974329E-2</v>
      </c>
      <c r="G114">
        <v>5.0194705313403212E-2</v>
      </c>
      <c r="H114">
        <v>5.0795361768545447E-2</v>
      </c>
      <c r="I114" s="62">
        <v>4.9999999999994271E-2</v>
      </c>
      <c r="J114" s="62">
        <v>4.9998253983503771E-2</v>
      </c>
      <c r="K114" s="62">
        <v>4.9989991866423278E-2</v>
      </c>
      <c r="L114" s="62">
        <v>4.9953786084756091E-2</v>
      </c>
      <c r="M114" s="62">
        <v>4.9789412408314915E-2</v>
      </c>
      <c r="N114" s="62">
        <v>4.9838645658818459E-2</v>
      </c>
      <c r="O114" s="62">
        <v>5.1456292500991152E-2</v>
      </c>
    </row>
    <row r="115" spans="1:15" x14ac:dyDescent="0.15">
      <c r="A115" s="61">
        <v>51481</v>
      </c>
      <c r="B115">
        <v>4.9982773000378143E-2</v>
      </c>
      <c r="C115">
        <v>4.9982773000378143E-2</v>
      </c>
      <c r="D115">
        <v>4.9982773000378143E-2</v>
      </c>
      <c r="E115">
        <v>4.9982773000378143E-2</v>
      </c>
      <c r="F115">
        <v>4.9982773000378143E-2</v>
      </c>
      <c r="G115">
        <v>5.0157554181997396E-2</v>
      </c>
      <c r="H115">
        <v>5.0807991818758884E-2</v>
      </c>
      <c r="I115" s="62">
        <v>5.0000000000073763E-2</v>
      </c>
      <c r="J115" s="62">
        <v>4.999837231486759E-2</v>
      </c>
      <c r="K115" s="62">
        <v>4.9990056561974416E-2</v>
      </c>
      <c r="L115" s="62">
        <v>4.9954096695780548E-2</v>
      </c>
      <c r="M115" s="62">
        <v>4.9791004204743583E-2</v>
      </c>
      <c r="N115" s="62">
        <v>4.9789878921933539E-2</v>
      </c>
      <c r="O115" s="62">
        <v>5.1505872019784738E-2</v>
      </c>
    </row>
    <row r="116" spans="1:15" x14ac:dyDescent="0.15">
      <c r="A116" s="61">
        <v>51571</v>
      </c>
      <c r="B116">
        <v>4.9980688739055368E-2</v>
      </c>
      <c r="C116">
        <v>4.9980688739055368E-2</v>
      </c>
      <c r="D116">
        <v>4.9980688739055368E-2</v>
      </c>
      <c r="E116">
        <v>4.9980688739055368E-2</v>
      </c>
      <c r="F116">
        <v>4.9980688739055368E-2</v>
      </c>
      <c r="G116">
        <v>5.0130852852840926E-2</v>
      </c>
      <c r="H116">
        <v>5.083052462526981E-2</v>
      </c>
      <c r="I116" s="62">
        <v>5.0000000000062217E-2</v>
      </c>
      <c r="J116" s="62">
        <v>4.999850698057684E-2</v>
      </c>
      <c r="K116" s="62">
        <v>4.9990150894844154E-2</v>
      </c>
      <c r="L116" s="62">
        <v>4.9954383188397289E-2</v>
      </c>
      <c r="M116" s="62">
        <v>4.9792746348145123E-2</v>
      </c>
      <c r="N116" s="62">
        <v>4.9740879346326095E-2</v>
      </c>
      <c r="O116" s="62">
        <v>5.1555323776303341E-2</v>
      </c>
    </row>
    <row r="117" spans="1:15" x14ac:dyDescent="0.15">
      <c r="A117" s="61">
        <v>51663</v>
      </c>
      <c r="B117">
        <v>4.9988396209267184E-2</v>
      </c>
      <c r="C117">
        <v>4.9988396209267184E-2</v>
      </c>
      <c r="D117">
        <v>4.9988396209267184E-2</v>
      </c>
      <c r="E117">
        <v>4.9988396209267184E-2</v>
      </c>
      <c r="F117">
        <v>4.9988396209267184E-2</v>
      </c>
      <c r="G117">
        <v>5.0113396209267184E-2</v>
      </c>
      <c r="H117">
        <v>5.0863396209267185E-2</v>
      </c>
      <c r="I117" s="62">
        <v>4.999999999998983E-2</v>
      </c>
      <c r="J117" s="62">
        <v>4.9998486022001742E-2</v>
      </c>
      <c r="K117" s="62">
        <v>4.9990222100740667E-2</v>
      </c>
      <c r="L117" s="62">
        <v>4.9954867717334039E-2</v>
      </c>
      <c r="M117" s="62">
        <v>4.9794631129953526E-2</v>
      </c>
      <c r="N117" s="62">
        <v>4.9690178357554515E-2</v>
      </c>
      <c r="O117" s="62">
        <v>5.1606034477881035E-2</v>
      </c>
    </row>
    <row r="118" spans="1:15" x14ac:dyDescent="0.15">
      <c r="A118" s="61">
        <v>51755</v>
      </c>
      <c r="B118">
        <v>4.9995112881137754E-2</v>
      </c>
      <c r="C118">
        <v>4.9995112881137754E-2</v>
      </c>
      <c r="D118">
        <v>4.9995112881137754E-2</v>
      </c>
      <c r="E118">
        <v>4.9995112881137754E-2</v>
      </c>
      <c r="F118">
        <v>4.9995112881137754E-2</v>
      </c>
      <c r="G118">
        <v>5.0094948767352196E-2</v>
      </c>
      <c r="H118">
        <v>5.0895276994923314E-2</v>
      </c>
      <c r="I118" s="62">
        <v>5.00000000000691E-2</v>
      </c>
      <c r="J118" s="62">
        <v>4.9998314036410196E-2</v>
      </c>
      <c r="K118" s="62">
        <v>4.9990336088301168E-2</v>
      </c>
      <c r="L118" s="62">
        <v>4.9955375549057601E-2</v>
      </c>
      <c r="M118" s="62">
        <v>4.9796654734986401E-2</v>
      </c>
      <c r="N118" s="62">
        <v>4.9638792646818475E-2</v>
      </c>
      <c r="O118" s="62">
        <v>5.1657448060126843E-2</v>
      </c>
    </row>
    <row r="119" spans="1:15" x14ac:dyDescent="0.15">
      <c r="A119" s="61">
        <v>51846</v>
      </c>
      <c r="B119">
        <v>4.9983043754171168E-2</v>
      </c>
      <c r="C119">
        <v>4.9983043754171168E-2</v>
      </c>
      <c r="D119">
        <v>4.9983043754171168E-2</v>
      </c>
      <c r="E119">
        <v>4.9983043754171168E-2</v>
      </c>
      <c r="F119">
        <v>4.9983043754171168E-2</v>
      </c>
      <c r="G119">
        <v>5.0057989049575979E-2</v>
      </c>
      <c r="H119">
        <v>5.0908098458766357E-2</v>
      </c>
      <c r="I119" s="62">
        <v>5.0000000000071321E-2</v>
      </c>
      <c r="J119" s="62">
        <v>4.9998427795856726E-2</v>
      </c>
      <c r="K119" s="62">
        <v>4.999039549474471E-2</v>
      </c>
      <c r="L119" s="62">
        <v>4.9955661333816792E-2</v>
      </c>
      <c r="M119" s="62">
        <v>4.9798127410548787E-2</v>
      </c>
      <c r="N119" s="62">
        <v>4.9589368941596268E-2</v>
      </c>
      <c r="O119" s="62">
        <v>5.1708497236130357E-2</v>
      </c>
    </row>
    <row r="120" spans="1:15" x14ac:dyDescent="0.15">
      <c r="A120" s="61">
        <v>51936</v>
      </c>
      <c r="B120">
        <v>4.9980987420265882E-2</v>
      </c>
      <c r="C120">
        <v>4.9980987420265882E-2</v>
      </c>
      <c r="D120">
        <v>4.9980987420265882E-2</v>
      </c>
      <c r="E120">
        <v>4.9980987420265882E-2</v>
      </c>
      <c r="F120">
        <v>4.9980987420265882E-2</v>
      </c>
      <c r="G120">
        <v>5.0031315647836999E-2</v>
      </c>
      <c r="H120">
        <v>5.0930659192694766E-2</v>
      </c>
      <c r="I120" s="62">
        <v>4.9999999999909894E-2</v>
      </c>
      <c r="J120" s="62">
        <v>4.9998557437169966E-2</v>
      </c>
      <c r="K120" s="62">
        <v>4.9990483748062475E-2</v>
      </c>
      <c r="L120" s="62">
        <v>4.9955924796239559E-2</v>
      </c>
      <c r="M120" s="62">
        <v>4.979974991904168E-2</v>
      </c>
      <c r="N120" s="62">
        <v>4.9539761131176085E-2</v>
      </c>
      <c r="O120" s="62">
        <v>5.1759391263203058E-2</v>
      </c>
    </row>
    <row r="121" spans="1:15" x14ac:dyDescent="0.15">
      <c r="A121" s="61">
        <v>52028</v>
      </c>
      <c r="B121">
        <v>4.9988572869777738E-2</v>
      </c>
      <c r="C121">
        <v>4.9988572869777738E-2</v>
      </c>
      <c r="D121">
        <v>4.9988572869777738E-2</v>
      </c>
      <c r="E121">
        <v>4.9988572869777738E-2</v>
      </c>
      <c r="F121">
        <v>4.9988572869777738E-2</v>
      </c>
      <c r="G121">
        <v>5.0013736983563296E-2</v>
      </c>
      <c r="H121">
        <v>5.096340875599218E-2</v>
      </c>
      <c r="I121" s="62">
        <v>4.9999999999990052E-2</v>
      </c>
      <c r="J121" s="62">
        <v>4.9998536772093871E-2</v>
      </c>
      <c r="K121" s="62">
        <v>4.9990549866434808E-2</v>
      </c>
      <c r="L121" s="62">
        <v>4.9956380576001269E-2</v>
      </c>
      <c r="M121" s="62">
        <v>4.9801514704756356E-2</v>
      </c>
      <c r="N121" s="62">
        <v>4.9488530777851203E-2</v>
      </c>
      <c r="O121" s="62">
        <v>5.1811505716143458E-2</v>
      </c>
    </row>
    <row r="122" spans="1:15" x14ac:dyDescent="0.15">
      <c r="A122" s="61">
        <v>52120</v>
      </c>
      <c r="B122">
        <v>4.9995186121761764E-2</v>
      </c>
      <c r="C122">
        <v>4.9995186121761764E-2</v>
      </c>
      <c r="D122">
        <v>4.9995186121761764E-2</v>
      </c>
      <c r="E122">
        <v>4.9995186121761764E-2</v>
      </c>
      <c r="F122">
        <v>4.9995186121761764E-2</v>
      </c>
      <c r="G122">
        <v>4.9995186121761764E-2</v>
      </c>
      <c r="H122">
        <v>5.0995186121761765E-2</v>
      </c>
      <c r="I122" s="62">
        <v>4.9999999999991163E-2</v>
      </c>
      <c r="J122" s="62">
        <v>4.9998370095279743E-2</v>
      </c>
      <c r="K122" s="62">
        <v>4.9990657416724593E-2</v>
      </c>
      <c r="L122" s="62">
        <v>4.9956859304083112E-2</v>
      </c>
      <c r="M122" s="62">
        <v>4.9803415437535303E-2</v>
      </c>
      <c r="N122" s="62">
        <v>4.9436621575088546E-2</v>
      </c>
      <c r="O122" s="62">
        <v>5.1864347733348026E-2</v>
      </c>
    </row>
    <row r="123" spans="1:15" x14ac:dyDescent="0.15">
      <c r="A123" s="61">
        <v>52211</v>
      </c>
      <c r="B123">
        <v>4.9983293819099425E-2</v>
      </c>
      <c r="C123">
        <v>4.9983293819099425E-2</v>
      </c>
      <c r="D123">
        <v>4.9983293819099425E-2</v>
      </c>
      <c r="E123">
        <v>4.9983293819099425E-2</v>
      </c>
      <c r="F123">
        <v>4.9983293819099425E-2</v>
      </c>
      <c r="G123">
        <v>4.9983293819099425E-2</v>
      </c>
      <c r="H123">
        <v>5.0970853627711865E-2</v>
      </c>
      <c r="I123" s="62">
        <v>4.9999999999992939E-2</v>
      </c>
      <c r="J123" s="62">
        <v>4.9998479618088565E-2</v>
      </c>
      <c r="K123" s="62">
        <v>4.9990712076213084E-2</v>
      </c>
      <c r="L123" s="62">
        <v>4.9957122791676856E-2</v>
      </c>
      <c r="M123" s="62">
        <v>4.9804780909643576E-2</v>
      </c>
      <c r="N123" s="62">
        <v>4.9440932244640967E-2</v>
      </c>
      <c r="O123" s="62">
        <v>5.1829182205753277E-2</v>
      </c>
    </row>
    <row r="124" spans="1:15" x14ac:dyDescent="0.15">
      <c r="A124" s="61">
        <v>52301</v>
      </c>
      <c r="B124">
        <v>4.9981263413505131E-2</v>
      </c>
      <c r="C124">
        <v>4.9981263413505131E-2</v>
      </c>
      <c r="D124">
        <v>4.9981263413505131E-2</v>
      </c>
      <c r="E124">
        <v>4.9981263413505131E-2</v>
      </c>
      <c r="F124">
        <v>4.9981263413505131E-2</v>
      </c>
      <c r="G124">
        <v>4.9981263413505131E-2</v>
      </c>
      <c r="H124">
        <v>5.0956519736129878E-2</v>
      </c>
      <c r="I124" s="62">
        <v>4.9999999999989164E-2</v>
      </c>
      <c r="J124" s="62">
        <v>4.9998604593668894E-2</v>
      </c>
      <c r="K124" s="62">
        <v>4.9990794831263008E-2</v>
      </c>
      <c r="L124" s="62">
        <v>4.9957365577325552E-2</v>
      </c>
      <c r="M124" s="62">
        <v>4.9806295463239225E-2</v>
      </c>
      <c r="N124" s="62">
        <v>4.9445255772866181E-2</v>
      </c>
      <c r="O124" s="62">
        <v>5.1793376395520285E-2</v>
      </c>
    </row>
    <row r="125" spans="1:15" x14ac:dyDescent="0.15">
      <c r="A125" s="61">
        <v>52393</v>
      </c>
      <c r="B125">
        <v>4.9988736188386798E-2</v>
      </c>
      <c r="C125">
        <v>4.9988736188386798E-2</v>
      </c>
      <c r="D125">
        <v>4.9988736188386798E-2</v>
      </c>
      <c r="E125">
        <v>4.9988736188386798E-2</v>
      </c>
      <c r="F125">
        <v>4.9988736188386798E-2</v>
      </c>
      <c r="G125">
        <v>4.9988736188386798E-2</v>
      </c>
      <c r="H125">
        <v>5.0951415614224116E-2</v>
      </c>
      <c r="I125" s="62">
        <v>5.0000000000067102E-2</v>
      </c>
      <c r="J125" s="62">
        <v>4.9998584229264953E-2</v>
      </c>
      <c r="K125" s="62">
        <v>4.9990856366173064E-2</v>
      </c>
      <c r="L125" s="62">
        <v>4.9957795278853689E-2</v>
      </c>
      <c r="M125" s="62">
        <v>4.9807951697885766E-2</v>
      </c>
      <c r="N125" s="62">
        <v>4.9449961771837359E-2</v>
      </c>
      <c r="O125" s="62">
        <v>5.1755414976930147E-2</v>
      </c>
    </row>
    <row r="126" spans="1:15" x14ac:dyDescent="0.15">
      <c r="A126" s="61">
        <v>52485</v>
      </c>
      <c r="B126">
        <v>4.9995253862534714E-2</v>
      </c>
      <c r="C126">
        <v>4.9995253862534714E-2</v>
      </c>
      <c r="D126">
        <v>4.9995253862534714E-2</v>
      </c>
      <c r="E126">
        <v>4.9995253862534714E-2</v>
      </c>
      <c r="F126">
        <v>4.9995253862534714E-2</v>
      </c>
      <c r="G126">
        <v>4.9995253862534714E-2</v>
      </c>
      <c r="H126">
        <v>5.0945356391584609E-2</v>
      </c>
      <c r="I126" s="62">
        <v>4.9999999999991385E-2</v>
      </c>
      <c r="J126" s="62">
        <v>4.9998422545887378E-2</v>
      </c>
      <c r="K126" s="62">
        <v>4.999095806243492E-2</v>
      </c>
      <c r="L126" s="62">
        <v>4.9958247556191493E-2</v>
      </c>
      <c r="M126" s="62">
        <v>4.980974101331137E-2</v>
      </c>
      <c r="N126" s="62">
        <v>4.9454746566727881E-2</v>
      </c>
      <c r="O126" s="62">
        <v>5.1716752308378355E-2</v>
      </c>
    </row>
    <row r="127" spans="1:15" x14ac:dyDescent="0.15">
      <c r="A127" s="61">
        <v>52576</v>
      </c>
      <c r="B127">
        <v>4.9983525213884834E-2</v>
      </c>
      <c r="C127">
        <v>4.9983525213884834E-2</v>
      </c>
      <c r="D127">
        <v>4.9983525213884834E-2</v>
      </c>
      <c r="E127">
        <v>4.9983525213884834E-2</v>
      </c>
      <c r="F127">
        <v>4.9983525213884834E-2</v>
      </c>
      <c r="G127">
        <v>4.9983525213884834E-2</v>
      </c>
      <c r="H127">
        <v>5.0921187551547169E-2</v>
      </c>
      <c r="I127" s="62">
        <v>4.9999999999993161E-2</v>
      </c>
      <c r="J127" s="62">
        <v>4.9998528132015219E-2</v>
      </c>
      <c r="K127" s="62">
        <v>4.9991008446892415E-2</v>
      </c>
      <c r="L127" s="62">
        <v>4.9958490950088308E-2</v>
      </c>
      <c r="M127" s="62">
        <v>4.9811009679028739E-2</v>
      </c>
      <c r="N127" s="62">
        <v>4.9458767237200663E-2</v>
      </c>
      <c r="O127" s="62">
        <v>5.1681704255388983E-2</v>
      </c>
    </row>
    <row r="128" spans="1:15" x14ac:dyDescent="0.15">
      <c r="A128" s="61">
        <v>52667</v>
      </c>
      <c r="B128">
        <v>4.9981518916227499E-2</v>
      </c>
      <c r="C128">
        <v>4.9981518916227499E-2</v>
      </c>
      <c r="D128">
        <v>4.9981518916227499E-2</v>
      </c>
      <c r="E128">
        <v>4.9981518916227499E-2</v>
      </c>
      <c r="F128">
        <v>4.9981518916227499E-2</v>
      </c>
      <c r="G128">
        <v>4.9981518916227499E-2</v>
      </c>
      <c r="H128">
        <v>5.090674106250228E-2</v>
      </c>
      <c r="I128" s="62">
        <v>4.9999999999989608E-2</v>
      </c>
      <c r="J128" s="62">
        <v>4.9998648763589948E-2</v>
      </c>
      <c r="K128" s="62">
        <v>4.9991086212351377E-2</v>
      </c>
      <c r="L128" s="62">
        <v>4.9958715110050456E-2</v>
      </c>
      <c r="M128" s="62">
        <v>4.9812426490700723E-2</v>
      </c>
      <c r="N128" s="62">
        <v>4.9462811365544868E-2</v>
      </c>
      <c r="O128" s="62">
        <v>5.1645698881095603E-2</v>
      </c>
    </row>
    <row r="129" spans="1:15" x14ac:dyDescent="0.15">
      <c r="A129" s="61">
        <v>52761</v>
      </c>
      <c r="B129">
        <v>4.998916429468938E-2</v>
      </c>
      <c r="C129">
        <v>4.998916429468938E-2</v>
      </c>
      <c r="D129">
        <v>4.998916429468938E-2</v>
      </c>
      <c r="E129">
        <v>4.998916429468938E-2</v>
      </c>
      <c r="F129">
        <v>4.998916429468938E-2</v>
      </c>
      <c r="G129">
        <v>4.998916429468938E-2</v>
      </c>
      <c r="H129">
        <v>5.0901536133377008E-2</v>
      </c>
      <c r="I129" s="62">
        <v>5.0000000000065103E-2</v>
      </c>
      <c r="J129" s="62">
        <v>4.9998631248248326E-2</v>
      </c>
      <c r="K129" s="62">
        <v>4.9991120837928227E-2</v>
      </c>
      <c r="L129" s="62">
        <v>4.9959116216644839E-2</v>
      </c>
      <c r="M129" s="62">
        <v>4.9814103079195649E-2</v>
      </c>
      <c r="N129" s="62">
        <v>4.9467270062343083E-2</v>
      </c>
      <c r="O129" s="62">
        <v>5.1607103203513249E-2</v>
      </c>
    </row>
    <row r="130" spans="1:15" x14ac:dyDescent="0.15">
      <c r="A130" s="61">
        <v>52853</v>
      </c>
      <c r="B130">
        <v>4.9994971814300043E-2</v>
      </c>
      <c r="C130">
        <v>4.9994971814300043E-2</v>
      </c>
      <c r="D130">
        <v>4.9994971814300043E-2</v>
      </c>
      <c r="E130">
        <v>4.9994971814300043E-2</v>
      </c>
      <c r="F130">
        <v>4.9994971814300043E-2</v>
      </c>
      <c r="G130">
        <v>4.9994971814300043E-2</v>
      </c>
      <c r="H130">
        <v>5.0894766756200249E-2</v>
      </c>
      <c r="I130" s="62">
        <v>4.9999999999991607E-2</v>
      </c>
      <c r="J130" s="62">
        <v>4.9998473424561984E-2</v>
      </c>
      <c r="K130" s="62">
        <v>4.9991225598916555E-2</v>
      </c>
      <c r="L130" s="62">
        <v>4.9959567508934821E-2</v>
      </c>
      <c r="M130" s="62">
        <v>4.9815701921458677E-2</v>
      </c>
      <c r="N130" s="62">
        <v>4.9471825614233245E-2</v>
      </c>
      <c r="O130" s="62">
        <v>5.1568686492937221E-2</v>
      </c>
    </row>
    <row r="131" spans="1:15" x14ac:dyDescent="0.15">
      <c r="A131" s="61">
        <v>52944</v>
      </c>
      <c r="B131">
        <v>4.9983611218518555E-2</v>
      </c>
      <c r="C131">
        <v>4.9983611218518555E-2</v>
      </c>
      <c r="D131">
        <v>4.9983611218518555E-2</v>
      </c>
      <c r="E131">
        <v>4.9983611218518555E-2</v>
      </c>
      <c r="F131">
        <v>4.9983611218518555E-2</v>
      </c>
      <c r="G131">
        <v>4.9983611218518555E-2</v>
      </c>
      <c r="H131">
        <v>5.08709659690312E-2</v>
      </c>
      <c r="I131" s="62">
        <v>4.9999999999993383E-2</v>
      </c>
      <c r="J131" s="62">
        <v>4.9998580282524685E-2</v>
      </c>
      <c r="K131" s="62">
        <v>4.9991266930139222E-2</v>
      </c>
      <c r="L131" s="62">
        <v>4.9959789002501198E-2</v>
      </c>
      <c r="M131" s="62">
        <v>4.9816914512268662E-2</v>
      </c>
      <c r="N131" s="62">
        <v>4.9475551633610282E-2</v>
      </c>
      <c r="O131" s="62">
        <v>5.1533660023955763E-2</v>
      </c>
    </row>
    <row r="132" spans="1:15" x14ac:dyDescent="0.15">
      <c r="A132" s="61">
        <v>53034</v>
      </c>
      <c r="B132">
        <v>4.9981814670508169E-2</v>
      </c>
      <c r="C132">
        <v>4.9981814670508169E-2</v>
      </c>
      <c r="D132">
        <v>4.9981814670508169E-2</v>
      </c>
      <c r="E132">
        <v>4.9981814670508169E-2</v>
      </c>
      <c r="F132">
        <v>4.9981814670508169E-2</v>
      </c>
      <c r="G132">
        <v>4.9981814670508169E-2</v>
      </c>
      <c r="H132">
        <v>5.0856865935033121E-2</v>
      </c>
      <c r="I132" s="62">
        <v>4.999999999991056E-2</v>
      </c>
      <c r="J132" s="62">
        <v>4.9998698423493471E-2</v>
      </c>
      <c r="K132" s="62">
        <v>4.999132975457643E-2</v>
      </c>
      <c r="L132" s="62">
        <v>4.9960060059213829E-2</v>
      </c>
      <c r="M132" s="62">
        <v>4.9818196926167735E-2</v>
      </c>
      <c r="N132" s="62">
        <v>4.947934049342817E-2</v>
      </c>
      <c r="O132" s="62">
        <v>5.1498032744744959E-2</v>
      </c>
    </row>
    <row r="133" spans="1:15" x14ac:dyDescent="0.15">
      <c r="A133" s="61">
        <v>53126</v>
      </c>
      <c r="B133">
        <v>4.9989301080582638E-2</v>
      </c>
      <c r="C133">
        <v>4.9989301080582638E-2</v>
      </c>
      <c r="D133">
        <v>4.9989301080582638E-2</v>
      </c>
      <c r="E133">
        <v>4.9989301080582638E-2</v>
      </c>
      <c r="F133">
        <v>4.9989301080582638E-2</v>
      </c>
      <c r="G133">
        <v>4.9989301080582638E-2</v>
      </c>
      <c r="H133">
        <v>5.0851775448320161E-2</v>
      </c>
      <c r="I133" s="62">
        <v>4.9999999999983835E-2</v>
      </c>
      <c r="J133" s="62">
        <v>4.9998672929312482E-2</v>
      </c>
      <c r="K133" s="62">
        <v>4.9991391225467696E-2</v>
      </c>
      <c r="L133" s="62">
        <v>4.9960361188512437E-2</v>
      </c>
      <c r="M133" s="62">
        <v>4.9819763542549467E-2</v>
      </c>
      <c r="N133" s="62">
        <v>4.948348884538345E-2</v>
      </c>
      <c r="O133" s="62">
        <v>5.1460330399857757E-2</v>
      </c>
    </row>
    <row r="134" spans="1:15" x14ac:dyDescent="0.15">
      <c r="A134" s="61">
        <v>53218</v>
      </c>
      <c r="B134">
        <v>4.999503433449979E-2</v>
      </c>
      <c r="C134">
        <v>4.999503433449979E-2</v>
      </c>
      <c r="D134">
        <v>4.999503433449979E-2</v>
      </c>
      <c r="E134">
        <v>4.999503433449979E-2</v>
      </c>
      <c r="F134">
        <v>4.999503433449979E-2</v>
      </c>
      <c r="G134">
        <v>4.999503433449979E-2</v>
      </c>
      <c r="H134">
        <v>5.084493180544989E-2</v>
      </c>
      <c r="I134" s="62">
        <v>4.9999999999912115E-2</v>
      </c>
      <c r="J134" s="62">
        <v>4.9998519570587874E-2</v>
      </c>
      <c r="K134" s="62">
        <v>4.9991490834980779E-2</v>
      </c>
      <c r="L134" s="62">
        <v>4.9960789700501218E-2</v>
      </c>
      <c r="M134" s="62">
        <v>4.982127250780799E-2</v>
      </c>
      <c r="N134" s="62">
        <v>4.9487787672295225E-2</v>
      </c>
      <c r="O134" s="62">
        <v>5.1422019079713444E-2</v>
      </c>
    </row>
    <row r="135" spans="1:15" x14ac:dyDescent="0.15">
      <c r="A135" s="61">
        <v>53309</v>
      </c>
      <c r="B135">
        <v>4.9983811875095319E-2</v>
      </c>
      <c r="C135">
        <v>4.9983811875095319E-2</v>
      </c>
      <c r="D135">
        <v>4.9983811875095319E-2</v>
      </c>
      <c r="E135">
        <v>4.9983811875095319E-2</v>
      </c>
      <c r="F135">
        <v>4.9983811875095319E-2</v>
      </c>
      <c r="G135">
        <v>4.9983811875095319E-2</v>
      </c>
      <c r="H135">
        <v>5.0821269154657858E-2</v>
      </c>
      <c r="I135" s="62">
        <v>4.9999999999993605E-2</v>
      </c>
      <c r="J135" s="62">
        <v>4.9998622857402752E-2</v>
      </c>
      <c r="K135" s="62">
        <v>4.9991528822186382E-2</v>
      </c>
      <c r="L135" s="62">
        <v>4.9960994854141738E-2</v>
      </c>
      <c r="M135" s="62">
        <v>4.9822404544699328E-2</v>
      </c>
      <c r="N135" s="62">
        <v>4.9491275402517632E-2</v>
      </c>
      <c r="O135" s="62">
        <v>5.138694273650346E-2</v>
      </c>
    </row>
    <row r="136" spans="1:15" x14ac:dyDescent="0.15">
      <c r="A136" s="61">
        <v>53399</v>
      </c>
      <c r="B136">
        <v>4.9982033964810949E-2</v>
      </c>
      <c r="C136">
        <v>4.9982033964810949E-2</v>
      </c>
      <c r="D136">
        <v>4.9982033964810949E-2</v>
      </c>
      <c r="E136">
        <v>4.9982033964810949E-2</v>
      </c>
      <c r="F136">
        <v>4.9982033964810949E-2</v>
      </c>
      <c r="G136">
        <v>4.9982033964810949E-2</v>
      </c>
      <c r="H136">
        <v>5.0807187758385795E-2</v>
      </c>
      <c r="I136" s="62">
        <v>4.9999999999993605E-2</v>
      </c>
      <c r="J136" s="62">
        <v>4.9998737162010753E-2</v>
      </c>
      <c r="K136" s="62">
        <v>4.9991587807960869E-2</v>
      </c>
      <c r="L136" s="62">
        <v>4.9961248778698675E-2</v>
      </c>
      <c r="M136" s="62">
        <v>4.982360752491366E-2</v>
      </c>
      <c r="N136" s="62">
        <v>4.9494833349053469E-2</v>
      </c>
      <c r="O136" s="62">
        <v>5.1351284657412011E-2</v>
      </c>
    </row>
    <row r="137" spans="1:15" x14ac:dyDescent="0.15">
      <c r="A137" s="61">
        <v>53491</v>
      </c>
      <c r="B137">
        <v>4.9989428180296919E-2</v>
      </c>
      <c r="C137">
        <v>4.9989428180296919E-2</v>
      </c>
      <c r="D137">
        <v>4.9989428180296919E-2</v>
      </c>
      <c r="E137">
        <v>4.9989428180296919E-2</v>
      </c>
      <c r="F137">
        <v>4.9989428180296919E-2</v>
      </c>
      <c r="G137">
        <v>4.9989428180296919E-2</v>
      </c>
      <c r="H137">
        <v>5.0802005077084343E-2</v>
      </c>
      <c r="I137" s="62">
        <v>4.9999999999984279E-2</v>
      </c>
      <c r="J137" s="62">
        <v>4.9998712146200885E-2</v>
      </c>
      <c r="K137" s="62">
        <v>4.9991645628338244E-2</v>
      </c>
      <c r="L137" s="62">
        <v>4.9961532561292765E-2</v>
      </c>
      <c r="M137" s="62">
        <v>4.9825089397853795E-2</v>
      </c>
      <c r="N137" s="62">
        <v>4.949874903178042E-2</v>
      </c>
      <c r="O137" s="62">
        <v>5.1313609494550327E-2</v>
      </c>
    </row>
    <row r="138" spans="1:15" x14ac:dyDescent="0.15">
      <c r="A138" s="61">
        <v>53583</v>
      </c>
      <c r="B138">
        <v>4.9995092449008384E-2</v>
      </c>
      <c r="C138">
        <v>4.9995092449008384E-2</v>
      </c>
      <c r="D138">
        <v>4.9995092449008384E-2</v>
      </c>
      <c r="E138">
        <v>4.9995092449008384E-2</v>
      </c>
      <c r="F138">
        <v>4.9995092449008384E-2</v>
      </c>
      <c r="G138">
        <v>4.9995092449008384E-2</v>
      </c>
      <c r="H138">
        <v>5.0795092449008386E-2</v>
      </c>
      <c r="I138" s="62">
        <v>4.9999999999995826E-2</v>
      </c>
      <c r="J138" s="62">
        <v>4.9998563008331498E-2</v>
      </c>
      <c r="K138" s="62">
        <v>4.9991740504510274E-2</v>
      </c>
      <c r="L138" s="62">
        <v>4.9961940163441909E-2</v>
      </c>
      <c r="M138" s="62">
        <v>4.9826516185739855E-2</v>
      </c>
      <c r="N138" s="62">
        <v>4.9502813144954194E-2</v>
      </c>
      <c r="O138" s="62">
        <v>5.1275326245644237E-2</v>
      </c>
    </row>
    <row r="139" spans="1:15" x14ac:dyDescent="0.15">
      <c r="A139" s="61">
        <v>53674</v>
      </c>
      <c r="B139">
        <v>4.9983998461151563E-2</v>
      </c>
      <c r="C139">
        <v>4.9983998461151563E-2</v>
      </c>
      <c r="D139">
        <v>4.9983998461151563E-2</v>
      </c>
      <c r="E139">
        <v>4.9983998461151563E-2</v>
      </c>
      <c r="F139">
        <v>4.9983998461151563E-2</v>
      </c>
      <c r="G139">
        <v>4.9983998461151563E-2</v>
      </c>
      <c r="H139">
        <v>5.0771558269764004E-2</v>
      </c>
      <c r="I139" s="62">
        <v>4.9999999999912115E-2</v>
      </c>
      <c r="J139" s="62">
        <v>4.9998662952373429E-2</v>
      </c>
      <c r="K139" s="62">
        <v>4.9991775458356313E-2</v>
      </c>
      <c r="L139" s="62">
        <v>4.9962130463653054E-2</v>
      </c>
      <c r="M139" s="62">
        <v>4.9827574797069341E-2</v>
      </c>
      <c r="N139" s="62">
        <v>4.9506083441425597E-2</v>
      </c>
      <c r="O139" s="62">
        <v>5.124012773214548E-2</v>
      </c>
    </row>
    <row r="140" spans="1:15" x14ac:dyDescent="0.15">
      <c r="A140" s="61">
        <v>53764</v>
      </c>
      <c r="B140">
        <v>4.9982237955260606E-2</v>
      </c>
      <c r="C140">
        <v>4.9982237955260606E-2</v>
      </c>
      <c r="D140">
        <v>4.9982237955260606E-2</v>
      </c>
      <c r="E140">
        <v>4.9982237955260606E-2</v>
      </c>
      <c r="F140">
        <v>4.9982237955260606E-2</v>
      </c>
      <c r="G140">
        <v>4.9982237955260606E-2</v>
      </c>
      <c r="H140">
        <v>5.0757494277885347E-2</v>
      </c>
      <c r="I140" s="62">
        <v>5.0000000000075984E-2</v>
      </c>
      <c r="J140" s="62">
        <v>4.9998773660391516E-2</v>
      </c>
      <c r="K140" s="62">
        <v>4.9991830938161064E-2</v>
      </c>
      <c r="L140" s="62">
        <v>4.9962368756270692E-2</v>
      </c>
      <c r="M140" s="62">
        <v>4.9828705257145112E-2</v>
      </c>
      <c r="N140" s="62">
        <v>4.9509430469031335E-2</v>
      </c>
      <c r="O140" s="62">
        <v>5.1204368318228832E-2</v>
      </c>
    </row>
    <row r="141" spans="1:15" x14ac:dyDescent="0.15">
      <c r="A141" s="61">
        <v>53856</v>
      </c>
      <c r="B141">
        <v>4.9989546451522253E-2</v>
      </c>
      <c r="C141">
        <v>4.9989546451522253E-2</v>
      </c>
      <c r="D141">
        <v>4.9989546451522253E-2</v>
      </c>
      <c r="E141">
        <v>4.9989546451522253E-2</v>
      </c>
      <c r="F141">
        <v>4.9989546451522253E-2</v>
      </c>
      <c r="G141">
        <v>4.9989546451522253E-2</v>
      </c>
      <c r="H141">
        <v>5.0752225877359572E-2</v>
      </c>
      <c r="I141" s="62">
        <v>4.9999999999984723E-2</v>
      </c>
      <c r="J141" s="62">
        <v>4.9998749111232588E-2</v>
      </c>
      <c r="K141" s="62">
        <v>4.9991885423252391E-2</v>
      </c>
      <c r="L141" s="62">
        <v>4.9962636674278027E-2</v>
      </c>
      <c r="M141" s="62">
        <v>4.9830109462637884E-2</v>
      </c>
      <c r="N141" s="62">
        <v>4.9513133168219037E-2</v>
      </c>
      <c r="O141" s="62">
        <v>5.1166649597391922E-2</v>
      </c>
    </row>
    <row r="142" spans="1:15" x14ac:dyDescent="0.15">
      <c r="A142" s="61">
        <v>53948</v>
      </c>
      <c r="B142">
        <v>4.9995146545459612E-2</v>
      </c>
      <c r="C142">
        <v>4.9995146545459612E-2</v>
      </c>
      <c r="D142">
        <v>4.9995146545459612E-2</v>
      </c>
      <c r="E142">
        <v>4.9995146545459612E-2</v>
      </c>
      <c r="F142">
        <v>4.9995146545459612E-2</v>
      </c>
      <c r="G142">
        <v>4.9995146545459612E-2</v>
      </c>
      <c r="H142">
        <v>5.0745249074509509E-2</v>
      </c>
      <c r="I142" s="62">
        <v>4.9999999999996048E-2</v>
      </c>
      <c r="J142" s="62">
        <v>4.9998603969252153E-2</v>
      </c>
      <c r="K142" s="62">
        <v>4.9991975938827649E-2</v>
      </c>
      <c r="L142" s="62">
        <v>4.996302503224137E-2</v>
      </c>
      <c r="M142" s="62">
        <v>4.9831460911877068E-2</v>
      </c>
      <c r="N142" s="62">
        <v>4.9516982115246355E-2</v>
      </c>
      <c r="O142" s="62">
        <v>5.1128323908834705E-2</v>
      </c>
    </row>
    <row r="143" spans="1:15" x14ac:dyDescent="0.15">
      <c r="A143" s="61">
        <v>54039</v>
      </c>
      <c r="B143">
        <v>4.9984172206709247E-2</v>
      </c>
      <c r="C143">
        <v>4.9984172206709247E-2</v>
      </c>
      <c r="D143">
        <v>4.9984172206709247E-2</v>
      </c>
      <c r="E143">
        <v>4.9984172206709247E-2</v>
      </c>
      <c r="F143">
        <v>4.9984172206709247E-2</v>
      </c>
      <c r="G143">
        <v>4.9984172206709247E-2</v>
      </c>
      <c r="H143">
        <v>5.0721834544371583E-2</v>
      </c>
      <c r="I143" s="62">
        <v>5.0000000000081313E-2</v>
      </c>
      <c r="J143" s="62">
        <v>4.9998700777760696E-2</v>
      </c>
      <c r="K143" s="62">
        <v>4.999200813436544E-2</v>
      </c>
      <c r="L143" s="62">
        <v>4.9963201794945178E-2</v>
      </c>
      <c r="M143" s="62">
        <v>4.9832452418371975E-2</v>
      </c>
      <c r="N143" s="62">
        <v>4.9520053483959048E-2</v>
      </c>
      <c r="O143" s="62">
        <v>5.1092937115729153E-2</v>
      </c>
    </row>
    <row r="144" spans="1:15" x14ac:dyDescent="0.15">
      <c r="A144" s="61">
        <v>54130</v>
      </c>
      <c r="B144">
        <v>4.9982427971270796E-2</v>
      </c>
      <c r="C144">
        <v>4.9982427971270796E-2</v>
      </c>
      <c r="D144">
        <v>4.9982427971270796E-2</v>
      </c>
      <c r="E144">
        <v>4.9982427971270796E-2</v>
      </c>
      <c r="F144">
        <v>4.9982427971270796E-2</v>
      </c>
      <c r="G144">
        <v>4.9982427971270796E-2</v>
      </c>
      <c r="H144">
        <v>5.070765011754557E-2</v>
      </c>
      <c r="I144" s="62">
        <v>4.9999999999990052E-2</v>
      </c>
      <c r="J144" s="62">
        <v>4.9998808107503345E-2</v>
      </c>
      <c r="K144" s="62">
        <v>4.9992060403630578E-2</v>
      </c>
      <c r="L144" s="62">
        <v>4.9963425787368454E-2</v>
      </c>
      <c r="M144" s="62">
        <v>4.9833516497510555E-2</v>
      </c>
      <c r="N144" s="62">
        <v>4.9523207353685983E-2</v>
      </c>
      <c r="O144" s="62">
        <v>5.1056641988078022E-2</v>
      </c>
    </row>
    <row r="145" spans="1:15" x14ac:dyDescent="0.15">
      <c r="A145" s="61">
        <v>54224</v>
      </c>
      <c r="B145">
        <v>4.9989797965661324E-2</v>
      </c>
      <c r="C145">
        <v>4.9989797965661324E-2</v>
      </c>
      <c r="D145">
        <v>4.9989797965661324E-2</v>
      </c>
      <c r="E145">
        <v>4.9989797965661324E-2</v>
      </c>
      <c r="F145">
        <v>4.9989797965661324E-2</v>
      </c>
      <c r="G145">
        <v>4.9989797965661324E-2</v>
      </c>
      <c r="H145">
        <v>5.0702169804348954E-2</v>
      </c>
      <c r="I145" s="62">
        <v>5.0000000000069322E-2</v>
      </c>
      <c r="J145" s="62">
        <v>4.9998742320760403E-2</v>
      </c>
      <c r="K145" s="62">
        <v>4.99921357427211E-2</v>
      </c>
      <c r="L145" s="62">
        <v>4.9963690681537498E-2</v>
      </c>
      <c r="M145" s="62">
        <v>4.9834860973247297E-2</v>
      </c>
      <c r="N145" s="62">
        <v>4.952686117662175E-2</v>
      </c>
      <c r="O145" s="62">
        <v>5.1017914077538862E-2</v>
      </c>
    </row>
    <row r="146" spans="1:15" x14ac:dyDescent="0.15">
      <c r="A146" s="61">
        <v>54316</v>
      </c>
      <c r="B146">
        <v>4.9994120327597917E-2</v>
      </c>
      <c r="C146">
        <v>4.9994120327597917E-2</v>
      </c>
      <c r="D146">
        <v>4.9994120327597917E-2</v>
      </c>
      <c r="E146">
        <v>4.9994120327597917E-2</v>
      </c>
      <c r="F146">
        <v>4.9994120327597917E-2</v>
      </c>
      <c r="G146">
        <v>4.9994120327597917E-2</v>
      </c>
      <c r="H146">
        <v>5.0693915269498124E-2</v>
      </c>
      <c r="I146" s="62">
        <v>4.9999999999996048E-2</v>
      </c>
      <c r="J146" s="62">
        <v>4.9998667323584822E-2</v>
      </c>
      <c r="K146" s="62">
        <v>4.99922342000505E-2</v>
      </c>
      <c r="L146" s="62">
        <v>4.9964034666726498E-2</v>
      </c>
      <c r="M146" s="62">
        <v>4.9836160100977356E-2</v>
      </c>
      <c r="N146" s="62">
        <v>4.9530440467473236E-2</v>
      </c>
      <c r="O146" s="62">
        <v>5.0979641489427907E-2</v>
      </c>
    </row>
    <row r="147" spans="1:15" x14ac:dyDescent="0.15">
      <c r="A147" s="61">
        <v>54407</v>
      </c>
      <c r="B147">
        <v>4.9983675789538148E-2</v>
      </c>
      <c r="C147">
        <v>4.9983675789538148E-2</v>
      </c>
      <c r="D147">
        <v>4.9983675789538148E-2</v>
      </c>
      <c r="E147">
        <v>4.9983675789538148E-2</v>
      </c>
      <c r="F147">
        <v>4.9983675789538148E-2</v>
      </c>
      <c r="G147">
        <v>4.9983675789538148E-2</v>
      </c>
      <c r="H147">
        <v>5.0671030540050795E-2</v>
      </c>
      <c r="I147" s="62">
        <v>4.9999999999993827E-2</v>
      </c>
      <c r="J147" s="62">
        <v>4.9998761335521946E-2</v>
      </c>
      <c r="K147" s="62">
        <v>4.999225974700483E-2</v>
      </c>
      <c r="L147" s="62">
        <v>4.9964206327204774E-2</v>
      </c>
      <c r="M147" s="62">
        <v>4.9837074990481511E-2</v>
      </c>
      <c r="N147" s="62">
        <v>4.9533364763908017E-2</v>
      </c>
      <c r="O147" s="62">
        <v>5.0943944470708269E-2</v>
      </c>
    </row>
    <row r="148" spans="1:15" x14ac:dyDescent="0.15">
      <c r="A148" s="61">
        <v>54497</v>
      </c>
      <c r="B148">
        <v>4.9982686757732812E-2</v>
      </c>
      <c r="C148">
        <v>4.9982686757732812E-2</v>
      </c>
      <c r="D148">
        <v>4.9982686757732812E-2</v>
      </c>
      <c r="E148">
        <v>4.9982686757732812E-2</v>
      </c>
      <c r="F148">
        <v>4.9982686757732812E-2</v>
      </c>
      <c r="G148">
        <v>4.9982686757732812E-2</v>
      </c>
      <c r="H148">
        <v>5.0657738022257759E-2</v>
      </c>
      <c r="I148" s="62">
        <v>4.999999999998983E-2</v>
      </c>
      <c r="J148" s="62">
        <v>4.999887384826085E-2</v>
      </c>
      <c r="K148" s="62">
        <v>4.9992231336057014E-2</v>
      </c>
      <c r="L148" s="62">
        <v>4.9964434920711343E-2</v>
      </c>
      <c r="M148" s="62">
        <v>4.9838092930594158E-2</v>
      </c>
      <c r="N148" s="62">
        <v>4.9536386819068579E-2</v>
      </c>
      <c r="O148" s="62">
        <v>5.0907700801428035E-2</v>
      </c>
    </row>
    <row r="149" spans="1:15" x14ac:dyDescent="0.15">
      <c r="A149" s="61">
        <v>54589</v>
      </c>
      <c r="B149">
        <v>4.9989899346556343E-2</v>
      </c>
      <c r="C149">
        <v>4.9989899346556343E-2</v>
      </c>
      <c r="D149">
        <v>4.9989899346556343E-2</v>
      </c>
      <c r="E149">
        <v>4.9989899346556343E-2</v>
      </c>
      <c r="F149">
        <v>4.9989899346556343E-2</v>
      </c>
      <c r="G149">
        <v>4.9989899346556343E-2</v>
      </c>
      <c r="H149">
        <v>5.0652373714293868E-2</v>
      </c>
      <c r="I149" s="62">
        <v>4.9999999999981615E-2</v>
      </c>
      <c r="J149" s="62">
        <v>4.9998776453969551E-2</v>
      </c>
      <c r="K149" s="62">
        <v>4.9992349178277218E-2</v>
      </c>
      <c r="L149" s="62">
        <v>4.9964676101474259E-2</v>
      </c>
      <c r="M149" s="62">
        <v>4.9839342515047402E-2</v>
      </c>
      <c r="N149" s="62">
        <v>4.9539699409865356E-2</v>
      </c>
      <c r="O149" s="62">
        <v>5.0869706695284123E-2</v>
      </c>
    </row>
    <row r="150" spans="1:15" x14ac:dyDescent="0.15">
      <c r="A150" s="61">
        <v>54681</v>
      </c>
      <c r="B150">
        <v>4.9994177913600425E-2</v>
      </c>
      <c r="C150">
        <v>4.9994177913600425E-2</v>
      </c>
      <c r="D150">
        <v>4.9994177913600425E-2</v>
      </c>
      <c r="E150">
        <v>4.9994177913600425E-2</v>
      </c>
      <c r="F150">
        <v>4.9994177913600425E-2</v>
      </c>
      <c r="G150">
        <v>4.9994177913600425E-2</v>
      </c>
      <c r="H150">
        <v>5.0644075384550527E-2</v>
      </c>
      <c r="I150" s="62">
        <v>4.9999999999909672E-2</v>
      </c>
      <c r="J150" s="62">
        <v>4.9998703254866328E-2</v>
      </c>
      <c r="K150" s="62">
        <v>4.9992443579045753E-2</v>
      </c>
      <c r="L150" s="62">
        <v>4.9965004340607466E-2</v>
      </c>
      <c r="M150" s="62">
        <v>4.9840577186472501E-2</v>
      </c>
      <c r="N150" s="62">
        <v>4.9543097905403011E-2</v>
      </c>
      <c r="O150" s="62">
        <v>5.0831259433810061E-2</v>
      </c>
    </row>
    <row r="151" spans="1:15" x14ac:dyDescent="0.15">
      <c r="A151" s="61">
        <v>54772</v>
      </c>
      <c r="B151">
        <v>4.9983833325078962E-2</v>
      </c>
      <c r="C151">
        <v>4.9983833325078962E-2</v>
      </c>
      <c r="D151">
        <v>4.9983833325078962E-2</v>
      </c>
      <c r="E151">
        <v>4.9983833325078962E-2</v>
      </c>
      <c r="F151">
        <v>4.9983833325078962E-2</v>
      </c>
      <c r="G151">
        <v>4.9983833325078962E-2</v>
      </c>
      <c r="H151">
        <v>5.0621290604641503E-2</v>
      </c>
      <c r="I151" s="62">
        <v>4.9999999999994049E-2</v>
      </c>
      <c r="J151" s="62">
        <v>4.9998794493845811E-2</v>
      </c>
      <c r="K151" s="62">
        <v>4.9992466950185666E-2</v>
      </c>
      <c r="L151" s="62">
        <v>4.9965164495997527E-2</v>
      </c>
      <c r="M151" s="62">
        <v>4.9841436115702464E-2</v>
      </c>
      <c r="N151" s="62">
        <v>4.9545853794192407E-2</v>
      </c>
      <c r="O151" s="62">
        <v>5.0795259864652387E-2</v>
      </c>
    </row>
    <row r="152" spans="1:15" x14ac:dyDescent="0.15">
      <c r="A152" s="61">
        <v>54862</v>
      </c>
      <c r="B152">
        <v>4.998285142358791E-2</v>
      </c>
      <c r="C152">
        <v>4.998285142358791E-2</v>
      </c>
      <c r="D152">
        <v>4.998285142358791E-2</v>
      </c>
      <c r="E152">
        <v>4.998285142358791E-2</v>
      </c>
      <c r="F152">
        <v>4.998285142358791E-2</v>
      </c>
      <c r="G152">
        <v>4.998285142358791E-2</v>
      </c>
      <c r="H152">
        <v>5.0608005217162758E-2</v>
      </c>
      <c r="I152" s="62">
        <v>4.9999999999990052E-2</v>
      </c>
      <c r="J152" s="62">
        <v>4.9998903792775051E-2</v>
      </c>
      <c r="K152" s="62">
        <v>4.9992437907135256E-2</v>
      </c>
      <c r="L152" s="62">
        <v>4.9965380595349274E-2</v>
      </c>
      <c r="M152" s="62">
        <v>4.9842397790002213E-2</v>
      </c>
      <c r="N152" s="62">
        <v>4.954871190102117E-2</v>
      </c>
      <c r="O152" s="62">
        <v>5.0758740655281631E-2</v>
      </c>
    </row>
    <row r="153" spans="1:15" x14ac:dyDescent="0.15">
      <c r="A153" s="61">
        <v>54954</v>
      </c>
      <c r="B153">
        <v>4.9989994044080853E-2</v>
      </c>
      <c r="C153">
        <v>4.9989994044080853E-2</v>
      </c>
      <c r="D153">
        <v>4.9989994044080853E-2</v>
      </c>
      <c r="E153">
        <v>4.9989994044080853E-2</v>
      </c>
      <c r="F153">
        <v>4.9989994044080853E-2</v>
      </c>
      <c r="G153">
        <v>4.9989994044080853E-2</v>
      </c>
      <c r="H153">
        <v>5.0602570940868279E-2</v>
      </c>
      <c r="I153" s="62">
        <v>5.0000000000069988E-2</v>
      </c>
      <c r="J153" s="62">
        <v>4.9998808782919513E-2</v>
      </c>
      <c r="K153" s="62">
        <v>4.9992551331778712E-2</v>
      </c>
      <c r="L153" s="62">
        <v>4.996560943344508E-2</v>
      </c>
      <c r="M153" s="62">
        <v>4.9843587182032634E-2</v>
      </c>
      <c r="N153" s="62">
        <v>4.9551859164576717E-2</v>
      </c>
      <c r="O153" s="62">
        <v>5.0720523716100141E-2</v>
      </c>
    </row>
    <row r="154" spans="1:15" x14ac:dyDescent="0.15">
      <c r="A154" s="61">
        <v>55046</v>
      </c>
      <c r="B154">
        <v>4.9994231718392575E-2</v>
      </c>
      <c r="C154">
        <v>4.9994231718392575E-2</v>
      </c>
      <c r="D154">
        <v>4.9994231718392575E-2</v>
      </c>
      <c r="E154">
        <v>4.9994231718392575E-2</v>
      </c>
      <c r="F154">
        <v>4.9994231718392575E-2</v>
      </c>
      <c r="G154">
        <v>4.9994231718392575E-2</v>
      </c>
      <c r="H154">
        <v>5.0594231718392578E-2</v>
      </c>
      <c r="I154" s="62">
        <v>5.0000000000000488E-2</v>
      </c>
      <c r="J154" s="62">
        <v>4.9998737299107532E-2</v>
      </c>
      <c r="K154" s="62">
        <v>4.9992641962545381E-2</v>
      </c>
      <c r="L154" s="62">
        <v>4.9965923092299303E-2</v>
      </c>
      <c r="M154" s="62">
        <v>4.984476232243007E-2</v>
      </c>
      <c r="N154" s="62">
        <v>4.9555090768683252E-2</v>
      </c>
      <c r="O154" s="62">
        <v>5.0681847048331896E-2</v>
      </c>
    </row>
    <row r="155" spans="1:15" x14ac:dyDescent="0.15">
      <c r="A155" s="61">
        <v>55137</v>
      </c>
      <c r="B155">
        <v>4.9983980557838682E-2</v>
      </c>
      <c r="C155">
        <v>4.9983980557838682E-2</v>
      </c>
      <c r="D155">
        <v>4.9983980557838682E-2</v>
      </c>
      <c r="E155">
        <v>4.9983980557838682E-2</v>
      </c>
      <c r="F155">
        <v>4.9983980557838682E-2</v>
      </c>
      <c r="G155">
        <v>4.9983980557838682E-2</v>
      </c>
      <c r="H155">
        <v>5.0571540366451125E-2</v>
      </c>
      <c r="I155" s="62">
        <v>4.9999999999994271E-2</v>
      </c>
      <c r="J155" s="62">
        <v>4.9998825922374035E-2</v>
      </c>
      <c r="K155" s="62">
        <v>4.9992663344736066E-2</v>
      </c>
      <c r="L155" s="62">
        <v>4.9966072682379625E-2</v>
      </c>
      <c r="M155" s="62">
        <v>4.9845569757465347E-2</v>
      </c>
      <c r="N155" s="62">
        <v>4.9557691464645615E-2</v>
      </c>
      <c r="O155" s="62">
        <v>5.0645493033196098E-2</v>
      </c>
    </row>
    <row r="156" spans="1:15" x14ac:dyDescent="0.15">
      <c r="A156" s="61">
        <v>55227</v>
      </c>
      <c r="B156">
        <v>4.9983005362268441E-2</v>
      </c>
      <c r="C156">
        <v>4.9983005362268441E-2</v>
      </c>
      <c r="D156">
        <v>4.9983005362268441E-2</v>
      </c>
      <c r="E156">
        <v>4.9983005362268441E-2</v>
      </c>
      <c r="F156">
        <v>4.9983005362268441E-2</v>
      </c>
      <c r="G156">
        <v>4.9983005362268441E-2</v>
      </c>
      <c r="H156">
        <v>5.0558261684893184E-2</v>
      </c>
      <c r="I156" s="62">
        <v>5.0000000000079758E-2</v>
      </c>
      <c r="J156" s="62">
        <v>4.999893218528606E-2</v>
      </c>
      <c r="K156" s="62">
        <v>4.9992633772524497E-2</v>
      </c>
      <c r="L156" s="62">
        <v>4.9966277259469116E-2</v>
      </c>
      <c r="M156" s="62">
        <v>4.9846479558999457E-2</v>
      </c>
      <c r="N156" s="62">
        <v>4.9560398346929047E-2</v>
      </c>
      <c r="O156" s="62">
        <v>5.0608647625123293E-2</v>
      </c>
    </row>
    <row r="157" spans="1:15" x14ac:dyDescent="0.15">
      <c r="A157" s="61">
        <v>55319</v>
      </c>
      <c r="B157">
        <v>4.9990082595976537E-2</v>
      </c>
      <c r="C157">
        <v>4.9990082595976537E-2</v>
      </c>
      <c r="D157">
        <v>4.9990082595976537E-2</v>
      </c>
      <c r="E157">
        <v>4.9990082595976537E-2</v>
      </c>
      <c r="F157">
        <v>4.9990082595976537E-2</v>
      </c>
      <c r="G157">
        <v>4.9990082595976537E-2</v>
      </c>
      <c r="H157">
        <v>5.0552762021813857E-2</v>
      </c>
      <c r="I157" s="62">
        <v>4.9999999999978284E-2</v>
      </c>
      <c r="J157" s="62">
        <v>4.9998839446985022E-2</v>
      </c>
      <c r="K157" s="62">
        <v>4.9992743074649848E-2</v>
      </c>
      <c r="L157" s="62">
        <v>4.9966494700990793E-2</v>
      </c>
      <c r="M157" s="62">
        <v>4.9847613271514435E-2</v>
      </c>
      <c r="N157" s="62">
        <v>4.9563392840734632E-2</v>
      </c>
      <c r="O157" s="62">
        <v>5.0570157137874494E-2</v>
      </c>
    </row>
    <row r="158" spans="1:15" x14ac:dyDescent="0.15">
      <c r="A158" s="61">
        <v>55411</v>
      </c>
      <c r="B158">
        <v>4.9994282044550961E-2</v>
      </c>
      <c r="C158">
        <v>4.9994282044550961E-2</v>
      </c>
      <c r="D158">
        <v>4.9994282044550961E-2</v>
      </c>
      <c r="E158">
        <v>4.9994282044550961E-2</v>
      </c>
      <c r="F158">
        <v>4.9994282044550961E-2</v>
      </c>
      <c r="G158">
        <v>4.9994282044550961E-2</v>
      </c>
      <c r="H158">
        <v>5.0544384573600859E-2</v>
      </c>
      <c r="I158" s="62">
        <v>5.0000000000000488E-2</v>
      </c>
      <c r="J158" s="62">
        <v>4.9998769601236948E-2</v>
      </c>
      <c r="K158" s="62">
        <v>4.9992830194469651E-2</v>
      </c>
      <c r="L158" s="62">
        <v>4.9966794830102579E-2</v>
      </c>
      <c r="M158" s="62">
        <v>4.984873331156825E-2</v>
      </c>
      <c r="N158" s="62">
        <v>4.9566470058000522E-2</v>
      </c>
      <c r="O158" s="62">
        <v>5.0531200368495899E-2</v>
      </c>
    </row>
    <row r="159" spans="1:15" x14ac:dyDescent="0.15">
      <c r="A159" s="61">
        <v>55502</v>
      </c>
      <c r="B159">
        <v>4.9984118307717325E-2</v>
      </c>
      <c r="C159">
        <v>4.9984118307717325E-2</v>
      </c>
      <c r="D159">
        <v>4.9984118307717325E-2</v>
      </c>
      <c r="E159">
        <v>4.9984118307717325E-2</v>
      </c>
      <c r="F159">
        <v>4.9984118307717325E-2</v>
      </c>
      <c r="G159">
        <v>4.9984118307717325E-2</v>
      </c>
      <c r="H159">
        <v>5.0521780645379662E-2</v>
      </c>
      <c r="I159" s="62">
        <v>5.000000000008531E-2</v>
      </c>
      <c r="J159" s="62">
        <v>4.9998855753103033E-2</v>
      </c>
      <c r="K159" s="62">
        <v>4.9992849754480151E-2</v>
      </c>
      <c r="L159" s="62">
        <v>4.996693469758462E-2</v>
      </c>
      <c r="M159" s="62">
        <v>4.9849493262463129E-2</v>
      </c>
      <c r="N159" s="62">
        <v>4.9568927437616539E-2</v>
      </c>
      <c r="O159" s="62">
        <v>5.0494443698406277E-2</v>
      </c>
    </row>
    <row r="160" spans="1:15" x14ac:dyDescent="0.15">
      <c r="A160" s="61">
        <v>55593</v>
      </c>
      <c r="B160">
        <v>4.9983149422851515E-2</v>
      </c>
      <c r="C160">
        <v>4.9983149422851515E-2</v>
      </c>
      <c r="D160">
        <v>4.9983149422851515E-2</v>
      </c>
      <c r="E160">
        <v>4.9983149422851515E-2</v>
      </c>
      <c r="F160">
        <v>4.9983149422851515E-2</v>
      </c>
      <c r="G160">
        <v>4.9983149422851515E-2</v>
      </c>
      <c r="H160">
        <v>5.0508371569126291E-2</v>
      </c>
      <c r="I160" s="62">
        <v>4.9999999999986278E-2</v>
      </c>
      <c r="J160" s="62">
        <v>4.9998959143390698E-2</v>
      </c>
      <c r="K160" s="62">
        <v>4.9992819743027495E-2</v>
      </c>
      <c r="L160" s="62">
        <v>4.9967128626971169E-2</v>
      </c>
      <c r="M160" s="62">
        <v>4.9850355141190628E-2</v>
      </c>
      <c r="N160" s="62">
        <v>4.9571494540827876E-2</v>
      </c>
      <c r="O160" s="62">
        <v>5.0456813670567202E-2</v>
      </c>
    </row>
    <row r="161" spans="1:15" x14ac:dyDescent="0.15">
      <c r="A161" s="61">
        <v>55687</v>
      </c>
      <c r="B161">
        <v>4.9990534309244265E-2</v>
      </c>
      <c r="C161">
        <v>4.9990534309244265E-2</v>
      </c>
      <c r="D161">
        <v>4.9990534309244265E-2</v>
      </c>
      <c r="E161">
        <v>4.9990534309244265E-2</v>
      </c>
      <c r="F161">
        <v>4.9990534309244265E-2</v>
      </c>
      <c r="G161">
        <v>4.9990534309244265E-2</v>
      </c>
      <c r="H161">
        <v>5.0502906147931896E-2</v>
      </c>
      <c r="I161" s="62">
        <v>4.9999999999979172E-2</v>
      </c>
      <c r="J161" s="62">
        <v>4.9998918948007454E-2</v>
      </c>
      <c r="K161" s="62">
        <v>4.9992965667274403E-2</v>
      </c>
      <c r="L161" s="62">
        <v>4.9967230218205927E-2</v>
      </c>
      <c r="M161" s="62">
        <v>4.9851498192815757E-2</v>
      </c>
      <c r="N161" s="62">
        <v>4.9574385744403759E-2</v>
      </c>
      <c r="O161" s="62">
        <v>5.0417178382817562E-2</v>
      </c>
    </row>
    <row r="162" spans="1:15" x14ac:dyDescent="0.15">
      <c r="A162" s="61">
        <v>55779</v>
      </c>
      <c r="B162">
        <v>4.9994710953980434E-2</v>
      </c>
      <c r="C162">
        <v>4.9994710953980434E-2</v>
      </c>
      <c r="D162">
        <v>4.9994710953980434E-2</v>
      </c>
      <c r="E162">
        <v>4.9994710953980434E-2</v>
      </c>
      <c r="F162">
        <v>4.9994710953980434E-2</v>
      </c>
      <c r="G162">
        <v>4.9994710953980434E-2</v>
      </c>
      <c r="H162">
        <v>5.0494505895880643E-2</v>
      </c>
      <c r="I162" s="62">
        <v>5.0000000000000044E-2</v>
      </c>
      <c r="J162" s="62">
        <v>4.9998775877730717E-2</v>
      </c>
      <c r="K162" s="62">
        <v>4.9992986163180486E-2</v>
      </c>
      <c r="L162" s="62">
        <v>4.9967630510939776E-2</v>
      </c>
      <c r="M162" s="62">
        <v>4.9852517987329481E-2</v>
      </c>
      <c r="N162" s="62">
        <v>4.9577329598861741E-2</v>
      </c>
      <c r="O162" s="62">
        <v>5.0377868287326821E-2</v>
      </c>
    </row>
    <row r="163" spans="1:15" x14ac:dyDescent="0.15">
      <c r="A163" s="61">
        <v>55870</v>
      </c>
      <c r="B163">
        <v>4.9984624014483149E-2</v>
      </c>
      <c r="C163">
        <v>4.9984624014483149E-2</v>
      </c>
      <c r="D163">
        <v>4.9984624014483149E-2</v>
      </c>
      <c r="E163">
        <v>4.9984624014483149E-2</v>
      </c>
      <c r="F163">
        <v>4.9984624014483149E-2</v>
      </c>
      <c r="G163">
        <v>4.9984624014483149E-2</v>
      </c>
      <c r="H163">
        <v>5.0471978764995797E-2</v>
      </c>
      <c r="I163" s="62">
        <v>4.9999999999990274E-2</v>
      </c>
      <c r="J163" s="62">
        <v>4.9998870927527639E-2</v>
      </c>
      <c r="K163" s="62">
        <v>4.9993027263548706E-2</v>
      </c>
      <c r="L163" s="62">
        <v>4.9967726386308087E-2</v>
      </c>
      <c r="M163" s="62">
        <v>4.9853247809698242E-2</v>
      </c>
      <c r="N163" s="62">
        <v>4.9579648843312674E-2</v>
      </c>
      <c r="O163" s="62">
        <v>5.0340669553105233E-2</v>
      </c>
    </row>
    <row r="164" spans="1:15" x14ac:dyDescent="0.15">
      <c r="A164" s="61">
        <v>55960</v>
      </c>
      <c r="B164">
        <v>4.99831864468019E-2</v>
      </c>
      <c r="C164">
        <v>4.99831864468019E-2</v>
      </c>
      <c r="D164">
        <v>4.99831864468019E-2</v>
      </c>
      <c r="E164">
        <v>4.99831864468019E-2</v>
      </c>
      <c r="F164">
        <v>4.99831864468019E-2</v>
      </c>
      <c r="G164">
        <v>4.99831864468019E-2</v>
      </c>
      <c r="H164">
        <v>5.0458237711326848E-2</v>
      </c>
      <c r="I164" s="62">
        <v>4.9999999999986944E-2</v>
      </c>
      <c r="J164" s="62">
        <v>4.9998955853628013E-2</v>
      </c>
      <c r="K164" s="62">
        <v>4.9993074791752301E-2</v>
      </c>
      <c r="L164" s="62">
        <v>4.9967910024625306E-2</v>
      </c>
      <c r="M164" s="62">
        <v>4.9854070820427365E-2</v>
      </c>
      <c r="N164" s="62">
        <v>4.9582070717262061E-2</v>
      </c>
      <c r="O164" s="62">
        <v>5.0303112008103446E-2</v>
      </c>
    </row>
    <row r="165" spans="1:15" x14ac:dyDescent="0.15">
      <c r="A165" s="61">
        <v>56052</v>
      </c>
      <c r="B165">
        <v>4.9990609038633373E-2</v>
      </c>
      <c r="C165">
        <v>4.9990609038633373E-2</v>
      </c>
      <c r="D165">
        <v>4.9990609038633373E-2</v>
      </c>
      <c r="E165">
        <v>4.9990609038633373E-2</v>
      </c>
      <c r="F165">
        <v>4.9990609038633373E-2</v>
      </c>
      <c r="G165">
        <v>4.9990609038633373E-2</v>
      </c>
      <c r="H165">
        <v>5.0453083406370898E-2</v>
      </c>
      <c r="I165" s="62">
        <v>4.9999999999979838E-2</v>
      </c>
      <c r="J165" s="62">
        <v>4.999894540992833E-2</v>
      </c>
      <c r="K165" s="62">
        <v>4.9993137852744507E-2</v>
      </c>
      <c r="L165" s="62">
        <v>4.9968032343276958E-2</v>
      </c>
      <c r="M165" s="62">
        <v>4.9855132965748172E-2</v>
      </c>
      <c r="N165" s="62">
        <v>4.9584801882384788E-2</v>
      </c>
      <c r="O165" s="62">
        <v>5.026387958233336E-2</v>
      </c>
    </row>
    <row r="166" spans="1:15" x14ac:dyDescent="0.15">
      <c r="A166" s="61">
        <v>56144</v>
      </c>
      <c r="B166">
        <v>4.9994752128110269E-2</v>
      </c>
      <c r="C166">
        <v>4.9994752128110269E-2</v>
      </c>
      <c r="D166">
        <v>4.9994752128110269E-2</v>
      </c>
      <c r="E166">
        <v>4.9994752128110269E-2</v>
      </c>
      <c r="F166">
        <v>4.9994752128110269E-2</v>
      </c>
      <c r="G166">
        <v>4.9994752128110269E-2</v>
      </c>
      <c r="H166">
        <v>5.0444649599060372E-2</v>
      </c>
      <c r="I166" s="62">
        <v>5.0000000000095079E-2</v>
      </c>
      <c r="J166" s="62">
        <v>4.9998805664722257E-2</v>
      </c>
      <c r="K166" s="62">
        <v>4.9993156833444186E-2</v>
      </c>
      <c r="L166" s="62">
        <v>4.9968418160303285E-2</v>
      </c>
      <c r="M166" s="62">
        <v>4.985610648915717E-2</v>
      </c>
      <c r="N166" s="62">
        <v>4.9587612625116018E-2</v>
      </c>
      <c r="O166" s="62">
        <v>5.0224199057416152E-2</v>
      </c>
    </row>
    <row r="167" spans="1:15" x14ac:dyDescent="0.15">
      <c r="A167" s="61">
        <v>56235</v>
      </c>
      <c r="B167">
        <v>4.9984742015752898E-2</v>
      </c>
      <c r="C167">
        <v>4.9984742015752898E-2</v>
      </c>
      <c r="D167">
        <v>4.9984742015752898E-2</v>
      </c>
      <c r="E167">
        <v>4.9984742015752898E-2</v>
      </c>
      <c r="F167">
        <v>4.9984742015752898E-2</v>
      </c>
      <c r="G167">
        <v>4.9984742015752898E-2</v>
      </c>
      <c r="H167">
        <v>5.042219929531544E-2</v>
      </c>
      <c r="I167" s="62">
        <v>4.9999999999990274E-2</v>
      </c>
      <c r="J167" s="62">
        <v>4.9998898223035049E-2</v>
      </c>
      <c r="K167" s="62">
        <v>4.9993195831885773E-2</v>
      </c>
      <c r="L167" s="62">
        <v>4.9968506603805363E-2</v>
      </c>
      <c r="M167" s="62">
        <v>4.9856795373064644E-2</v>
      </c>
      <c r="N167" s="62">
        <v>4.9589809087406733E-2</v>
      </c>
      <c r="O167" s="62">
        <v>5.0186510360180847E-2</v>
      </c>
    </row>
    <row r="168" spans="1:15" x14ac:dyDescent="0.15">
      <c r="A168" s="61">
        <v>56325</v>
      </c>
      <c r="B168">
        <v>4.9983313675726233E-2</v>
      </c>
      <c r="C168">
        <v>4.9983313675726233E-2</v>
      </c>
      <c r="D168">
        <v>4.9983313675726233E-2</v>
      </c>
      <c r="E168">
        <v>4.9983313675726233E-2</v>
      </c>
      <c r="F168">
        <v>4.9983313675726233E-2</v>
      </c>
      <c r="G168">
        <v>4.9983313675726233E-2</v>
      </c>
      <c r="H168">
        <v>5.0408467469301083E-2</v>
      </c>
      <c r="I168" s="62">
        <v>4.9999999999987388E-2</v>
      </c>
      <c r="J168" s="62">
        <v>4.9998980942556726E-2</v>
      </c>
      <c r="K168" s="62">
        <v>4.9993241193570404E-2</v>
      </c>
      <c r="L168" s="62">
        <v>4.9968681087225297E-2</v>
      </c>
      <c r="M168" s="62">
        <v>4.9857577048673329E-2</v>
      </c>
      <c r="N168" s="62">
        <v>4.9592111038900377E-2</v>
      </c>
      <c r="O168" s="62">
        <v>5.0148490734166939E-2</v>
      </c>
    </row>
    <row r="169" spans="1:15" x14ac:dyDescent="0.15">
      <c r="A169" s="61">
        <v>56417</v>
      </c>
      <c r="B169">
        <v>4.9990679120668763E-2</v>
      </c>
      <c r="C169">
        <v>4.9990679120668763E-2</v>
      </c>
      <c r="D169">
        <v>4.9990679120668763E-2</v>
      </c>
      <c r="E169">
        <v>4.9990679120668763E-2</v>
      </c>
      <c r="F169">
        <v>4.9990679120668763E-2</v>
      </c>
      <c r="G169">
        <v>4.9990679120668763E-2</v>
      </c>
      <c r="H169">
        <v>5.0403256017456183E-2</v>
      </c>
      <c r="I169" s="62">
        <v>4.999999999998006E-2</v>
      </c>
      <c r="J169" s="62">
        <v>4.9998970606805138E-2</v>
      </c>
      <c r="K169" s="62">
        <v>4.9993301807785606E-2</v>
      </c>
      <c r="L169" s="62">
        <v>4.9968796127740189E-2</v>
      </c>
      <c r="M169" s="62">
        <v>4.9858594010419033E-2</v>
      </c>
      <c r="N169" s="62">
        <v>4.9594720230782263E-2</v>
      </c>
      <c r="O169" s="62">
        <v>5.0108856132972335E-2</v>
      </c>
    </row>
    <row r="170" spans="1:15" x14ac:dyDescent="0.15">
      <c r="A170" s="61">
        <v>56509</v>
      </c>
      <c r="B170">
        <v>4.9994790749952819E-2</v>
      </c>
      <c r="C170">
        <v>4.9994790749952819E-2</v>
      </c>
      <c r="D170">
        <v>4.9994790749952819E-2</v>
      </c>
      <c r="E170">
        <v>4.9994790749952819E-2</v>
      </c>
      <c r="F170">
        <v>4.9994790749952819E-2</v>
      </c>
      <c r="G170">
        <v>4.9994790749952819E-2</v>
      </c>
      <c r="H170">
        <v>5.0394790749952817E-2</v>
      </c>
      <c r="I170" s="62">
        <v>5.0000000000092859E-2</v>
      </c>
      <c r="J170" s="62">
        <v>4.9998834036291795E-2</v>
      </c>
      <c r="K170" s="62">
        <v>4.9993319393792923E-2</v>
      </c>
      <c r="L170" s="62">
        <v>4.9969168382740348E-2</v>
      </c>
      <c r="M170" s="62">
        <v>4.9859524483375273E-2</v>
      </c>
      <c r="N170" s="62">
        <v>4.9597407114269965E-2</v>
      </c>
      <c r="O170" s="62">
        <v>5.0068764317890313E-2</v>
      </c>
    </row>
    <row r="171" spans="1:15" x14ac:dyDescent="0.15">
      <c r="A171" s="61">
        <v>56600</v>
      </c>
      <c r="B171">
        <v>4.9984852726273739E-2</v>
      </c>
      <c r="C171">
        <v>4.9984852726273739E-2</v>
      </c>
      <c r="D171">
        <v>4.9984852726273739E-2</v>
      </c>
      <c r="E171">
        <v>4.9984852726273739E-2</v>
      </c>
      <c r="F171">
        <v>4.9984852726273739E-2</v>
      </c>
      <c r="G171">
        <v>4.9984852726273739E-2</v>
      </c>
      <c r="H171">
        <v>5.0372412534886182E-2</v>
      </c>
      <c r="I171" s="62">
        <v>4.9999999999990719E-2</v>
      </c>
      <c r="J171" s="62">
        <v>4.999892422935126E-2</v>
      </c>
      <c r="K171" s="62">
        <v>4.9993356438575498E-2</v>
      </c>
      <c r="L171" s="62">
        <v>4.996924997121277E-2</v>
      </c>
      <c r="M171" s="62">
        <v>4.986017539234866E-2</v>
      </c>
      <c r="N171" s="62">
        <v>4.9599489542669462E-2</v>
      </c>
      <c r="O171" s="62">
        <v>5.0030546500797524E-2</v>
      </c>
    </row>
    <row r="172" spans="1:15" x14ac:dyDescent="0.15">
      <c r="A172" s="61">
        <v>56690</v>
      </c>
      <c r="B172">
        <v>4.9983433068797142E-2</v>
      </c>
      <c r="C172">
        <v>4.9983433068797142E-2</v>
      </c>
      <c r="D172">
        <v>4.9983433068797142E-2</v>
      </c>
      <c r="E172">
        <v>4.9983433068797142E-2</v>
      </c>
      <c r="F172">
        <v>4.9983433068797142E-2</v>
      </c>
      <c r="G172">
        <v>4.9983433068797142E-2</v>
      </c>
      <c r="H172">
        <v>5.0358689391421886E-2</v>
      </c>
      <c r="I172" s="62">
        <v>4.999999999998761E-2</v>
      </c>
      <c r="J172" s="62">
        <v>4.9999004853491291E-2</v>
      </c>
      <c r="K172" s="62">
        <v>4.9993399782454651E-2</v>
      </c>
      <c r="L172" s="62">
        <v>4.9969415946774509E-2</v>
      </c>
      <c r="M172" s="62">
        <v>4.9860918659940801E-2</v>
      </c>
      <c r="N172" s="62">
        <v>4.9601680026310158E-2</v>
      </c>
      <c r="O172" s="62">
        <v>4.9992026720716343E-2</v>
      </c>
    </row>
    <row r="173" spans="1:15" x14ac:dyDescent="0.15">
      <c r="A173" s="61">
        <v>56782</v>
      </c>
      <c r="B173">
        <v>4.9990744899851912E-2</v>
      </c>
      <c r="C173">
        <v>4.9990744899851912E-2</v>
      </c>
      <c r="D173">
        <v>4.9990744899851912E-2</v>
      </c>
      <c r="E173">
        <v>4.9990744899851912E-2</v>
      </c>
      <c r="F173">
        <v>4.9990744899851912E-2</v>
      </c>
      <c r="G173">
        <v>4.9990744899851912E-2</v>
      </c>
      <c r="H173">
        <v>5.0353424325689233E-2</v>
      </c>
      <c r="I173" s="62">
        <v>4.9999999999980727E-2</v>
      </c>
      <c r="J173" s="62">
        <v>4.9998994627204585E-2</v>
      </c>
      <c r="K173" s="62">
        <v>4.9993458108825495E-2</v>
      </c>
      <c r="L173" s="62">
        <v>4.9969524256372688E-2</v>
      </c>
      <c r="M173" s="62">
        <v>4.9861893491267795E-2</v>
      </c>
      <c r="N173" s="62">
        <v>4.9604175641269954E-2</v>
      </c>
      <c r="O173" s="62">
        <v>4.9951951914047221E-2</v>
      </c>
    </row>
    <row r="174" spans="1:15" x14ac:dyDescent="0.15">
      <c r="A174" s="61">
        <v>56874</v>
      </c>
      <c r="B174">
        <v>4.9994827007822769E-2</v>
      </c>
      <c r="C174">
        <v>4.9994827007822769E-2</v>
      </c>
      <c r="D174">
        <v>4.9994827007822769E-2</v>
      </c>
      <c r="E174">
        <v>4.9994827007822769E-2</v>
      </c>
      <c r="F174">
        <v>4.9994827007822769E-2</v>
      </c>
      <c r="G174">
        <v>4.9994827007822769E-2</v>
      </c>
      <c r="H174">
        <v>5.0344929536872668E-2</v>
      </c>
      <c r="I174" s="62">
        <v>4.9999999999891021E-2</v>
      </c>
      <c r="J174" s="62">
        <v>4.9998861090986502E-2</v>
      </c>
      <c r="K174" s="62">
        <v>4.9993474408764449E-2</v>
      </c>
      <c r="L174" s="62">
        <v>4.9969883783715474E-2</v>
      </c>
      <c r="M174" s="62">
        <v>4.9862783840301628E-2</v>
      </c>
      <c r="N174" s="62">
        <v>4.96067470731969E-2</v>
      </c>
      <c r="O174" s="62">
        <v>4.9911410677686341E-2</v>
      </c>
    </row>
    <row r="175" spans="1:15" x14ac:dyDescent="0.15">
      <c r="A175" s="61">
        <v>56965</v>
      </c>
      <c r="B175">
        <v>4.998495668144181E-2</v>
      </c>
      <c r="C175">
        <v>4.998495668144181E-2</v>
      </c>
      <c r="D175">
        <v>4.998495668144181E-2</v>
      </c>
      <c r="E175">
        <v>4.998495668144181E-2</v>
      </c>
      <c r="F175">
        <v>4.998495668144181E-2</v>
      </c>
      <c r="G175">
        <v>4.998495668144181E-2</v>
      </c>
      <c r="H175">
        <v>5.0322619019104148E-2</v>
      </c>
      <c r="I175" s="62">
        <v>4.9999999999990941E-2</v>
      </c>
      <c r="J175" s="62">
        <v>4.99989490357029E-2</v>
      </c>
      <c r="K175" s="62">
        <v>4.9993509634860267E-2</v>
      </c>
      <c r="L175" s="62">
        <v>4.996995903896595E-2</v>
      </c>
      <c r="M175" s="62">
        <v>4.9863399462643621E-2</v>
      </c>
      <c r="N175" s="62">
        <v>4.9608723410386801E-2</v>
      </c>
      <c r="O175" s="62">
        <v>4.9872627099979416E-2</v>
      </c>
    </row>
    <row r="176" spans="1:15" x14ac:dyDescent="0.15">
      <c r="A176" s="61">
        <v>57056</v>
      </c>
      <c r="B176">
        <v>4.9983545198787456E-2</v>
      </c>
      <c r="C176">
        <v>4.9983545198787456E-2</v>
      </c>
      <c r="D176">
        <v>4.9983545198787456E-2</v>
      </c>
      <c r="E176">
        <v>4.9983545198787456E-2</v>
      </c>
      <c r="F176">
        <v>4.9983545198787456E-2</v>
      </c>
      <c r="G176">
        <v>4.9983545198787456E-2</v>
      </c>
      <c r="H176">
        <v>5.0308767345062233E-2</v>
      </c>
      <c r="I176" s="62">
        <v>4.9999999999886802E-2</v>
      </c>
      <c r="J176" s="62">
        <v>4.9999027667494422E-2</v>
      </c>
      <c r="K176" s="62">
        <v>4.9993551095649291E-2</v>
      </c>
      <c r="L176" s="62">
        <v>4.9970117094427335E-2</v>
      </c>
      <c r="M176" s="62">
        <v>4.9864106981675427E-2</v>
      </c>
      <c r="N176" s="62">
        <v>4.9610810107984404E-2</v>
      </c>
      <c r="O176" s="62">
        <v>4.9833114985682991E-2</v>
      </c>
    </row>
    <row r="177" spans="1:15" x14ac:dyDescent="0.15">
      <c r="A177" s="61">
        <v>57150</v>
      </c>
      <c r="B177">
        <v>4.9991053169126144E-2</v>
      </c>
      <c r="C177">
        <v>4.9991053169126144E-2</v>
      </c>
      <c r="D177">
        <v>4.9991053169126144E-2</v>
      </c>
      <c r="E177">
        <v>4.9991053169126144E-2</v>
      </c>
      <c r="F177">
        <v>4.9991053169126144E-2</v>
      </c>
      <c r="G177">
        <v>4.9991053169126144E-2</v>
      </c>
      <c r="H177">
        <v>5.0303425007813769E-2</v>
      </c>
      <c r="I177" s="62">
        <v>4.9999999999981615E-2</v>
      </c>
      <c r="J177" s="62">
        <v>4.9999019024463687E-2</v>
      </c>
      <c r="K177" s="62">
        <v>4.9993541836388378E-2</v>
      </c>
      <c r="L177" s="62">
        <v>4.997036132271182E-2</v>
      </c>
      <c r="M177" s="62">
        <v>4.9865025612505054E-2</v>
      </c>
      <c r="N177" s="62">
        <v>4.9613170448379318E-2</v>
      </c>
      <c r="O177" s="62">
        <v>4.9791719059013584E-2</v>
      </c>
    </row>
    <row r="178" spans="1:15" x14ac:dyDescent="0.15">
      <c r="A178" s="61">
        <v>57242</v>
      </c>
      <c r="B178">
        <v>4.9994554287849803E-2</v>
      </c>
      <c r="C178">
        <v>4.9994554287849803E-2</v>
      </c>
      <c r="D178">
        <v>4.9994554287849803E-2</v>
      </c>
      <c r="E178">
        <v>4.9994554287849803E-2</v>
      </c>
      <c r="F178">
        <v>4.9994554287849803E-2</v>
      </c>
      <c r="G178">
        <v>4.9994554287849803E-2</v>
      </c>
      <c r="H178">
        <v>5.0294349229750006E-2</v>
      </c>
      <c r="I178" s="62">
        <v>4.999999999999627E-2</v>
      </c>
      <c r="J178" s="62">
        <v>4.9998887442383788E-2</v>
      </c>
      <c r="K178" s="62">
        <v>4.9993614159021371E-2</v>
      </c>
      <c r="L178" s="62">
        <v>4.9970579772648183E-2</v>
      </c>
      <c r="M178" s="62">
        <v>4.9865907793901876E-2</v>
      </c>
      <c r="N178" s="62">
        <v>4.9615705913514718E-2</v>
      </c>
      <c r="O178" s="62">
        <v>4.9750676923982162E-2</v>
      </c>
    </row>
    <row r="179" spans="1:15" x14ac:dyDescent="0.15">
      <c r="A179" s="61">
        <v>57333</v>
      </c>
      <c r="B179">
        <v>4.998494043416931E-2</v>
      </c>
      <c r="C179">
        <v>4.998494043416931E-2</v>
      </c>
      <c r="D179">
        <v>4.998494043416931E-2</v>
      </c>
      <c r="E179">
        <v>4.998494043416931E-2</v>
      </c>
      <c r="F179">
        <v>4.998494043416931E-2</v>
      </c>
      <c r="G179">
        <v>4.998494043416931E-2</v>
      </c>
      <c r="H179">
        <v>5.0272295184681959E-2</v>
      </c>
      <c r="I179" s="62">
        <v>4.9999999999990719E-2</v>
      </c>
      <c r="J179" s="62">
        <v>4.9998979002869648E-2</v>
      </c>
      <c r="K179" s="62">
        <v>4.9993629205910439E-2</v>
      </c>
      <c r="L179" s="62">
        <v>4.9970690225420888E-2</v>
      </c>
      <c r="M179" s="62">
        <v>4.9866464597666305E-2</v>
      </c>
      <c r="N179" s="62">
        <v>4.9617589653420113E-2</v>
      </c>
      <c r="O179" s="62">
        <v>4.9711277025019207E-2</v>
      </c>
    </row>
    <row r="180" spans="1:15" x14ac:dyDescent="0.15">
      <c r="A180" s="61">
        <v>57423</v>
      </c>
      <c r="B180">
        <v>4.9983876675460254E-2</v>
      </c>
      <c r="C180">
        <v>4.9983876675460254E-2</v>
      </c>
      <c r="D180">
        <v>4.9983876675460254E-2</v>
      </c>
      <c r="E180">
        <v>4.9983876675460254E-2</v>
      </c>
      <c r="F180">
        <v>4.9983876675460254E-2</v>
      </c>
      <c r="G180">
        <v>4.9983876675460254E-2</v>
      </c>
      <c r="H180">
        <v>5.0258927939985203E-2</v>
      </c>
      <c r="I180" s="62">
        <v>4.9999999999992495E-2</v>
      </c>
      <c r="J180" s="62">
        <v>4.9999070182531247E-2</v>
      </c>
      <c r="K180" s="62">
        <v>4.9993679102007027E-2</v>
      </c>
      <c r="L180" s="62">
        <v>4.9970824607619813E-2</v>
      </c>
      <c r="M180" s="62">
        <v>4.9867109430002943E-2</v>
      </c>
      <c r="N180" s="62">
        <v>4.9619605051859361E-2</v>
      </c>
      <c r="O180" s="62">
        <v>4.9671655451048569E-2</v>
      </c>
    </row>
    <row r="181" spans="1:15" x14ac:dyDescent="0.15">
      <c r="A181" s="61">
        <v>57515</v>
      </c>
      <c r="B181">
        <v>4.9991109679726232E-2</v>
      </c>
      <c r="C181">
        <v>4.9991109679726232E-2</v>
      </c>
      <c r="D181">
        <v>4.9991109679726232E-2</v>
      </c>
      <c r="E181">
        <v>4.9991109679726232E-2</v>
      </c>
      <c r="F181">
        <v>4.9991109679726232E-2</v>
      </c>
      <c r="G181">
        <v>4.9991109679726232E-2</v>
      </c>
      <c r="H181">
        <v>5.0253584047463759E-2</v>
      </c>
      <c r="I181" s="62">
        <v>4.9999999999981837E-2</v>
      </c>
      <c r="J181" s="62">
        <v>4.9999040891312241E-2</v>
      </c>
      <c r="K181" s="62">
        <v>4.9993685796853482E-2</v>
      </c>
      <c r="L181" s="62">
        <v>4.9971021998433507E-2</v>
      </c>
      <c r="M181" s="62">
        <v>4.9868034182320775E-2</v>
      </c>
      <c r="N181" s="62">
        <v>4.9621791859458142E-2</v>
      </c>
      <c r="O181" s="62">
        <v>4.9630623126736939E-2</v>
      </c>
    </row>
    <row r="182" spans="1:15" x14ac:dyDescent="0.15">
      <c r="A182" s="61">
        <v>57607</v>
      </c>
      <c r="B182">
        <v>4.999458821782448E-2</v>
      </c>
      <c r="C182">
        <v>4.999458821782448E-2</v>
      </c>
      <c r="D182">
        <v>4.999458821782448E-2</v>
      </c>
      <c r="E182">
        <v>4.999458821782448E-2</v>
      </c>
      <c r="F182">
        <v>4.999458821782448E-2</v>
      </c>
      <c r="G182">
        <v>4.999458821782448E-2</v>
      </c>
      <c r="H182">
        <v>5.0244485688774584E-2</v>
      </c>
      <c r="I182" s="62">
        <v>5.0000000000101519E-2</v>
      </c>
      <c r="J182" s="62">
        <v>4.9998912109173288E-2</v>
      </c>
      <c r="K182" s="62">
        <v>4.9993755741278179E-2</v>
      </c>
      <c r="L182" s="62">
        <v>4.9971232049777825E-2</v>
      </c>
      <c r="M182" s="62">
        <v>4.9868880614650557E-2</v>
      </c>
      <c r="N182" s="62">
        <v>4.9624224722421451E-2</v>
      </c>
      <c r="O182" s="62">
        <v>4.958906078407721E-2</v>
      </c>
    </row>
    <row r="183" spans="1:15" x14ac:dyDescent="0.15">
      <c r="A183" s="61">
        <v>57698</v>
      </c>
      <c r="B183">
        <v>4.9985032969012341E-2</v>
      </c>
      <c r="C183">
        <v>4.9985032969012341E-2</v>
      </c>
      <c r="D183">
        <v>4.9985032969012341E-2</v>
      </c>
      <c r="E183">
        <v>4.9985032969012341E-2</v>
      </c>
      <c r="F183">
        <v>4.9985032969012341E-2</v>
      </c>
      <c r="G183">
        <v>4.9985032969012341E-2</v>
      </c>
      <c r="H183">
        <v>5.0222490248574884E-2</v>
      </c>
      <c r="I183" s="62">
        <v>4.9999999999990941E-2</v>
      </c>
      <c r="J183" s="62">
        <v>4.9999001504478668E-2</v>
      </c>
      <c r="K183" s="62">
        <v>4.9993769611663685E-2</v>
      </c>
      <c r="L183" s="62">
        <v>4.9971336175561154E-2</v>
      </c>
      <c r="M183" s="62">
        <v>4.986940740990442E-2</v>
      </c>
      <c r="N183" s="62">
        <v>4.9626016149502572E-2</v>
      </c>
      <c r="O183" s="62">
        <v>4.9549029714167414E-2</v>
      </c>
    </row>
    <row r="184" spans="1:15" x14ac:dyDescent="0.15">
      <c r="A184" s="61">
        <v>57788</v>
      </c>
      <c r="B184">
        <v>4.9983974397868162E-2</v>
      </c>
      <c r="C184">
        <v>4.9983974397868162E-2</v>
      </c>
      <c r="D184">
        <v>4.9983974397868162E-2</v>
      </c>
      <c r="E184">
        <v>4.9983974397868162E-2</v>
      </c>
      <c r="F184">
        <v>4.9983974397868162E-2</v>
      </c>
      <c r="G184">
        <v>4.9983974397868162E-2</v>
      </c>
      <c r="H184">
        <v>5.0209128191443006E-2</v>
      </c>
      <c r="I184" s="62">
        <v>4.9999999999992717E-2</v>
      </c>
      <c r="J184" s="62">
        <v>4.9999090561153814E-2</v>
      </c>
      <c r="K184" s="62">
        <v>4.9993817636688753E-2</v>
      </c>
      <c r="L184" s="62">
        <v>4.9971464035992508E-2</v>
      </c>
      <c r="M184" s="62">
        <v>4.987002181768907E-2</v>
      </c>
      <c r="N184" s="62">
        <v>4.9627940739277232E-2</v>
      </c>
      <c r="O184" s="62">
        <v>4.9508809091342032E-2</v>
      </c>
    </row>
    <row r="185" spans="1:15" x14ac:dyDescent="0.15">
      <c r="A185" s="61">
        <v>57880</v>
      </c>
      <c r="B185">
        <v>4.9991162839623016E-2</v>
      </c>
      <c r="C185">
        <v>4.9991162839623016E-2</v>
      </c>
      <c r="D185">
        <v>4.9991162839623016E-2</v>
      </c>
      <c r="E185">
        <v>4.9991162839623016E-2</v>
      </c>
      <c r="F185">
        <v>4.9991162839623016E-2</v>
      </c>
      <c r="G185">
        <v>4.9991162839623016E-2</v>
      </c>
      <c r="H185">
        <v>5.0203739736410437E-2</v>
      </c>
      <c r="I185" s="62">
        <v>4.9999999999982281E-2</v>
      </c>
      <c r="J185" s="62">
        <v>4.9999061804567591E-2</v>
      </c>
      <c r="K185" s="62">
        <v>4.9993823477293198E-2</v>
      </c>
      <c r="L185" s="62">
        <v>4.9971653853837728E-2</v>
      </c>
      <c r="M185" s="62">
        <v>4.987091151584333E-2</v>
      </c>
      <c r="N185" s="62">
        <v>4.9630037241383151E-2</v>
      </c>
      <c r="O185" s="62">
        <v>4.9467236108525992E-2</v>
      </c>
    </row>
    <row r="186" spans="1:15" x14ac:dyDescent="0.15">
      <c r="A186" s="61">
        <v>57972</v>
      </c>
      <c r="B186">
        <v>4.999462014131878E-2</v>
      </c>
      <c r="C186">
        <v>4.999462014131878E-2</v>
      </c>
      <c r="D186">
        <v>4.999462014131878E-2</v>
      </c>
      <c r="E186">
        <v>4.999462014131878E-2</v>
      </c>
      <c r="F186">
        <v>4.999462014131878E-2</v>
      </c>
      <c r="G186">
        <v>4.999462014131878E-2</v>
      </c>
      <c r="H186">
        <v>5.0194620141318778E-2</v>
      </c>
      <c r="I186" s="62">
        <v>5.0000000000099076E-2</v>
      </c>
      <c r="J186" s="62">
        <v>4.9998935705594771E-2</v>
      </c>
      <c r="K186" s="62">
        <v>4.9993891180475369E-2</v>
      </c>
      <c r="L186" s="62">
        <v>4.9971856025795791E-2</v>
      </c>
      <c r="M186" s="62">
        <v>4.9871724456485023E-2</v>
      </c>
      <c r="N186" s="62">
        <v>4.9632373975357247E-2</v>
      </c>
      <c r="O186" s="62">
        <v>4.942512252186182E-2</v>
      </c>
    </row>
    <row r="187" spans="1:15" x14ac:dyDescent="0.15">
      <c r="A187" s="61">
        <v>58063</v>
      </c>
      <c r="B187">
        <v>4.9985120046345692E-2</v>
      </c>
      <c r="C187">
        <v>4.9985120046345692E-2</v>
      </c>
      <c r="D187">
        <v>4.9985120046345692E-2</v>
      </c>
      <c r="E187">
        <v>4.9985120046345692E-2</v>
      </c>
      <c r="F187">
        <v>4.9985120046345692E-2</v>
      </c>
      <c r="G187">
        <v>4.9985120046345692E-2</v>
      </c>
      <c r="H187">
        <v>5.017267985495813E-2</v>
      </c>
      <c r="I187" s="62">
        <v>5.0000000000099964E-2</v>
      </c>
      <c r="J187" s="62">
        <v>4.9999023035057322E-2</v>
      </c>
      <c r="K187" s="62">
        <v>4.9993903958801766E-2</v>
      </c>
      <c r="L187" s="62">
        <v>4.9971954253616557E-2</v>
      </c>
      <c r="M187" s="62">
        <v>4.9872223248966563E-2</v>
      </c>
      <c r="N187" s="62">
        <v>4.9634079110312479E-2</v>
      </c>
      <c r="O187" s="62">
        <v>4.9384430314389993E-2</v>
      </c>
    </row>
    <row r="188" spans="1:15" x14ac:dyDescent="0.15">
      <c r="A188" s="61">
        <v>58153</v>
      </c>
      <c r="B188">
        <v>4.9984066371840191E-2</v>
      </c>
      <c r="C188">
        <v>4.9984066371840191E-2</v>
      </c>
      <c r="D188">
        <v>4.9984066371840191E-2</v>
      </c>
      <c r="E188">
        <v>4.9984066371840191E-2</v>
      </c>
      <c r="F188">
        <v>4.9984066371840191E-2</v>
      </c>
      <c r="G188">
        <v>4.9984066371840191E-2</v>
      </c>
      <c r="H188">
        <v>5.0159322694464936E-2</v>
      </c>
      <c r="I188" s="62">
        <v>4.9999999999992939E-2</v>
      </c>
      <c r="J188" s="62">
        <v>4.9999110065080954E-2</v>
      </c>
      <c r="K188" s="62">
        <v>4.9993950225854178E-2</v>
      </c>
      <c r="L188" s="62">
        <v>4.9972076022402945E-2</v>
      </c>
      <c r="M188" s="62">
        <v>4.9872809221172876E-2</v>
      </c>
      <c r="N188" s="62">
        <v>4.9635918743037077E-2</v>
      </c>
      <c r="O188" s="62">
        <v>4.9343581709207607E-2</v>
      </c>
    </row>
    <row r="189" spans="1:15" x14ac:dyDescent="0.15">
      <c r="A189" s="61">
        <v>58245</v>
      </c>
      <c r="B189">
        <v>4.999121288039042E-2</v>
      </c>
      <c r="C189">
        <v>4.999121288039042E-2</v>
      </c>
      <c r="D189">
        <v>4.999121288039042E-2</v>
      </c>
      <c r="E189">
        <v>4.999121288039042E-2</v>
      </c>
      <c r="F189">
        <v>4.999121288039042E-2</v>
      </c>
      <c r="G189">
        <v>4.999121288039042E-2</v>
      </c>
      <c r="H189">
        <v>5.0153892306227743E-2</v>
      </c>
      <c r="I189" s="62">
        <v>4.9999999999982725E-2</v>
      </c>
      <c r="J189" s="62">
        <v>4.9999081824777525E-2</v>
      </c>
      <c r="K189" s="62">
        <v>4.9993955279758584E-2</v>
      </c>
      <c r="L189" s="62">
        <v>4.9972258734193753E-2</v>
      </c>
      <c r="M189" s="62">
        <v>4.9873666017008045E-2</v>
      </c>
      <c r="N189" s="62">
        <v>4.9637930670167973E-2</v>
      </c>
      <c r="O189" s="62">
        <v>4.9301439376351563E-2</v>
      </c>
    </row>
    <row r="190" spans="1:15" x14ac:dyDescent="0.15">
      <c r="A190" s="61">
        <v>58337</v>
      </c>
      <c r="B190">
        <v>4.9994650196451496E-2</v>
      </c>
      <c r="C190">
        <v>4.9994650196451496E-2</v>
      </c>
      <c r="D190">
        <v>4.9994650196451496E-2</v>
      </c>
      <c r="E190">
        <v>4.9994650196451496E-2</v>
      </c>
      <c r="F190">
        <v>4.9994650196451496E-2</v>
      </c>
      <c r="G190">
        <v>4.9994650196451496E-2</v>
      </c>
      <c r="H190">
        <v>5.0144752725501396E-2</v>
      </c>
      <c r="I190" s="62">
        <v>4.99999999999865E-2</v>
      </c>
      <c r="J190" s="62">
        <v>4.999895830015455E-2</v>
      </c>
      <c r="K190" s="62">
        <v>4.9994020867931921E-2</v>
      </c>
      <c r="L190" s="62">
        <v>4.9972453503602354E-2</v>
      </c>
      <c r="M190" s="62">
        <v>4.9874447534707933E-2</v>
      </c>
      <c r="N190" s="62">
        <v>4.9640177209430814E-2</v>
      </c>
      <c r="O190" s="62">
        <v>4.9258745649273905E-2</v>
      </c>
    </row>
    <row r="191" spans="1:15" x14ac:dyDescent="0.15">
      <c r="A191" s="61">
        <v>58428</v>
      </c>
      <c r="B191">
        <v>4.9985202040332417E-2</v>
      </c>
      <c r="C191">
        <v>4.9985202040332417E-2</v>
      </c>
      <c r="D191">
        <v>4.9985202040332417E-2</v>
      </c>
      <c r="E191">
        <v>4.9985202040332417E-2</v>
      </c>
      <c r="F191">
        <v>4.9985202040332417E-2</v>
      </c>
      <c r="G191">
        <v>4.9985202040332417E-2</v>
      </c>
      <c r="H191">
        <v>5.0122864377994757E-2</v>
      </c>
      <c r="I191" s="62">
        <v>4.9999999999985834E-2</v>
      </c>
      <c r="J191" s="62">
        <v>4.9999043656228315E-2</v>
      </c>
      <c r="K191" s="62">
        <v>4.9994032631492713E-2</v>
      </c>
      <c r="L191" s="62">
        <v>4.9972546225779402E-2</v>
      </c>
      <c r="M191" s="62">
        <v>4.9874920159763025E-2</v>
      </c>
      <c r="N191" s="62">
        <v>4.9641801564459076E-2</v>
      </c>
      <c r="O191" s="62">
        <v>4.9217364356951565E-2</v>
      </c>
    </row>
    <row r="192" spans="1:15" x14ac:dyDescent="0.15">
      <c r="A192" s="61">
        <v>58519</v>
      </c>
      <c r="B192">
        <v>4.9984152989933771E-2</v>
      </c>
      <c r="C192">
        <v>4.9984152989933771E-2</v>
      </c>
      <c r="D192">
        <v>4.9984152989933771E-2</v>
      </c>
      <c r="E192">
        <v>4.9984152989933771E-2</v>
      </c>
      <c r="F192">
        <v>4.9984152989933771E-2</v>
      </c>
      <c r="G192">
        <v>4.9984152989933771E-2</v>
      </c>
      <c r="H192">
        <v>5.0109375136208549E-2</v>
      </c>
      <c r="I192" s="62">
        <v>5.0000000000105294E-2</v>
      </c>
      <c r="J192" s="62">
        <v>4.9999128749539601E-2</v>
      </c>
      <c r="K192" s="62">
        <v>4.9994077244207125E-2</v>
      </c>
      <c r="L192" s="62">
        <v>4.9972662295884041E-2</v>
      </c>
      <c r="M192" s="62">
        <v>4.9875479516588772E-2</v>
      </c>
      <c r="N192" s="62">
        <v>4.9643561601782737E-2</v>
      </c>
      <c r="O192" s="62">
        <v>4.9175355656531083E-2</v>
      </c>
    </row>
    <row r="193" spans="1:15" x14ac:dyDescent="0.15">
      <c r="A193" s="61">
        <v>58613</v>
      </c>
      <c r="B193">
        <v>4.999152422299491E-2</v>
      </c>
      <c r="C193">
        <v>4.999152422299491E-2</v>
      </c>
      <c r="D193">
        <v>4.999152422299491E-2</v>
      </c>
      <c r="E193">
        <v>4.999152422299491E-2</v>
      </c>
      <c r="F193">
        <v>4.999152422299491E-2</v>
      </c>
      <c r="G193">
        <v>4.999152422299491E-2</v>
      </c>
      <c r="H193">
        <v>5.0103896061682536E-2</v>
      </c>
      <c r="I193" s="62">
        <v>4.9999999999983169E-2</v>
      </c>
      <c r="J193" s="62">
        <v>4.9999188057227029E-2</v>
      </c>
      <c r="K193" s="62">
        <v>4.9993955312019667E-2</v>
      </c>
      <c r="L193" s="62">
        <v>4.9972844732640187E-2</v>
      </c>
      <c r="M193" s="62">
        <v>4.9876323810579715E-2</v>
      </c>
      <c r="N193" s="62">
        <v>4.9645703583460987E-2</v>
      </c>
      <c r="O193" s="62">
        <v>4.9131520538714168E-2</v>
      </c>
    </row>
    <row r="194" spans="1:15" x14ac:dyDescent="0.15">
      <c r="A194" s="61">
        <v>58705</v>
      </c>
      <c r="B194">
        <v>4.9994390998942734E-2</v>
      </c>
      <c r="C194">
        <v>4.9994390998942734E-2</v>
      </c>
      <c r="D194">
        <v>4.9994390998942734E-2</v>
      </c>
      <c r="E194">
        <v>4.9994390998942734E-2</v>
      </c>
      <c r="F194">
        <v>4.9994390998942734E-2</v>
      </c>
      <c r="G194">
        <v>4.9994390998942734E-2</v>
      </c>
      <c r="H194">
        <v>5.0094185940842938E-2</v>
      </c>
      <c r="I194" s="62">
        <v>4.9999999999872147E-2</v>
      </c>
      <c r="J194" s="62">
        <v>4.9998939109350715E-2</v>
      </c>
      <c r="K194" s="62">
        <v>4.9994183661210778E-2</v>
      </c>
      <c r="L194" s="62">
        <v>4.9973027597466135E-2</v>
      </c>
      <c r="M194" s="62">
        <v>4.9877070050094119E-2</v>
      </c>
      <c r="N194" s="62">
        <v>4.9647692022693812E-2</v>
      </c>
      <c r="O194" s="62">
        <v>4.9088393299036026E-2</v>
      </c>
    </row>
    <row r="195" spans="1:15" x14ac:dyDescent="0.15">
      <c r="A195" s="61">
        <v>58796</v>
      </c>
      <c r="B195">
        <v>4.9985179901163634E-2</v>
      </c>
      <c r="C195">
        <v>4.9985179901163634E-2</v>
      </c>
      <c r="D195">
        <v>4.9985179901163634E-2</v>
      </c>
      <c r="E195">
        <v>4.9985179901163634E-2</v>
      </c>
      <c r="F195">
        <v>4.9985179901163634E-2</v>
      </c>
      <c r="G195">
        <v>4.9985179901163634E-2</v>
      </c>
      <c r="H195">
        <v>5.0072534651676277E-2</v>
      </c>
      <c r="I195" s="62">
        <v>5.0000000000101963E-2</v>
      </c>
      <c r="J195" s="62">
        <v>4.9999064760936296E-2</v>
      </c>
      <c r="K195" s="62">
        <v>4.9994148817754658E-2</v>
      </c>
      <c r="L195" s="62">
        <v>4.9973116350106483E-2</v>
      </c>
      <c r="M195" s="62">
        <v>4.9877543091356058E-2</v>
      </c>
      <c r="N195" s="62">
        <v>4.9649241333852512E-2</v>
      </c>
      <c r="O195" s="62">
        <v>4.9046258164250567E-2</v>
      </c>
    </row>
    <row r="196" spans="1:15" x14ac:dyDescent="0.15">
      <c r="A196" s="61">
        <v>58886</v>
      </c>
      <c r="B196">
        <v>4.998431023397612E-2</v>
      </c>
      <c r="C196">
        <v>4.998431023397612E-2</v>
      </c>
      <c r="D196">
        <v>4.998431023397612E-2</v>
      </c>
      <c r="E196">
        <v>4.998431023397612E-2</v>
      </c>
      <c r="F196">
        <v>4.998431023397612E-2</v>
      </c>
      <c r="G196">
        <v>4.998431023397612E-2</v>
      </c>
      <c r="H196">
        <v>5.005936149850107E-2</v>
      </c>
      <c r="I196" s="62">
        <v>4.9999999999987166E-2</v>
      </c>
      <c r="J196" s="62">
        <v>4.9999155927003658E-2</v>
      </c>
      <c r="K196" s="62">
        <v>4.9994176534839951E-2</v>
      </c>
      <c r="L196" s="62">
        <v>4.997321339826355E-2</v>
      </c>
      <c r="M196" s="62">
        <v>4.98781434622102E-2</v>
      </c>
      <c r="N196" s="62">
        <v>4.9650867221916251E-2</v>
      </c>
      <c r="O196" s="62">
        <v>4.9004140215720415E-2</v>
      </c>
    </row>
    <row r="197" spans="1:15" x14ac:dyDescent="0.15">
      <c r="A197" s="61">
        <v>58978</v>
      </c>
      <c r="B197">
        <v>4.9991567289137333E-2</v>
      </c>
      <c r="C197">
        <v>4.9991567289137333E-2</v>
      </c>
      <c r="D197">
        <v>4.9991567289137333E-2</v>
      </c>
      <c r="E197">
        <v>4.9991567289137333E-2</v>
      </c>
      <c r="F197">
        <v>4.9991567289137333E-2</v>
      </c>
      <c r="G197">
        <v>4.9991567289137333E-2</v>
      </c>
      <c r="H197">
        <v>5.0054041656874861E-2</v>
      </c>
      <c r="I197" s="62">
        <v>4.9999999999983613E-2</v>
      </c>
      <c r="J197" s="62">
        <v>4.9999204672101172E-2</v>
      </c>
      <c r="K197" s="62">
        <v>4.9994079005719172E-2</v>
      </c>
      <c r="L197" s="62">
        <v>4.9973400411772229E-2</v>
      </c>
      <c r="M197" s="62">
        <v>4.9878854488411895E-2</v>
      </c>
      <c r="N197" s="62">
        <v>4.9652952477742263E-2</v>
      </c>
      <c r="O197" s="62">
        <v>4.8960584238349147E-2</v>
      </c>
    </row>
    <row r="198" spans="1:15" x14ac:dyDescent="0.15">
      <c r="A198" s="61">
        <v>59070</v>
      </c>
      <c r="B198">
        <v>4.9994419120191841E-2</v>
      </c>
      <c r="C198">
        <v>4.9994419120191841E-2</v>
      </c>
      <c r="D198">
        <v>4.9994419120191841E-2</v>
      </c>
      <c r="E198">
        <v>4.9994419120191841E-2</v>
      </c>
      <c r="F198">
        <v>4.9994419120191841E-2</v>
      </c>
      <c r="G198">
        <v>4.9994419120191841E-2</v>
      </c>
      <c r="H198">
        <v>5.0044316591141946E-2</v>
      </c>
      <c r="I198" s="62">
        <v>4.9999999999991829E-2</v>
      </c>
      <c r="J198" s="62">
        <v>4.9998960710982754E-2</v>
      </c>
      <c r="K198" s="62">
        <v>4.9994302093379073E-2</v>
      </c>
      <c r="L198" s="62">
        <v>4.9973576802409436E-2</v>
      </c>
      <c r="M198" s="62">
        <v>4.9879573007097333E-2</v>
      </c>
      <c r="N198" s="62">
        <v>4.965486455246082E-2</v>
      </c>
      <c r="O198" s="62">
        <v>4.8916817018477499E-2</v>
      </c>
    </row>
    <row r="199" spans="1:15" x14ac:dyDescent="0.15">
      <c r="A199" s="61">
        <v>59161</v>
      </c>
      <c r="B199">
        <v>4.9985253199741057E-2</v>
      </c>
      <c r="C199">
        <v>4.9985253199741057E-2</v>
      </c>
      <c r="D199">
        <v>4.9985253199741057E-2</v>
      </c>
      <c r="E199">
        <v>4.9985253199741057E-2</v>
      </c>
      <c r="F199">
        <v>4.9985253199741057E-2</v>
      </c>
      <c r="G199">
        <v>4.9985253199741057E-2</v>
      </c>
      <c r="H199">
        <v>5.0022710479303602E-2</v>
      </c>
      <c r="I199" s="62">
        <v>4.9999999999981837E-2</v>
      </c>
      <c r="J199" s="62">
        <v>4.9999083698815561E-2</v>
      </c>
      <c r="K199" s="62">
        <v>4.9994267300187634E-2</v>
      </c>
      <c r="L199" s="62">
        <v>4.9973660720459057E-2</v>
      </c>
      <c r="M199" s="62">
        <v>4.9880022630078624E-2</v>
      </c>
      <c r="N199" s="62">
        <v>4.9656342855745939E-2</v>
      </c>
      <c r="O199" s="62">
        <v>4.887394458134664E-2</v>
      </c>
    </row>
    <row r="200" spans="1:15" x14ac:dyDescent="0.15">
      <c r="A200" s="61">
        <v>59251</v>
      </c>
      <c r="B200">
        <v>4.9984386799877989E-2</v>
      </c>
      <c r="C200">
        <v>4.9984386799877989E-2</v>
      </c>
      <c r="D200">
        <v>4.9984386799877989E-2</v>
      </c>
      <c r="E200">
        <v>4.9984386799877989E-2</v>
      </c>
      <c r="F200">
        <v>4.9984386799877989E-2</v>
      </c>
      <c r="G200">
        <v>4.9984386799877989E-2</v>
      </c>
      <c r="H200">
        <v>5.0009540593452834E-2</v>
      </c>
      <c r="I200" s="62">
        <v>4.999999999998761E-2</v>
      </c>
      <c r="J200" s="62">
        <v>4.9999172931623814E-2</v>
      </c>
      <c r="K200" s="62">
        <v>4.999429385633003E-2</v>
      </c>
      <c r="L200" s="62">
        <v>4.9973753043759617E-2</v>
      </c>
      <c r="M200" s="62">
        <v>4.988059829240199E-2</v>
      </c>
      <c r="N200" s="62">
        <v>4.9657899871646149E-2</v>
      </c>
      <c r="O200" s="62">
        <v>4.8831122336212562E-2</v>
      </c>
    </row>
    <row r="201" spans="1:15" x14ac:dyDescent="0.15">
      <c r="A201" s="61">
        <v>59343</v>
      </c>
      <c r="B201">
        <v>4.9991607899589299E-2</v>
      </c>
      <c r="C201">
        <v>4.9991607899589299E-2</v>
      </c>
      <c r="D201">
        <v>4.9991607899589299E-2</v>
      </c>
      <c r="E201">
        <v>4.9991607899589299E-2</v>
      </c>
      <c r="F201">
        <v>4.9991607899589299E-2</v>
      </c>
      <c r="G201">
        <v>4.9991607899589299E-2</v>
      </c>
      <c r="H201">
        <v>5.0004184796376722E-2</v>
      </c>
      <c r="I201" s="62">
        <v>5.0000000000103961E-2</v>
      </c>
      <c r="J201" s="62">
        <v>4.9999220620293272E-2</v>
      </c>
      <c r="K201" s="62">
        <v>4.9994197737263324E-2</v>
      </c>
      <c r="L201" s="62">
        <v>4.9973933797942793E-2</v>
      </c>
      <c r="M201" s="62">
        <v>4.988128364511879E-2</v>
      </c>
      <c r="N201" s="62">
        <v>4.9659910604244351E-2</v>
      </c>
      <c r="O201" s="62">
        <v>4.8786929688622305E-2</v>
      </c>
    </row>
    <row r="202" spans="1:15" x14ac:dyDescent="0.15">
      <c r="A202" s="61">
        <v>59435</v>
      </c>
      <c r="B202">
        <v>4.9994445641424162E-2</v>
      </c>
      <c r="C202">
        <v>4.9994445641424162E-2</v>
      </c>
      <c r="D202">
        <v>4.9994445641424162E-2</v>
      </c>
      <c r="E202">
        <v>4.9994445641424162E-2</v>
      </c>
      <c r="F202">
        <v>4.9994445641424162E-2</v>
      </c>
      <c r="G202">
        <v>4.9994445641424162E-2</v>
      </c>
      <c r="H202">
        <v>4.9994445641424162E-2</v>
      </c>
      <c r="I202" s="62">
        <v>4.9999999999992051E-2</v>
      </c>
      <c r="J202" s="62">
        <v>4.9998981450642521E-2</v>
      </c>
      <c r="K202" s="62">
        <v>4.9994415797435465E-2</v>
      </c>
      <c r="L202" s="62">
        <v>4.9974104083654325E-2</v>
      </c>
      <c r="M202" s="62">
        <v>4.9881976052814858E-2</v>
      </c>
      <c r="N202" s="62">
        <v>4.9661750803132954E-2</v>
      </c>
      <c r="O202" s="62">
        <v>4.8742499748229973E-2</v>
      </c>
    </row>
    <row r="203" spans="1:15" x14ac:dyDescent="0.15">
      <c r="I203" s="61"/>
    </row>
    <row r="204" spans="1:15" x14ac:dyDescent="0.15">
      <c r="I204" s="61"/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076"/>
  <sheetViews>
    <sheetView workbookViewId="0">
      <selection activeCell="H16" sqref="H16"/>
    </sheetView>
  </sheetViews>
  <sheetFormatPr defaultRowHeight="13.5" x14ac:dyDescent="0.15"/>
  <cols>
    <col min="1" max="1" width="10.5" bestFit="1" customWidth="1"/>
    <col min="2" max="2" width="19.875" customWidth="1"/>
    <col min="3" max="3" width="2.5" bestFit="1" customWidth="1"/>
    <col min="5" max="5" width="2.5" bestFit="1" customWidth="1"/>
    <col min="6" max="7" width="3.5" bestFit="1" customWidth="1"/>
    <col min="8" max="8" width="58.25" bestFit="1" customWidth="1"/>
    <col min="10" max="10" width="10.5" bestFit="1" customWidth="1"/>
  </cols>
  <sheetData>
    <row r="1" spans="1:9" x14ac:dyDescent="0.15">
      <c r="A1" t="s">
        <v>122</v>
      </c>
      <c r="B1" t="s">
        <v>1039</v>
      </c>
      <c r="I1" t="b">
        <f ca="1">_xll.ohRepositoryDeleteAllObjects(TRUE)</f>
        <v>1</v>
      </c>
    </row>
    <row r="2" spans="1:9" x14ac:dyDescent="0.15">
      <c r="A2" t="s">
        <v>114</v>
      </c>
      <c r="B2" t="s">
        <v>1040</v>
      </c>
    </row>
    <row r="3" spans="1:9" x14ac:dyDescent="0.15">
      <c r="A3" s="61"/>
    </row>
    <row r="4" spans="1:9" x14ac:dyDescent="0.15">
      <c r="A4" s="61"/>
    </row>
    <row r="5" spans="1:9" x14ac:dyDescent="0.15">
      <c r="A5" s="61" t="s">
        <v>123</v>
      </c>
    </row>
    <row r="6" spans="1:9" x14ac:dyDescent="0.15">
      <c r="A6" s="61" t="s">
        <v>108</v>
      </c>
      <c r="B6" t="s">
        <v>124</v>
      </c>
      <c r="C6">
        <v>1</v>
      </c>
      <c r="D6">
        <v>2</v>
      </c>
      <c r="E6">
        <v>5</v>
      </c>
      <c r="F6">
        <v>10</v>
      </c>
      <c r="G6">
        <v>20</v>
      </c>
      <c r="H6">
        <v>30</v>
      </c>
    </row>
    <row r="7" spans="1:9" x14ac:dyDescent="0.15">
      <c r="A7" s="61">
        <v>40918</v>
      </c>
      <c r="B7" t="s">
        <v>1041</v>
      </c>
      <c r="C7" t="s">
        <v>1042</v>
      </c>
      <c r="D7" t="s">
        <v>1043</v>
      </c>
      <c r="E7" t="s">
        <v>1044</v>
      </c>
      <c r="F7" t="s">
        <v>1045</v>
      </c>
      <c r="G7" t="s">
        <v>1046</v>
      </c>
      <c r="H7" t="s">
        <v>1047</v>
      </c>
    </row>
    <row r="8" spans="1:9" x14ac:dyDescent="0.15">
      <c r="A8" s="61">
        <v>40919</v>
      </c>
      <c r="B8" t="s">
        <v>1048</v>
      </c>
      <c r="C8" t="s">
        <v>1049</v>
      </c>
      <c r="D8" t="s">
        <v>1050</v>
      </c>
      <c r="E8" t="s">
        <v>1051</v>
      </c>
      <c r="F8" t="s">
        <v>1052</v>
      </c>
      <c r="G8" t="s">
        <v>1053</v>
      </c>
      <c r="H8" t="s">
        <v>1054</v>
      </c>
    </row>
    <row r="9" spans="1:9" x14ac:dyDescent="0.15">
      <c r="A9" s="61">
        <v>40920</v>
      </c>
      <c r="B9" t="s">
        <v>1055</v>
      </c>
      <c r="C9" t="s">
        <v>1056</v>
      </c>
      <c r="D9" t="s">
        <v>1057</v>
      </c>
      <c r="E9" t="s">
        <v>1058</v>
      </c>
      <c r="F9" t="s">
        <v>1059</v>
      </c>
      <c r="G9" t="s">
        <v>1060</v>
      </c>
      <c r="H9" t="s">
        <v>1061</v>
      </c>
    </row>
    <row r="10" spans="1:9" x14ac:dyDescent="0.15">
      <c r="A10" s="61">
        <v>40921</v>
      </c>
      <c r="B10" t="s">
        <v>1062</v>
      </c>
      <c r="C10" t="s">
        <v>1063</v>
      </c>
      <c r="D10" t="s">
        <v>1064</v>
      </c>
      <c r="E10" t="s">
        <v>1065</v>
      </c>
      <c r="F10" t="s">
        <v>1066</v>
      </c>
      <c r="G10" t="s">
        <v>1067</v>
      </c>
      <c r="H10" t="s">
        <v>1068</v>
      </c>
    </row>
    <row r="11" spans="1:9" x14ac:dyDescent="0.15">
      <c r="A11" s="61">
        <v>40924</v>
      </c>
      <c r="B11" t="s">
        <v>1069</v>
      </c>
      <c r="C11" t="s">
        <v>1070</v>
      </c>
      <c r="D11" t="s">
        <v>1071</v>
      </c>
      <c r="E11" t="s">
        <v>1072</v>
      </c>
      <c r="F11" t="s">
        <v>1073</v>
      </c>
      <c r="G11" t="s">
        <v>1074</v>
      </c>
      <c r="H11" t="s">
        <v>1075</v>
      </c>
    </row>
    <row r="12" spans="1:9" x14ac:dyDescent="0.15">
      <c r="A12" s="61">
        <v>40925</v>
      </c>
      <c r="B12" t="s">
        <v>1076</v>
      </c>
      <c r="C12" t="s">
        <v>1077</v>
      </c>
      <c r="D12" t="s">
        <v>1078</v>
      </c>
      <c r="E12" t="s">
        <v>1079</v>
      </c>
      <c r="F12" t="s">
        <v>1080</v>
      </c>
      <c r="G12" t="s">
        <v>1081</v>
      </c>
      <c r="H12" t="s">
        <v>1082</v>
      </c>
    </row>
    <row r="13" spans="1:9" x14ac:dyDescent="0.15">
      <c r="A13" s="61">
        <v>40926</v>
      </c>
      <c r="B13" t="s">
        <v>1083</v>
      </c>
      <c r="C13" t="s">
        <v>1084</v>
      </c>
      <c r="D13" t="s">
        <v>1085</v>
      </c>
      <c r="E13" t="s">
        <v>1086</v>
      </c>
      <c r="F13" t="s">
        <v>1087</v>
      </c>
      <c r="G13" t="s">
        <v>1088</v>
      </c>
      <c r="H13" t="s">
        <v>1089</v>
      </c>
    </row>
    <row r="14" spans="1:9" x14ac:dyDescent="0.15">
      <c r="A14" s="61">
        <v>40927</v>
      </c>
      <c r="B14" t="s">
        <v>1090</v>
      </c>
      <c r="C14" t="s">
        <v>1091</v>
      </c>
      <c r="D14" t="s">
        <v>1092</v>
      </c>
      <c r="E14" t="s">
        <v>1093</v>
      </c>
      <c r="F14" t="s">
        <v>1094</v>
      </c>
      <c r="G14" t="s">
        <v>1095</v>
      </c>
      <c r="H14" t="s">
        <v>1096</v>
      </c>
    </row>
    <row r="15" spans="1:9" x14ac:dyDescent="0.15">
      <c r="A15" s="61">
        <v>40928</v>
      </c>
      <c r="B15" t="s">
        <v>1097</v>
      </c>
      <c r="C15" t="s">
        <v>1098</v>
      </c>
      <c r="D15" t="s">
        <v>1099</v>
      </c>
      <c r="E15" t="s">
        <v>1100</v>
      </c>
      <c r="F15" t="s">
        <v>1101</v>
      </c>
      <c r="G15" t="s">
        <v>1102</v>
      </c>
      <c r="H15" t="s">
        <v>1103</v>
      </c>
    </row>
    <row r="16" spans="1:9" x14ac:dyDescent="0.15">
      <c r="A16" s="61">
        <v>40929</v>
      </c>
      <c r="B16" t="s">
        <v>1104</v>
      </c>
      <c r="C16" t="s">
        <v>1105</v>
      </c>
      <c r="D16" t="s">
        <v>1106</v>
      </c>
      <c r="E16" t="s">
        <v>1107</v>
      </c>
      <c r="F16" t="s">
        <v>1108</v>
      </c>
      <c r="G16" t="s">
        <v>1109</v>
      </c>
      <c r="H16" t="s">
        <v>1110</v>
      </c>
    </row>
    <row r="17" spans="1:8" x14ac:dyDescent="0.15">
      <c r="A17" s="61">
        <v>40937</v>
      </c>
      <c r="B17" t="s">
        <v>1111</v>
      </c>
      <c r="C17" t="s">
        <v>1112</v>
      </c>
      <c r="D17" t="s">
        <v>1113</v>
      </c>
      <c r="E17" t="s">
        <v>1114</v>
      </c>
      <c r="F17" t="s">
        <v>1115</v>
      </c>
      <c r="G17" t="s">
        <v>1116</v>
      </c>
      <c r="H17" t="s">
        <v>1117</v>
      </c>
    </row>
    <row r="18" spans="1:8" x14ac:dyDescent="0.15">
      <c r="A18" s="61">
        <v>40938</v>
      </c>
      <c r="B18" t="s">
        <v>1118</v>
      </c>
      <c r="C18" t="s">
        <v>1119</v>
      </c>
      <c r="D18" t="s">
        <v>1120</v>
      </c>
      <c r="E18" t="s">
        <v>1121</v>
      </c>
      <c r="F18" t="s">
        <v>1122</v>
      </c>
      <c r="G18" t="s">
        <v>1123</v>
      </c>
      <c r="H18" t="s">
        <v>1124</v>
      </c>
    </row>
    <row r="19" spans="1:8" x14ac:dyDescent="0.15">
      <c r="A19" s="61">
        <v>40939</v>
      </c>
      <c r="B19" t="s">
        <v>1125</v>
      </c>
      <c r="C19" t="s">
        <v>1126</v>
      </c>
      <c r="D19" t="s">
        <v>1127</v>
      </c>
      <c r="E19" t="s">
        <v>1128</v>
      </c>
      <c r="F19" t="s">
        <v>1129</v>
      </c>
      <c r="G19" t="s">
        <v>1130</v>
      </c>
      <c r="H19" t="s">
        <v>1131</v>
      </c>
    </row>
    <row r="20" spans="1:8" x14ac:dyDescent="0.15">
      <c r="A20" s="61">
        <v>40912</v>
      </c>
      <c r="B20" t="s">
        <v>1132</v>
      </c>
      <c r="C20" t="s">
        <v>1133</v>
      </c>
      <c r="D20" t="s">
        <v>1134</v>
      </c>
      <c r="E20" t="s">
        <v>1135</v>
      </c>
      <c r="F20" t="s">
        <v>1136</v>
      </c>
      <c r="G20" t="s">
        <v>1137</v>
      </c>
      <c r="H20" t="s">
        <v>1138</v>
      </c>
    </row>
    <row r="21" spans="1:8" x14ac:dyDescent="0.15">
      <c r="A21">
        <v>40913</v>
      </c>
      <c r="B21" t="s">
        <v>1139</v>
      </c>
      <c r="C21" t="s">
        <v>1140</v>
      </c>
      <c r="D21" t="s">
        <v>1141</v>
      </c>
      <c r="E21" t="s">
        <v>1142</v>
      </c>
      <c r="F21" t="s">
        <v>1143</v>
      </c>
      <c r="G21" t="s">
        <v>1144</v>
      </c>
      <c r="H21" t="s">
        <v>1145</v>
      </c>
    </row>
    <row r="22" spans="1:8" x14ac:dyDescent="0.15">
      <c r="A22">
        <v>40914</v>
      </c>
      <c r="B22" t="s">
        <v>1146</v>
      </c>
      <c r="C22" t="s">
        <v>1147</v>
      </c>
      <c r="D22" t="s">
        <v>1148</v>
      </c>
      <c r="E22" t="s">
        <v>1149</v>
      </c>
      <c r="F22" t="s">
        <v>1150</v>
      </c>
      <c r="G22" t="s">
        <v>1151</v>
      </c>
      <c r="H22" t="s">
        <v>1152</v>
      </c>
    </row>
    <row r="23" spans="1:8" x14ac:dyDescent="0.15">
      <c r="A23">
        <v>40917</v>
      </c>
      <c r="B23" t="s">
        <v>1153</v>
      </c>
      <c r="C23" t="s">
        <v>1154</v>
      </c>
      <c r="D23" t="s">
        <v>1155</v>
      </c>
      <c r="E23" t="s">
        <v>1156</v>
      </c>
      <c r="F23" t="s">
        <v>1157</v>
      </c>
      <c r="G23" t="s">
        <v>1158</v>
      </c>
      <c r="H23" t="s">
        <v>1159</v>
      </c>
    </row>
    <row r="24" spans="1:8" x14ac:dyDescent="0.15">
      <c r="A24">
        <v>40940</v>
      </c>
      <c r="B24" t="s">
        <v>1160</v>
      </c>
      <c r="C24" t="s">
        <v>1161</v>
      </c>
      <c r="D24" t="s">
        <v>1162</v>
      </c>
      <c r="E24" t="s">
        <v>1163</v>
      </c>
      <c r="F24" t="s">
        <v>1164</v>
      </c>
      <c r="G24" t="s">
        <v>1165</v>
      </c>
      <c r="H24" t="s">
        <v>1166</v>
      </c>
    </row>
    <row r="25" spans="1:8" x14ac:dyDescent="0.15">
      <c r="A25">
        <v>40949</v>
      </c>
      <c r="B25" t="s">
        <v>1167</v>
      </c>
      <c r="C25" t="s">
        <v>1168</v>
      </c>
      <c r="D25" t="s">
        <v>1169</v>
      </c>
      <c r="E25" t="s">
        <v>1170</v>
      </c>
      <c r="F25" t="s">
        <v>1171</v>
      </c>
      <c r="G25" t="s">
        <v>1172</v>
      </c>
      <c r="H25" t="s">
        <v>1173</v>
      </c>
    </row>
    <row r="26" spans="1:8" x14ac:dyDescent="0.15">
      <c r="A26">
        <v>40952</v>
      </c>
      <c r="B26" t="s">
        <v>1174</v>
      </c>
      <c r="C26" t="s">
        <v>1175</v>
      </c>
      <c r="D26" t="s">
        <v>1176</v>
      </c>
      <c r="E26" t="s">
        <v>1177</v>
      </c>
      <c r="F26" t="s">
        <v>1178</v>
      </c>
      <c r="G26" t="s">
        <v>1179</v>
      </c>
      <c r="H26" t="s">
        <v>1180</v>
      </c>
    </row>
    <row r="27" spans="1:8" x14ac:dyDescent="0.15">
      <c r="A27">
        <v>40953</v>
      </c>
      <c r="B27" t="s">
        <v>1181</v>
      </c>
      <c r="C27" t="s">
        <v>1182</v>
      </c>
      <c r="D27" t="s">
        <v>1183</v>
      </c>
      <c r="E27" t="s">
        <v>1184</v>
      </c>
      <c r="F27" t="s">
        <v>1185</v>
      </c>
      <c r="G27" t="s">
        <v>1186</v>
      </c>
      <c r="H27" t="s">
        <v>1187</v>
      </c>
    </row>
    <row r="28" spans="1:8" x14ac:dyDescent="0.15">
      <c r="A28">
        <v>40954</v>
      </c>
      <c r="B28" t="s">
        <v>1188</v>
      </c>
      <c r="C28" t="s">
        <v>1189</v>
      </c>
      <c r="D28" t="s">
        <v>1190</v>
      </c>
      <c r="E28" t="s">
        <v>1191</v>
      </c>
      <c r="F28" t="s">
        <v>1192</v>
      </c>
      <c r="G28" t="s">
        <v>1193</v>
      </c>
      <c r="H28" t="s">
        <v>1194</v>
      </c>
    </row>
    <row r="29" spans="1:8" x14ac:dyDescent="0.15">
      <c r="A29">
        <v>40955</v>
      </c>
      <c r="B29" t="s">
        <v>1195</v>
      </c>
      <c r="C29" t="s">
        <v>1196</v>
      </c>
      <c r="D29" t="s">
        <v>1197</v>
      </c>
      <c r="E29" t="s">
        <v>1198</v>
      </c>
      <c r="F29" t="s">
        <v>1199</v>
      </c>
      <c r="G29" t="s">
        <v>1200</v>
      </c>
      <c r="H29" t="s">
        <v>1201</v>
      </c>
    </row>
    <row r="30" spans="1:8" x14ac:dyDescent="0.15">
      <c r="A30">
        <v>40956</v>
      </c>
      <c r="B30" t="s">
        <v>1202</v>
      </c>
      <c r="C30" t="s">
        <v>1203</v>
      </c>
      <c r="D30" t="s">
        <v>1204</v>
      </c>
      <c r="E30" t="s">
        <v>1205</v>
      </c>
      <c r="F30" t="s">
        <v>1206</v>
      </c>
      <c r="G30" t="s">
        <v>1207</v>
      </c>
      <c r="H30" t="s">
        <v>1208</v>
      </c>
    </row>
    <row r="31" spans="1:8" x14ac:dyDescent="0.15">
      <c r="A31">
        <v>40941</v>
      </c>
      <c r="B31" t="s">
        <v>1209</v>
      </c>
      <c r="C31" t="s">
        <v>1210</v>
      </c>
      <c r="D31" t="s">
        <v>1211</v>
      </c>
      <c r="E31" t="s">
        <v>1212</v>
      </c>
      <c r="F31" t="s">
        <v>1213</v>
      </c>
      <c r="G31" t="s">
        <v>1214</v>
      </c>
      <c r="H31" t="s">
        <v>1215</v>
      </c>
    </row>
    <row r="32" spans="1:8" x14ac:dyDescent="0.15">
      <c r="A32">
        <v>40959</v>
      </c>
      <c r="B32" t="s">
        <v>1216</v>
      </c>
      <c r="C32" t="s">
        <v>1217</v>
      </c>
      <c r="D32" t="s">
        <v>1218</v>
      </c>
      <c r="E32" t="s">
        <v>1219</v>
      </c>
      <c r="F32" t="s">
        <v>1220</v>
      </c>
      <c r="G32" t="s">
        <v>1221</v>
      </c>
      <c r="H32" t="s">
        <v>1222</v>
      </c>
    </row>
    <row r="33" spans="1:8" x14ac:dyDescent="0.15">
      <c r="A33">
        <v>40960</v>
      </c>
      <c r="B33" t="s">
        <v>1223</v>
      </c>
      <c r="C33" t="s">
        <v>1224</v>
      </c>
      <c r="D33" t="s">
        <v>1225</v>
      </c>
      <c r="E33" t="s">
        <v>1226</v>
      </c>
      <c r="F33" t="s">
        <v>1227</v>
      </c>
      <c r="G33" t="s">
        <v>1228</v>
      </c>
      <c r="H33" t="s">
        <v>1229</v>
      </c>
    </row>
    <row r="34" spans="1:8" x14ac:dyDescent="0.15">
      <c r="A34">
        <v>40961</v>
      </c>
      <c r="B34" t="s">
        <v>1230</v>
      </c>
      <c r="C34" t="s">
        <v>1231</v>
      </c>
      <c r="D34" t="s">
        <v>1232</v>
      </c>
      <c r="E34" t="s">
        <v>1233</v>
      </c>
      <c r="F34" t="s">
        <v>1234</v>
      </c>
      <c r="G34" t="s">
        <v>1235</v>
      </c>
      <c r="H34" t="s">
        <v>1236</v>
      </c>
    </row>
    <row r="35" spans="1:8" x14ac:dyDescent="0.15">
      <c r="A35">
        <v>40962</v>
      </c>
      <c r="B35" t="s">
        <v>1237</v>
      </c>
      <c r="C35" t="s">
        <v>1238</v>
      </c>
      <c r="D35" t="s">
        <v>1239</v>
      </c>
      <c r="E35" t="s">
        <v>1240</v>
      </c>
      <c r="F35" t="s">
        <v>1241</v>
      </c>
      <c r="G35" t="s">
        <v>1242</v>
      </c>
      <c r="H35" t="s">
        <v>1243</v>
      </c>
    </row>
    <row r="36" spans="1:8" x14ac:dyDescent="0.15">
      <c r="A36">
        <v>40963</v>
      </c>
      <c r="B36" t="s">
        <v>1244</v>
      </c>
      <c r="C36" t="s">
        <v>1245</v>
      </c>
      <c r="D36" t="s">
        <v>1246</v>
      </c>
      <c r="E36" t="s">
        <v>1247</v>
      </c>
      <c r="F36" t="s">
        <v>1248</v>
      </c>
      <c r="G36" t="s">
        <v>1249</v>
      </c>
      <c r="H36" t="s">
        <v>1250</v>
      </c>
    </row>
    <row r="37" spans="1:8" x14ac:dyDescent="0.15">
      <c r="A37">
        <v>40966</v>
      </c>
      <c r="B37" t="s">
        <v>1251</v>
      </c>
      <c r="C37" t="s">
        <v>1252</v>
      </c>
      <c r="D37" t="s">
        <v>1253</v>
      </c>
      <c r="E37" t="s">
        <v>1254</v>
      </c>
      <c r="F37" t="s">
        <v>1255</v>
      </c>
      <c r="G37" t="s">
        <v>1256</v>
      </c>
      <c r="H37" t="s">
        <v>1257</v>
      </c>
    </row>
    <row r="38" spans="1:8" x14ac:dyDescent="0.15">
      <c r="A38">
        <v>40967</v>
      </c>
      <c r="B38" t="s">
        <v>1258</v>
      </c>
      <c r="C38" t="s">
        <v>1259</v>
      </c>
      <c r="D38" t="s">
        <v>1260</v>
      </c>
      <c r="E38" t="s">
        <v>1261</v>
      </c>
      <c r="F38" t="s">
        <v>1262</v>
      </c>
      <c r="G38" t="s">
        <v>1263</v>
      </c>
      <c r="H38" t="s">
        <v>1264</v>
      </c>
    </row>
    <row r="39" spans="1:8" x14ac:dyDescent="0.15">
      <c r="A39">
        <v>40968</v>
      </c>
      <c r="B39" t="s">
        <v>1265</v>
      </c>
      <c r="C39" t="s">
        <v>1266</v>
      </c>
      <c r="D39" t="s">
        <v>1267</v>
      </c>
      <c r="E39" t="s">
        <v>1268</v>
      </c>
      <c r="F39" t="s">
        <v>1269</v>
      </c>
      <c r="G39" t="s">
        <v>1270</v>
      </c>
      <c r="H39" t="s">
        <v>1271</v>
      </c>
    </row>
    <row r="40" spans="1:8" x14ac:dyDescent="0.15">
      <c r="A40">
        <v>40942</v>
      </c>
      <c r="B40" t="s">
        <v>1272</v>
      </c>
      <c r="C40" t="s">
        <v>1273</v>
      </c>
      <c r="D40" t="s">
        <v>1274</v>
      </c>
      <c r="E40" t="s">
        <v>1275</v>
      </c>
      <c r="F40" t="s">
        <v>1276</v>
      </c>
      <c r="G40" t="s">
        <v>1277</v>
      </c>
      <c r="H40" t="s">
        <v>1278</v>
      </c>
    </row>
    <row r="41" spans="1:8" x14ac:dyDescent="0.15">
      <c r="A41">
        <v>40945</v>
      </c>
      <c r="B41" t="s">
        <v>1279</v>
      </c>
      <c r="C41" t="s">
        <v>1280</v>
      </c>
      <c r="D41" t="s">
        <v>1281</v>
      </c>
      <c r="E41" t="s">
        <v>1282</v>
      </c>
      <c r="F41" t="s">
        <v>1283</v>
      </c>
      <c r="G41" t="s">
        <v>1284</v>
      </c>
      <c r="H41" t="s">
        <v>1285</v>
      </c>
    </row>
    <row r="42" spans="1:8" x14ac:dyDescent="0.15">
      <c r="A42">
        <v>40946</v>
      </c>
      <c r="B42" t="s">
        <v>1286</v>
      </c>
      <c r="C42" t="s">
        <v>1287</v>
      </c>
      <c r="D42" t="s">
        <v>1288</v>
      </c>
      <c r="E42" t="s">
        <v>1289</v>
      </c>
      <c r="F42" t="s">
        <v>1290</v>
      </c>
      <c r="G42" t="s">
        <v>1291</v>
      </c>
      <c r="H42" t="s">
        <v>1292</v>
      </c>
    </row>
    <row r="43" spans="1:8" x14ac:dyDescent="0.15">
      <c r="A43">
        <v>40947</v>
      </c>
      <c r="B43" t="s">
        <v>1293</v>
      </c>
      <c r="C43" t="s">
        <v>1294</v>
      </c>
      <c r="D43" t="s">
        <v>1295</v>
      </c>
      <c r="E43" t="s">
        <v>1296</v>
      </c>
      <c r="F43" t="s">
        <v>1297</v>
      </c>
      <c r="G43" t="s">
        <v>1298</v>
      </c>
      <c r="H43" t="s">
        <v>1299</v>
      </c>
    </row>
    <row r="44" spans="1:8" x14ac:dyDescent="0.15">
      <c r="A44">
        <v>40948</v>
      </c>
      <c r="B44" t="s">
        <v>1300</v>
      </c>
      <c r="C44" t="s">
        <v>1301</v>
      </c>
      <c r="D44" t="s">
        <v>1302</v>
      </c>
      <c r="E44" t="s">
        <v>1303</v>
      </c>
      <c r="F44" t="s">
        <v>1304</v>
      </c>
      <c r="G44" t="s">
        <v>1305</v>
      </c>
      <c r="H44" t="s">
        <v>1306</v>
      </c>
    </row>
    <row r="45" spans="1:8" x14ac:dyDescent="0.15">
      <c r="A45">
        <v>40969</v>
      </c>
      <c r="B45" t="s">
        <v>1307</v>
      </c>
      <c r="C45" t="s">
        <v>1308</v>
      </c>
      <c r="D45" t="s">
        <v>1309</v>
      </c>
      <c r="E45" t="s">
        <v>1310</v>
      </c>
      <c r="F45" t="s">
        <v>1311</v>
      </c>
      <c r="G45" t="s">
        <v>1312</v>
      </c>
      <c r="H45" t="s">
        <v>1313</v>
      </c>
    </row>
    <row r="46" spans="1:8" x14ac:dyDescent="0.15">
      <c r="A46">
        <v>40980</v>
      </c>
      <c r="B46" t="s">
        <v>1314</v>
      </c>
      <c r="C46" t="s">
        <v>1315</v>
      </c>
      <c r="D46" t="s">
        <v>1316</v>
      </c>
      <c r="E46" t="s">
        <v>1317</v>
      </c>
      <c r="F46" t="s">
        <v>1318</v>
      </c>
      <c r="G46" t="s">
        <v>1319</v>
      </c>
      <c r="H46" t="s">
        <v>1320</v>
      </c>
    </row>
    <row r="47" spans="1:8" x14ac:dyDescent="0.15">
      <c r="A47">
        <v>40981</v>
      </c>
      <c r="B47" t="s">
        <v>1321</v>
      </c>
      <c r="C47" t="s">
        <v>1322</v>
      </c>
      <c r="D47" t="s">
        <v>1323</v>
      </c>
      <c r="E47" t="s">
        <v>1324</v>
      </c>
      <c r="F47" t="s">
        <v>1325</v>
      </c>
      <c r="G47" t="s">
        <v>1326</v>
      </c>
      <c r="H47" t="s">
        <v>1327</v>
      </c>
    </row>
    <row r="48" spans="1:8" x14ac:dyDescent="0.15">
      <c r="A48">
        <v>40982</v>
      </c>
      <c r="B48" t="s">
        <v>1328</v>
      </c>
      <c r="C48" t="s">
        <v>1329</v>
      </c>
      <c r="D48" t="s">
        <v>1330</v>
      </c>
      <c r="E48" t="s">
        <v>1331</v>
      </c>
      <c r="F48" t="s">
        <v>1332</v>
      </c>
      <c r="G48" t="s">
        <v>1333</v>
      </c>
      <c r="H48" t="s">
        <v>1334</v>
      </c>
    </row>
    <row r="49" spans="1:8" x14ac:dyDescent="0.15">
      <c r="A49">
        <v>40983</v>
      </c>
      <c r="B49" t="s">
        <v>1335</v>
      </c>
      <c r="C49" t="s">
        <v>1336</v>
      </c>
      <c r="D49" t="s">
        <v>1337</v>
      </c>
      <c r="E49" t="s">
        <v>1338</v>
      </c>
      <c r="F49" t="s">
        <v>1339</v>
      </c>
      <c r="G49" t="s">
        <v>1340</v>
      </c>
      <c r="H49" t="s">
        <v>1341</v>
      </c>
    </row>
    <row r="50" spans="1:8" x14ac:dyDescent="0.15">
      <c r="A50">
        <v>40984</v>
      </c>
      <c r="B50" t="s">
        <v>1342</v>
      </c>
      <c r="C50" t="s">
        <v>1343</v>
      </c>
      <c r="D50" t="s">
        <v>1344</v>
      </c>
      <c r="E50" t="s">
        <v>1345</v>
      </c>
      <c r="F50" t="s">
        <v>1346</v>
      </c>
      <c r="G50" t="s">
        <v>1347</v>
      </c>
      <c r="H50" t="s">
        <v>1348</v>
      </c>
    </row>
    <row r="51" spans="1:8" x14ac:dyDescent="0.15">
      <c r="A51">
        <v>40987</v>
      </c>
      <c r="B51" t="s">
        <v>1349</v>
      </c>
      <c r="C51" t="s">
        <v>1350</v>
      </c>
      <c r="D51" t="s">
        <v>1351</v>
      </c>
      <c r="E51" t="s">
        <v>1352</v>
      </c>
      <c r="F51" t="s">
        <v>1353</v>
      </c>
      <c r="G51" t="s">
        <v>1354</v>
      </c>
      <c r="H51" t="s">
        <v>1355</v>
      </c>
    </row>
    <row r="52" spans="1:8" x14ac:dyDescent="0.15">
      <c r="A52">
        <v>40970</v>
      </c>
      <c r="B52" t="s">
        <v>1356</v>
      </c>
      <c r="C52" t="s">
        <v>1357</v>
      </c>
      <c r="D52" t="s">
        <v>1358</v>
      </c>
      <c r="E52" t="s">
        <v>1359</v>
      </c>
      <c r="F52" t="s">
        <v>1360</v>
      </c>
      <c r="G52" t="s">
        <v>1361</v>
      </c>
      <c r="H52" t="s">
        <v>1362</v>
      </c>
    </row>
    <row r="53" spans="1:8" x14ac:dyDescent="0.15">
      <c r="A53">
        <v>40988</v>
      </c>
      <c r="B53" t="s">
        <v>1363</v>
      </c>
      <c r="C53" t="s">
        <v>1364</v>
      </c>
      <c r="D53" t="s">
        <v>1365</v>
      </c>
      <c r="E53" t="s">
        <v>1366</v>
      </c>
      <c r="F53" t="s">
        <v>1367</v>
      </c>
      <c r="G53" t="s">
        <v>1368</v>
      </c>
      <c r="H53" t="s">
        <v>1369</v>
      </c>
    </row>
    <row r="54" spans="1:8" x14ac:dyDescent="0.15">
      <c r="A54">
        <v>40989</v>
      </c>
      <c r="B54" t="s">
        <v>1370</v>
      </c>
      <c r="C54" t="s">
        <v>1371</v>
      </c>
      <c r="D54" t="s">
        <v>1372</v>
      </c>
      <c r="E54" t="s">
        <v>1373</v>
      </c>
      <c r="F54" t="s">
        <v>1374</v>
      </c>
      <c r="G54" t="s">
        <v>1375</v>
      </c>
      <c r="H54" t="s">
        <v>1376</v>
      </c>
    </row>
    <row r="55" spans="1:8" x14ac:dyDescent="0.15">
      <c r="A55">
        <v>40990</v>
      </c>
      <c r="B55" t="s">
        <v>1377</v>
      </c>
      <c r="C55" t="s">
        <v>1378</v>
      </c>
      <c r="D55" t="s">
        <v>1379</v>
      </c>
      <c r="E55" t="s">
        <v>1380</v>
      </c>
      <c r="F55" t="s">
        <v>1381</v>
      </c>
      <c r="G55" t="s">
        <v>1382</v>
      </c>
      <c r="H55" t="s">
        <v>1383</v>
      </c>
    </row>
    <row r="56" spans="1:8" x14ac:dyDescent="0.15">
      <c r="A56">
        <v>40991</v>
      </c>
      <c r="B56" t="s">
        <v>1384</v>
      </c>
      <c r="C56" t="s">
        <v>1385</v>
      </c>
      <c r="D56" t="s">
        <v>1386</v>
      </c>
      <c r="E56" t="s">
        <v>1387</v>
      </c>
      <c r="F56" t="s">
        <v>1388</v>
      </c>
      <c r="G56" t="s">
        <v>1389</v>
      </c>
      <c r="H56" t="s">
        <v>1390</v>
      </c>
    </row>
    <row r="57" spans="1:8" x14ac:dyDescent="0.15">
      <c r="A57">
        <v>40994</v>
      </c>
      <c r="B57" t="s">
        <v>1391</v>
      </c>
      <c r="C57" t="s">
        <v>1392</v>
      </c>
      <c r="D57" t="s">
        <v>1393</v>
      </c>
      <c r="E57" t="s">
        <v>1394</v>
      </c>
      <c r="F57" t="s">
        <v>1395</v>
      </c>
      <c r="G57" t="s">
        <v>1396</v>
      </c>
      <c r="H57" t="s">
        <v>1397</v>
      </c>
    </row>
    <row r="58" spans="1:8" x14ac:dyDescent="0.15">
      <c r="A58">
        <v>40995</v>
      </c>
      <c r="B58" t="s">
        <v>1398</v>
      </c>
      <c r="C58" t="s">
        <v>1399</v>
      </c>
      <c r="D58" t="s">
        <v>1400</v>
      </c>
      <c r="E58" t="s">
        <v>1401</v>
      </c>
      <c r="F58" t="s">
        <v>1402</v>
      </c>
      <c r="G58" t="s">
        <v>1403</v>
      </c>
      <c r="H58" t="s">
        <v>1404</v>
      </c>
    </row>
    <row r="59" spans="1:8" x14ac:dyDescent="0.15">
      <c r="A59">
        <v>40996</v>
      </c>
      <c r="B59" t="s">
        <v>1405</v>
      </c>
      <c r="C59" t="s">
        <v>1406</v>
      </c>
      <c r="D59" t="s">
        <v>1407</v>
      </c>
      <c r="E59" t="s">
        <v>1408</v>
      </c>
      <c r="F59" t="s">
        <v>1409</v>
      </c>
      <c r="G59" t="s">
        <v>1410</v>
      </c>
      <c r="H59" t="s">
        <v>1411</v>
      </c>
    </row>
    <row r="60" spans="1:8" x14ac:dyDescent="0.15">
      <c r="A60">
        <v>40997</v>
      </c>
      <c r="B60" t="s">
        <v>1412</v>
      </c>
      <c r="C60" t="s">
        <v>1413</v>
      </c>
      <c r="D60" t="s">
        <v>1414</v>
      </c>
      <c r="E60" t="s">
        <v>1415</v>
      </c>
      <c r="F60" t="s">
        <v>1416</v>
      </c>
      <c r="G60" t="s">
        <v>1417</v>
      </c>
      <c r="H60" t="s">
        <v>1418</v>
      </c>
    </row>
    <row r="61" spans="1:8" x14ac:dyDescent="0.15">
      <c r="A61">
        <v>40998</v>
      </c>
      <c r="B61" t="s">
        <v>1419</v>
      </c>
      <c r="C61" t="s">
        <v>1420</v>
      </c>
      <c r="D61" t="s">
        <v>1421</v>
      </c>
      <c r="E61" t="s">
        <v>1422</v>
      </c>
      <c r="F61" t="s">
        <v>1423</v>
      </c>
      <c r="G61" t="s">
        <v>1424</v>
      </c>
      <c r="H61" t="s">
        <v>1425</v>
      </c>
    </row>
    <row r="62" spans="1:8" x14ac:dyDescent="0.15">
      <c r="A62">
        <v>40999</v>
      </c>
      <c r="B62" t="s">
        <v>1426</v>
      </c>
      <c r="C62" t="s">
        <v>1427</v>
      </c>
      <c r="D62" t="s">
        <v>1428</v>
      </c>
      <c r="E62" t="s">
        <v>1429</v>
      </c>
      <c r="F62" t="s">
        <v>1430</v>
      </c>
      <c r="G62" t="s">
        <v>1431</v>
      </c>
      <c r="H62" t="s">
        <v>1432</v>
      </c>
    </row>
    <row r="63" spans="1:8" x14ac:dyDescent="0.15">
      <c r="A63">
        <v>40973</v>
      </c>
      <c r="B63" t="s">
        <v>1433</v>
      </c>
      <c r="C63" t="s">
        <v>1434</v>
      </c>
      <c r="D63" t="s">
        <v>1435</v>
      </c>
      <c r="E63" t="s">
        <v>1436</v>
      </c>
      <c r="F63" t="s">
        <v>1437</v>
      </c>
      <c r="G63" t="s">
        <v>1438</v>
      </c>
      <c r="H63" t="s">
        <v>1439</v>
      </c>
    </row>
    <row r="64" spans="1:8" x14ac:dyDescent="0.15">
      <c r="A64">
        <v>40974</v>
      </c>
      <c r="B64" t="s">
        <v>1440</v>
      </c>
      <c r="C64" t="s">
        <v>1441</v>
      </c>
      <c r="D64" t="s">
        <v>1442</v>
      </c>
      <c r="E64" t="s">
        <v>1443</v>
      </c>
      <c r="F64" t="s">
        <v>1444</v>
      </c>
      <c r="G64" t="s">
        <v>1445</v>
      </c>
      <c r="H64" t="s">
        <v>1446</v>
      </c>
    </row>
    <row r="65" spans="1:8" x14ac:dyDescent="0.15">
      <c r="A65">
        <v>40975</v>
      </c>
      <c r="B65" t="s">
        <v>1447</v>
      </c>
      <c r="C65" t="s">
        <v>1448</v>
      </c>
      <c r="D65" t="s">
        <v>1449</v>
      </c>
      <c r="E65" t="s">
        <v>1450</v>
      </c>
      <c r="F65" t="s">
        <v>1451</v>
      </c>
      <c r="G65" t="s">
        <v>1452</v>
      </c>
      <c r="H65" t="s">
        <v>1453</v>
      </c>
    </row>
    <row r="66" spans="1:8" x14ac:dyDescent="0.15">
      <c r="A66">
        <v>40976</v>
      </c>
      <c r="B66" t="s">
        <v>1454</v>
      </c>
      <c r="C66" t="s">
        <v>1455</v>
      </c>
      <c r="D66" t="s">
        <v>1456</v>
      </c>
      <c r="E66" t="s">
        <v>1457</v>
      </c>
      <c r="F66" t="s">
        <v>1458</v>
      </c>
      <c r="G66" t="s">
        <v>1459</v>
      </c>
      <c r="H66" t="s">
        <v>1460</v>
      </c>
    </row>
    <row r="67" spans="1:8" x14ac:dyDescent="0.15">
      <c r="A67">
        <v>40977</v>
      </c>
      <c r="B67" t="s">
        <v>1461</v>
      </c>
      <c r="C67" t="s">
        <v>1462</v>
      </c>
      <c r="D67" t="s">
        <v>1463</v>
      </c>
      <c r="E67" t="s">
        <v>1464</v>
      </c>
      <c r="F67" t="s">
        <v>1465</v>
      </c>
      <c r="G67" t="s">
        <v>1466</v>
      </c>
      <c r="H67" t="s">
        <v>1467</v>
      </c>
    </row>
    <row r="68" spans="1:8" x14ac:dyDescent="0.15">
      <c r="A68">
        <v>41000</v>
      </c>
      <c r="B68" t="s">
        <v>1468</v>
      </c>
      <c r="C68" t="s">
        <v>1469</v>
      </c>
      <c r="D68" t="s">
        <v>1470</v>
      </c>
      <c r="E68" t="s">
        <v>1471</v>
      </c>
      <c r="F68" t="s">
        <v>1472</v>
      </c>
      <c r="G68" t="s">
        <v>1473</v>
      </c>
      <c r="H68" t="s">
        <v>1474</v>
      </c>
    </row>
    <row r="69" spans="1:8" x14ac:dyDescent="0.15">
      <c r="A69">
        <v>41009</v>
      </c>
      <c r="B69" t="s">
        <v>1475</v>
      </c>
      <c r="C69" t="s">
        <v>1476</v>
      </c>
      <c r="D69" t="s">
        <v>1477</v>
      </c>
      <c r="E69" t="s">
        <v>1478</v>
      </c>
      <c r="F69" t="s">
        <v>1479</v>
      </c>
      <c r="G69" t="s">
        <v>1480</v>
      </c>
      <c r="H69" t="s">
        <v>1481</v>
      </c>
    </row>
    <row r="70" spans="1:8" x14ac:dyDescent="0.15">
      <c r="A70">
        <v>41010</v>
      </c>
      <c r="B70" t="s">
        <v>1482</v>
      </c>
      <c r="C70" t="s">
        <v>1483</v>
      </c>
      <c r="D70" t="s">
        <v>1484</v>
      </c>
      <c r="E70" t="s">
        <v>1485</v>
      </c>
      <c r="F70" t="s">
        <v>1486</v>
      </c>
      <c r="G70" t="s">
        <v>1487</v>
      </c>
      <c r="H70" t="s">
        <v>1488</v>
      </c>
    </row>
    <row r="71" spans="1:8" x14ac:dyDescent="0.15">
      <c r="A71">
        <v>41011</v>
      </c>
      <c r="B71" t="s">
        <v>1489</v>
      </c>
      <c r="C71" t="s">
        <v>1490</v>
      </c>
      <c r="D71" t="s">
        <v>1491</v>
      </c>
      <c r="E71" t="s">
        <v>1492</v>
      </c>
      <c r="F71" t="s">
        <v>1493</v>
      </c>
      <c r="G71" t="s">
        <v>1494</v>
      </c>
      <c r="H71" t="s">
        <v>1495</v>
      </c>
    </row>
    <row r="72" spans="1:8" x14ac:dyDescent="0.15">
      <c r="A72">
        <v>41012</v>
      </c>
      <c r="B72" t="s">
        <v>1496</v>
      </c>
      <c r="C72" t="s">
        <v>1497</v>
      </c>
      <c r="D72" t="s">
        <v>1498</v>
      </c>
      <c r="E72" t="s">
        <v>1499</v>
      </c>
      <c r="F72" t="s">
        <v>1500</v>
      </c>
      <c r="G72" t="s">
        <v>1501</v>
      </c>
      <c r="H72" t="s">
        <v>1502</v>
      </c>
    </row>
    <row r="73" spans="1:8" x14ac:dyDescent="0.15">
      <c r="A73">
        <v>41015</v>
      </c>
      <c r="B73" t="s">
        <v>1503</v>
      </c>
      <c r="C73" t="s">
        <v>1504</v>
      </c>
      <c r="D73" t="s">
        <v>1505</v>
      </c>
      <c r="E73" t="s">
        <v>1506</v>
      </c>
      <c r="F73" t="s">
        <v>1507</v>
      </c>
      <c r="G73" t="s">
        <v>1508</v>
      </c>
      <c r="H73" t="s">
        <v>1509</v>
      </c>
    </row>
    <row r="74" spans="1:8" x14ac:dyDescent="0.15">
      <c r="A74">
        <v>41016</v>
      </c>
      <c r="B74" t="s">
        <v>1510</v>
      </c>
      <c r="C74" t="s">
        <v>1511</v>
      </c>
      <c r="D74" t="s">
        <v>1512</v>
      </c>
      <c r="E74" t="s">
        <v>1513</v>
      </c>
      <c r="F74" t="s">
        <v>1514</v>
      </c>
      <c r="G74" t="s">
        <v>1515</v>
      </c>
      <c r="H74" t="s">
        <v>1516</v>
      </c>
    </row>
    <row r="75" spans="1:8" x14ac:dyDescent="0.15">
      <c r="A75">
        <v>41017</v>
      </c>
      <c r="B75" t="s">
        <v>1517</v>
      </c>
      <c r="C75" t="s">
        <v>1518</v>
      </c>
      <c r="D75" t="s">
        <v>1519</v>
      </c>
      <c r="E75" t="s">
        <v>1520</v>
      </c>
      <c r="F75" t="s">
        <v>1521</v>
      </c>
      <c r="G75" t="s">
        <v>1522</v>
      </c>
      <c r="H75" t="s">
        <v>1523</v>
      </c>
    </row>
    <row r="76" spans="1:8" x14ac:dyDescent="0.15">
      <c r="A76">
        <v>41018</v>
      </c>
      <c r="B76" t="s">
        <v>1524</v>
      </c>
      <c r="C76" t="s">
        <v>1525</v>
      </c>
      <c r="D76" t="s">
        <v>1526</v>
      </c>
      <c r="E76" t="s">
        <v>1527</v>
      </c>
      <c r="F76" t="s">
        <v>1528</v>
      </c>
      <c r="G76" t="s">
        <v>1529</v>
      </c>
      <c r="H76" t="s">
        <v>1530</v>
      </c>
    </row>
    <row r="77" spans="1:8" x14ac:dyDescent="0.15">
      <c r="A77">
        <v>41019</v>
      </c>
      <c r="B77" t="s">
        <v>1531</v>
      </c>
      <c r="C77" t="s">
        <v>1532</v>
      </c>
      <c r="D77" t="s">
        <v>1533</v>
      </c>
      <c r="E77" t="s">
        <v>1534</v>
      </c>
      <c r="F77" t="s">
        <v>1535</v>
      </c>
      <c r="G77" t="s">
        <v>1536</v>
      </c>
      <c r="H77" t="s">
        <v>1537</v>
      </c>
    </row>
    <row r="78" spans="1:8" x14ac:dyDescent="0.15">
      <c r="A78">
        <v>41022</v>
      </c>
      <c r="B78" t="s">
        <v>1538</v>
      </c>
      <c r="C78" t="s">
        <v>1539</v>
      </c>
      <c r="D78" t="s">
        <v>1540</v>
      </c>
      <c r="E78" t="s">
        <v>1541</v>
      </c>
      <c r="F78" t="s">
        <v>1542</v>
      </c>
      <c r="G78" t="s">
        <v>1543</v>
      </c>
      <c r="H78" t="s">
        <v>1544</v>
      </c>
    </row>
    <row r="79" spans="1:8" x14ac:dyDescent="0.15">
      <c r="A79">
        <v>41023</v>
      </c>
      <c r="B79" t="s">
        <v>1545</v>
      </c>
      <c r="C79" t="s">
        <v>1546</v>
      </c>
      <c r="D79" t="s">
        <v>1547</v>
      </c>
      <c r="E79" t="s">
        <v>1548</v>
      </c>
      <c r="F79" t="s">
        <v>1549</v>
      </c>
      <c r="G79" t="s">
        <v>1550</v>
      </c>
      <c r="H79" t="s">
        <v>1551</v>
      </c>
    </row>
    <row r="80" spans="1:8" x14ac:dyDescent="0.15">
      <c r="A80">
        <v>41024</v>
      </c>
      <c r="B80" t="s">
        <v>1552</v>
      </c>
      <c r="C80" t="s">
        <v>1553</v>
      </c>
      <c r="D80" t="s">
        <v>1554</v>
      </c>
      <c r="E80" t="s">
        <v>1555</v>
      </c>
      <c r="F80" t="s">
        <v>1556</v>
      </c>
      <c r="G80" t="s">
        <v>1557</v>
      </c>
      <c r="H80" t="s">
        <v>1558</v>
      </c>
    </row>
    <row r="81" spans="1:8" x14ac:dyDescent="0.15">
      <c r="A81">
        <v>41025</v>
      </c>
      <c r="B81" t="s">
        <v>1559</v>
      </c>
      <c r="C81" t="s">
        <v>1560</v>
      </c>
      <c r="D81" t="s">
        <v>1561</v>
      </c>
      <c r="E81" t="s">
        <v>1562</v>
      </c>
      <c r="F81" t="s">
        <v>1563</v>
      </c>
      <c r="G81" t="s">
        <v>1564</v>
      </c>
      <c r="H81" t="s">
        <v>1565</v>
      </c>
    </row>
    <row r="82" spans="1:8" x14ac:dyDescent="0.15">
      <c r="A82">
        <v>41026</v>
      </c>
      <c r="B82" t="s">
        <v>1566</v>
      </c>
      <c r="C82" t="s">
        <v>1567</v>
      </c>
      <c r="D82" t="s">
        <v>1568</v>
      </c>
      <c r="E82" t="s">
        <v>1569</v>
      </c>
      <c r="F82" t="s">
        <v>1570</v>
      </c>
      <c r="G82" t="s">
        <v>1571</v>
      </c>
      <c r="H82" t="s">
        <v>1572</v>
      </c>
    </row>
    <row r="83" spans="1:8" x14ac:dyDescent="0.15">
      <c r="A83">
        <v>41027</v>
      </c>
      <c r="B83" t="s">
        <v>1573</v>
      </c>
      <c r="C83" t="s">
        <v>1574</v>
      </c>
      <c r="D83" t="s">
        <v>1575</v>
      </c>
      <c r="E83" t="s">
        <v>1576</v>
      </c>
      <c r="F83" t="s">
        <v>1577</v>
      </c>
      <c r="G83" t="s">
        <v>1578</v>
      </c>
      <c r="H83" t="s">
        <v>1579</v>
      </c>
    </row>
    <row r="84" spans="1:8" x14ac:dyDescent="0.15">
      <c r="A84">
        <v>41004</v>
      </c>
      <c r="B84" t="s">
        <v>1580</v>
      </c>
      <c r="C84" t="s">
        <v>1581</v>
      </c>
      <c r="D84" t="s">
        <v>1582</v>
      </c>
      <c r="E84" t="s">
        <v>1583</v>
      </c>
      <c r="F84" t="s">
        <v>1584</v>
      </c>
      <c r="G84" t="s">
        <v>1585</v>
      </c>
      <c r="H84" t="s">
        <v>1586</v>
      </c>
    </row>
    <row r="85" spans="1:8" x14ac:dyDescent="0.15">
      <c r="A85">
        <v>41005</v>
      </c>
      <c r="B85" t="s">
        <v>1587</v>
      </c>
      <c r="C85" t="s">
        <v>1588</v>
      </c>
      <c r="D85" t="s">
        <v>1589</v>
      </c>
      <c r="E85" t="s">
        <v>1590</v>
      </c>
      <c r="F85" t="s">
        <v>1591</v>
      </c>
      <c r="G85" t="s">
        <v>1592</v>
      </c>
      <c r="H85" t="s">
        <v>1593</v>
      </c>
    </row>
    <row r="86" spans="1:8" x14ac:dyDescent="0.15">
      <c r="A86">
        <v>41008</v>
      </c>
      <c r="B86" t="s">
        <v>1594</v>
      </c>
      <c r="C86" t="s">
        <v>1595</v>
      </c>
      <c r="D86" t="s">
        <v>1596</v>
      </c>
      <c r="E86" t="s">
        <v>1597</v>
      </c>
      <c r="F86" t="s">
        <v>1598</v>
      </c>
      <c r="G86" t="s">
        <v>1599</v>
      </c>
      <c r="H86" t="s">
        <v>1600</v>
      </c>
    </row>
    <row r="87" spans="1:8" x14ac:dyDescent="0.15">
      <c r="A87">
        <v>41039</v>
      </c>
      <c r="B87" t="s">
        <v>1601</v>
      </c>
      <c r="C87" t="s">
        <v>1602</v>
      </c>
      <c r="D87" t="s">
        <v>1603</v>
      </c>
      <c r="E87" t="s">
        <v>1604</v>
      </c>
      <c r="F87" t="s">
        <v>1605</v>
      </c>
      <c r="G87" t="s">
        <v>1606</v>
      </c>
      <c r="H87" t="s">
        <v>1607</v>
      </c>
    </row>
    <row r="88" spans="1:8" x14ac:dyDescent="0.15">
      <c r="A88">
        <v>41040</v>
      </c>
      <c r="B88" t="s">
        <v>1608</v>
      </c>
      <c r="C88" t="s">
        <v>1609</v>
      </c>
      <c r="D88" t="s">
        <v>1610</v>
      </c>
      <c r="E88" t="s">
        <v>1611</v>
      </c>
      <c r="F88" t="s">
        <v>1612</v>
      </c>
      <c r="G88" t="s">
        <v>1613</v>
      </c>
      <c r="H88" t="s">
        <v>1614</v>
      </c>
    </row>
    <row r="89" spans="1:8" x14ac:dyDescent="0.15">
      <c r="A89">
        <v>41043</v>
      </c>
      <c r="B89" t="s">
        <v>1615</v>
      </c>
      <c r="C89" t="s">
        <v>1616</v>
      </c>
      <c r="D89" t="s">
        <v>1617</v>
      </c>
      <c r="E89" t="s">
        <v>1618</v>
      </c>
      <c r="F89" t="s">
        <v>1619</v>
      </c>
      <c r="G89" t="s">
        <v>1620</v>
      </c>
      <c r="H89" t="s">
        <v>1621</v>
      </c>
    </row>
    <row r="90" spans="1:8" x14ac:dyDescent="0.15">
      <c r="A90">
        <v>41044</v>
      </c>
      <c r="B90" t="s">
        <v>1622</v>
      </c>
      <c r="C90" t="s">
        <v>1623</v>
      </c>
      <c r="D90" t="s">
        <v>1624</v>
      </c>
      <c r="E90" t="s">
        <v>1625</v>
      </c>
      <c r="F90" t="s">
        <v>1626</v>
      </c>
      <c r="G90" t="s">
        <v>1627</v>
      </c>
      <c r="H90" t="s">
        <v>1628</v>
      </c>
    </row>
    <row r="91" spans="1:8" x14ac:dyDescent="0.15">
      <c r="A91">
        <v>41045</v>
      </c>
      <c r="B91" t="s">
        <v>1629</v>
      </c>
      <c r="C91" t="s">
        <v>1630</v>
      </c>
      <c r="D91" t="s">
        <v>1631</v>
      </c>
      <c r="E91" t="s">
        <v>1632</v>
      </c>
      <c r="F91" t="s">
        <v>1633</v>
      </c>
      <c r="G91" t="s">
        <v>1634</v>
      </c>
      <c r="H91" t="s">
        <v>1635</v>
      </c>
    </row>
    <row r="92" spans="1:8" x14ac:dyDescent="0.15">
      <c r="A92">
        <v>41046</v>
      </c>
      <c r="B92" t="s">
        <v>1636</v>
      </c>
      <c r="C92" t="s">
        <v>1637</v>
      </c>
      <c r="D92" t="s">
        <v>1638</v>
      </c>
      <c r="E92" t="s">
        <v>1639</v>
      </c>
      <c r="F92" t="s">
        <v>1640</v>
      </c>
      <c r="G92" t="s">
        <v>1641</v>
      </c>
      <c r="H92" t="s">
        <v>1642</v>
      </c>
    </row>
    <row r="93" spans="1:8" x14ac:dyDescent="0.15">
      <c r="A93">
        <v>41047</v>
      </c>
      <c r="B93" t="s">
        <v>1643</v>
      </c>
      <c r="C93" t="s">
        <v>1644</v>
      </c>
      <c r="D93" t="s">
        <v>1645</v>
      </c>
      <c r="E93" t="s">
        <v>1646</v>
      </c>
      <c r="F93" t="s">
        <v>1647</v>
      </c>
      <c r="G93" t="s">
        <v>1648</v>
      </c>
      <c r="H93" t="s">
        <v>1649</v>
      </c>
    </row>
    <row r="94" spans="1:8" x14ac:dyDescent="0.15">
      <c r="A94">
        <v>41031</v>
      </c>
      <c r="B94" t="s">
        <v>1650</v>
      </c>
      <c r="C94" t="s">
        <v>1651</v>
      </c>
      <c r="D94" t="s">
        <v>1652</v>
      </c>
      <c r="E94" t="s">
        <v>1653</v>
      </c>
      <c r="F94" t="s">
        <v>1654</v>
      </c>
      <c r="G94" t="s">
        <v>1655</v>
      </c>
      <c r="H94" t="s">
        <v>1656</v>
      </c>
    </row>
    <row r="95" spans="1:8" x14ac:dyDescent="0.15">
      <c r="A95">
        <v>41050</v>
      </c>
      <c r="B95" t="s">
        <v>1657</v>
      </c>
      <c r="C95" t="s">
        <v>1658</v>
      </c>
      <c r="D95" t="s">
        <v>1659</v>
      </c>
      <c r="E95" t="s">
        <v>1660</v>
      </c>
      <c r="F95" t="s">
        <v>1661</v>
      </c>
      <c r="G95" t="s">
        <v>1662</v>
      </c>
      <c r="H95" t="s">
        <v>1663</v>
      </c>
    </row>
    <row r="96" spans="1:8" x14ac:dyDescent="0.15">
      <c r="A96">
        <v>41051</v>
      </c>
      <c r="B96" t="s">
        <v>1664</v>
      </c>
      <c r="C96" t="s">
        <v>1665</v>
      </c>
      <c r="D96" t="s">
        <v>1666</v>
      </c>
      <c r="E96" t="s">
        <v>1667</v>
      </c>
      <c r="F96" t="s">
        <v>1668</v>
      </c>
      <c r="G96" t="s">
        <v>1669</v>
      </c>
      <c r="H96" t="s">
        <v>1670</v>
      </c>
    </row>
    <row r="97" spans="1:8" x14ac:dyDescent="0.15">
      <c r="A97">
        <v>41052</v>
      </c>
      <c r="B97" t="s">
        <v>1671</v>
      </c>
      <c r="C97" t="s">
        <v>1672</v>
      </c>
      <c r="D97" t="s">
        <v>1673</v>
      </c>
      <c r="E97" t="s">
        <v>1674</v>
      </c>
      <c r="F97" t="s">
        <v>1675</v>
      </c>
      <c r="G97" t="s">
        <v>1676</v>
      </c>
      <c r="H97" t="s">
        <v>1677</v>
      </c>
    </row>
    <row r="98" spans="1:8" x14ac:dyDescent="0.15">
      <c r="A98">
        <v>41053</v>
      </c>
      <c r="B98" t="s">
        <v>1678</v>
      </c>
      <c r="C98" t="s">
        <v>1679</v>
      </c>
      <c r="D98" t="s">
        <v>1680</v>
      </c>
      <c r="E98" t="s">
        <v>1681</v>
      </c>
      <c r="F98" t="s">
        <v>1682</v>
      </c>
      <c r="G98" t="s">
        <v>1683</v>
      </c>
      <c r="H98" t="s">
        <v>1684</v>
      </c>
    </row>
    <row r="99" spans="1:8" x14ac:dyDescent="0.15">
      <c r="A99">
        <v>41054</v>
      </c>
      <c r="B99" t="s">
        <v>1685</v>
      </c>
      <c r="C99" t="s">
        <v>1686</v>
      </c>
      <c r="D99" t="s">
        <v>1687</v>
      </c>
      <c r="E99" t="s">
        <v>1688</v>
      </c>
      <c r="F99" t="s">
        <v>1689</v>
      </c>
      <c r="G99" t="s">
        <v>1690</v>
      </c>
      <c r="H99" t="s">
        <v>1691</v>
      </c>
    </row>
    <row r="100" spans="1:8" x14ac:dyDescent="0.15">
      <c r="A100">
        <v>41057</v>
      </c>
      <c r="B100" t="s">
        <v>1692</v>
      </c>
      <c r="C100" t="s">
        <v>1693</v>
      </c>
      <c r="D100" t="s">
        <v>1694</v>
      </c>
      <c r="E100" t="s">
        <v>1695</v>
      </c>
      <c r="F100" t="s">
        <v>1696</v>
      </c>
      <c r="G100" t="s">
        <v>1697</v>
      </c>
      <c r="H100" t="s">
        <v>1698</v>
      </c>
    </row>
    <row r="101" spans="1:8" x14ac:dyDescent="0.15">
      <c r="A101">
        <v>41058</v>
      </c>
      <c r="B101" t="s">
        <v>1699</v>
      </c>
      <c r="C101" t="s">
        <v>1700</v>
      </c>
      <c r="D101" t="s">
        <v>1701</v>
      </c>
      <c r="E101" t="s">
        <v>1702</v>
      </c>
      <c r="F101" t="s">
        <v>1703</v>
      </c>
      <c r="G101" t="s">
        <v>1704</v>
      </c>
      <c r="H101" t="s">
        <v>1705</v>
      </c>
    </row>
    <row r="102" spans="1:8" x14ac:dyDescent="0.15">
      <c r="A102">
        <v>41032</v>
      </c>
      <c r="B102" t="s">
        <v>1706</v>
      </c>
      <c r="C102" t="s">
        <v>1707</v>
      </c>
      <c r="D102" t="s">
        <v>1708</v>
      </c>
      <c r="E102" t="s">
        <v>1709</v>
      </c>
      <c r="F102" t="s">
        <v>1710</v>
      </c>
      <c r="G102" t="s">
        <v>1711</v>
      </c>
      <c r="H102" t="s">
        <v>1712</v>
      </c>
    </row>
    <row r="103" spans="1:8" x14ac:dyDescent="0.15">
      <c r="A103">
        <v>41059</v>
      </c>
      <c r="B103" t="s">
        <v>1713</v>
      </c>
      <c r="C103" t="s">
        <v>1714</v>
      </c>
      <c r="D103" t="s">
        <v>1715</v>
      </c>
      <c r="E103" t="s">
        <v>1716</v>
      </c>
      <c r="F103" t="s">
        <v>1717</v>
      </c>
      <c r="G103" t="s">
        <v>1718</v>
      </c>
      <c r="H103" t="s">
        <v>1719</v>
      </c>
    </row>
    <row r="104" spans="1:8" x14ac:dyDescent="0.15">
      <c r="A104">
        <v>41060</v>
      </c>
      <c r="B104" t="s">
        <v>1720</v>
      </c>
      <c r="C104" t="s">
        <v>1721</v>
      </c>
      <c r="D104" t="s">
        <v>1722</v>
      </c>
      <c r="E104" t="s">
        <v>1723</v>
      </c>
      <c r="F104" t="s">
        <v>1724</v>
      </c>
      <c r="G104" t="s">
        <v>1725</v>
      </c>
      <c r="H104" t="s">
        <v>1726</v>
      </c>
    </row>
    <row r="105" spans="1:8" x14ac:dyDescent="0.15">
      <c r="A105">
        <v>41033</v>
      </c>
      <c r="B105" t="s">
        <v>1727</v>
      </c>
      <c r="C105" t="s">
        <v>1728</v>
      </c>
      <c r="D105" t="s">
        <v>1729</v>
      </c>
      <c r="E105" t="s">
        <v>1730</v>
      </c>
      <c r="F105" t="s">
        <v>1731</v>
      </c>
      <c r="G105" t="s">
        <v>1732</v>
      </c>
      <c r="H105" t="s">
        <v>1733</v>
      </c>
    </row>
    <row r="106" spans="1:8" x14ac:dyDescent="0.15">
      <c r="A106">
        <v>41036</v>
      </c>
      <c r="B106" t="s">
        <v>1734</v>
      </c>
      <c r="C106" t="s">
        <v>1735</v>
      </c>
      <c r="D106" t="s">
        <v>1736</v>
      </c>
      <c r="E106" t="s">
        <v>1737</v>
      </c>
      <c r="F106" t="s">
        <v>1738</v>
      </c>
      <c r="G106" t="s">
        <v>1739</v>
      </c>
      <c r="H106" t="s">
        <v>1740</v>
      </c>
    </row>
    <row r="107" spans="1:8" x14ac:dyDescent="0.15">
      <c r="A107">
        <v>41037</v>
      </c>
      <c r="B107" t="s">
        <v>1741</v>
      </c>
      <c r="C107" t="s">
        <v>1742</v>
      </c>
      <c r="D107" t="s">
        <v>1743</v>
      </c>
      <c r="E107" t="s">
        <v>1744</v>
      </c>
      <c r="F107" t="s">
        <v>1745</v>
      </c>
      <c r="G107" t="s">
        <v>1746</v>
      </c>
      <c r="H107" t="s">
        <v>1747</v>
      </c>
    </row>
    <row r="108" spans="1:8" x14ac:dyDescent="0.15">
      <c r="A108">
        <v>41038</v>
      </c>
      <c r="B108" t="s">
        <v>1748</v>
      </c>
      <c r="C108" t="s">
        <v>1749</v>
      </c>
      <c r="D108" t="s">
        <v>1750</v>
      </c>
      <c r="E108" t="s">
        <v>1751</v>
      </c>
      <c r="F108" t="s">
        <v>1752</v>
      </c>
      <c r="G108" t="s">
        <v>1753</v>
      </c>
      <c r="H108" t="s">
        <v>1754</v>
      </c>
    </row>
    <row r="109" spans="1:8" x14ac:dyDescent="0.15">
      <c r="A109">
        <v>41061</v>
      </c>
      <c r="B109" t="s">
        <v>1755</v>
      </c>
      <c r="C109" t="s">
        <v>1756</v>
      </c>
      <c r="D109" t="s">
        <v>1757</v>
      </c>
      <c r="E109" t="s">
        <v>1758</v>
      </c>
      <c r="F109" t="s">
        <v>1759</v>
      </c>
      <c r="G109" t="s">
        <v>1760</v>
      </c>
      <c r="H109" t="s">
        <v>1761</v>
      </c>
    </row>
    <row r="110" spans="1:8" x14ac:dyDescent="0.15">
      <c r="A110">
        <v>41071</v>
      </c>
      <c r="B110" t="s">
        <v>1762</v>
      </c>
      <c r="C110" t="s">
        <v>1763</v>
      </c>
      <c r="D110" t="s">
        <v>1764</v>
      </c>
      <c r="E110" t="s">
        <v>1765</v>
      </c>
      <c r="F110" t="s">
        <v>1766</v>
      </c>
      <c r="G110" t="s">
        <v>1767</v>
      </c>
      <c r="H110" t="s">
        <v>1768</v>
      </c>
    </row>
    <row r="111" spans="1:8" x14ac:dyDescent="0.15">
      <c r="A111">
        <v>41072</v>
      </c>
      <c r="B111" t="s">
        <v>1769</v>
      </c>
      <c r="C111" t="s">
        <v>1770</v>
      </c>
      <c r="D111" t="s">
        <v>1771</v>
      </c>
      <c r="E111" t="s">
        <v>1772</v>
      </c>
      <c r="F111" t="s">
        <v>1773</v>
      </c>
      <c r="G111" t="s">
        <v>1774</v>
      </c>
      <c r="H111" t="s">
        <v>1775</v>
      </c>
    </row>
    <row r="112" spans="1:8" x14ac:dyDescent="0.15">
      <c r="A112">
        <v>41073</v>
      </c>
      <c r="B112" t="s">
        <v>1776</v>
      </c>
      <c r="C112" t="s">
        <v>1777</v>
      </c>
      <c r="D112" t="s">
        <v>1778</v>
      </c>
      <c r="E112" t="s">
        <v>1779</v>
      </c>
      <c r="F112" t="s">
        <v>1780</v>
      </c>
      <c r="G112" t="s">
        <v>1781</v>
      </c>
      <c r="H112" t="s">
        <v>1782</v>
      </c>
    </row>
    <row r="113" spans="1:8" x14ac:dyDescent="0.15">
      <c r="A113">
        <v>41074</v>
      </c>
      <c r="B113" t="s">
        <v>1783</v>
      </c>
      <c r="C113" t="s">
        <v>1784</v>
      </c>
      <c r="D113" t="s">
        <v>1785</v>
      </c>
      <c r="E113" t="s">
        <v>1786</v>
      </c>
      <c r="F113" t="s">
        <v>1787</v>
      </c>
      <c r="G113" t="s">
        <v>1788</v>
      </c>
      <c r="H113" t="s">
        <v>1789</v>
      </c>
    </row>
    <row r="114" spans="1:8" x14ac:dyDescent="0.15">
      <c r="A114">
        <v>41075</v>
      </c>
      <c r="B114" t="s">
        <v>1790</v>
      </c>
      <c r="C114" t="s">
        <v>1791</v>
      </c>
      <c r="D114" t="s">
        <v>1792</v>
      </c>
      <c r="E114" t="s">
        <v>1793</v>
      </c>
      <c r="F114" t="s">
        <v>1794</v>
      </c>
      <c r="G114" t="s">
        <v>1795</v>
      </c>
      <c r="H114" t="s">
        <v>1796</v>
      </c>
    </row>
    <row r="115" spans="1:8" x14ac:dyDescent="0.15">
      <c r="A115">
        <v>41078</v>
      </c>
      <c r="B115" t="s">
        <v>1797</v>
      </c>
      <c r="C115" t="s">
        <v>1798</v>
      </c>
      <c r="D115" t="s">
        <v>1799</v>
      </c>
      <c r="E115" t="s">
        <v>1800</v>
      </c>
      <c r="F115" t="s">
        <v>1801</v>
      </c>
      <c r="G115" t="s">
        <v>1802</v>
      </c>
      <c r="H115" t="s">
        <v>1803</v>
      </c>
    </row>
    <row r="116" spans="1:8" x14ac:dyDescent="0.15">
      <c r="A116">
        <v>41079</v>
      </c>
      <c r="B116" t="s">
        <v>1804</v>
      </c>
      <c r="C116" t="s">
        <v>1805</v>
      </c>
      <c r="D116" t="s">
        <v>1806</v>
      </c>
      <c r="E116" t="s">
        <v>1807</v>
      </c>
      <c r="F116" t="s">
        <v>1808</v>
      </c>
      <c r="G116" t="s">
        <v>1809</v>
      </c>
      <c r="H116" t="s">
        <v>1810</v>
      </c>
    </row>
    <row r="117" spans="1:8" x14ac:dyDescent="0.15">
      <c r="A117">
        <v>41080</v>
      </c>
      <c r="B117" t="s">
        <v>1811</v>
      </c>
      <c r="C117" t="s">
        <v>1812</v>
      </c>
      <c r="D117" t="s">
        <v>1813</v>
      </c>
      <c r="E117" t="s">
        <v>1814</v>
      </c>
      <c r="F117" t="s">
        <v>1815</v>
      </c>
      <c r="G117" t="s">
        <v>1816</v>
      </c>
      <c r="H117" t="s">
        <v>1817</v>
      </c>
    </row>
    <row r="118" spans="1:8" x14ac:dyDescent="0.15">
      <c r="A118">
        <v>41081</v>
      </c>
      <c r="B118" t="s">
        <v>1818</v>
      </c>
      <c r="C118" t="s">
        <v>1819</v>
      </c>
      <c r="D118" t="s">
        <v>1820</v>
      </c>
      <c r="E118" t="s">
        <v>1821</v>
      </c>
      <c r="F118" t="s">
        <v>1822</v>
      </c>
      <c r="G118" t="s">
        <v>1823</v>
      </c>
      <c r="H118" t="s">
        <v>1824</v>
      </c>
    </row>
    <row r="119" spans="1:8" x14ac:dyDescent="0.15">
      <c r="A119">
        <v>41085</v>
      </c>
      <c r="B119" t="s">
        <v>1825</v>
      </c>
      <c r="C119" t="s">
        <v>1826</v>
      </c>
      <c r="D119" t="s">
        <v>1827</v>
      </c>
      <c r="E119" t="s">
        <v>1828</v>
      </c>
      <c r="F119" t="s">
        <v>1829</v>
      </c>
      <c r="G119" t="s">
        <v>1830</v>
      </c>
      <c r="H119" t="s">
        <v>1831</v>
      </c>
    </row>
    <row r="120" spans="1:8" x14ac:dyDescent="0.15">
      <c r="A120">
        <v>41086</v>
      </c>
      <c r="B120" t="s">
        <v>1832</v>
      </c>
      <c r="C120" t="s">
        <v>1833</v>
      </c>
      <c r="D120" t="s">
        <v>1834</v>
      </c>
      <c r="E120" t="s">
        <v>1835</v>
      </c>
      <c r="F120" t="s">
        <v>1836</v>
      </c>
      <c r="G120" t="s">
        <v>1837</v>
      </c>
      <c r="H120" t="s">
        <v>1838</v>
      </c>
    </row>
    <row r="121" spans="1:8" x14ac:dyDescent="0.15">
      <c r="A121">
        <v>41087</v>
      </c>
      <c r="B121" t="s">
        <v>1839</v>
      </c>
      <c r="C121" t="s">
        <v>1840</v>
      </c>
      <c r="D121" t="s">
        <v>1841</v>
      </c>
      <c r="E121" t="s">
        <v>1842</v>
      </c>
      <c r="F121" t="s">
        <v>1843</v>
      </c>
      <c r="G121" t="s">
        <v>1844</v>
      </c>
      <c r="H121" t="s">
        <v>1845</v>
      </c>
    </row>
    <row r="122" spans="1:8" x14ac:dyDescent="0.15">
      <c r="A122">
        <v>41088</v>
      </c>
      <c r="B122" t="s">
        <v>1846</v>
      </c>
      <c r="C122" t="s">
        <v>1847</v>
      </c>
      <c r="D122" t="s">
        <v>1848</v>
      </c>
      <c r="E122" t="s">
        <v>1849</v>
      </c>
      <c r="F122" t="s">
        <v>1850</v>
      </c>
      <c r="G122" t="s">
        <v>1851</v>
      </c>
      <c r="H122" t="s">
        <v>1852</v>
      </c>
    </row>
    <row r="123" spans="1:8" x14ac:dyDescent="0.15">
      <c r="A123">
        <v>41089</v>
      </c>
      <c r="B123" t="s">
        <v>1853</v>
      </c>
      <c r="C123" t="s">
        <v>1854</v>
      </c>
      <c r="D123" t="s">
        <v>1855</v>
      </c>
      <c r="E123" t="s">
        <v>1856</v>
      </c>
      <c r="F123" t="s">
        <v>1857</v>
      </c>
      <c r="G123" t="s">
        <v>1858</v>
      </c>
      <c r="H123" t="s">
        <v>1859</v>
      </c>
    </row>
    <row r="124" spans="1:8" x14ac:dyDescent="0.15">
      <c r="A124">
        <v>41064</v>
      </c>
      <c r="B124" t="s">
        <v>1860</v>
      </c>
      <c r="C124" t="s">
        <v>1861</v>
      </c>
      <c r="D124" t="s">
        <v>1862</v>
      </c>
      <c r="E124" t="s">
        <v>1863</v>
      </c>
      <c r="F124" t="s">
        <v>1864</v>
      </c>
      <c r="G124" t="s">
        <v>1865</v>
      </c>
      <c r="H124" t="s">
        <v>1866</v>
      </c>
    </row>
    <row r="125" spans="1:8" x14ac:dyDescent="0.15">
      <c r="A125">
        <v>41065</v>
      </c>
      <c r="B125" t="s">
        <v>1867</v>
      </c>
      <c r="C125" t="s">
        <v>1868</v>
      </c>
      <c r="D125" t="s">
        <v>1869</v>
      </c>
      <c r="E125" t="s">
        <v>1870</v>
      </c>
      <c r="F125" t="s">
        <v>1871</v>
      </c>
      <c r="G125" t="s">
        <v>1872</v>
      </c>
      <c r="H125" t="s">
        <v>1873</v>
      </c>
    </row>
    <row r="126" spans="1:8" x14ac:dyDescent="0.15">
      <c r="A126">
        <v>41066</v>
      </c>
      <c r="B126" t="s">
        <v>1874</v>
      </c>
      <c r="C126" t="s">
        <v>1875</v>
      </c>
      <c r="D126" t="s">
        <v>1876</v>
      </c>
      <c r="E126" t="s">
        <v>1877</v>
      </c>
      <c r="F126" t="s">
        <v>1878</v>
      </c>
      <c r="G126" t="s">
        <v>1879</v>
      </c>
      <c r="H126" t="s">
        <v>1880</v>
      </c>
    </row>
    <row r="127" spans="1:8" x14ac:dyDescent="0.15">
      <c r="A127">
        <v>41067</v>
      </c>
      <c r="B127" t="s">
        <v>1881</v>
      </c>
      <c r="C127" t="s">
        <v>1882</v>
      </c>
      <c r="D127" t="s">
        <v>1883</v>
      </c>
      <c r="E127" t="s">
        <v>1884</v>
      </c>
      <c r="F127" t="s">
        <v>1885</v>
      </c>
      <c r="G127" t="s">
        <v>1886</v>
      </c>
      <c r="H127" t="s">
        <v>1887</v>
      </c>
    </row>
    <row r="128" spans="1:8" x14ac:dyDescent="0.15">
      <c r="A128">
        <v>41068</v>
      </c>
      <c r="B128" t="s">
        <v>1888</v>
      </c>
      <c r="C128" t="s">
        <v>1889</v>
      </c>
      <c r="D128" t="s">
        <v>1890</v>
      </c>
      <c r="E128" t="s">
        <v>1891</v>
      </c>
      <c r="F128" t="s">
        <v>1892</v>
      </c>
      <c r="G128" t="s">
        <v>1893</v>
      </c>
      <c r="H128" t="s">
        <v>1894</v>
      </c>
    </row>
    <row r="129" spans="1:8" x14ac:dyDescent="0.15">
      <c r="A129">
        <v>41100</v>
      </c>
      <c r="B129" t="s">
        <v>1895</v>
      </c>
      <c r="C129" t="s">
        <v>1896</v>
      </c>
      <c r="D129" t="s">
        <v>1897</v>
      </c>
      <c r="E129" t="s">
        <v>1898</v>
      </c>
      <c r="F129" t="s">
        <v>1899</v>
      </c>
      <c r="G129" t="s">
        <v>1900</v>
      </c>
      <c r="H129" t="s">
        <v>1901</v>
      </c>
    </row>
    <row r="130" spans="1:8" x14ac:dyDescent="0.15">
      <c r="A130">
        <v>41101</v>
      </c>
      <c r="B130" t="s">
        <v>1902</v>
      </c>
      <c r="C130" t="s">
        <v>1903</v>
      </c>
      <c r="D130" t="s">
        <v>1904</v>
      </c>
      <c r="E130" t="s">
        <v>1905</v>
      </c>
      <c r="F130" t="s">
        <v>1906</v>
      </c>
      <c r="G130" t="s">
        <v>1907</v>
      </c>
      <c r="H130" t="s">
        <v>1908</v>
      </c>
    </row>
    <row r="131" spans="1:8" x14ac:dyDescent="0.15">
      <c r="A131">
        <v>41102</v>
      </c>
      <c r="B131" t="s">
        <v>1909</v>
      </c>
      <c r="C131" t="s">
        <v>1910</v>
      </c>
      <c r="D131" t="s">
        <v>1911</v>
      </c>
      <c r="E131" t="s">
        <v>1912</v>
      </c>
      <c r="F131" t="s">
        <v>1913</v>
      </c>
      <c r="G131" t="s">
        <v>1914</v>
      </c>
      <c r="H131" t="s">
        <v>1915</v>
      </c>
    </row>
    <row r="132" spans="1:8" x14ac:dyDescent="0.15">
      <c r="A132">
        <v>41103</v>
      </c>
      <c r="B132" t="s">
        <v>1916</v>
      </c>
      <c r="C132" t="s">
        <v>1917</v>
      </c>
      <c r="D132" t="s">
        <v>1918</v>
      </c>
      <c r="E132" t="s">
        <v>1919</v>
      </c>
      <c r="F132" t="s">
        <v>1920</v>
      </c>
      <c r="G132" t="s">
        <v>1921</v>
      </c>
      <c r="H132" t="s">
        <v>1922</v>
      </c>
    </row>
    <row r="133" spans="1:8" x14ac:dyDescent="0.15">
      <c r="A133">
        <v>41106</v>
      </c>
      <c r="B133" t="s">
        <v>1923</v>
      </c>
      <c r="C133" t="s">
        <v>1924</v>
      </c>
      <c r="D133" t="s">
        <v>1925</v>
      </c>
      <c r="E133" t="s">
        <v>1926</v>
      </c>
      <c r="F133" t="s">
        <v>1927</v>
      </c>
      <c r="G133" t="s">
        <v>1928</v>
      </c>
      <c r="H133" t="s">
        <v>1929</v>
      </c>
    </row>
    <row r="134" spans="1:8" x14ac:dyDescent="0.15">
      <c r="A134">
        <v>41107</v>
      </c>
      <c r="B134" t="s">
        <v>1930</v>
      </c>
      <c r="C134" t="s">
        <v>1931</v>
      </c>
      <c r="D134" t="s">
        <v>1932</v>
      </c>
      <c r="E134" t="s">
        <v>1933</v>
      </c>
      <c r="F134" t="s">
        <v>1934</v>
      </c>
      <c r="G134" t="s">
        <v>1935</v>
      </c>
      <c r="H134" t="s">
        <v>1936</v>
      </c>
    </row>
    <row r="135" spans="1:8" x14ac:dyDescent="0.15">
      <c r="A135">
        <v>41108</v>
      </c>
      <c r="B135" t="s">
        <v>1937</v>
      </c>
      <c r="C135" t="s">
        <v>1938</v>
      </c>
      <c r="D135" t="s">
        <v>1939</v>
      </c>
      <c r="E135" t="s">
        <v>1940</v>
      </c>
      <c r="F135" t="s">
        <v>1941</v>
      </c>
      <c r="G135" t="s">
        <v>1942</v>
      </c>
      <c r="H135" t="s">
        <v>1943</v>
      </c>
    </row>
    <row r="136" spans="1:8" x14ac:dyDescent="0.15">
      <c r="A136">
        <v>41109</v>
      </c>
      <c r="B136" t="s">
        <v>1944</v>
      </c>
      <c r="C136" t="s">
        <v>1945</v>
      </c>
      <c r="D136" t="s">
        <v>1946</v>
      </c>
      <c r="E136" t="s">
        <v>1947</v>
      </c>
      <c r="F136" t="s">
        <v>1948</v>
      </c>
      <c r="G136" t="s">
        <v>1949</v>
      </c>
      <c r="H136" t="s">
        <v>1950</v>
      </c>
    </row>
    <row r="137" spans="1:8" x14ac:dyDescent="0.15">
      <c r="A137">
        <v>41092</v>
      </c>
      <c r="B137" t="s">
        <v>1951</v>
      </c>
      <c r="C137" t="s">
        <v>1952</v>
      </c>
      <c r="D137" t="s">
        <v>1953</v>
      </c>
      <c r="E137" t="s">
        <v>1954</v>
      </c>
      <c r="F137" t="s">
        <v>1955</v>
      </c>
      <c r="G137" t="s">
        <v>1956</v>
      </c>
      <c r="H137" t="s">
        <v>1957</v>
      </c>
    </row>
    <row r="138" spans="1:8" x14ac:dyDescent="0.15">
      <c r="A138">
        <v>41110</v>
      </c>
      <c r="B138" t="s">
        <v>1958</v>
      </c>
      <c r="C138" t="s">
        <v>1959</v>
      </c>
      <c r="D138" t="s">
        <v>1960</v>
      </c>
      <c r="E138" t="s">
        <v>1961</v>
      </c>
      <c r="F138" t="s">
        <v>1962</v>
      </c>
      <c r="G138" t="s">
        <v>1963</v>
      </c>
      <c r="H138" t="s">
        <v>1964</v>
      </c>
    </row>
    <row r="139" spans="1:8" x14ac:dyDescent="0.15">
      <c r="A139">
        <v>41113</v>
      </c>
      <c r="B139" t="s">
        <v>1965</v>
      </c>
      <c r="C139" t="s">
        <v>1966</v>
      </c>
      <c r="D139" t="s">
        <v>1967</v>
      </c>
      <c r="E139" t="s">
        <v>1968</v>
      </c>
      <c r="F139" t="s">
        <v>1969</v>
      </c>
      <c r="G139" t="s">
        <v>1970</v>
      </c>
      <c r="H139" t="s">
        <v>1971</v>
      </c>
    </row>
    <row r="140" spans="1:8" x14ac:dyDescent="0.15">
      <c r="A140">
        <v>41114</v>
      </c>
      <c r="B140" t="s">
        <v>1972</v>
      </c>
      <c r="C140" t="s">
        <v>1973</v>
      </c>
      <c r="D140" t="s">
        <v>1974</v>
      </c>
      <c r="E140" t="s">
        <v>1975</v>
      </c>
      <c r="F140" t="s">
        <v>1976</v>
      </c>
      <c r="G140" t="s">
        <v>1977</v>
      </c>
      <c r="H140" t="s">
        <v>1978</v>
      </c>
    </row>
    <row r="141" spans="1:8" x14ac:dyDescent="0.15">
      <c r="A141">
        <v>41115</v>
      </c>
      <c r="B141" t="s">
        <v>1979</v>
      </c>
      <c r="C141" t="s">
        <v>1980</v>
      </c>
      <c r="D141" t="s">
        <v>1981</v>
      </c>
      <c r="E141" t="s">
        <v>1982</v>
      </c>
      <c r="F141" t="s">
        <v>1983</v>
      </c>
      <c r="G141" t="s">
        <v>1984</v>
      </c>
      <c r="H141" t="s">
        <v>1985</v>
      </c>
    </row>
    <row r="142" spans="1:8" x14ac:dyDescent="0.15">
      <c r="A142">
        <v>41116</v>
      </c>
      <c r="B142" t="s">
        <v>1986</v>
      </c>
      <c r="C142" t="s">
        <v>1987</v>
      </c>
      <c r="D142" t="s">
        <v>1988</v>
      </c>
      <c r="E142" t="s">
        <v>1989</v>
      </c>
      <c r="F142" t="s">
        <v>1990</v>
      </c>
      <c r="G142" t="s">
        <v>1991</v>
      </c>
      <c r="H142" t="s">
        <v>1992</v>
      </c>
    </row>
    <row r="143" spans="1:8" x14ac:dyDescent="0.15">
      <c r="A143">
        <v>41117</v>
      </c>
      <c r="B143" t="s">
        <v>1993</v>
      </c>
      <c r="C143" t="s">
        <v>1994</v>
      </c>
      <c r="D143" t="s">
        <v>1995</v>
      </c>
      <c r="E143" t="s">
        <v>1996</v>
      </c>
      <c r="F143" t="s">
        <v>1997</v>
      </c>
      <c r="G143" t="s">
        <v>1998</v>
      </c>
      <c r="H143" t="s">
        <v>1999</v>
      </c>
    </row>
    <row r="144" spans="1:8" x14ac:dyDescent="0.15">
      <c r="A144">
        <v>41093</v>
      </c>
      <c r="B144" t="s">
        <v>2000</v>
      </c>
      <c r="C144" t="s">
        <v>2001</v>
      </c>
      <c r="D144" t="s">
        <v>2002</v>
      </c>
      <c r="E144" t="s">
        <v>2003</v>
      </c>
      <c r="F144" t="s">
        <v>2004</v>
      </c>
      <c r="G144" t="s">
        <v>2005</v>
      </c>
      <c r="H144" t="s">
        <v>2006</v>
      </c>
    </row>
    <row r="145" spans="1:8" x14ac:dyDescent="0.15">
      <c r="A145">
        <v>41120</v>
      </c>
      <c r="B145" t="s">
        <v>2007</v>
      </c>
      <c r="C145" t="s">
        <v>2008</v>
      </c>
      <c r="D145" t="s">
        <v>2009</v>
      </c>
      <c r="E145" t="s">
        <v>2010</v>
      </c>
      <c r="F145" t="s">
        <v>2011</v>
      </c>
      <c r="G145" t="s">
        <v>2012</v>
      </c>
      <c r="H145" t="s">
        <v>2013</v>
      </c>
    </row>
    <row r="146" spans="1:8" x14ac:dyDescent="0.15">
      <c r="A146">
        <v>41121</v>
      </c>
      <c r="B146" t="s">
        <v>2014</v>
      </c>
      <c r="C146" t="s">
        <v>2015</v>
      </c>
      <c r="D146" t="s">
        <v>2016</v>
      </c>
      <c r="E146" t="s">
        <v>2017</v>
      </c>
      <c r="F146" t="s">
        <v>2018</v>
      </c>
      <c r="G146" t="s">
        <v>2019</v>
      </c>
      <c r="H146" t="s">
        <v>2020</v>
      </c>
    </row>
    <row r="147" spans="1:8" x14ac:dyDescent="0.15">
      <c r="A147">
        <v>41094</v>
      </c>
      <c r="B147" t="s">
        <v>2021</v>
      </c>
      <c r="C147" t="s">
        <v>2022</v>
      </c>
      <c r="D147" t="s">
        <v>2023</v>
      </c>
      <c r="E147" t="s">
        <v>2024</v>
      </c>
      <c r="F147" t="s">
        <v>2025</v>
      </c>
      <c r="G147" t="s">
        <v>2026</v>
      </c>
      <c r="H147" t="s">
        <v>2027</v>
      </c>
    </row>
    <row r="148" spans="1:8" x14ac:dyDescent="0.15">
      <c r="A148">
        <v>41095</v>
      </c>
      <c r="B148" t="s">
        <v>2028</v>
      </c>
      <c r="C148" t="s">
        <v>2029</v>
      </c>
      <c r="D148" t="s">
        <v>2030</v>
      </c>
      <c r="E148" t="s">
        <v>2031</v>
      </c>
      <c r="F148" t="s">
        <v>2032</v>
      </c>
      <c r="G148" t="s">
        <v>2033</v>
      </c>
      <c r="H148" t="s">
        <v>2034</v>
      </c>
    </row>
    <row r="149" spans="1:8" x14ac:dyDescent="0.15">
      <c r="A149">
        <v>41096</v>
      </c>
      <c r="B149" t="s">
        <v>2035</v>
      </c>
      <c r="C149" t="s">
        <v>2036</v>
      </c>
      <c r="D149" t="s">
        <v>2037</v>
      </c>
      <c r="E149" t="s">
        <v>2038</v>
      </c>
      <c r="F149" t="s">
        <v>2039</v>
      </c>
      <c r="G149" t="s">
        <v>2040</v>
      </c>
      <c r="H149" t="s">
        <v>2041</v>
      </c>
    </row>
    <row r="150" spans="1:8" x14ac:dyDescent="0.15">
      <c r="A150">
        <v>41099</v>
      </c>
      <c r="B150" t="s">
        <v>2042</v>
      </c>
      <c r="C150" t="s">
        <v>2043</v>
      </c>
      <c r="D150" t="s">
        <v>2044</v>
      </c>
      <c r="E150" t="s">
        <v>2045</v>
      </c>
      <c r="F150" t="s">
        <v>2046</v>
      </c>
      <c r="G150" t="s">
        <v>2047</v>
      </c>
      <c r="H150" t="s">
        <v>2048</v>
      </c>
    </row>
    <row r="151" spans="1:8" x14ac:dyDescent="0.15">
      <c r="A151">
        <v>41122</v>
      </c>
      <c r="B151" t="s">
        <v>2049</v>
      </c>
      <c r="C151" t="s">
        <v>2050</v>
      </c>
      <c r="D151" t="s">
        <v>2051</v>
      </c>
      <c r="E151" t="s">
        <v>2052</v>
      </c>
      <c r="F151" t="s">
        <v>2053</v>
      </c>
      <c r="G151" t="s">
        <v>2054</v>
      </c>
      <c r="H151" t="s">
        <v>2055</v>
      </c>
    </row>
    <row r="152" spans="1:8" x14ac:dyDescent="0.15">
      <c r="A152">
        <v>41131</v>
      </c>
      <c r="B152" t="s">
        <v>2056</v>
      </c>
      <c r="C152" t="s">
        <v>2057</v>
      </c>
      <c r="D152" t="s">
        <v>2058</v>
      </c>
      <c r="E152" t="s">
        <v>2059</v>
      </c>
      <c r="F152" t="s">
        <v>2060</v>
      </c>
      <c r="G152" t="s">
        <v>2061</v>
      </c>
      <c r="H152" t="s">
        <v>2062</v>
      </c>
    </row>
    <row r="153" spans="1:8" x14ac:dyDescent="0.15">
      <c r="A153">
        <v>41134</v>
      </c>
      <c r="B153" t="s">
        <v>2063</v>
      </c>
      <c r="C153" t="s">
        <v>2064</v>
      </c>
      <c r="D153" t="s">
        <v>2065</v>
      </c>
      <c r="E153" t="s">
        <v>2066</v>
      </c>
      <c r="F153" t="s">
        <v>2067</v>
      </c>
      <c r="G153" t="s">
        <v>2068</v>
      </c>
      <c r="H153" t="s">
        <v>2069</v>
      </c>
    </row>
    <row r="154" spans="1:8" x14ac:dyDescent="0.15">
      <c r="A154">
        <v>41135</v>
      </c>
      <c r="B154" t="s">
        <v>2070</v>
      </c>
      <c r="C154" t="s">
        <v>2071</v>
      </c>
      <c r="D154" t="s">
        <v>2072</v>
      </c>
      <c r="E154" t="s">
        <v>2073</v>
      </c>
      <c r="F154" t="s">
        <v>2074</v>
      </c>
      <c r="G154" t="s">
        <v>2075</v>
      </c>
      <c r="H154" t="s">
        <v>2076</v>
      </c>
    </row>
    <row r="155" spans="1:8" x14ac:dyDescent="0.15">
      <c r="A155">
        <v>41136</v>
      </c>
      <c r="B155" t="s">
        <v>2077</v>
      </c>
      <c r="C155" t="s">
        <v>2078</v>
      </c>
      <c r="D155" t="s">
        <v>2079</v>
      </c>
      <c r="E155" t="s">
        <v>2080</v>
      </c>
      <c r="F155" t="s">
        <v>2081</v>
      </c>
      <c r="G155" t="s">
        <v>2082</v>
      </c>
      <c r="H155" t="s">
        <v>2083</v>
      </c>
    </row>
    <row r="156" spans="1:8" x14ac:dyDescent="0.15">
      <c r="A156">
        <v>41137</v>
      </c>
      <c r="B156" t="s">
        <v>2084</v>
      </c>
      <c r="C156" t="s">
        <v>2085</v>
      </c>
      <c r="D156" t="s">
        <v>2086</v>
      </c>
      <c r="E156" t="s">
        <v>2087</v>
      </c>
      <c r="F156" t="s">
        <v>2088</v>
      </c>
      <c r="G156" t="s">
        <v>2089</v>
      </c>
      <c r="H156" t="s">
        <v>2090</v>
      </c>
    </row>
    <row r="157" spans="1:8" x14ac:dyDescent="0.15">
      <c r="A157">
        <v>41123</v>
      </c>
      <c r="B157" t="s">
        <v>2091</v>
      </c>
      <c r="C157" t="s">
        <v>2092</v>
      </c>
      <c r="D157" t="s">
        <v>2093</v>
      </c>
      <c r="E157" t="s">
        <v>2094</v>
      </c>
      <c r="F157" t="s">
        <v>2095</v>
      </c>
      <c r="G157" t="s">
        <v>2096</v>
      </c>
      <c r="H157" t="s">
        <v>2097</v>
      </c>
    </row>
    <row r="158" spans="1:8" x14ac:dyDescent="0.15">
      <c r="A158">
        <v>41124</v>
      </c>
      <c r="B158" t="s">
        <v>2098</v>
      </c>
      <c r="C158" t="s">
        <v>2099</v>
      </c>
      <c r="D158" t="s">
        <v>2100</v>
      </c>
      <c r="E158" t="s">
        <v>2101</v>
      </c>
      <c r="F158" t="s">
        <v>2102</v>
      </c>
      <c r="G158" t="s">
        <v>2103</v>
      </c>
      <c r="H158" t="s">
        <v>2104</v>
      </c>
    </row>
    <row r="159" spans="1:8" x14ac:dyDescent="0.15">
      <c r="A159">
        <v>41127</v>
      </c>
      <c r="B159" t="s">
        <v>2105</v>
      </c>
      <c r="C159" t="s">
        <v>2106</v>
      </c>
      <c r="D159" t="s">
        <v>2107</v>
      </c>
      <c r="E159" t="s">
        <v>2108</v>
      </c>
      <c r="F159" t="s">
        <v>2109</v>
      </c>
      <c r="G159" t="s">
        <v>2110</v>
      </c>
      <c r="H159" t="s">
        <v>2111</v>
      </c>
    </row>
    <row r="160" spans="1:8" x14ac:dyDescent="0.15">
      <c r="A160">
        <v>41128</v>
      </c>
      <c r="B160" t="s">
        <v>2112</v>
      </c>
      <c r="C160" t="s">
        <v>2113</v>
      </c>
      <c r="D160" t="s">
        <v>2114</v>
      </c>
      <c r="E160" t="s">
        <v>2115</v>
      </c>
      <c r="F160" t="s">
        <v>2116</v>
      </c>
      <c r="G160" t="s">
        <v>2117</v>
      </c>
      <c r="H160" t="s">
        <v>2118</v>
      </c>
    </row>
    <row r="161" spans="1:8" x14ac:dyDescent="0.15">
      <c r="A161">
        <v>41129</v>
      </c>
      <c r="B161" t="s">
        <v>2119</v>
      </c>
      <c r="C161" t="s">
        <v>2120</v>
      </c>
      <c r="D161" t="s">
        <v>2121</v>
      </c>
      <c r="E161" t="s">
        <v>2122</v>
      </c>
      <c r="F161" t="s">
        <v>2123</v>
      </c>
      <c r="G161" t="s">
        <v>2124</v>
      </c>
      <c r="H161" t="s">
        <v>2125</v>
      </c>
    </row>
    <row r="162" spans="1:8" x14ac:dyDescent="0.15">
      <c r="A162">
        <v>41130</v>
      </c>
      <c r="B162" t="s">
        <v>2126</v>
      </c>
      <c r="C162" t="s">
        <v>2127</v>
      </c>
      <c r="D162" t="s">
        <v>2128</v>
      </c>
      <c r="E162" t="s">
        <v>2129</v>
      </c>
      <c r="F162" t="s">
        <v>2130</v>
      </c>
      <c r="G162" t="s">
        <v>2131</v>
      </c>
      <c r="H162" t="s">
        <v>2132</v>
      </c>
    </row>
    <row r="163" spans="1:8" x14ac:dyDescent="0.15">
      <c r="A163" t="s">
        <v>125</v>
      </c>
    </row>
    <row r="164" spans="1:8" x14ac:dyDescent="0.15">
      <c r="A164" t="s">
        <v>126</v>
      </c>
    </row>
    <row r="165" spans="1:8" x14ac:dyDescent="0.15">
      <c r="A165" t="s">
        <v>127</v>
      </c>
    </row>
    <row r="166" spans="1:8" x14ac:dyDescent="0.15">
      <c r="A166" t="s">
        <v>128</v>
      </c>
    </row>
    <row r="167" spans="1:8" x14ac:dyDescent="0.15">
      <c r="A167" t="s">
        <v>129</v>
      </c>
    </row>
    <row r="168" spans="1:8" x14ac:dyDescent="0.15">
      <c r="A168" t="s">
        <v>130</v>
      </c>
    </row>
    <row r="169" spans="1:8" x14ac:dyDescent="0.15">
      <c r="A169" t="s">
        <v>131</v>
      </c>
    </row>
    <row r="170" spans="1:8" x14ac:dyDescent="0.15">
      <c r="A170" t="s">
        <v>132</v>
      </c>
    </row>
    <row r="171" spans="1:8" x14ac:dyDescent="0.15">
      <c r="A171" t="s">
        <v>133</v>
      </c>
    </row>
    <row r="172" spans="1:8" x14ac:dyDescent="0.15">
      <c r="A172" t="s">
        <v>134</v>
      </c>
    </row>
    <row r="173" spans="1:8" x14ac:dyDescent="0.15">
      <c r="A173" t="s">
        <v>135</v>
      </c>
    </row>
    <row r="174" spans="1:8" x14ac:dyDescent="0.15">
      <c r="A174" t="s">
        <v>136</v>
      </c>
    </row>
    <row r="175" spans="1:8" x14ac:dyDescent="0.15">
      <c r="A175" t="s">
        <v>137</v>
      </c>
    </row>
    <row r="176" spans="1:8" x14ac:dyDescent="0.15">
      <c r="A176" t="s">
        <v>138</v>
      </c>
    </row>
    <row r="177" spans="1:1" x14ac:dyDescent="0.15">
      <c r="A177" t="s">
        <v>139</v>
      </c>
    </row>
    <row r="178" spans="1:1" x14ac:dyDescent="0.15">
      <c r="A178" t="s">
        <v>140</v>
      </c>
    </row>
    <row r="179" spans="1:1" x14ac:dyDescent="0.15">
      <c r="A179" t="s">
        <v>141</v>
      </c>
    </row>
    <row r="180" spans="1:1" x14ac:dyDescent="0.15">
      <c r="A180" t="s">
        <v>142</v>
      </c>
    </row>
    <row r="181" spans="1:1" x14ac:dyDescent="0.15">
      <c r="A181" t="s">
        <v>143</v>
      </c>
    </row>
    <row r="182" spans="1:1" x14ac:dyDescent="0.15">
      <c r="A182" t="s">
        <v>144</v>
      </c>
    </row>
    <row r="183" spans="1:1" x14ac:dyDescent="0.15">
      <c r="A183" t="s">
        <v>145</v>
      </c>
    </row>
    <row r="184" spans="1:1" x14ac:dyDescent="0.15">
      <c r="A184" t="s">
        <v>146</v>
      </c>
    </row>
    <row r="185" spans="1:1" x14ac:dyDescent="0.15">
      <c r="A185" t="s">
        <v>147</v>
      </c>
    </row>
    <row r="186" spans="1:1" x14ac:dyDescent="0.15">
      <c r="A186" t="s">
        <v>148</v>
      </c>
    </row>
    <row r="187" spans="1:1" x14ac:dyDescent="0.15">
      <c r="A187" t="s">
        <v>149</v>
      </c>
    </row>
    <row r="188" spans="1:1" x14ac:dyDescent="0.15">
      <c r="A188" t="s">
        <v>150</v>
      </c>
    </row>
    <row r="189" spans="1:1" x14ac:dyDescent="0.15">
      <c r="A189" t="s">
        <v>151</v>
      </c>
    </row>
    <row r="190" spans="1:1" x14ac:dyDescent="0.15">
      <c r="A190" t="s">
        <v>152</v>
      </c>
    </row>
    <row r="191" spans="1:1" x14ac:dyDescent="0.15">
      <c r="A191" t="s">
        <v>153</v>
      </c>
    </row>
    <row r="192" spans="1:1" x14ac:dyDescent="0.15">
      <c r="A192" t="s">
        <v>154</v>
      </c>
    </row>
    <row r="193" spans="1:1" x14ac:dyDescent="0.15">
      <c r="A193" t="s">
        <v>155</v>
      </c>
    </row>
    <row r="194" spans="1:1" x14ac:dyDescent="0.15">
      <c r="A194" t="s">
        <v>156</v>
      </c>
    </row>
    <row r="195" spans="1:1" x14ac:dyDescent="0.15">
      <c r="A195" t="s">
        <v>157</v>
      </c>
    </row>
    <row r="196" spans="1:1" x14ac:dyDescent="0.15">
      <c r="A196" t="s">
        <v>158</v>
      </c>
    </row>
    <row r="197" spans="1:1" x14ac:dyDescent="0.15">
      <c r="A197" t="s">
        <v>159</v>
      </c>
    </row>
    <row r="198" spans="1:1" x14ac:dyDescent="0.15">
      <c r="A198" t="s">
        <v>160</v>
      </c>
    </row>
    <row r="199" spans="1:1" x14ac:dyDescent="0.15">
      <c r="A199" t="s">
        <v>161</v>
      </c>
    </row>
    <row r="200" spans="1:1" x14ac:dyDescent="0.15">
      <c r="A200" t="s">
        <v>162</v>
      </c>
    </row>
    <row r="201" spans="1:1" x14ac:dyDescent="0.15">
      <c r="A201" t="s">
        <v>163</v>
      </c>
    </row>
    <row r="202" spans="1:1" x14ac:dyDescent="0.15">
      <c r="A202" t="s">
        <v>164</v>
      </c>
    </row>
    <row r="203" spans="1:1" x14ac:dyDescent="0.15">
      <c r="A203" t="s">
        <v>165</v>
      </c>
    </row>
    <row r="204" spans="1:1" x14ac:dyDescent="0.15">
      <c r="A204" t="s">
        <v>166</v>
      </c>
    </row>
    <row r="205" spans="1:1" x14ac:dyDescent="0.15">
      <c r="A205" t="s">
        <v>167</v>
      </c>
    </row>
    <row r="206" spans="1:1" x14ac:dyDescent="0.15">
      <c r="A206" t="s">
        <v>168</v>
      </c>
    </row>
    <row r="207" spans="1:1" x14ac:dyDescent="0.15">
      <c r="A207" t="s">
        <v>169</v>
      </c>
    </row>
    <row r="208" spans="1:1" x14ac:dyDescent="0.15">
      <c r="A208" t="s">
        <v>170</v>
      </c>
    </row>
    <row r="209" spans="1:1" x14ac:dyDescent="0.15">
      <c r="A209" t="s">
        <v>171</v>
      </c>
    </row>
    <row r="210" spans="1:1" x14ac:dyDescent="0.15">
      <c r="A210" t="s">
        <v>172</v>
      </c>
    </row>
    <row r="211" spans="1:1" x14ac:dyDescent="0.15">
      <c r="A211" t="s">
        <v>173</v>
      </c>
    </row>
    <row r="212" spans="1:1" x14ac:dyDescent="0.15">
      <c r="A212" t="s">
        <v>174</v>
      </c>
    </row>
    <row r="213" spans="1:1" x14ac:dyDescent="0.15">
      <c r="A213" t="s">
        <v>175</v>
      </c>
    </row>
    <row r="214" spans="1:1" x14ac:dyDescent="0.15">
      <c r="A214" t="s">
        <v>176</v>
      </c>
    </row>
    <row r="215" spans="1:1" x14ac:dyDescent="0.15">
      <c r="A215" t="s">
        <v>177</v>
      </c>
    </row>
    <row r="216" spans="1:1" x14ac:dyDescent="0.15">
      <c r="A216" t="s">
        <v>178</v>
      </c>
    </row>
    <row r="217" spans="1:1" x14ac:dyDescent="0.15">
      <c r="A217" t="s">
        <v>179</v>
      </c>
    </row>
    <row r="218" spans="1:1" x14ac:dyDescent="0.15">
      <c r="A218" t="s">
        <v>180</v>
      </c>
    </row>
    <row r="219" spans="1:1" x14ac:dyDescent="0.15">
      <c r="A219" t="s">
        <v>181</v>
      </c>
    </row>
    <row r="220" spans="1:1" x14ac:dyDescent="0.15">
      <c r="A220" t="s">
        <v>182</v>
      </c>
    </row>
    <row r="221" spans="1:1" x14ac:dyDescent="0.15">
      <c r="A221" t="s">
        <v>183</v>
      </c>
    </row>
    <row r="222" spans="1:1" x14ac:dyDescent="0.15">
      <c r="A222" t="s">
        <v>184</v>
      </c>
    </row>
    <row r="223" spans="1:1" x14ac:dyDescent="0.15">
      <c r="A223" t="s">
        <v>185</v>
      </c>
    </row>
    <row r="224" spans="1:1" x14ac:dyDescent="0.15">
      <c r="A224" t="s">
        <v>186</v>
      </c>
    </row>
    <row r="225" spans="1:1" x14ac:dyDescent="0.15">
      <c r="A225" t="s">
        <v>187</v>
      </c>
    </row>
    <row r="226" spans="1:1" x14ac:dyDescent="0.15">
      <c r="A226" t="s">
        <v>188</v>
      </c>
    </row>
    <row r="227" spans="1:1" x14ac:dyDescent="0.15">
      <c r="A227" t="s">
        <v>189</v>
      </c>
    </row>
    <row r="228" spans="1:1" x14ac:dyDescent="0.15">
      <c r="A228" t="s">
        <v>190</v>
      </c>
    </row>
    <row r="229" spans="1:1" x14ac:dyDescent="0.15">
      <c r="A229" t="s">
        <v>191</v>
      </c>
    </row>
    <row r="230" spans="1:1" x14ac:dyDescent="0.15">
      <c r="A230" t="s">
        <v>192</v>
      </c>
    </row>
    <row r="231" spans="1:1" x14ac:dyDescent="0.15">
      <c r="A231" t="s">
        <v>193</v>
      </c>
    </row>
    <row r="232" spans="1:1" x14ac:dyDescent="0.15">
      <c r="A232" t="s">
        <v>194</v>
      </c>
    </row>
    <row r="233" spans="1:1" x14ac:dyDescent="0.15">
      <c r="A233" t="s">
        <v>195</v>
      </c>
    </row>
    <row r="234" spans="1:1" x14ac:dyDescent="0.15">
      <c r="A234" t="s">
        <v>196</v>
      </c>
    </row>
    <row r="235" spans="1:1" x14ac:dyDescent="0.15">
      <c r="A235" t="s">
        <v>197</v>
      </c>
    </row>
    <row r="236" spans="1:1" x14ac:dyDescent="0.15">
      <c r="A236" t="s">
        <v>198</v>
      </c>
    </row>
    <row r="237" spans="1:1" x14ac:dyDescent="0.15">
      <c r="A237" t="s">
        <v>199</v>
      </c>
    </row>
    <row r="238" spans="1:1" x14ac:dyDescent="0.15">
      <c r="A238" t="s">
        <v>200</v>
      </c>
    </row>
    <row r="239" spans="1:1" x14ac:dyDescent="0.15">
      <c r="A239" t="s">
        <v>201</v>
      </c>
    </row>
    <row r="240" spans="1:1" x14ac:dyDescent="0.15">
      <c r="A240" t="s">
        <v>202</v>
      </c>
    </row>
    <row r="241" spans="1:1" x14ac:dyDescent="0.15">
      <c r="A241" t="s">
        <v>203</v>
      </c>
    </row>
    <row r="242" spans="1:1" x14ac:dyDescent="0.15">
      <c r="A242" t="s">
        <v>204</v>
      </c>
    </row>
    <row r="243" spans="1:1" x14ac:dyDescent="0.15">
      <c r="A243" t="s">
        <v>205</v>
      </c>
    </row>
    <row r="244" spans="1:1" x14ac:dyDescent="0.15">
      <c r="A244" t="s">
        <v>206</v>
      </c>
    </row>
    <row r="245" spans="1:1" x14ac:dyDescent="0.15">
      <c r="A245" t="s">
        <v>207</v>
      </c>
    </row>
    <row r="246" spans="1:1" x14ac:dyDescent="0.15">
      <c r="A246" t="s">
        <v>208</v>
      </c>
    </row>
    <row r="247" spans="1:1" x14ac:dyDescent="0.15">
      <c r="A247" t="s">
        <v>209</v>
      </c>
    </row>
    <row r="248" spans="1:1" x14ac:dyDescent="0.15">
      <c r="A248" t="s">
        <v>210</v>
      </c>
    </row>
    <row r="249" spans="1:1" x14ac:dyDescent="0.15">
      <c r="A249" t="s">
        <v>211</v>
      </c>
    </row>
    <row r="250" spans="1:1" x14ac:dyDescent="0.15">
      <c r="A250" t="s">
        <v>212</v>
      </c>
    </row>
    <row r="251" spans="1:1" x14ac:dyDescent="0.15">
      <c r="A251" t="s">
        <v>213</v>
      </c>
    </row>
    <row r="252" spans="1:1" x14ac:dyDescent="0.15">
      <c r="A252" t="s">
        <v>214</v>
      </c>
    </row>
    <row r="253" spans="1:1" x14ac:dyDescent="0.15">
      <c r="A253" t="s">
        <v>215</v>
      </c>
    </row>
    <row r="254" spans="1:1" x14ac:dyDescent="0.15">
      <c r="A254" t="s">
        <v>216</v>
      </c>
    </row>
    <row r="255" spans="1:1" x14ac:dyDescent="0.15">
      <c r="A255" t="s">
        <v>217</v>
      </c>
    </row>
    <row r="256" spans="1:1" x14ac:dyDescent="0.15">
      <c r="A256" t="s">
        <v>218</v>
      </c>
    </row>
    <row r="257" spans="1:1" x14ac:dyDescent="0.15">
      <c r="A257" t="s">
        <v>219</v>
      </c>
    </row>
    <row r="258" spans="1:1" x14ac:dyDescent="0.15">
      <c r="A258" t="s">
        <v>220</v>
      </c>
    </row>
    <row r="259" spans="1:1" x14ac:dyDescent="0.15">
      <c r="A259" t="s">
        <v>221</v>
      </c>
    </row>
    <row r="260" spans="1:1" x14ac:dyDescent="0.15">
      <c r="A260" t="s">
        <v>222</v>
      </c>
    </row>
    <row r="261" spans="1:1" x14ac:dyDescent="0.15">
      <c r="A261" t="s">
        <v>223</v>
      </c>
    </row>
    <row r="262" spans="1:1" x14ac:dyDescent="0.15">
      <c r="A262" t="s">
        <v>224</v>
      </c>
    </row>
    <row r="263" spans="1:1" x14ac:dyDescent="0.15">
      <c r="A263" t="s">
        <v>225</v>
      </c>
    </row>
    <row r="264" spans="1:1" x14ac:dyDescent="0.15">
      <c r="A264" t="s">
        <v>226</v>
      </c>
    </row>
    <row r="265" spans="1:1" x14ac:dyDescent="0.15">
      <c r="A265" t="s">
        <v>227</v>
      </c>
    </row>
    <row r="266" spans="1:1" x14ac:dyDescent="0.15">
      <c r="A266" t="s">
        <v>228</v>
      </c>
    </row>
    <row r="267" spans="1:1" x14ac:dyDescent="0.15">
      <c r="A267" t="s">
        <v>229</v>
      </c>
    </row>
    <row r="268" spans="1:1" x14ac:dyDescent="0.15">
      <c r="A268" t="s">
        <v>230</v>
      </c>
    </row>
    <row r="269" spans="1:1" x14ac:dyDescent="0.15">
      <c r="A269" t="s">
        <v>231</v>
      </c>
    </row>
    <row r="270" spans="1:1" x14ac:dyDescent="0.15">
      <c r="A270" t="s">
        <v>232</v>
      </c>
    </row>
    <row r="271" spans="1:1" x14ac:dyDescent="0.15">
      <c r="A271" t="s">
        <v>233</v>
      </c>
    </row>
    <row r="272" spans="1:1" x14ac:dyDescent="0.15">
      <c r="A272" t="s">
        <v>234</v>
      </c>
    </row>
    <row r="273" spans="1:1" x14ac:dyDescent="0.15">
      <c r="A273" t="s">
        <v>235</v>
      </c>
    </row>
    <row r="274" spans="1:1" x14ac:dyDescent="0.15">
      <c r="A274" t="s">
        <v>236</v>
      </c>
    </row>
    <row r="275" spans="1:1" x14ac:dyDescent="0.15">
      <c r="A275" t="s">
        <v>237</v>
      </c>
    </row>
    <row r="276" spans="1:1" x14ac:dyDescent="0.15">
      <c r="A276" t="s">
        <v>238</v>
      </c>
    </row>
    <row r="277" spans="1:1" x14ac:dyDescent="0.15">
      <c r="A277" t="s">
        <v>239</v>
      </c>
    </row>
    <row r="278" spans="1:1" x14ac:dyDescent="0.15">
      <c r="A278" t="s">
        <v>240</v>
      </c>
    </row>
    <row r="279" spans="1:1" x14ac:dyDescent="0.15">
      <c r="A279" t="s">
        <v>241</v>
      </c>
    </row>
    <row r="280" spans="1:1" x14ac:dyDescent="0.15">
      <c r="A280" t="s">
        <v>242</v>
      </c>
    </row>
    <row r="281" spans="1:1" x14ac:dyDescent="0.15">
      <c r="A281" t="s">
        <v>243</v>
      </c>
    </row>
    <row r="282" spans="1:1" x14ac:dyDescent="0.15">
      <c r="A282" t="s">
        <v>244</v>
      </c>
    </row>
    <row r="283" spans="1:1" x14ac:dyDescent="0.15">
      <c r="A283" t="s">
        <v>245</v>
      </c>
    </row>
    <row r="284" spans="1:1" x14ac:dyDescent="0.15">
      <c r="A284" t="s">
        <v>246</v>
      </c>
    </row>
    <row r="285" spans="1:1" x14ac:dyDescent="0.15">
      <c r="A285" t="s">
        <v>247</v>
      </c>
    </row>
    <row r="286" spans="1:1" x14ac:dyDescent="0.15">
      <c r="A286" t="s">
        <v>248</v>
      </c>
    </row>
    <row r="287" spans="1:1" x14ac:dyDescent="0.15">
      <c r="A287" t="s">
        <v>249</v>
      </c>
    </row>
    <row r="288" spans="1:1" x14ac:dyDescent="0.15">
      <c r="A288" t="s">
        <v>250</v>
      </c>
    </row>
    <row r="289" spans="1:1" x14ac:dyDescent="0.15">
      <c r="A289" t="s">
        <v>251</v>
      </c>
    </row>
    <row r="290" spans="1:1" x14ac:dyDescent="0.15">
      <c r="A290" t="s">
        <v>252</v>
      </c>
    </row>
    <row r="291" spans="1:1" x14ac:dyDescent="0.15">
      <c r="A291" t="s">
        <v>253</v>
      </c>
    </row>
    <row r="292" spans="1:1" x14ac:dyDescent="0.15">
      <c r="A292" t="s">
        <v>254</v>
      </c>
    </row>
    <row r="293" spans="1:1" x14ac:dyDescent="0.15">
      <c r="A293" t="s">
        <v>255</v>
      </c>
    </row>
    <row r="294" spans="1:1" x14ac:dyDescent="0.15">
      <c r="A294" t="s">
        <v>256</v>
      </c>
    </row>
    <row r="295" spans="1:1" x14ac:dyDescent="0.15">
      <c r="A295" t="s">
        <v>257</v>
      </c>
    </row>
    <row r="296" spans="1:1" x14ac:dyDescent="0.15">
      <c r="A296" t="s">
        <v>258</v>
      </c>
    </row>
    <row r="297" spans="1:1" x14ac:dyDescent="0.15">
      <c r="A297" t="s">
        <v>259</v>
      </c>
    </row>
    <row r="298" spans="1:1" x14ac:dyDescent="0.15">
      <c r="A298" t="s">
        <v>260</v>
      </c>
    </row>
    <row r="299" spans="1:1" x14ac:dyDescent="0.15">
      <c r="A299" t="s">
        <v>261</v>
      </c>
    </row>
    <row r="300" spans="1:1" x14ac:dyDescent="0.15">
      <c r="A300" t="s">
        <v>262</v>
      </c>
    </row>
    <row r="301" spans="1:1" x14ac:dyDescent="0.15">
      <c r="A301" t="s">
        <v>263</v>
      </c>
    </row>
    <row r="302" spans="1:1" x14ac:dyDescent="0.15">
      <c r="A302" t="s">
        <v>264</v>
      </c>
    </row>
    <row r="303" spans="1:1" x14ac:dyDescent="0.15">
      <c r="A303" t="s">
        <v>265</v>
      </c>
    </row>
    <row r="304" spans="1:1" x14ac:dyDescent="0.15">
      <c r="A304" t="s">
        <v>266</v>
      </c>
    </row>
    <row r="305" spans="1:1" x14ac:dyDescent="0.15">
      <c r="A305" t="s">
        <v>267</v>
      </c>
    </row>
    <row r="306" spans="1:1" x14ac:dyDescent="0.15">
      <c r="A306" t="s">
        <v>268</v>
      </c>
    </row>
    <row r="307" spans="1:1" x14ac:dyDescent="0.15">
      <c r="A307" t="s">
        <v>269</v>
      </c>
    </row>
    <row r="308" spans="1:1" x14ac:dyDescent="0.15">
      <c r="A308" t="s">
        <v>270</v>
      </c>
    </row>
    <row r="309" spans="1:1" x14ac:dyDescent="0.15">
      <c r="A309" t="s">
        <v>271</v>
      </c>
    </row>
    <row r="310" spans="1:1" x14ac:dyDescent="0.15">
      <c r="A310" t="s">
        <v>272</v>
      </c>
    </row>
    <row r="311" spans="1:1" x14ac:dyDescent="0.15">
      <c r="A311" t="s">
        <v>273</v>
      </c>
    </row>
    <row r="312" spans="1:1" x14ac:dyDescent="0.15">
      <c r="A312" t="s">
        <v>274</v>
      </c>
    </row>
    <row r="313" spans="1:1" x14ac:dyDescent="0.15">
      <c r="A313" t="s">
        <v>275</v>
      </c>
    </row>
    <row r="314" spans="1:1" x14ac:dyDescent="0.15">
      <c r="A314" t="s">
        <v>276</v>
      </c>
    </row>
    <row r="315" spans="1:1" x14ac:dyDescent="0.15">
      <c r="A315" t="s">
        <v>277</v>
      </c>
    </row>
    <row r="316" spans="1:1" x14ac:dyDescent="0.15">
      <c r="A316" t="s">
        <v>278</v>
      </c>
    </row>
    <row r="317" spans="1:1" x14ac:dyDescent="0.15">
      <c r="A317" t="s">
        <v>279</v>
      </c>
    </row>
    <row r="318" spans="1:1" x14ac:dyDescent="0.15">
      <c r="A318" t="s">
        <v>280</v>
      </c>
    </row>
    <row r="319" spans="1:1" x14ac:dyDescent="0.15">
      <c r="A319" t="s">
        <v>281</v>
      </c>
    </row>
    <row r="320" spans="1:1" x14ac:dyDescent="0.15">
      <c r="A320" t="s">
        <v>282</v>
      </c>
    </row>
    <row r="321" spans="1:1" x14ac:dyDescent="0.15">
      <c r="A321" t="s">
        <v>283</v>
      </c>
    </row>
    <row r="322" spans="1:1" x14ac:dyDescent="0.15">
      <c r="A322" t="s">
        <v>284</v>
      </c>
    </row>
    <row r="323" spans="1:1" x14ac:dyDescent="0.15">
      <c r="A323" t="s">
        <v>285</v>
      </c>
    </row>
    <row r="324" spans="1:1" x14ac:dyDescent="0.15">
      <c r="A324" t="s">
        <v>286</v>
      </c>
    </row>
    <row r="325" spans="1:1" x14ac:dyDescent="0.15">
      <c r="A325" t="s">
        <v>287</v>
      </c>
    </row>
    <row r="326" spans="1:1" x14ac:dyDescent="0.15">
      <c r="A326" t="s">
        <v>288</v>
      </c>
    </row>
    <row r="327" spans="1:1" x14ac:dyDescent="0.15">
      <c r="A327" t="s">
        <v>289</v>
      </c>
    </row>
    <row r="328" spans="1:1" x14ac:dyDescent="0.15">
      <c r="A328" t="s">
        <v>290</v>
      </c>
    </row>
    <row r="329" spans="1:1" x14ac:dyDescent="0.15">
      <c r="A329" t="s">
        <v>291</v>
      </c>
    </row>
    <row r="330" spans="1:1" x14ac:dyDescent="0.15">
      <c r="A330" t="s">
        <v>292</v>
      </c>
    </row>
    <row r="331" spans="1:1" x14ac:dyDescent="0.15">
      <c r="A331" t="s">
        <v>293</v>
      </c>
    </row>
    <row r="332" spans="1:1" x14ac:dyDescent="0.15">
      <c r="A332" t="s">
        <v>294</v>
      </c>
    </row>
    <row r="333" spans="1:1" x14ac:dyDescent="0.15">
      <c r="A333" t="s">
        <v>295</v>
      </c>
    </row>
    <row r="334" spans="1:1" x14ac:dyDescent="0.15">
      <c r="A334" t="s">
        <v>296</v>
      </c>
    </row>
    <row r="335" spans="1:1" x14ac:dyDescent="0.15">
      <c r="A335" t="s">
        <v>297</v>
      </c>
    </row>
    <row r="336" spans="1:1" x14ac:dyDescent="0.15">
      <c r="A336" t="s">
        <v>298</v>
      </c>
    </row>
    <row r="337" spans="1:1" x14ac:dyDescent="0.15">
      <c r="A337" t="s">
        <v>299</v>
      </c>
    </row>
    <row r="338" spans="1:1" x14ac:dyDescent="0.15">
      <c r="A338" t="s">
        <v>300</v>
      </c>
    </row>
    <row r="339" spans="1:1" x14ac:dyDescent="0.15">
      <c r="A339" t="s">
        <v>301</v>
      </c>
    </row>
    <row r="340" spans="1:1" x14ac:dyDescent="0.15">
      <c r="A340" t="s">
        <v>302</v>
      </c>
    </row>
    <row r="341" spans="1:1" x14ac:dyDescent="0.15">
      <c r="A341" t="s">
        <v>303</v>
      </c>
    </row>
    <row r="342" spans="1:1" x14ac:dyDescent="0.15">
      <c r="A342" t="s">
        <v>304</v>
      </c>
    </row>
    <row r="343" spans="1:1" x14ac:dyDescent="0.15">
      <c r="A343" t="s">
        <v>305</v>
      </c>
    </row>
    <row r="344" spans="1:1" x14ac:dyDescent="0.15">
      <c r="A344" t="s">
        <v>306</v>
      </c>
    </row>
    <row r="345" spans="1:1" x14ac:dyDescent="0.15">
      <c r="A345" t="s">
        <v>307</v>
      </c>
    </row>
    <row r="346" spans="1:1" x14ac:dyDescent="0.15">
      <c r="A346" t="s">
        <v>308</v>
      </c>
    </row>
    <row r="347" spans="1:1" x14ac:dyDescent="0.15">
      <c r="A347" t="s">
        <v>309</v>
      </c>
    </row>
    <row r="348" spans="1:1" x14ac:dyDescent="0.15">
      <c r="A348" t="s">
        <v>310</v>
      </c>
    </row>
    <row r="349" spans="1:1" x14ac:dyDescent="0.15">
      <c r="A349" t="s">
        <v>311</v>
      </c>
    </row>
    <row r="350" spans="1:1" x14ac:dyDescent="0.15">
      <c r="A350" t="s">
        <v>312</v>
      </c>
    </row>
    <row r="351" spans="1:1" x14ac:dyDescent="0.15">
      <c r="A351" t="s">
        <v>313</v>
      </c>
    </row>
    <row r="352" spans="1:1" x14ac:dyDescent="0.15">
      <c r="A352" t="s">
        <v>314</v>
      </c>
    </row>
    <row r="353" spans="1:1" x14ac:dyDescent="0.15">
      <c r="A353" t="s">
        <v>315</v>
      </c>
    </row>
    <row r="354" spans="1:1" x14ac:dyDescent="0.15">
      <c r="A354" t="s">
        <v>316</v>
      </c>
    </row>
    <row r="355" spans="1:1" x14ac:dyDescent="0.15">
      <c r="A355" t="s">
        <v>317</v>
      </c>
    </row>
    <row r="356" spans="1:1" x14ac:dyDescent="0.15">
      <c r="A356" t="s">
        <v>318</v>
      </c>
    </row>
    <row r="357" spans="1:1" x14ac:dyDescent="0.15">
      <c r="A357" t="s">
        <v>319</v>
      </c>
    </row>
    <row r="358" spans="1:1" x14ac:dyDescent="0.15">
      <c r="A358" t="s">
        <v>320</v>
      </c>
    </row>
    <row r="359" spans="1:1" x14ac:dyDescent="0.15">
      <c r="A359" t="s">
        <v>321</v>
      </c>
    </row>
    <row r="360" spans="1:1" x14ac:dyDescent="0.15">
      <c r="A360" t="s">
        <v>322</v>
      </c>
    </row>
    <row r="361" spans="1:1" x14ac:dyDescent="0.15">
      <c r="A361" t="s">
        <v>323</v>
      </c>
    </row>
    <row r="362" spans="1:1" x14ac:dyDescent="0.15">
      <c r="A362" t="s">
        <v>324</v>
      </c>
    </row>
    <row r="363" spans="1:1" x14ac:dyDescent="0.15">
      <c r="A363" t="s">
        <v>325</v>
      </c>
    </row>
    <row r="364" spans="1:1" x14ac:dyDescent="0.15">
      <c r="A364" t="s">
        <v>326</v>
      </c>
    </row>
    <row r="365" spans="1:1" x14ac:dyDescent="0.15">
      <c r="A365" t="s">
        <v>327</v>
      </c>
    </row>
    <row r="366" spans="1:1" x14ac:dyDescent="0.15">
      <c r="A366" t="s">
        <v>328</v>
      </c>
    </row>
    <row r="367" spans="1:1" x14ac:dyDescent="0.15">
      <c r="A367" t="s">
        <v>329</v>
      </c>
    </row>
    <row r="368" spans="1:1" x14ac:dyDescent="0.15">
      <c r="A368" t="s">
        <v>330</v>
      </c>
    </row>
    <row r="369" spans="1:1" x14ac:dyDescent="0.15">
      <c r="A369" t="s">
        <v>331</v>
      </c>
    </row>
    <row r="370" spans="1:1" x14ac:dyDescent="0.15">
      <c r="A370" t="s">
        <v>332</v>
      </c>
    </row>
    <row r="371" spans="1:1" x14ac:dyDescent="0.15">
      <c r="A371" t="s">
        <v>333</v>
      </c>
    </row>
    <row r="372" spans="1:1" x14ac:dyDescent="0.15">
      <c r="A372" t="s">
        <v>334</v>
      </c>
    </row>
    <row r="373" spans="1:1" x14ac:dyDescent="0.15">
      <c r="A373" t="s">
        <v>335</v>
      </c>
    </row>
    <row r="374" spans="1:1" x14ac:dyDescent="0.15">
      <c r="A374" t="s">
        <v>336</v>
      </c>
    </row>
    <row r="375" spans="1:1" x14ac:dyDescent="0.15">
      <c r="A375" t="s">
        <v>337</v>
      </c>
    </row>
    <row r="376" spans="1:1" x14ac:dyDescent="0.15">
      <c r="A376" t="s">
        <v>338</v>
      </c>
    </row>
    <row r="377" spans="1:1" x14ac:dyDescent="0.15">
      <c r="A377" t="s">
        <v>339</v>
      </c>
    </row>
    <row r="378" spans="1:1" x14ac:dyDescent="0.15">
      <c r="A378" t="s">
        <v>340</v>
      </c>
    </row>
    <row r="379" spans="1:1" x14ac:dyDescent="0.15">
      <c r="A379" t="s">
        <v>341</v>
      </c>
    </row>
    <row r="380" spans="1:1" x14ac:dyDescent="0.15">
      <c r="A380" t="s">
        <v>342</v>
      </c>
    </row>
    <row r="381" spans="1:1" x14ac:dyDescent="0.15">
      <c r="A381" t="s">
        <v>343</v>
      </c>
    </row>
    <row r="382" spans="1:1" x14ac:dyDescent="0.15">
      <c r="A382" t="s">
        <v>344</v>
      </c>
    </row>
    <row r="383" spans="1:1" x14ac:dyDescent="0.15">
      <c r="A383" t="s">
        <v>345</v>
      </c>
    </row>
    <row r="384" spans="1:1" x14ac:dyDescent="0.15">
      <c r="A384" t="s">
        <v>346</v>
      </c>
    </row>
    <row r="385" spans="1:1" x14ac:dyDescent="0.15">
      <c r="A385" t="s">
        <v>347</v>
      </c>
    </row>
    <row r="386" spans="1:1" x14ac:dyDescent="0.15">
      <c r="A386" t="s">
        <v>348</v>
      </c>
    </row>
    <row r="387" spans="1:1" x14ac:dyDescent="0.15">
      <c r="A387" t="s">
        <v>349</v>
      </c>
    </row>
    <row r="388" spans="1:1" x14ac:dyDescent="0.15">
      <c r="A388" t="s">
        <v>350</v>
      </c>
    </row>
    <row r="389" spans="1:1" x14ac:dyDescent="0.15">
      <c r="A389" t="s">
        <v>351</v>
      </c>
    </row>
    <row r="390" spans="1:1" x14ac:dyDescent="0.15">
      <c r="A390" t="s">
        <v>352</v>
      </c>
    </row>
    <row r="391" spans="1:1" x14ac:dyDescent="0.15">
      <c r="A391" t="s">
        <v>353</v>
      </c>
    </row>
    <row r="392" spans="1:1" x14ac:dyDescent="0.15">
      <c r="A392" t="s">
        <v>354</v>
      </c>
    </row>
    <row r="393" spans="1:1" x14ac:dyDescent="0.15">
      <c r="A393" t="s">
        <v>355</v>
      </c>
    </row>
    <row r="394" spans="1:1" x14ac:dyDescent="0.15">
      <c r="A394" t="s">
        <v>356</v>
      </c>
    </row>
    <row r="395" spans="1:1" x14ac:dyDescent="0.15">
      <c r="A395" t="s">
        <v>357</v>
      </c>
    </row>
    <row r="396" spans="1:1" x14ac:dyDescent="0.15">
      <c r="A396" t="s">
        <v>358</v>
      </c>
    </row>
    <row r="397" spans="1:1" x14ac:dyDescent="0.15">
      <c r="A397" t="s">
        <v>359</v>
      </c>
    </row>
    <row r="398" spans="1:1" x14ac:dyDescent="0.15">
      <c r="A398" t="s">
        <v>360</v>
      </c>
    </row>
    <row r="399" spans="1:1" x14ac:dyDescent="0.15">
      <c r="A399" t="s">
        <v>361</v>
      </c>
    </row>
    <row r="400" spans="1:1" x14ac:dyDescent="0.15">
      <c r="A400" t="s">
        <v>362</v>
      </c>
    </row>
    <row r="401" spans="1:1" x14ac:dyDescent="0.15">
      <c r="A401" t="s">
        <v>363</v>
      </c>
    </row>
    <row r="402" spans="1:1" x14ac:dyDescent="0.15">
      <c r="A402" t="s">
        <v>364</v>
      </c>
    </row>
    <row r="403" spans="1:1" x14ac:dyDescent="0.15">
      <c r="A403" t="s">
        <v>365</v>
      </c>
    </row>
    <row r="404" spans="1:1" x14ac:dyDescent="0.15">
      <c r="A404" t="s">
        <v>366</v>
      </c>
    </row>
    <row r="405" spans="1:1" x14ac:dyDescent="0.15">
      <c r="A405" t="s">
        <v>367</v>
      </c>
    </row>
    <row r="406" spans="1:1" x14ac:dyDescent="0.15">
      <c r="A406" t="s">
        <v>368</v>
      </c>
    </row>
    <row r="407" spans="1:1" x14ac:dyDescent="0.15">
      <c r="A407" t="s">
        <v>369</v>
      </c>
    </row>
    <row r="408" spans="1:1" x14ac:dyDescent="0.15">
      <c r="A408" t="s">
        <v>370</v>
      </c>
    </row>
    <row r="409" spans="1:1" x14ac:dyDescent="0.15">
      <c r="A409" t="s">
        <v>371</v>
      </c>
    </row>
    <row r="410" spans="1:1" x14ac:dyDescent="0.15">
      <c r="A410" t="s">
        <v>372</v>
      </c>
    </row>
    <row r="411" spans="1:1" x14ac:dyDescent="0.15">
      <c r="A411" t="s">
        <v>373</v>
      </c>
    </row>
    <row r="412" spans="1:1" x14ac:dyDescent="0.15">
      <c r="A412" t="s">
        <v>374</v>
      </c>
    </row>
    <row r="413" spans="1:1" x14ac:dyDescent="0.15">
      <c r="A413" t="s">
        <v>375</v>
      </c>
    </row>
    <row r="414" spans="1:1" x14ac:dyDescent="0.15">
      <c r="A414" t="s">
        <v>376</v>
      </c>
    </row>
    <row r="415" spans="1:1" x14ac:dyDescent="0.15">
      <c r="A415" t="s">
        <v>377</v>
      </c>
    </row>
    <row r="416" spans="1:1" x14ac:dyDescent="0.15">
      <c r="A416" t="s">
        <v>378</v>
      </c>
    </row>
    <row r="417" spans="1:1" x14ac:dyDescent="0.15">
      <c r="A417" t="s">
        <v>379</v>
      </c>
    </row>
    <row r="418" spans="1:1" x14ac:dyDescent="0.15">
      <c r="A418" t="s">
        <v>380</v>
      </c>
    </row>
    <row r="419" spans="1:1" x14ac:dyDescent="0.15">
      <c r="A419" t="s">
        <v>381</v>
      </c>
    </row>
    <row r="420" spans="1:1" x14ac:dyDescent="0.15">
      <c r="A420" t="s">
        <v>382</v>
      </c>
    </row>
    <row r="421" spans="1:1" x14ac:dyDescent="0.15">
      <c r="A421" t="s">
        <v>383</v>
      </c>
    </row>
    <row r="422" spans="1:1" x14ac:dyDescent="0.15">
      <c r="A422" t="s">
        <v>384</v>
      </c>
    </row>
    <row r="423" spans="1:1" x14ac:dyDescent="0.15">
      <c r="A423" t="s">
        <v>385</v>
      </c>
    </row>
    <row r="424" spans="1:1" x14ac:dyDescent="0.15">
      <c r="A424" t="s">
        <v>386</v>
      </c>
    </row>
    <row r="425" spans="1:1" x14ac:dyDescent="0.15">
      <c r="A425" t="s">
        <v>387</v>
      </c>
    </row>
    <row r="426" spans="1:1" x14ac:dyDescent="0.15">
      <c r="A426" t="s">
        <v>388</v>
      </c>
    </row>
    <row r="427" spans="1:1" x14ac:dyDescent="0.15">
      <c r="A427" t="s">
        <v>389</v>
      </c>
    </row>
    <row r="428" spans="1:1" x14ac:dyDescent="0.15">
      <c r="A428" t="s">
        <v>390</v>
      </c>
    </row>
    <row r="429" spans="1:1" x14ac:dyDescent="0.15">
      <c r="A429" t="s">
        <v>391</v>
      </c>
    </row>
    <row r="430" spans="1:1" x14ac:dyDescent="0.15">
      <c r="A430" t="s">
        <v>392</v>
      </c>
    </row>
    <row r="431" spans="1:1" x14ac:dyDescent="0.15">
      <c r="A431" t="s">
        <v>393</v>
      </c>
    </row>
    <row r="432" spans="1:1" x14ac:dyDescent="0.15">
      <c r="A432" t="s">
        <v>394</v>
      </c>
    </row>
    <row r="433" spans="1:1" x14ac:dyDescent="0.15">
      <c r="A433" t="s">
        <v>395</v>
      </c>
    </row>
    <row r="434" spans="1:1" x14ac:dyDescent="0.15">
      <c r="A434" t="s">
        <v>396</v>
      </c>
    </row>
    <row r="435" spans="1:1" x14ac:dyDescent="0.15">
      <c r="A435" t="s">
        <v>397</v>
      </c>
    </row>
    <row r="436" spans="1:1" x14ac:dyDescent="0.15">
      <c r="A436" t="s">
        <v>398</v>
      </c>
    </row>
    <row r="437" spans="1:1" x14ac:dyDescent="0.15">
      <c r="A437" t="s">
        <v>399</v>
      </c>
    </row>
    <row r="438" spans="1:1" x14ac:dyDescent="0.15">
      <c r="A438" t="s">
        <v>400</v>
      </c>
    </row>
    <row r="439" spans="1:1" x14ac:dyDescent="0.15">
      <c r="A439" t="s">
        <v>401</v>
      </c>
    </row>
    <row r="440" spans="1:1" x14ac:dyDescent="0.15">
      <c r="A440" t="s">
        <v>402</v>
      </c>
    </row>
    <row r="441" spans="1:1" x14ac:dyDescent="0.15">
      <c r="A441" t="s">
        <v>403</v>
      </c>
    </row>
    <row r="442" spans="1:1" x14ac:dyDescent="0.15">
      <c r="A442" t="s">
        <v>404</v>
      </c>
    </row>
    <row r="443" spans="1:1" x14ac:dyDescent="0.15">
      <c r="A443" t="s">
        <v>405</v>
      </c>
    </row>
    <row r="444" spans="1:1" x14ac:dyDescent="0.15">
      <c r="A444" t="s">
        <v>406</v>
      </c>
    </row>
    <row r="445" spans="1:1" x14ac:dyDescent="0.15">
      <c r="A445" t="s">
        <v>407</v>
      </c>
    </row>
    <row r="446" spans="1:1" x14ac:dyDescent="0.15">
      <c r="A446" t="s">
        <v>408</v>
      </c>
    </row>
    <row r="447" spans="1:1" x14ac:dyDescent="0.15">
      <c r="A447" t="s">
        <v>409</v>
      </c>
    </row>
    <row r="448" spans="1:1" x14ac:dyDescent="0.15">
      <c r="A448" t="s">
        <v>410</v>
      </c>
    </row>
    <row r="449" spans="1:1" x14ac:dyDescent="0.15">
      <c r="A449" t="s">
        <v>411</v>
      </c>
    </row>
    <row r="450" spans="1:1" x14ac:dyDescent="0.15">
      <c r="A450" t="s">
        <v>412</v>
      </c>
    </row>
    <row r="451" spans="1:1" x14ac:dyDescent="0.15">
      <c r="A451" t="s">
        <v>413</v>
      </c>
    </row>
    <row r="452" spans="1:1" x14ac:dyDescent="0.15">
      <c r="A452" t="s">
        <v>414</v>
      </c>
    </row>
    <row r="453" spans="1:1" x14ac:dyDescent="0.15">
      <c r="A453" t="s">
        <v>415</v>
      </c>
    </row>
    <row r="454" spans="1:1" x14ac:dyDescent="0.15">
      <c r="A454" t="s">
        <v>416</v>
      </c>
    </row>
    <row r="455" spans="1:1" x14ac:dyDescent="0.15">
      <c r="A455" t="s">
        <v>417</v>
      </c>
    </row>
    <row r="456" spans="1:1" x14ac:dyDescent="0.15">
      <c r="A456" t="s">
        <v>418</v>
      </c>
    </row>
    <row r="457" spans="1:1" x14ac:dyDescent="0.15">
      <c r="A457" t="s">
        <v>419</v>
      </c>
    </row>
    <row r="458" spans="1:1" x14ac:dyDescent="0.15">
      <c r="A458" t="s">
        <v>420</v>
      </c>
    </row>
    <row r="459" spans="1:1" x14ac:dyDescent="0.15">
      <c r="A459" t="s">
        <v>421</v>
      </c>
    </row>
    <row r="460" spans="1:1" x14ac:dyDescent="0.15">
      <c r="A460" t="s">
        <v>422</v>
      </c>
    </row>
    <row r="461" spans="1:1" x14ac:dyDescent="0.15">
      <c r="A461" t="s">
        <v>423</v>
      </c>
    </row>
    <row r="462" spans="1:1" x14ac:dyDescent="0.15">
      <c r="A462" t="s">
        <v>424</v>
      </c>
    </row>
    <row r="463" spans="1:1" x14ac:dyDescent="0.15">
      <c r="A463" t="s">
        <v>425</v>
      </c>
    </row>
    <row r="464" spans="1:1" x14ac:dyDescent="0.15">
      <c r="A464" t="s">
        <v>426</v>
      </c>
    </row>
    <row r="465" spans="1:1" x14ac:dyDescent="0.15">
      <c r="A465" t="s">
        <v>427</v>
      </c>
    </row>
    <row r="466" spans="1:1" x14ac:dyDescent="0.15">
      <c r="A466" t="s">
        <v>428</v>
      </c>
    </row>
    <row r="467" spans="1:1" x14ac:dyDescent="0.15">
      <c r="A467" t="s">
        <v>429</v>
      </c>
    </row>
    <row r="468" spans="1:1" x14ac:dyDescent="0.15">
      <c r="A468" t="s">
        <v>430</v>
      </c>
    </row>
    <row r="469" spans="1:1" x14ac:dyDescent="0.15">
      <c r="A469" t="s">
        <v>431</v>
      </c>
    </row>
    <row r="470" spans="1:1" x14ac:dyDescent="0.15">
      <c r="A470" t="s">
        <v>432</v>
      </c>
    </row>
    <row r="471" spans="1:1" x14ac:dyDescent="0.15">
      <c r="A471" t="s">
        <v>433</v>
      </c>
    </row>
    <row r="472" spans="1:1" x14ac:dyDescent="0.15">
      <c r="A472" t="s">
        <v>434</v>
      </c>
    </row>
    <row r="473" spans="1:1" x14ac:dyDescent="0.15">
      <c r="A473" t="s">
        <v>435</v>
      </c>
    </row>
    <row r="474" spans="1:1" x14ac:dyDescent="0.15">
      <c r="A474" t="s">
        <v>436</v>
      </c>
    </row>
    <row r="475" spans="1:1" x14ac:dyDescent="0.15">
      <c r="A475" t="s">
        <v>437</v>
      </c>
    </row>
    <row r="476" spans="1:1" x14ac:dyDescent="0.15">
      <c r="A476" t="s">
        <v>438</v>
      </c>
    </row>
    <row r="477" spans="1:1" x14ac:dyDescent="0.15">
      <c r="A477" t="s">
        <v>439</v>
      </c>
    </row>
    <row r="478" spans="1:1" x14ac:dyDescent="0.15">
      <c r="A478" t="s">
        <v>440</v>
      </c>
    </row>
    <row r="479" spans="1:1" x14ac:dyDescent="0.15">
      <c r="A479" t="s">
        <v>441</v>
      </c>
    </row>
    <row r="480" spans="1:1" x14ac:dyDescent="0.15">
      <c r="A480" t="s">
        <v>442</v>
      </c>
    </row>
    <row r="481" spans="1:1" x14ac:dyDescent="0.15">
      <c r="A481" t="s">
        <v>443</v>
      </c>
    </row>
    <row r="482" spans="1:1" x14ac:dyDescent="0.15">
      <c r="A482" t="s">
        <v>444</v>
      </c>
    </row>
    <row r="483" spans="1:1" x14ac:dyDescent="0.15">
      <c r="A483" t="s">
        <v>445</v>
      </c>
    </row>
    <row r="484" spans="1:1" x14ac:dyDescent="0.15">
      <c r="A484" t="s">
        <v>446</v>
      </c>
    </row>
    <row r="485" spans="1:1" x14ac:dyDescent="0.15">
      <c r="A485" t="s">
        <v>447</v>
      </c>
    </row>
    <row r="486" spans="1:1" x14ac:dyDescent="0.15">
      <c r="A486" t="s">
        <v>448</v>
      </c>
    </row>
    <row r="487" spans="1:1" x14ac:dyDescent="0.15">
      <c r="A487" t="s">
        <v>449</v>
      </c>
    </row>
    <row r="488" spans="1:1" x14ac:dyDescent="0.15">
      <c r="A488" t="s">
        <v>450</v>
      </c>
    </row>
    <row r="489" spans="1:1" x14ac:dyDescent="0.15">
      <c r="A489" t="s">
        <v>451</v>
      </c>
    </row>
    <row r="490" spans="1:1" x14ac:dyDescent="0.15">
      <c r="A490" t="s">
        <v>452</v>
      </c>
    </row>
    <row r="491" spans="1:1" x14ac:dyDescent="0.15">
      <c r="A491" t="s">
        <v>453</v>
      </c>
    </row>
    <row r="492" spans="1:1" x14ac:dyDescent="0.15">
      <c r="A492" t="s">
        <v>454</v>
      </c>
    </row>
    <row r="493" spans="1:1" x14ac:dyDescent="0.15">
      <c r="A493" t="s">
        <v>455</v>
      </c>
    </row>
    <row r="494" spans="1:1" x14ac:dyDescent="0.15">
      <c r="A494" t="s">
        <v>456</v>
      </c>
    </row>
    <row r="495" spans="1:1" x14ac:dyDescent="0.15">
      <c r="A495" t="s">
        <v>457</v>
      </c>
    </row>
    <row r="496" spans="1:1" x14ac:dyDescent="0.15">
      <c r="A496" t="s">
        <v>458</v>
      </c>
    </row>
    <row r="497" spans="1:1" x14ac:dyDescent="0.15">
      <c r="A497" t="s">
        <v>459</v>
      </c>
    </row>
    <row r="498" spans="1:1" x14ac:dyDescent="0.15">
      <c r="A498" t="s">
        <v>460</v>
      </c>
    </row>
    <row r="499" spans="1:1" x14ac:dyDescent="0.15">
      <c r="A499" t="s">
        <v>461</v>
      </c>
    </row>
    <row r="500" spans="1:1" x14ac:dyDescent="0.15">
      <c r="A500" t="s">
        <v>462</v>
      </c>
    </row>
    <row r="501" spans="1:1" x14ac:dyDescent="0.15">
      <c r="A501" t="s">
        <v>463</v>
      </c>
    </row>
    <row r="502" spans="1:1" x14ac:dyDescent="0.15">
      <c r="A502" t="s">
        <v>464</v>
      </c>
    </row>
    <row r="503" spans="1:1" x14ac:dyDescent="0.15">
      <c r="A503" t="s">
        <v>465</v>
      </c>
    </row>
    <row r="504" spans="1:1" x14ac:dyDescent="0.15">
      <c r="A504" t="s">
        <v>466</v>
      </c>
    </row>
    <row r="505" spans="1:1" x14ac:dyDescent="0.15">
      <c r="A505" t="s">
        <v>467</v>
      </c>
    </row>
    <row r="506" spans="1:1" x14ac:dyDescent="0.15">
      <c r="A506" t="s">
        <v>468</v>
      </c>
    </row>
    <row r="507" spans="1:1" x14ac:dyDescent="0.15">
      <c r="A507" t="s">
        <v>469</v>
      </c>
    </row>
    <row r="508" spans="1:1" x14ac:dyDescent="0.15">
      <c r="A508" t="s">
        <v>470</v>
      </c>
    </row>
    <row r="509" spans="1:1" x14ac:dyDescent="0.15">
      <c r="A509" t="s">
        <v>471</v>
      </c>
    </row>
    <row r="510" spans="1:1" x14ac:dyDescent="0.15">
      <c r="A510" t="s">
        <v>472</v>
      </c>
    </row>
    <row r="511" spans="1:1" x14ac:dyDescent="0.15">
      <c r="A511" t="s">
        <v>473</v>
      </c>
    </row>
    <row r="512" spans="1:1" x14ac:dyDescent="0.15">
      <c r="A512" t="s">
        <v>474</v>
      </c>
    </row>
    <row r="513" spans="1:1" x14ac:dyDescent="0.15">
      <c r="A513" t="s">
        <v>475</v>
      </c>
    </row>
    <row r="514" spans="1:1" x14ac:dyDescent="0.15">
      <c r="A514" t="s">
        <v>476</v>
      </c>
    </row>
    <row r="515" spans="1:1" x14ac:dyDescent="0.15">
      <c r="A515" t="s">
        <v>477</v>
      </c>
    </row>
    <row r="516" spans="1:1" x14ac:dyDescent="0.15">
      <c r="A516" t="s">
        <v>478</v>
      </c>
    </row>
    <row r="517" spans="1:1" x14ac:dyDescent="0.15">
      <c r="A517" t="s">
        <v>479</v>
      </c>
    </row>
    <row r="518" spans="1:1" x14ac:dyDescent="0.15">
      <c r="A518" t="s">
        <v>480</v>
      </c>
    </row>
    <row r="519" spans="1:1" x14ac:dyDescent="0.15">
      <c r="A519" t="s">
        <v>481</v>
      </c>
    </row>
    <row r="520" spans="1:1" x14ac:dyDescent="0.15">
      <c r="A520" t="s">
        <v>482</v>
      </c>
    </row>
    <row r="521" spans="1:1" x14ac:dyDescent="0.15">
      <c r="A521" t="s">
        <v>483</v>
      </c>
    </row>
    <row r="522" spans="1:1" x14ac:dyDescent="0.15">
      <c r="A522" t="s">
        <v>484</v>
      </c>
    </row>
    <row r="523" spans="1:1" x14ac:dyDescent="0.15">
      <c r="A523" t="s">
        <v>485</v>
      </c>
    </row>
    <row r="524" spans="1:1" x14ac:dyDescent="0.15">
      <c r="A524" t="s">
        <v>486</v>
      </c>
    </row>
    <row r="525" spans="1:1" x14ac:dyDescent="0.15">
      <c r="A525" t="s">
        <v>487</v>
      </c>
    </row>
    <row r="526" spans="1:1" x14ac:dyDescent="0.15">
      <c r="A526" t="s">
        <v>488</v>
      </c>
    </row>
    <row r="527" spans="1:1" x14ac:dyDescent="0.15">
      <c r="A527" t="s">
        <v>489</v>
      </c>
    </row>
    <row r="528" spans="1:1" x14ac:dyDescent="0.15">
      <c r="A528" t="s">
        <v>490</v>
      </c>
    </row>
    <row r="529" spans="1:1" x14ac:dyDescent="0.15">
      <c r="A529" t="s">
        <v>491</v>
      </c>
    </row>
    <row r="530" spans="1:1" x14ac:dyDescent="0.15">
      <c r="A530" t="s">
        <v>492</v>
      </c>
    </row>
    <row r="531" spans="1:1" x14ac:dyDescent="0.15">
      <c r="A531" t="s">
        <v>493</v>
      </c>
    </row>
    <row r="532" spans="1:1" x14ac:dyDescent="0.15">
      <c r="A532" t="s">
        <v>494</v>
      </c>
    </row>
    <row r="533" spans="1:1" x14ac:dyDescent="0.15">
      <c r="A533" t="s">
        <v>495</v>
      </c>
    </row>
    <row r="534" spans="1:1" x14ac:dyDescent="0.15">
      <c r="A534" t="s">
        <v>496</v>
      </c>
    </row>
    <row r="535" spans="1:1" x14ac:dyDescent="0.15">
      <c r="A535" t="s">
        <v>497</v>
      </c>
    </row>
    <row r="536" spans="1:1" x14ac:dyDescent="0.15">
      <c r="A536" t="s">
        <v>498</v>
      </c>
    </row>
    <row r="537" spans="1:1" x14ac:dyDescent="0.15">
      <c r="A537" t="s">
        <v>499</v>
      </c>
    </row>
    <row r="538" spans="1:1" x14ac:dyDescent="0.15">
      <c r="A538" t="s">
        <v>500</v>
      </c>
    </row>
    <row r="539" spans="1:1" x14ac:dyDescent="0.15">
      <c r="A539" t="s">
        <v>501</v>
      </c>
    </row>
    <row r="540" spans="1:1" x14ac:dyDescent="0.15">
      <c r="A540" t="s">
        <v>502</v>
      </c>
    </row>
    <row r="541" spans="1:1" x14ac:dyDescent="0.15">
      <c r="A541" t="s">
        <v>503</v>
      </c>
    </row>
    <row r="542" spans="1:1" x14ac:dyDescent="0.15">
      <c r="A542" t="s">
        <v>504</v>
      </c>
    </row>
    <row r="543" spans="1:1" x14ac:dyDescent="0.15">
      <c r="A543" t="s">
        <v>505</v>
      </c>
    </row>
    <row r="544" spans="1:1" x14ac:dyDescent="0.15">
      <c r="A544" t="s">
        <v>506</v>
      </c>
    </row>
    <row r="545" spans="1:1" x14ac:dyDescent="0.15">
      <c r="A545" t="s">
        <v>507</v>
      </c>
    </row>
    <row r="546" spans="1:1" x14ac:dyDescent="0.15">
      <c r="A546" t="s">
        <v>508</v>
      </c>
    </row>
    <row r="547" spans="1:1" x14ac:dyDescent="0.15">
      <c r="A547" t="s">
        <v>509</v>
      </c>
    </row>
    <row r="548" spans="1:1" x14ac:dyDescent="0.15">
      <c r="A548" t="s">
        <v>510</v>
      </c>
    </row>
    <row r="549" spans="1:1" x14ac:dyDescent="0.15">
      <c r="A549" t="s">
        <v>511</v>
      </c>
    </row>
    <row r="550" spans="1:1" x14ac:dyDescent="0.15">
      <c r="A550" t="s">
        <v>512</v>
      </c>
    </row>
    <row r="551" spans="1:1" x14ac:dyDescent="0.15">
      <c r="A551" t="s">
        <v>513</v>
      </c>
    </row>
    <row r="552" spans="1:1" x14ac:dyDescent="0.15">
      <c r="A552" t="s">
        <v>514</v>
      </c>
    </row>
    <row r="553" spans="1:1" x14ac:dyDescent="0.15">
      <c r="A553" t="s">
        <v>515</v>
      </c>
    </row>
    <row r="554" spans="1:1" x14ac:dyDescent="0.15">
      <c r="A554" t="s">
        <v>516</v>
      </c>
    </row>
    <row r="555" spans="1:1" x14ac:dyDescent="0.15">
      <c r="A555" t="s">
        <v>517</v>
      </c>
    </row>
    <row r="556" spans="1:1" x14ac:dyDescent="0.15">
      <c r="A556" t="s">
        <v>518</v>
      </c>
    </row>
    <row r="557" spans="1:1" x14ac:dyDescent="0.15">
      <c r="A557" t="s">
        <v>519</v>
      </c>
    </row>
    <row r="558" spans="1:1" x14ac:dyDescent="0.15">
      <c r="A558" t="s">
        <v>520</v>
      </c>
    </row>
    <row r="559" spans="1:1" x14ac:dyDescent="0.15">
      <c r="A559" t="s">
        <v>521</v>
      </c>
    </row>
    <row r="560" spans="1:1" x14ac:dyDescent="0.15">
      <c r="A560" t="s">
        <v>522</v>
      </c>
    </row>
    <row r="561" spans="1:1" x14ac:dyDescent="0.15">
      <c r="A561" t="s">
        <v>523</v>
      </c>
    </row>
    <row r="562" spans="1:1" x14ac:dyDescent="0.15">
      <c r="A562" t="s">
        <v>524</v>
      </c>
    </row>
    <row r="563" spans="1:1" x14ac:dyDescent="0.15">
      <c r="A563" t="s">
        <v>525</v>
      </c>
    </row>
    <row r="564" spans="1:1" x14ac:dyDescent="0.15">
      <c r="A564" t="s">
        <v>526</v>
      </c>
    </row>
    <row r="565" spans="1:1" x14ac:dyDescent="0.15">
      <c r="A565" t="s">
        <v>527</v>
      </c>
    </row>
    <row r="566" spans="1:1" x14ac:dyDescent="0.15">
      <c r="A566" t="s">
        <v>528</v>
      </c>
    </row>
    <row r="567" spans="1:1" x14ac:dyDescent="0.15">
      <c r="A567" t="s">
        <v>529</v>
      </c>
    </row>
    <row r="568" spans="1:1" x14ac:dyDescent="0.15">
      <c r="A568" t="s">
        <v>530</v>
      </c>
    </row>
    <row r="569" spans="1:1" x14ac:dyDescent="0.15">
      <c r="A569" t="s">
        <v>531</v>
      </c>
    </row>
    <row r="570" spans="1:1" x14ac:dyDescent="0.15">
      <c r="A570" t="s">
        <v>532</v>
      </c>
    </row>
    <row r="571" spans="1:1" x14ac:dyDescent="0.15">
      <c r="A571" t="s">
        <v>533</v>
      </c>
    </row>
    <row r="572" spans="1:1" x14ac:dyDescent="0.15">
      <c r="A572" t="s">
        <v>534</v>
      </c>
    </row>
    <row r="573" spans="1:1" x14ac:dyDescent="0.15">
      <c r="A573" t="s">
        <v>535</v>
      </c>
    </row>
    <row r="574" spans="1:1" x14ac:dyDescent="0.15">
      <c r="A574" t="s">
        <v>536</v>
      </c>
    </row>
    <row r="575" spans="1:1" x14ac:dyDescent="0.15">
      <c r="A575" t="s">
        <v>537</v>
      </c>
    </row>
    <row r="576" spans="1:1" x14ac:dyDescent="0.15">
      <c r="A576" t="s">
        <v>538</v>
      </c>
    </row>
    <row r="577" spans="1:1" x14ac:dyDescent="0.15">
      <c r="A577" t="s">
        <v>539</v>
      </c>
    </row>
    <row r="578" spans="1:1" x14ac:dyDescent="0.15">
      <c r="A578" t="s">
        <v>540</v>
      </c>
    </row>
    <row r="579" spans="1:1" x14ac:dyDescent="0.15">
      <c r="A579" t="s">
        <v>541</v>
      </c>
    </row>
    <row r="580" spans="1:1" x14ac:dyDescent="0.15">
      <c r="A580" t="s">
        <v>542</v>
      </c>
    </row>
    <row r="581" spans="1:1" x14ac:dyDescent="0.15">
      <c r="A581" t="s">
        <v>543</v>
      </c>
    </row>
    <row r="582" spans="1:1" x14ac:dyDescent="0.15">
      <c r="A582" t="s">
        <v>544</v>
      </c>
    </row>
    <row r="583" spans="1:1" x14ac:dyDescent="0.15">
      <c r="A583" t="s">
        <v>545</v>
      </c>
    </row>
    <row r="584" spans="1:1" x14ac:dyDescent="0.15">
      <c r="A584" t="s">
        <v>546</v>
      </c>
    </row>
    <row r="585" spans="1:1" x14ac:dyDescent="0.15">
      <c r="A585" t="s">
        <v>547</v>
      </c>
    </row>
    <row r="586" spans="1:1" x14ac:dyDescent="0.15">
      <c r="A586" t="s">
        <v>548</v>
      </c>
    </row>
    <row r="587" spans="1:1" x14ac:dyDescent="0.15">
      <c r="A587" t="s">
        <v>549</v>
      </c>
    </row>
    <row r="588" spans="1:1" x14ac:dyDescent="0.15">
      <c r="A588" t="s">
        <v>550</v>
      </c>
    </row>
    <row r="589" spans="1:1" x14ac:dyDescent="0.15">
      <c r="A589" t="s">
        <v>551</v>
      </c>
    </row>
    <row r="590" spans="1:1" x14ac:dyDescent="0.15">
      <c r="A590" t="s">
        <v>552</v>
      </c>
    </row>
    <row r="591" spans="1:1" x14ac:dyDescent="0.15">
      <c r="A591" t="s">
        <v>553</v>
      </c>
    </row>
    <row r="592" spans="1:1" x14ac:dyDescent="0.15">
      <c r="A592" t="s">
        <v>554</v>
      </c>
    </row>
    <row r="593" spans="1:1" x14ac:dyDescent="0.15">
      <c r="A593" t="s">
        <v>555</v>
      </c>
    </row>
    <row r="594" spans="1:1" x14ac:dyDescent="0.15">
      <c r="A594" t="s">
        <v>556</v>
      </c>
    </row>
    <row r="595" spans="1:1" x14ac:dyDescent="0.15">
      <c r="A595" t="s">
        <v>557</v>
      </c>
    </row>
    <row r="596" spans="1:1" x14ac:dyDescent="0.15">
      <c r="A596" t="s">
        <v>558</v>
      </c>
    </row>
    <row r="597" spans="1:1" x14ac:dyDescent="0.15">
      <c r="A597" t="s">
        <v>559</v>
      </c>
    </row>
    <row r="598" spans="1:1" x14ac:dyDescent="0.15">
      <c r="A598" t="s">
        <v>560</v>
      </c>
    </row>
    <row r="599" spans="1:1" x14ac:dyDescent="0.15">
      <c r="A599" t="s">
        <v>561</v>
      </c>
    </row>
    <row r="600" spans="1:1" x14ac:dyDescent="0.15">
      <c r="A600" t="s">
        <v>562</v>
      </c>
    </row>
    <row r="601" spans="1:1" x14ac:dyDescent="0.15">
      <c r="A601" t="s">
        <v>563</v>
      </c>
    </row>
    <row r="602" spans="1:1" x14ac:dyDescent="0.15">
      <c r="A602" t="s">
        <v>564</v>
      </c>
    </row>
    <row r="603" spans="1:1" x14ac:dyDescent="0.15">
      <c r="A603" t="s">
        <v>565</v>
      </c>
    </row>
    <row r="604" spans="1:1" x14ac:dyDescent="0.15">
      <c r="A604" t="s">
        <v>566</v>
      </c>
    </row>
    <row r="605" spans="1:1" x14ac:dyDescent="0.15">
      <c r="A605" t="s">
        <v>567</v>
      </c>
    </row>
    <row r="606" spans="1:1" x14ac:dyDescent="0.15">
      <c r="A606" t="s">
        <v>568</v>
      </c>
    </row>
    <row r="607" spans="1:1" x14ac:dyDescent="0.15">
      <c r="A607" t="s">
        <v>569</v>
      </c>
    </row>
    <row r="608" spans="1:1" x14ac:dyDescent="0.15">
      <c r="A608" t="s">
        <v>570</v>
      </c>
    </row>
    <row r="609" spans="1:1" x14ac:dyDescent="0.15">
      <c r="A609" t="s">
        <v>571</v>
      </c>
    </row>
    <row r="610" spans="1:1" x14ac:dyDescent="0.15">
      <c r="A610" t="s">
        <v>572</v>
      </c>
    </row>
    <row r="611" spans="1:1" x14ac:dyDescent="0.15">
      <c r="A611" t="s">
        <v>573</v>
      </c>
    </row>
    <row r="612" spans="1:1" x14ac:dyDescent="0.15">
      <c r="A612" t="s">
        <v>574</v>
      </c>
    </row>
    <row r="613" spans="1:1" x14ac:dyDescent="0.15">
      <c r="A613" t="s">
        <v>575</v>
      </c>
    </row>
    <row r="614" spans="1:1" x14ac:dyDescent="0.15">
      <c r="A614" t="s">
        <v>576</v>
      </c>
    </row>
    <row r="615" spans="1:1" x14ac:dyDescent="0.15">
      <c r="A615" t="s">
        <v>577</v>
      </c>
    </row>
    <row r="616" spans="1:1" x14ac:dyDescent="0.15">
      <c r="A616" t="s">
        <v>578</v>
      </c>
    </row>
    <row r="617" spans="1:1" x14ac:dyDescent="0.15">
      <c r="A617" t="s">
        <v>579</v>
      </c>
    </row>
    <row r="618" spans="1:1" x14ac:dyDescent="0.15">
      <c r="A618" t="s">
        <v>580</v>
      </c>
    </row>
    <row r="619" spans="1:1" x14ac:dyDescent="0.15">
      <c r="A619" t="s">
        <v>581</v>
      </c>
    </row>
    <row r="620" spans="1:1" x14ac:dyDescent="0.15">
      <c r="A620" t="s">
        <v>582</v>
      </c>
    </row>
    <row r="621" spans="1:1" x14ac:dyDescent="0.15">
      <c r="A621" t="s">
        <v>583</v>
      </c>
    </row>
    <row r="622" spans="1:1" x14ac:dyDescent="0.15">
      <c r="A622" t="s">
        <v>584</v>
      </c>
    </row>
    <row r="623" spans="1:1" x14ac:dyDescent="0.15">
      <c r="A623" t="s">
        <v>585</v>
      </c>
    </row>
    <row r="624" spans="1:1" x14ac:dyDescent="0.15">
      <c r="A624" t="s">
        <v>586</v>
      </c>
    </row>
    <row r="625" spans="1:1" x14ac:dyDescent="0.15">
      <c r="A625" t="s">
        <v>587</v>
      </c>
    </row>
    <row r="626" spans="1:1" x14ac:dyDescent="0.15">
      <c r="A626" t="s">
        <v>588</v>
      </c>
    </row>
    <row r="627" spans="1:1" x14ac:dyDescent="0.15">
      <c r="A627" t="s">
        <v>589</v>
      </c>
    </row>
    <row r="628" spans="1:1" x14ac:dyDescent="0.15">
      <c r="A628" t="s">
        <v>590</v>
      </c>
    </row>
    <row r="629" spans="1:1" x14ac:dyDescent="0.15">
      <c r="A629" t="s">
        <v>591</v>
      </c>
    </row>
    <row r="630" spans="1:1" x14ac:dyDescent="0.15">
      <c r="A630" t="s">
        <v>592</v>
      </c>
    </row>
    <row r="631" spans="1:1" x14ac:dyDescent="0.15">
      <c r="A631" t="s">
        <v>593</v>
      </c>
    </row>
    <row r="632" spans="1:1" x14ac:dyDescent="0.15">
      <c r="A632" t="s">
        <v>594</v>
      </c>
    </row>
    <row r="633" spans="1:1" x14ac:dyDescent="0.15">
      <c r="A633" t="s">
        <v>595</v>
      </c>
    </row>
    <row r="634" spans="1:1" x14ac:dyDescent="0.15">
      <c r="A634" t="s">
        <v>596</v>
      </c>
    </row>
    <row r="635" spans="1:1" x14ac:dyDescent="0.15">
      <c r="A635" t="s">
        <v>597</v>
      </c>
    </row>
    <row r="636" spans="1:1" x14ac:dyDescent="0.15">
      <c r="A636" t="s">
        <v>598</v>
      </c>
    </row>
    <row r="637" spans="1:1" x14ac:dyDescent="0.15">
      <c r="A637" t="s">
        <v>599</v>
      </c>
    </row>
    <row r="638" spans="1:1" x14ac:dyDescent="0.15">
      <c r="A638" t="s">
        <v>600</v>
      </c>
    </row>
    <row r="639" spans="1:1" x14ac:dyDescent="0.15">
      <c r="A639" t="s">
        <v>601</v>
      </c>
    </row>
    <row r="640" spans="1:1" x14ac:dyDescent="0.15">
      <c r="A640" t="s">
        <v>602</v>
      </c>
    </row>
    <row r="641" spans="1:1" x14ac:dyDescent="0.15">
      <c r="A641" t="s">
        <v>603</v>
      </c>
    </row>
    <row r="642" spans="1:1" x14ac:dyDescent="0.15">
      <c r="A642" t="s">
        <v>604</v>
      </c>
    </row>
    <row r="643" spans="1:1" x14ac:dyDescent="0.15">
      <c r="A643" t="s">
        <v>605</v>
      </c>
    </row>
    <row r="644" spans="1:1" x14ac:dyDescent="0.15">
      <c r="A644" t="s">
        <v>606</v>
      </c>
    </row>
    <row r="645" spans="1:1" x14ac:dyDescent="0.15">
      <c r="A645" t="s">
        <v>607</v>
      </c>
    </row>
    <row r="646" spans="1:1" x14ac:dyDescent="0.15">
      <c r="A646" t="s">
        <v>608</v>
      </c>
    </row>
    <row r="647" spans="1:1" x14ac:dyDescent="0.15">
      <c r="A647" t="s">
        <v>609</v>
      </c>
    </row>
    <row r="648" spans="1:1" x14ac:dyDescent="0.15">
      <c r="A648" t="s">
        <v>610</v>
      </c>
    </row>
    <row r="649" spans="1:1" x14ac:dyDescent="0.15">
      <c r="A649" t="s">
        <v>611</v>
      </c>
    </row>
    <row r="650" spans="1:1" x14ac:dyDescent="0.15">
      <c r="A650" t="s">
        <v>612</v>
      </c>
    </row>
    <row r="651" spans="1:1" x14ac:dyDescent="0.15">
      <c r="A651" t="s">
        <v>613</v>
      </c>
    </row>
    <row r="652" spans="1:1" x14ac:dyDescent="0.15">
      <c r="A652" t="s">
        <v>614</v>
      </c>
    </row>
    <row r="653" spans="1:1" x14ac:dyDescent="0.15">
      <c r="A653" t="s">
        <v>615</v>
      </c>
    </row>
    <row r="654" spans="1:1" x14ac:dyDescent="0.15">
      <c r="A654" t="s">
        <v>616</v>
      </c>
    </row>
    <row r="655" spans="1:1" x14ac:dyDescent="0.15">
      <c r="A655" t="s">
        <v>617</v>
      </c>
    </row>
    <row r="656" spans="1:1" x14ac:dyDescent="0.15">
      <c r="A656" t="s">
        <v>618</v>
      </c>
    </row>
    <row r="657" spans="1:1" x14ac:dyDescent="0.15">
      <c r="A657" t="s">
        <v>619</v>
      </c>
    </row>
    <row r="658" spans="1:1" x14ac:dyDescent="0.15">
      <c r="A658" t="s">
        <v>620</v>
      </c>
    </row>
    <row r="659" spans="1:1" x14ac:dyDescent="0.15">
      <c r="A659" t="s">
        <v>621</v>
      </c>
    </row>
    <row r="660" spans="1:1" x14ac:dyDescent="0.15">
      <c r="A660" t="s">
        <v>622</v>
      </c>
    </row>
    <row r="661" spans="1:1" x14ac:dyDescent="0.15">
      <c r="A661" t="s">
        <v>623</v>
      </c>
    </row>
    <row r="662" spans="1:1" x14ac:dyDescent="0.15">
      <c r="A662" t="s">
        <v>624</v>
      </c>
    </row>
    <row r="663" spans="1:1" x14ac:dyDescent="0.15">
      <c r="A663" t="s">
        <v>625</v>
      </c>
    </row>
    <row r="664" spans="1:1" x14ac:dyDescent="0.15">
      <c r="A664" t="s">
        <v>626</v>
      </c>
    </row>
    <row r="665" spans="1:1" x14ac:dyDescent="0.15">
      <c r="A665" t="s">
        <v>627</v>
      </c>
    </row>
    <row r="666" spans="1:1" x14ac:dyDescent="0.15">
      <c r="A666" t="s">
        <v>628</v>
      </c>
    </row>
    <row r="667" spans="1:1" x14ac:dyDescent="0.15">
      <c r="A667" t="s">
        <v>629</v>
      </c>
    </row>
    <row r="668" spans="1:1" x14ac:dyDescent="0.15">
      <c r="A668" t="s">
        <v>630</v>
      </c>
    </row>
    <row r="669" spans="1:1" x14ac:dyDescent="0.15">
      <c r="A669" t="s">
        <v>631</v>
      </c>
    </row>
    <row r="670" spans="1:1" x14ac:dyDescent="0.15">
      <c r="A670" t="s">
        <v>632</v>
      </c>
    </row>
    <row r="671" spans="1:1" x14ac:dyDescent="0.15">
      <c r="A671" t="s">
        <v>633</v>
      </c>
    </row>
    <row r="672" spans="1:1" x14ac:dyDescent="0.15">
      <c r="A672" t="s">
        <v>634</v>
      </c>
    </row>
    <row r="673" spans="1:1" x14ac:dyDescent="0.15">
      <c r="A673" t="s">
        <v>635</v>
      </c>
    </row>
    <row r="674" spans="1:1" x14ac:dyDescent="0.15">
      <c r="A674" t="s">
        <v>636</v>
      </c>
    </row>
    <row r="675" spans="1:1" x14ac:dyDescent="0.15">
      <c r="A675" t="s">
        <v>637</v>
      </c>
    </row>
    <row r="676" spans="1:1" x14ac:dyDescent="0.15">
      <c r="A676" t="s">
        <v>638</v>
      </c>
    </row>
    <row r="677" spans="1:1" x14ac:dyDescent="0.15">
      <c r="A677" t="s">
        <v>639</v>
      </c>
    </row>
    <row r="678" spans="1:1" x14ac:dyDescent="0.15">
      <c r="A678" t="s">
        <v>640</v>
      </c>
    </row>
    <row r="679" spans="1:1" x14ac:dyDescent="0.15">
      <c r="A679" t="s">
        <v>641</v>
      </c>
    </row>
    <row r="680" spans="1:1" x14ac:dyDescent="0.15">
      <c r="A680" t="s">
        <v>642</v>
      </c>
    </row>
    <row r="681" spans="1:1" x14ac:dyDescent="0.15">
      <c r="A681" t="s">
        <v>643</v>
      </c>
    </row>
    <row r="682" spans="1:1" x14ac:dyDescent="0.15">
      <c r="A682" t="s">
        <v>644</v>
      </c>
    </row>
    <row r="683" spans="1:1" x14ac:dyDescent="0.15">
      <c r="A683" t="s">
        <v>645</v>
      </c>
    </row>
    <row r="684" spans="1:1" x14ac:dyDescent="0.15">
      <c r="A684" t="s">
        <v>646</v>
      </c>
    </row>
    <row r="685" spans="1:1" x14ac:dyDescent="0.15">
      <c r="A685" t="s">
        <v>647</v>
      </c>
    </row>
    <row r="686" spans="1:1" x14ac:dyDescent="0.15">
      <c r="A686" t="s">
        <v>648</v>
      </c>
    </row>
    <row r="687" spans="1:1" x14ac:dyDescent="0.15">
      <c r="A687" t="s">
        <v>649</v>
      </c>
    </row>
    <row r="688" spans="1:1" x14ac:dyDescent="0.15">
      <c r="A688" t="s">
        <v>650</v>
      </c>
    </row>
    <row r="689" spans="1:1" x14ac:dyDescent="0.15">
      <c r="A689" t="s">
        <v>651</v>
      </c>
    </row>
    <row r="690" spans="1:1" x14ac:dyDescent="0.15">
      <c r="A690" t="s">
        <v>652</v>
      </c>
    </row>
    <row r="691" spans="1:1" x14ac:dyDescent="0.15">
      <c r="A691" t="s">
        <v>653</v>
      </c>
    </row>
    <row r="692" spans="1:1" x14ac:dyDescent="0.15">
      <c r="A692" t="s">
        <v>654</v>
      </c>
    </row>
    <row r="693" spans="1:1" x14ac:dyDescent="0.15">
      <c r="A693" t="s">
        <v>655</v>
      </c>
    </row>
    <row r="694" spans="1:1" x14ac:dyDescent="0.15">
      <c r="A694" t="s">
        <v>656</v>
      </c>
    </row>
    <row r="695" spans="1:1" x14ac:dyDescent="0.15">
      <c r="A695" t="s">
        <v>657</v>
      </c>
    </row>
    <row r="696" spans="1:1" x14ac:dyDescent="0.15">
      <c r="A696" t="s">
        <v>658</v>
      </c>
    </row>
    <row r="697" spans="1:1" x14ac:dyDescent="0.15">
      <c r="A697" t="s">
        <v>659</v>
      </c>
    </row>
    <row r="698" spans="1:1" x14ac:dyDescent="0.15">
      <c r="A698" t="s">
        <v>660</v>
      </c>
    </row>
    <row r="699" spans="1:1" x14ac:dyDescent="0.15">
      <c r="A699" t="s">
        <v>661</v>
      </c>
    </row>
    <row r="700" spans="1:1" x14ac:dyDescent="0.15">
      <c r="A700" t="s">
        <v>662</v>
      </c>
    </row>
    <row r="701" spans="1:1" x14ac:dyDescent="0.15">
      <c r="A701" t="s">
        <v>663</v>
      </c>
    </row>
    <row r="702" spans="1:1" x14ac:dyDescent="0.15">
      <c r="A702" t="s">
        <v>664</v>
      </c>
    </row>
    <row r="703" spans="1:1" x14ac:dyDescent="0.15">
      <c r="A703" t="s">
        <v>665</v>
      </c>
    </row>
    <row r="704" spans="1:1" x14ac:dyDescent="0.15">
      <c r="A704" t="s">
        <v>666</v>
      </c>
    </row>
    <row r="705" spans="1:1" x14ac:dyDescent="0.15">
      <c r="A705" t="s">
        <v>667</v>
      </c>
    </row>
    <row r="706" spans="1:1" x14ac:dyDescent="0.15">
      <c r="A706" t="s">
        <v>668</v>
      </c>
    </row>
    <row r="707" spans="1:1" x14ac:dyDescent="0.15">
      <c r="A707" t="s">
        <v>669</v>
      </c>
    </row>
    <row r="708" spans="1:1" x14ac:dyDescent="0.15">
      <c r="A708" t="s">
        <v>670</v>
      </c>
    </row>
    <row r="709" spans="1:1" x14ac:dyDescent="0.15">
      <c r="A709" t="s">
        <v>671</v>
      </c>
    </row>
    <row r="710" spans="1:1" x14ac:dyDescent="0.15">
      <c r="A710" t="s">
        <v>672</v>
      </c>
    </row>
    <row r="711" spans="1:1" x14ac:dyDescent="0.15">
      <c r="A711" t="s">
        <v>673</v>
      </c>
    </row>
    <row r="712" spans="1:1" x14ac:dyDescent="0.15">
      <c r="A712" t="s">
        <v>674</v>
      </c>
    </row>
    <row r="713" spans="1:1" x14ac:dyDescent="0.15">
      <c r="A713" t="s">
        <v>675</v>
      </c>
    </row>
    <row r="714" spans="1:1" x14ac:dyDescent="0.15">
      <c r="A714" t="s">
        <v>676</v>
      </c>
    </row>
    <row r="715" spans="1:1" x14ac:dyDescent="0.15">
      <c r="A715" t="s">
        <v>677</v>
      </c>
    </row>
    <row r="716" spans="1:1" x14ac:dyDescent="0.15">
      <c r="A716" t="s">
        <v>678</v>
      </c>
    </row>
    <row r="717" spans="1:1" x14ac:dyDescent="0.15">
      <c r="A717" t="s">
        <v>679</v>
      </c>
    </row>
    <row r="718" spans="1:1" x14ac:dyDescent="0.15">
      <c r="A718" t="s">
        <v>680</v>
      </c>
    </row>
    <row r="719" spans="1:1" x14ac:dyDescent="0.15">
      <c r="A719" t="s">
        <v>681</v>
      </c>
    </row>
    <row r="720" spans="1:1" x14ac:dyDescent="0.15">
      <c r="A720" t="s">
        <v>682</v>
      </c>
    </row>
    <row r="721" spans="1:1" x14ac:dyDescent="0.15">
      <c r="A721" t="s">
        <v>683</v>
      </c>
    </row>
    <row r="722" spans="1:1" x14ac:dyDescent="0.15">
      <c r="A722" t="s">
        <v>684</v>
      </c>
    </row>
    <row r="723" spans="1:1" x14ac:dyDescent="0.15">
      <c r="A723" t="s">
        <v>685</v>
      </c>
    </row>
    <row r="724" spans="1:1" x14ac:dyDescent="0.15">
      <c r="A724" t="s">
        <v>686</v>
      </c>
    </row>
    <row r="725" spans="1:1" x14ac:dyDescent="0.15">
      <c r="A725" t="s">
        <v>687</v>
      </c>
    </row>
    <row r="726" spans="1:1" x14ac:dyDescent="0.15">
      <c r="A726" t="s">
        <v>688</v>
      </c>
    </row>
    <row r="727" spans="1:1" x14ac:dyDescent="0.15">
      <c r="A727" t="s">
        <v>689</v>
      </c>
    </row>
    <row r="728" spans="1:1" x14ac:dyDescent="0.15">
      <c r="A728" t="s">
        <v>690</v>
      </c>
    </row>
    <row r="729" spans="1:1" x14ac:dyDescent="0.15">
      <c r="A729" t="s">
        <v>691</v>
      </c>
    </row>
    <row r="730" spans="1:1" x14ac:dyDescent="0.15">
      <c r="A730" t="s">
        <v>692</v>
      </c>
    </row>
    <row r="731" spans="1:1" x14ac:dyDescent="0.15">
      <c r="A731" t="s">
        <v>693</v>
      </c>
    </row>
    <row r="732" spans="1:1" x14ac:dyDescent="0.15">
      <c r="A732" t="s">
        <v>694</v>
      </c>
    </row>
    <row r="733" spans="1:1" x14ac:dyDescent="0.15">
      <c r="A733" t="s">
        <v>695</v>
      </c>
    </row>
    <row r="734" spans="1:1" x14ac:dyDescent="0.15">
      <c r="A734" t="s">
        <v>696</v>
      </c>
    </row>
    <row r="735" spans="1:1" x14ac:dyDescent="0.15">
      <c r="A735" t="s">
        <v>697</v>
      </c>
    </row>
    <row r="736" spans="1:1" x14ac:dyDescent="0.15">
      <c r="A736" t="s">
        <v>698</v>
      </c>
    </row>
    <row r="737" spans="1:1" x14ac:dyDescent="0.15">
      <c r="A737" t="s">
        <v>699</v>
      </c>
    </row>
    <row r="738" spans="1:1" x14ac:dyDescent="0.15">
      <c r="A738" t="s">
        <v>700</v>
      </c>
    </row>
    <row r="739" spans="1:1" x14ac:dyDescent="0.15">
      <c r="A739" t="s">
        <v>701</v>
      </c>
    </row>
    <row r="740" spans="1:1" x14ac:dyDescent="0.15">
      <c r="A740" t="s">
        <v>702</v>
      </c>
    </row>
    <row r="741" spans="1:1" x14ac:dyDescent="0.15">
      <c r="A741" t="s">
        <v>703</v>
      </c>
    </row>
    <row r="742" spans="1:1" x14ac:dyDescent="0.15">
      <c r="A742" t="s">
        <v>704</v>
      </c>
    </row>
    <row r="743" spans="1:1" x14ac:dyDescent="0.15">
      <c r="A743" t="s">
        <v>705</v>
      </c>
    </row>
    <row r="744" spans="1:1" x14ac:dyDescent="0.15">
      <c r="A744" t="s">
        <v>706</v>
      </c>
    </row>
    <row r="745" spans="1:1" x14ac:dyDescent="0.15">
      <c r="A745" t="s">
        <v>707</v>
      </c>
    </row>
    <row r="746" spans="1:1" x14ac:dyDescent="0.15">
      <c r="A746" t="s">
        <v>708</v>
      </c>
    </row>
    <row r="747" spans="1:1" x14ac:dyDescent="0.15">
      <c r="A747" t="s">
        <v>709</v>
      </c>
    </row>
    <row r="748" spans="1:1" x14ac:dyDescent="0.15">
      <c r="A748" t="s">
        <v>710</v>
      </c>
    </row>
    <row r="749" spans="1:1" x14ac:dyDescent="0.15">
      <c r="A749" t="s">
        <v>711</v>
      </c>
    </row>
    <row r="750" spans="1:1" x14ac:dyDescent="0.15">
      <c r="A750" t="s">
        <v>712</v>
      </c>
    </row>
    <row r="751" spans="1:1" x14ac:dyDescent="0.15">
      <c r="A751" t="s">
        <v>713</v>
      </c>
    </row>
    <row r="752" spans="1:1" x14ac:dyDescent="0.15">
      <c r="A752" t="s">
        <v>714</v>
      </c>
    </row>
    <row r="753" spans="1:1" x14ac:dyDescent="0.15">
      <c r="A753" t="s">
        <v>715</v>
      </c>
    </row>
    <row r="754" spans="1:1" x14ac:dyDescent="0.15">
      <c r="A754" t="s">
        <v>716</v>
      </c>
    </row>
    <row r="755" spans="1:1" x14ac:dyDescent="0.15">
      <c r="A755" t="s">
        <v>717</v>
      </c>
    </row>
    <row r="756" spans="1:1" x14ac:dyDescent="0.15">
      <c r="A756" t="s">
        <v>718</v>
      </c>
    </row>
    <row r="757" spans="1:1" x14ac:dyDescent="0.15">
      <c r="A757" t="s">
        <v>719</v>
      </c>
    </row>
    <row r="758" spans="1:1" x14ac:dyDescent="0.15">
      <c r="A758" t="s">
        <v>720</v>
      </c>
    </row>
    <row r="759" spans="1:1" x14ac:dyDescent="0.15">
      <c r="A759" t="s">
        <v>721</v>
      </c>
    </row>
    <row r="760" spans="1:1" x14ac:dyDescent="0.15">
      <c r="A760" t="s">
        <v>722</v>
      </c>
    </row>
    <row r="761" spans="1:1" x14ac:dyDescent="0.15">
      <c r="A761" t="s">
        <v>723</v>
      </c>
    </row>
    <row r="762" spans="1:1" x14ac:dyDescent="0.15">
      <c r="A762" t="s">
        <v>724</v>
      </c>
    </row>
    <row r="763" spans="1:1" x14ac:dyDescent="0.15">
      <c r="A763" t="s">
        <v>725</v>
      </c>
    </row>
    <row r="764" spans="1:1" x14ac:dyDescent="0.15">
      <c r="A764" t="s">
        <v>726</v>
      </c>
    </row>
    <row r="765" spans="1:1" x14ac:dyDescent="0.15">
      <c r="A765" t="s">
        <v>727</v>
      </c>
    </row>
    <row r="766" spans="1:1" x14ac:dyDescent="0.15">
      <c r="A766" t="s">
        <v>728</v>
      </c>
    </row>
    <row r="767" spans="1:1" x14ac:dyDescent="0.15">
      <c r="A767" t="s">
        <v>729</v>
      </c>
    </row>
    <row r="768" spans="1:1" x14ac:dyDescent="0.15">
      <c r="A768" t="s">
        <v>730</v>
      </c>
    </row>
    <row r="769" spans="1:1" x14ac:dyDescent="0.15">
      <c r="A769" t="s">
        <v>731</v>
      </c>
    </row>
    <row r="770" spans="1:1" x14ac:dyDescent="0.15">
      <c r="A770" t="s">
        <v>732</v>
      </c>
    </row>
    <row r="771" spans="1:1" x14ac:dyDescent="0.15">
      <c r="A771" t="s">
        <v>733</v>
      </c>
    </row>
    <row r="772" spans="1:1" x14ac:dyDescent="0.15">
      <c r="A772" t="s">
        <v>734</v>
      </c>
    </row>
    <row r="773" spans="1:1" x14ac:dyDescent="0.15">
      <c r="A773" t="s">
        <v>735</v>
      </c>
    </row>
    <row r="774" spans="1:1" x14ac:dyDescent="0.15">
      <c r="A774" t="s">
        <v>736</v>
      </c>
    </row>
    <row r="775" spans="1:1" x14ac:dyDescent="0.15">
      <c r="A775" t="s">
        <v>737</v>
      </c>
    </row>
    <row r="776" spans="1:1" x14ac:dyDescent="0.15">
      <c r="A776" t="s">
        <v>738</v>
      </c>
    </row>
    <row r="777" spans="1:1" x14ac:dyDescent="0.15">
      <c r="A777" t="s">
        <v>739</v>
      </c>
    </row>
    <row r="778" spans="1:1" x14ac:dyDescent="0.15">
      <c r="A778" t="s">
        <v>740</v>
      </c>
    </row>
    <row r="779" spans="1:1" x14ac:dyDescent="0.15">
      <c r="A779" t="s">
        <v>741</v>
      </c>
    </row>
    <row r="780" spans="1:1" x14ac:dyDescent="0.15">
      <c r="A780" t="s">
        <v>742</v>
      </c>
    </row>
    <row r="781" spans="1:1" x14ac:dyDescent="0.15">
      <c r="A781" t="s">
        <v>743</v>
      </c>
    </row>
    <row r="782" spans="1:1" x14ac:dyDescent="0.15">
      <c r="A782" t="s">
        <v>744</v>
      </c>
    </row>
    <row r="783" spans="1:1" x14ac:dyDescent="0.15">
      <c r="A783" t="s">
        <v>745</v>
      </c>
    </row>
    <row r="784" spans="1:1" x14ac:dyDescent="0.15">
      <c r="A784" t="s">
        <v>746</v>
      </c>
    </row>
    <row r="785" spans="1:1" x14ac:dyDescent="0.15">
      <c r="A785" t="s">
        <v>747</v>
      </c>
    </row>
    <row r="786" spans="1:1" x14ac:dyDescent="0.15">
      <c r="A786" t="s">
        <v>748</v>
      </c>
    </row>
    <row r="787" spans="1:1" x14ac:dyDescent="0.15">
      <c r="A787" t="s">
        <v>749</v>
      </c>
    </row>
    <row r="788" spans="1:1" x14ac:dyDescent="0.15">
      <c r="A788" t="s">
        <v>750</v>
      </c>
    </row>
    <row r="789" spans="1:1" x14ac:dyDescent="0.15">
      <c r="A789" t="s">
        <v>751</v>
      </c>
    </row>
    <row r="790" spans="1:1" x14ac:dyDescent="0.15">
      <c r="A790" t="s">
        <v>752</v>
      </c>
    </row>
    <row r="791" spans="1:1" x14ac:dyDescent="0.15">
      <c r="A791" t="s">
        <v>753</v>
      </c>
    </row>
    <row r="792" spans="1:1" x14ac:dyDescent="0.15">
      <c r="A792" t="s">
        <v>754</v>
      </c>
    </row>
    <row r="793" spans="1:1" x14ac:dyDescent="0.15">
      <c r="A793" t="s">
        <v>755</v>
      </c>
    </row>
    <row r="794" spans="1:1" x14ac:dyDescent="0.15">
      <c r="A794" t="s">
        <v>756</v>
      </c>
    </row>
    <row r="795" spans="1:1" x14ac:dyDescent="0.15">
      <c r="A795" t="s">
        <v>757</v>
      </c>
    </row>
    <row r="796" spans="1:1" x14ac:dyDescent="0.15">
      <c r="A796" t="s">
        <v>758</v>
      </c>
    </row>
    <row r="797" spans="1:1" x14ac:dyDescent="0.15">
      <c r="A797" t="s">
        <v>759</v>
      </c>
    </row>
    <row r="798" spans="1:1" x14ac:dyDescent="0.15">
      <c r="A798" t="s">
        <v>760</v>
      </c>
    </row>
    <row r="799" spans="1:1" x14ac:dyDescent="0.15">
      <c r="A799" t="s">
        <v>761</v>
      </c>
    </row>
    <row r="800" spans="1:1" x14ac:dyDescent="0.15">
      <c r="A800" t="s">
        <v>762</v>
      </c>
    </row>
    <row r="801" spans="1:1" x14ac:dyDescent="0.15">
      <c r="A801" t="s">
        <v>763</v>
      </c>
    </row>
    <row r="802" spans="1:1" x14ac:dyDescent="0.15">
      <c r="A802" t="s">
        <v>764</v>
      </c>
    </row>
    <row r="803" spans="1:1" x14ac:dyDescent="0.15">
      <c r="A803" t="s">
        <v>765</v>
      </c>
    </row>
    <row r="804" spans="1:1" x14ac:dyDescent="0.15">
      <c r="A804" t="s">
        <v>766</v>
      </c>
    </row>
    <row r="805" spans="1:1" x14ac:dyDescent="0.15">
      <c r="A805" t="s">
        <v>767</v>
      </c>
    </row>
    <row r="806" spans="1:1" x14ac:dyDescent="0.15">
      <c r="A806" t="s">
        <v>768</v>
      </c>
    </row>
    <row r="807" spans="1:1" x14ac:dyDescent="0.15">
      <c r="A807" t="s">
        <v>769</v>
      </c>
    </row>
    <row r="808" spans="1:1" x14ac:dyDescent="0.15">
      <c r="A808" t="s">
        <v>770</v>
      </c>
    </row>
    <row r="809" spans="1:1" x14ac:dyDescent="0.15">
      <c r="A809" t="s">
        <v>771</v>
      </c>
    </row>
    <row r="810" spans="1:1" x14ac:dyDescent="0.15">
      <c r="A810" t="s">
        <v>772</v>
      </c>
    </row>
    <row r="811" spans="1:1" x14ac:dyDescent="0.15">
      <c r="A811" t="s">
        <v>773</v>
      </c>
    </row>
    <row r="812" spans="1:1" x14ac:dyDescent="0.15">
      <c r="A812" t="s">
        <v>774</v>
      </c>
    </row>
    <row r="813" spans="1:1" x14ac:dyDescent="0.15">
      <c r="A813" t="s">
        <v>775</v>
      </c>
    </row>
    <row r="814" spans="1:1" x14ac:dyDescent="0.15">
      <c r="A814" t="s">
        <v>776</v>
      </c>
    </row>
    <row r="815" spans="1:1" x14ac:dyDescent="0.15">
      <c r="A815" t="s">
        <v>777</v>
      </c>
    </row>
    <row r="816" spans="1:1" x14ac:dyDescent="0.15">
      <c r="A816" t="s">
        <v>778</v>
      </c>
    </row>
    <row r="817" spans="1:1" x14ac:dyDescent="0.15">
      <c r="A817" t="s">
        <v>779</v>
      </c>
    </row>
    <row r="818" spans="1:1" x14ac:dyDescent="0.15">
      <c r="A818" t="s">
        <v>780</v>
      </c>
    </row>
    <row r="819" spans="1:1" x14ac:dyDescent="0.15">
      <c r="A819" t="s">
        <v>781</v>
      </c>
    </row>
    <row r="820" spans="1:1" x14ac:dyDescent="0.15">
      <c r="A820" t="s">
        <v>782</v>
      </c>
    </row>
    <row r="821" spans="1:1" x14ac:dyDescent="0.15">
      <c r="A821" t="s">
        <v>783</v>
      </c>
    </row>
    <row r="822" spans="1:1" x14ac:dyDescent="0.15">
      <c r="A822" t="s">
        <v>784</v>
      </c>
    </row>
    <row r="823" spans="1:1" x14ac:dyDescent="0.15">
      <c r="A823" t="s">
        <v>785</v>
      </c>
    </row>
    <row r="824" spans="1:1" x14ac:dyDescent="0.15">
      <c r="A824" t="s">
        <v>786</v>
      </c>
    </row>
    <row r="825" spans="1:1" x14ac:dyDescent="0.15">
      <c r="A825" t="s">
        <v>787</v>
      </c>
    </row>
    <row r="826" spans="1:1" x14ac:dyDescent="0.15">
      <c r="A826" t="s">
        <v>788</v>
      </c>
    </row>
    <row r="827" spans="1:1" x14ac:dyDescent="0.15">
      <c r="A827" t="s">
        <v>789</v>
      </c>
    </row>
    <row r="828" spans="1:1" x14ac:dyDescent="0.15">
      <c r="A828" t="s">
        <v>790</v>
      </c>
    </row>
    <row r="829" spans="1:1" x14ac:dyDescent="0.15">
      <c r="A829" t="s">
        <v>791</v>
      </c>
    </row>
    <row r="830" spans="1:1" x14ac:dyDescent="0.15">
      <c r="A830" t="s">
        <v>792</v>
      </c>
    </row>
    <row r="831" spans="1:1" x14ac:dyDescent="0.15">
      <c r="A831" t="s">
        <v>793</v>
      </c>
    </row>
    <row r="832" spans="1:1" x14ac:dyDescent="0.15">
      <c r="A832" t="s">
        <v>794</v>
      </c>
    </row>
    <row r="833" spans="1:1" x14ac:dyDescent="0.15">
      <c r="A833" t="s">
        <v>795</v>
      </c>
    </row>
    <row r="834" spans="1:1" x14ac:dyDescent="0.15">
      <c r="A834" t="s">
        <v>796</v>
      </c>
    </row>
    <row r="835" spans="1:1" x14ac:dyDescent="0.15">
      <c r="A835" t="s">
        <v>797</v>
      </c>
    </row>
    <row r="836" spans="1:1" x14ac:dyDescent="0.15">
      <c r="A836" t="s">
        <v>798</v>
      </c>
    </row>
    <row r="837" spans="1:1" x14ac:dyDescent="0.15">
      <c r="A837" t="s">
        <v>799</v>
      </c>
    </row>
    <row r="838" spans="1:1" x14ac:dyDescent="0.15">
      <c r="A838" t="s">
        <v>800</v>
      </c>
    </row>
    <row r="839" spans="1:1" x14ac:dyDescent="0.15">
      <c r="A839" t="s">
        <v>801</v>
      </c>
    </row>
    <row r="840" spans="1:1" x14ac:dyDescent="0.15">
      <c r="A840" t="s">
        <v>802</v>
      </c>
    </row>
    <row r="841" spans="1:1" x14ac:dyDescent="0.15">
      <c r="A841" t="s">
        <v>803</v>
      </c>
    </row>
    <row r="842" spans="1:1" x14ac:dyDescent="0.15">
      <c r="A842" t="s">
        <v>804</v>
      </c>
    </row>
    <row r="843" spans="1:1" x14ac:dyDescent="0.15">
      <c r="A843" t="s">
        <v>805</v>
      </c>
    </row>
    <row r="844" spans="1:1" x14ac:dyDescent="0.15">
      <c r="A844" t="s">
        <v>806</v>
      </c>
    </row>
    <row r="845" spans="1:1" x14ac:dyDescent="0.15">
      <c r="A845" t="s">
        <v>807</v>
      </c>
    </row>
    <row r="846" spans="1:1" x14ac:dyDescent="0.15">
      <c r="A846" t="s">
        <v>808</v>
      </c>
    </row>
    <row r="847" spans="1:1" x14ac:dyDescent="0.15">
      <c r="A847" t="s">
        <v>809</v>
      </c>
    </row>
    <row r="848" spans="1:1" x14ac:dyDescent="0.15">
      <c r="A848" t="s">
        <v>810</v>
      </c>
    </row>
    <row r="849" spans="1:1" x14ac:dyDescent="0.15">
      <c r="A849" t="s">
        <v>811</v>
      </c>
    </row>
    <row r="850" spans="1:1" x14ac:dyDescent="0.15">
      <c r="A850" t="s">
        <v>812</v>
      </c>
    </row>
    <row r="851" spans="1:1" x14ac:dyDescent="0.15">
      <c r="A851" t="s">
        <v>813</v>
      </c>
    </row>
    <row r="852" spans="1:1" x14ac:dyDescent="0.15">
      <c r="A852" t="s">
        <v>814</v>
      </c>
    </row>
    <row r="853" spans="1:1" x14ac:dyDescent="0.15">
      <c r="A853" t="s">
        <v>815</v>
      </c>
    </row>
    <row r="854" spans="1:1" x14ac:dyDescent="0.15">
      <c r="A854" t="s">
        <v>816</v>
      </c>
    </row>
    <row r="855" spans="1:1" x14ac:dyDescent="0.15">
      <c r="A855" t="s">
        <v>817</v>
      </c>
    </row>
    <row r="856" spans="1:1" x14ac:dyDescent="0.15">
      <c r="A856" t="s">
        <v>818</v>
      </c>
    </row>
    <row r="857" spans="1:1" x14ac:dyDescent="0.15">
      <c r="A857" t="s">
        <v>819</v>
      </c>
    </row>
    <row r="858" spans="1:1" x14ac:dyDescent="0.15">
      <c r="A858" t="s">
        <v>820</v>
      </c>
    </row>
    <row r="859" spans="1:1" x14ac:dyDescent="0.15">
      <c r="A859" t="s">
        <v>821</v>
      </c>
    </row>
    <row r="860" spans="1:1" x14ac:dyDescent="0.15">
      <c r="A860" t="s">
        <v>822</v>
      </c>
    </row>
    <row r="861" spans="1:1" x14ac:dyDescent="0.15">
      <c r="A861" t="s">
        <v>823</v>
      </c>
    </row>
    <row r="862" spans="1:1" x14ac:dyDescent="0.15">
      <c r="A862" t="s">
        <v>824</v>
      </c>
    </row>
    <row r="863" spans="1:1" x14ac:dyDescent="0.15">
      <c r="A863" t="s">
        <v>825</v>
      </c>
    </row>
    <row r="864" spans="1:1" x14ac:dyDescent="0.15">
      <c r="A864" t="s">
        <v>826</v>
      </c>
    </row>
    <row r="865" spans="1:1" x14ac:dyDescent="0.15">
      <c r="A865" t="s">
        <v>827</v>
      </c>
    </row>
    <row r="866" spans="1:1" x14ac:dyDescent="0.15">
      <c r="A866" t="s">
        <v>828</v>
      </c>
    </row>
    <row r="867" spans="1:1" x14ac:dyDescent="0.15">
      <c r="A867" t="s">
        <v>829</v>
      </c>
    </row>
    <row r="868" spans="1:1" x14ac:dyDescent="0.15">
      <c r="A868" t="s">
        <v>830</v>
      </c>
    </row>
    <row r="869" spans="1:1" x14ac:dyDescent="0.15">
      <c r="A869" t="s">
        <v>831</v>
      </c>
    </row>
    <row r="870" spans="1:1" x14ac:dyDescent="0.15">
      <c r="A870" t="s">
        <v>832</v>
      </c>
    </row>
    <row r="871" spans="1:1" x14ac:dyDescent="0.15">
      <c r="A871" t="s">
        <v>833</v>
      </c>
    </row>
    <row r="872" spans="1:1" x14ac:dyDescent="0.15">
      <c r="A872" t="s">
        <v>834</v>
      </c>
    </row>
    <row r="873" spans="1:1" x14ac:dyDescent="0.15">
      <c r="A873" t="s">
        <v>835</v>
      </c>
    </row>
    <row r="874" spans="1:1" x14ac:dyDescent="0.15">
      <c r="A874" t="s">
        <v>836</v>
      </c>
    </row>
    <row r="875" spans="1:1" x14ac:dyDescent="0.15">
      <c r="A875" t="s">
        <v>837</v>
      </c>
    </row>
    <row r="876" spans="1:1" x14ac:dyDescent="0.15">
      <c r="A876" t="s">
        <v>838</v>
      </c>
    </row>
    <row r="877" spans="1:1" x14ac:dyDescent="0.15">
      <c r="A877" t="s">
        <v>839</v>
      </c>
    </row>
    <row r="878" spans="1:1" x14ac:dyDescent="0.15">
      <c r="A878" t="s">
        <v>840</v>
      </c>
    </row>
    <row r="879" spans="1:1" x14ac:dyDescent="0.15">
      <c r="A879" t="s">
        <v>841</v>
      </c>
    </row>
    <row r="880" spans="1:1" x14ac:dyDescent="0.15">
      <c r="A880" t="s">
        <v>842</v>
      </c>
    </row>
    <row r="881" spans="1:1" x14ac:dyDescent="0.15">
      <c r="A881" t="s">
        <v>843</v>
      </c>
    </row>
    <row r="882" spans="1:1" x14ac:dyDescent="0.15">
      <c r="A882" t="s">
        <v>844</v>
      </c>
    </row>
    <row r="883" spans="1:1" x14ac:dyDescent="0.15">
      <c r="A883" t="s">
        <v>845</v>
      </c>
    </row>
    <row r="884" spans="1:1" x14ac:dyDescent="0.15">
      <c r="A884" t="s">
        <v>846</v>
      </c>
    </row>
    <row r="885" spans="1:1" x14ac:dyDescent="0.15">
      <c r="A885" t="s">
        <v>847</v>
      </c>
    </row>
    <row r="886" spans="1:1" x14ac:dyDescent="0.15">
      <c r="A886" t="s">
        <v>848</v>
      </c>
    </row>
    <row r="887" spans="1:1" x14ac:dyDescent="0.15">
      <c r="A887" t="s">
        <v>849</v>
      </c>
    </row>
    <row r="888" spans="1:1" x14ac:dyDescent="0.15">
      <c r="A888" t="s">
        <v>850</v>
      </c>
    </row>
    <row r="889" spans="1:1" x14ac:dyDescent="0.15">
      <c r="A889" t="s">
        <v>851</v>
      </c>
    </row>
    <row r="890" spans="1:1" x14ac:dyDescent="0.15">
      <c r="A890" t="s">
        <v>852</v>
      </c>
    </row>
    <row r="891" spans="1:1" x14ac:dyDescent="0.15">
      <c r="A891" t="s">
        <v>853</v>
      </c>
    </row>
    <row r="892" spans="1:1" x14ac:dyDescent="0.15">
      <c r="A892" t="s">
        <v>854</v>
      </c>
    </row>
    <row r="893" spans="1:1" x14ac:dyDescent="0.15">
      <c r="A893" t="s">
        <v>855</v>
      </c>
    </row>
    <row r="894" spans="1:1" x14ac:dyDescent="0.15">
      <c r="A894" t="s">
        <v>856</v>
      </c>
    </row>
    <row r="895" spans="1:1" x14ac:dyDescent="0.15">
      <c r="A895" t="s">
        <v>857</v>
      </c>
    </row>
    <row r="896" spans="1:1" x14ac:dyDescent="0.15">
      <c r="A896" t="s">
        <v>858</v>
      </c>
    </row>
    <row r="897" spans="1:1" x14ac:dyDescent="0.15">
      <c r="A897" t="s">
        <v>859</v>
      </c>
    </row>
    <row r="898" spans="1:1" x14ac:dyDescent="0.15">
      <c r="A898" t="s">
        <v>860</v>
      </c>
    </row>
    <row r="899" spans="1:1" x14ac:dyDescent="0.15">
      <c r="A899" t="s">
        <v>861</v>
      </c>
    </row>
    <row r="900" spans="1:1" x14ac:dyDescent="0.15">
      <c r="A900" t="s">
        <v>862</v>
      </c>
    </row>
    <row r="901" spans="1:1" x14ac:dyDescent="0.15">
      <c r="A901" t="s">
        <v>863</v>
      </c>
    </row>
    <row r="902" spans="1:1" x14ac:dyDescent="0.15">
      <c r="A902" t="s">
        <v>864</v>
      </c>
    </row>
    <row r="903" spans="1:1" x14ac:dyDescent="0.15">
      <c r="A903" t="s">
        <v>865</v>
      </c>
    </row>
    <row r="904" spans="1:1" x14ac:dyDescent="0.15">
      <c r="A904" t="s">
        <v>866</v>
      </c>
    </row>
    <row r="905" spans="1:1" x14ac:dyDescent="0.15">
      <c r="A905" t="s">
        <v>867</v>
      </c>
    </row>
    <row r="906" spans="1:1" x14ac:dyDescent="0.15">
      <c r="A906" t="s">
        <v>868</v>
      </c>
    </row>
    <row r="907" spans="1:1" x14ac:dyDescent="0.15">
      <c r="A907" t="s">
        <v>869</v>
      </c>
    </row>
    <row r="908" spans="1:1" x14ac:dyDescent="0.15">
      <c r="A908" t="s">
        <v>870</v>
      </c>
    </row>
    <row r="909" spans="1:1" x14ac:dyDescent="0.15">
      <c r="A909" t="s">
        <v>871</v>
      </c>
    </row>
    <row r="910" spans="1:1" x14ac:dyDescent="0.15">
      <c r="A910" t="s">
        <v>872</v>
      </c>
    </row>
    <row r="911" spans="1:1" x14ac:dyDescent="0.15">
      <c r="A911" t="s">
        <v>873</v>
      </c>
    </row>
    <row r="912" spans="1:1" x14ac:dyDescent="0.15">
      <c r="A912" t="s">
        <v>874</v>
      </c>
    </row>
    <row r="913" spans="1:1" x14ac:dyDescent="0.15">
      <c r="A913" t="s">
        <v>875</v>
      </c>
    </row>
    <row r="914" spans="1:1" x14ac:dyDescent="0.15">
      <c r="A914" t="s">
        <v>876</v>
      </c>
    </row>
    <row r="915" spans="1:1" x14ac:dyDescent="0.15">
      <c r="A915" t="s">
        <v>877</v>
      </c>
    </row>
    <row r="916" spans="1:1" x14ac:dyDescent="0.15">
      <c r="A916" t="s">
        <v>878</v>
      </c>
    </row>
    <row r="917" spans="1:1" x14ac:dyDescent="0.15">
      <c r="A917" t="s">
        <v>879</v>
      </c>
    </row>
    <row r="918" spans="1:1" x14ac:dyDescent="0.15">
      <c r="A918" t="s">
        <v>880</v>
      </c>
    </row>
    <row r="919" spans="1:1" x14ac:dyDescent="0.15">
      <c r="A919" t="s">
        <v>881</v>
      </c>
    </row>
    <row r="920" spans="1:1" x14ac:dyDescent="0.15">
      <c r="A920" t="s">
        <v>882</v>
      </c>
    </row>
    <row r="921" spans="1:1" x14ac:dyDescent="0.15">
      <c r="A921" t="s">
        <v>883</v>
      </c>
    </row>
    <row r="922" spans="1:1" x14ac:dyDescent="0.15">
      <c r="A922" t="s">
        <v>884</v>
      </c>
    </row>
    <row r="923" spans="1:1" x14ac:dyDescent="0.15">
      <c r="A923" t="s">
        <v>885</v>
      </c>
    </row>
    <row r="924" spans="1:1" x14ac:dyDescent="0.15">
      <c r="A924" t="s">
        <v>886</v>
      </c>
    </row>
    <row r="925" spans="1:1" x14ac:dyDescent="0.15">
      <c r="A925" t="s">
        <v>887</v>
      </c>
    </row>
    <row r="926" spans="1:1" x14ac:dyDescent="0.15">
      <c r="A926" t="s">
        <v>888</v>
      </c>
    </row>
    <row r="927" spans="1:1" x14ac:dyDescent="0.15">
      <c r="A927" t="s">
        <v>889</v>
      </c>
    </row>
    <row r="928" spans="1:1" x14ac:dyDescent="0.15">
      <c r="A928" t="s">
        <v>890</v>
      </c>
    </row>
    <row r="929" spans="1:1" x14ac:dyDescent="0.15">
      <c r="A929" t="s">
        <v>891</v>
      </c>
    </row>
    <row r="930" spans="1:1" x14ac:dyDescent="0.15">
      <c r="A930" t="s">
        <v>892</v>
      </c>
    </row>
    <row r="931" spans="1:1" x14ac:dyDescent="0.15">
      <c r="A931" t="s">
        <v>893</v>
      </c>
    </row>
    <row r="932" spans="1:1" x14ac:dyDescent="0.15">
      <c r="A932" t="s">
        <v>894</v>
      </c>
    </row>
    <row r="933" spans="1:1" x14ac:dyDescent="0.15">
      <c r="A933" t="s">
        <v>895</v>
      </c>
    </row>
    <row r="934" spans="1:1" x14ac:dyDescent="0.15">
      <c r="A934" t="s">
        <v>896</v>
      </c>
    </row>
    <row r="935" spans="1:1" x14ac:dyDescent="0.15">
      <c r="A935" t="s">
        <v>897</v>
      </c>
    </row>
    <row r="936" spans="1:1" x14ac:dyDescent="0.15">
      <c r="A936" t="s">
        <v>898</v>
      </c>
    </row>
    <row r="937" spans="1:1" x14ac:dyDescent="0.15">
      <c r="A937" t="s">
        <v>899</v>
      </c>
    </row>
    <row r="938" spans="1:1" x14ac:dyDescent="0.15">
      <c r="A938" t="s">
        <v>900</v>
      </c>
    </row>
    <row r="939" spans="1:1" x14ac:dyDescent="0.15">
      <c r="A939" t="s">
        <v>901</v>
      </c>
    </row>
    <row r="940" spans="1:1" x14ac:dyDescent="0.15">
      <c r="A940" t="s">
        <v>902</v>
      </c>
    </row>
    <row r="941" spans="1:1" x14ac:dyDescent="0.15">
      <c r="A941" t="s">
        <v>903</v>
      </c>
    </row>
    <row r="942" spans="1:1" x14ac:dyDescent="0.15">
      <c r="A942" t="s">
        <v>904</v>
      </c>
    </row>
    <row r="943" spans="1:1" x14ac:dyDescent="0.15">
      <c r="A943" t="s">
        <v>905</v>
      </c>
    </row>
    <row r="944" spans="1:1" x14ac:dyDescent="0.15">
      <c r="A944" t="s">
        <v>906</v>
      </c>
    </row>
    <row r="945" spans="1:1" x14ac:dyDescent="0.15">
      <c r="A945" t="s">
        <v>907</v>
      </c>
    </row>
    <row r="946" spans="1:1" x14ac:dyDescent="0.15">
      <c r="A946" t="s">
        <v>908</v>
      </c>
    </row>
    <row r="947" spans="1:1" x14ac:dyDescent="0.15">
      <c r="A947" t="s">
        <v>909</v>
      </c>
    </row>
    <row r="948" spans="1:1" x14ac:dyDescent="0.15">
      <c r="A948" t="s">
        <v>910</v>
      </c>
    </row>
    <row r="949" spans="1:1" x14ac:dyDescent="0.15">
      <c r="A949" t="s">
        <v>911</v>
      </c>
    </row>
    <row r="950" spans="1:1" x14ac:dyDescent="0.15">
      <c r="A950" t="s">
        <v>912</v>
      </c>
    </row>
    <row r="951" spans="1:1" x14ac:dyDescent="0.15">
      <c r="A951" t="s">
        <v>913</v>
      </c>
    </row>
    <row r="952" spans="1:1" x14ac:dyDescent="0.15">
      <c r="A952" t="s">
        <v>914</v>
      </c>
    </row>
    <row r="953" spans="1:1" x14ac:dyDescent="0.15">
      <c r="A953" t="s">
        <v>915</v>
      </c>
    </row>
    <row r="954" spans="1:1" x14ac:dyDescent="0.15">
      <c r="A954" t="s">
        <v>916</v>
      </c>
    </row>
    <row r="955" spans="1:1" x14ac:dyDescent="0.15">
      <c r="A955" t="s">
        <v>917</v>
      </c>
    </row>
    <row r="956" spans="1:1" x14ac:dyDescent="0.15">
      <c r="A956" t="s">
        <v>918</v>
      </c>
    </row>
    <row r="957" spans="1:1" x14ac:dyDescent="0.15">
      <c r="A957" t="s">
        <v>919</v>
      </c>
    </row>
    <row r="958" spans="1:1" x14ac:dyDescent="0.15">
      <c r="A958" t="s">
        <v>920</v>
      </c>
    </row>
    <row r="959" spans="1:1" x14ac:dyDescent="0.15">
      <c r="A959" t="s">
        <v>921</v>
      </c>
    </row>
    <row r="960" spans="1:1" x14ac:dyDescent="0.15">
      <c r="A960" t="s">
        <v>922</v>
      </c>
    </row>
    <row r="961" spans="1:1" x14ac:dyDescent="0.15">
      <c r="A961" t="s">
        <v>923</v>
      </c>
    </row>
    <row r="962" spans="1:1" x14ac:dyDescent="0.15">
      <c r="A962" t="s">
        <v>924</v>
      </c>
    </row>
    <row r="963" spans="1:1" x14ac:dyDescent="0.15">
      <c r="A963" t="s">
        <v>925</v>
      </c>
    </row>
    <row r="964" spans="1:1" x14ac:dyDescent="0.15">
      <c r="A964" t="s">
        <v>926</v>
      </c>
    </row>
    <row r="965" spans="1:1" x14ac:dyDescent="0.15">
      <c r="A965" t="s">
        <v>927</v>
      </c>
    </row>
    <row r="966" spans="1:1" x14ac:dyDescent="0.15">
      <c r="A966" t="s">
        <v>928</v>
      </c>
    </row>
    <row r="967" spans="1:1" x14ac:dyDescent="0.15">
      <c r="A967" t="s">
        <v>929</v>
      </c>
    </row>
    <row r="968" spans="1:1" x14ac:dyDescent="0.15">
      <c r="A968" t="s">
        <v>930</v>
      </c>
    </row>
    <row r="969" spans="1:1" x14ac:dyDescent="0.15">
      <c r="A969" t="s">
        <v>931</v>
      </c>
    </row>
    <row r="970" spans="1:1" x14ac:dyDescent="0.15">
      <c r="A970" t="s">
        <v>932</v>
      </c>
    </row>
    <row r="971" spans="1:1" x14ac:dyDescent="0.15">
      <c r="A971" t="s">
        <v>933</v>
      </c>
    </row>
    <row r="972" spans="1:1" x14ac:dyDescent="0.15">
      <c r="A972" t="s">
        <v>934</v>
      </c>
    </row>
    <row r="973" spans="1:1" x14ac:dyDescent="0.15">
      <c r="A973" t="s">
        <v>935</v>
      </c>
    </row>
    <row r="974" spans="1:1" x14ac:dyDescent="0.15">
      <c r="A974" t="s">
        <v>936</v>
      </c>
    </row>
    <row r="975" spans="1:1" x14ac:dyDescent="0.15">
      <c r="A975" t="s">
        <v>937</v>
      </c>
    </row>
    <row r="976" spans="1:1" x14ac:dyDescent="0.15">
      <c r="A976" t="s">
        <v>938</v>
      </c>
    </row>
    <row r="977" spans="1:1" x14ac:dyDescent="0.15">
      <c r="A977" t="s">
        <v>939</v>
      </c>
    </row>
    <row r="978" spans="1:1" x14ac:dyDescent="0.15">
      <c r="A978" t="s">
        <v>940</v>
      </c>
    </row>
    <row r="979" spans="1:1" x14ac:dyDescent="0.15">
      <c r="A979" t="s">
        <v>941</v>
      </c>
    </row>
    <row r="980" spans="1:1" x14ac:dyDescent="0.15">
      <c r="A980" t="s">
        <v>942</v>
      </c>
    </row>
    <row r="981" spans="1:1" x14ac:dyDescent="0.15">
      <c r="A981" t="s">
        <v>943</v>
      </c>
    </row>
    <row r="982" spans="1:1" x14ac:dyDescent="0.15">
      <c r="A982" t="s">
        <v>944</v>
      </c>
    </row>
    <row r="983" spans="1:1" x14ac:dyDescent="0.15">
      <c r="A983" t="s">
        <v>945</v>
      </c>
    </row>
    <row r="984" spans="1:1" x14ac:dyDescent="0.15">
      <c r="A984" t="s">
        <v>946</v>
      </c>
    </row>
    <row r="985" spans="1:1" x14ac:dyDescent="0.15">
      <c r="A985" t="s">
        <v>947</v>
      </c>
    </row>
    <row r="986" spans="1:1" x14ac:dyDescent="0.15">
      <c r="A986" t="s">
        <v>948</v>
      </c>
    </row>
    <row r="987" spans="1:1" x14ac:dyDescent="0.15">
      <c r="A987" t="s">
        <v>949</v>
      </c>
    </row>
    <row r="988" spans="1:1" x14ac:dyDescent="0.15">
      <c r="A988" t="s">
        <v>950</v>
      </c>
    </row>
    <row r="989" spans="1:1" x14ac:dyDescent="0.15">
      <c r="A989" t="s">
        <v>951</v>
      </c>
    </row>
    <row r="990" spans="1:1" x14ac:dyDescent="0.15">
      <c r="A990" t="s">
        <v>952</v>
      </c>
    </row>
    <row r="991" spans="1:1" x14ac:dyDescent="0.15">
      <c r="A991" t="s">
        <v>953</v>
      </c>
    </row>
    <row r="992" spans="1:1" x14ac:dyDescent="0.15">
      <c r="A992" t="s">
        <v>954</v>
      </c>
    </row>
    <row r="993" spans="1:1" x14ac:dyDescent="0.15">
      <c r="A993" t="s">
        <v>955</v>
      </c>
    </row>
    <row r="994" spans="1:1" x14ac:dyDescent="0.15">
      <c r="A994" t="s">
        <v>956</v>
      </c>
    </row>
    <row r="995" spans="1:1" x14ac:dyDescent="0.15">
      <c r="A995" t="s">
        <v>957</v>
      </c>
    </row>
    <row r="996" spans="1:1" x14ac:dyDescent="0.15">
      <c r="A996" t="s">
        <v>958</v>
      </c>
    </row>
    <row r="997" spans="1:1" x14ac:dyDescent="0.15">
      <c r="A997" t="s">
        <v>959</v>
      </c>
    </row>
    <row r="998" spans="1:1" x14ac:dyDescent="0.15">
      <c r="A998" t="s">
        <v>960</v>
      </c>
    </row>
    <row r="999" spans="1:1" x14ac:dyDescent="0.15">
      <c r="A999" t="s">
        <v>961</v>
      </c>
    </row>
    <row r="1000" spans="1:1" x14ac:dyDescent="0.15">
      <c r="A1000" t="s">
        <v>962</v>
      </c>
    </row>
    <row r="1001" spans="1:1" x14ac:dyDescent="0.15">
      <c r="A1001" t="s">
        <v>963</v>
      </c>
    </row>
    <row r="1002" spans="1:1" x14ac:dyDescent="0.15">
      <c r="A1002" t="s">
        <v>964</v>
      </c>
    </row>
    <row r="1003" spans="1:1" x14ac:dyDescent="0.15">
      <c r="A1003" t="s">
        <v>965</v>
      </c>
    </row>
    <row r="1004" spans="1:1" x14ac:dyDescent="0.15">
      <c r="A1004" t="s">
        <v>966</v>
      </c>
    </row>
    <row r="1005" spans="1:1" x14ac:dyDescent="0.15">
      <c r="A1005" t="s">
        <v>967</v>
      </c>
    </row>
    <row r="1006" spans="1:1" x14ac:dyDescent="0.15">
      <c r="A1006" t="s">
        <v>968</v>
      </c>
    </row>
    <row r="1007" spans="1:1" x14ac:dyDescent="0.15">
      <c r="A1007" t="s">
        <v>969</v>
      </c>
    </row>
    <row r="1008" spans="1:1" x14ac:dyDescent="0.15">
      <c r="A1008" t="s">
        <v>970</v>
      </c>
    </row>
    <row r="1009" spans="1:1" x14ac:dyDescent="0.15">
      <c r="A1009" t="s">
        <v>971</v>
      </c>
    </row>
    <row r="1010" spans="1:1" x14ac:dyDescent="0.15">
      <c r="A1010" t="s">
        <v>972</v>
      </c>
    </row>
    <row r="1011" spans="1:1" x14ac:dyDescent="0.15">
      <c r="A1011" t="s">
        <v>973</v>
      </c>
    </row>
    <row r="1012" spans="1:1" x14ac:dyDescent="0.15">
      <c r="A1012" t="s">
        <v>974</v>
      </c>
    </row>
    <row r="1013" spans="1:1" x14ac:dyDescent="0.15">
      <c r="A1013" t="s">
        <v>975</v>
      </c>
    </row>
    <row r="1014" spans="1:1" x14ac:dyDescent="0.15">
      <c r="A1014" t="s">
        <v>976</v>
      </c>
    </row>
    <row r="1015" spans="1:1" x14ac:dyDescent="0.15">
      <c r="A1015" t="s">
        <v>977</v>
      </c>
    </row>
    <row r="1016" spans="1:1" x14ac:dyDescent="0.15">
      <c r="A1016" t="s">
        <v>978</v>
      </c>
    </row>
    <row r="1017" spans="1:1" x14ac:dyDescent="0.15">
      <c r="A1017" t="s">
        <v>979</v>
      </c>
    </row>
    <row r="1018" spans="1:1" x14ac:dyDescent="0.15">
      <c r="A1018" t="s">
        <v>980</v>
      </c>
    </row>
    <row r="1019" spans="1:1" x14ac:dyDescent="0.15">
      <c r="A1019" t="s">
        <v>981</v>
      </c>
    </row>
    <row r="1020" spans="1:1" x14ac:dyDescent="0.15">
      <c r="A1020" t="s">
        <v>982</v>
      </c>
    </row>
    <row r="1021" spans="1:1" x14ac:dyDescent="0.15">
      <c r="A1021" t="s">
        <v>983</v>
      </c>
    </row>
    <row r="1022" spans="1:1" x14ac:dyDescent="0.15">
      <c r="A1022" t="s">
        <v>984</v>
      </c>
    </row>
    <row r="1023" spans="1:1" x14ac:dyDescent="0.15">
      <c r="A1023" t="s">
        <v>985</v>
      </c>
    </row>
    <row r="1024" spans="1:1" x14ac:dyDescent="0.15">
      <c r="A1024" t="s">
        <v>986</v>
      </c>
    </row>
    <row r="1025" spans="1:1" x14ac:dyDescent="0.15">
      <c r="A1025" t="s">
        <v>987</v>
      </c>
    </row>
    <row r="1026" spans="1:1" x14ac:dyDescent="0.15">
      <c r="A1026" t="s">
        <v>988</v>
      </c>
    </row>
    <row r="1027" spans="1:1" x14ac:dyDescent="0.15">
      <c r="A1027" t="s">
        <v>989</v>
      </c>
    </row>
    <row r="1028" spans="1:1" x14ac:dyDescent="0.15">
      <c r="A1028" t="s">
        <v>990</v>
      </c>
    </row>
    <row r="1029" spans="1:1" x14ac:dyDescent="0.15">
      <c r="A1029" t="s">
        <v>991</v>
      </c>
    </row>
    <row r="1030" spans="1:1" x14ac:dyDescent="0.15">
      <c r="A1030" t="s">
        <v>992</v>
      </c>
    </row>
    <row r="1031" spans="1:1" x14ac:dyDescent="0.15">
      <c r="A1031" t="s">
        <v>993</v>
      </c>
    </row>
    <row r="1032" spans="1:1" x14ac:dyDescent="0.15">
      <c r="A1032" t="s">
        <v>994</v>
      </c>
    </row>
    <row r="1033" spans="1:1" x14ac:dyDescent="0.15">
      <c r="A1033" t="s">
        <v>995</v>
      </c>
    </row>
    <row r="1034" spans="1:1" x14ac:dyDescent="0.15">
      <c r="A1034" t="s">
        <v>996</v>
      </c>
    </row>
    <row r="1035" spans="1:1" x14ac:dyDescent="0.15">
      <c r="A1035" t="s">
        <v>997</v>
      </c>
    </row>
    <row r="1036" spans="1:1" x14ac:dyDescent="0.15">
      <c r="A1036" t="s">
        <v>998</v>
      </c>
    </row>
    <row r="1037" spans="1:1" x14ac:dyDescent="0.15">
      <c r="A1037" t="s">
        <v>999</v>
      </c>
    </row>
    <row r="1038" spans="1:1" x14ac:dyDescent="0.15">
      <c r="A1038" t="s">
        <v>1000</v>
      </c>
    </row>
    <row r="1039" spans="1:1" x14ac:dyDescent="0.15">
      <c r="A1039" t="s">
        <v>1001</v>
      </c>
    </row>
    <row r="1040" spans="1:1" x14ac:dyDescent="0.15">
      <c r="A1040" t="s">
        <v>1002</v>
      </c>
    </row>
    <row r="1041" spans="1:1" x14ac:dyDescent="0.15">
      <c r="A1041" t="s">
        <v>1003</v>
      </c>
    </row>
    <row r="1042" spans="1:1" x14ac:dyDescent="0.15">
      <c r="A1042" t="s">
        <v>1004</v>
      </c>
    </row>
    <row r="1043" spans="1:1" x14ac:dyDescent="0.15">
      <c r="A1043" t="s">
        <v>1005</v>
      </c>
    </row>
    <row r="1044" spans="1:1" x14ac:dyDescent="0.15">
      <c r="A1044" t="s">
        <v>1006</v>
      </c>
    </row>
    <row r="1045" spans="1:1" x14ac:dyDescent="0.15">
      <c r="A1045" t="s">
        <v>1007</v>
      </c>
    </row>
    <row r="1046" spans="1:1" x14ac:dyDescent="0.15">
      <c r="A1046" t="s">
        <v>1008</v>
      </c>
    </row>
    <row r="1047" spans="1:1" x14ac:dyDescent="0.15">
      <c r="A1047" t="s">
        <v>1009</v>
      </c>
    </row>
    <row r="1048" spans="1:1" x14ac:dyDescent="0.15">
      <c r="A1048" t="s">
        <v>1010</v>
      </c>
    </row>
    <row r="1049" spans="1:1" x14ac:dyDescent="0.15">
      <c r="A1049" t="s">
        <v>1011</v>
      </c>
    </row>
    <row r="1050" spans="1:1" x14ac:dyDescent="0.15">
      <c r="A1050" t="s">
        <v>1012</v>
      </c>
    </row>
    <row r="1051" spans="1:1" x14ac:dyDescent="0.15">
      <c r="A1051" t="s">
        <v>1013</v>
      </c>
    </row>
    <row r="1052" spans="1:1" x14ac:dyDescent="0.15">
      <c r="A1052" t="s">
        <v>1014</v>
      </c>
    </row>
    <row r="1053" spans="1:1" x14ac:dyDescent="0.15">
      <c r="A1053" t="s">
        <v>1015</v>
      </c>
    </row>
    <row r="1054" spans="1:1" x14ac:dyDescent="0.15">
      <c r="A1054" t="s">
        <v>1016</v>
      </c>
    </row>
    <row r="1055" spans="1:1" x14ac:dyDescent="0.15">
      <c r="A1055" t="s">
        <v>1017</v>
      </c>
    </row>
    <row r="1056" spans="1:1" x14ac:dyDescent="0.15">
      <c r="A1056" t="s">
        <v>1018</v>
      </c>
    </row>
    <row r="1057" spans="1:1" x14ac:dyDescent="0.15">
      <c r="A1057" t="s">
        <v>1019</v>
      </c>
    </row>
    <row r="1058" spans="1:1" x14ac:dyDescent="0.15">
      <c r="A1058" t="s">
        <v>1020</v>
      </c>
    </row>
    <row r="1059" spans="1:1" x14ac:dyDescent="0.15">
      <c r="A1059" t="s">
        <v>1021</v>
      </c>
    </row>
    <row r="1060" spans="1:1" x14ac:dyDescent="0.15">
      <c r="A1060" t="s">
        <v>1022</v>
      </c>
    </row>
    <row r="1061" spans="1:1" x14ac:dyDescent="0.15">
      <c r="A1061" t="s">
        <v>1023</v>
      </c>
    </row>
    <row r="1062" spans="1:1" x14ac:dyDescent="0.15">
      <c r="A1062" t="s">
        <v>1024</v>
      </c>
    </row>
    <row r="1063" spans="1:1" x14ac:dyDescent="0.15">
      <c r="A1063" t="s">
        <v>1025</v>
      </c>
    </row>
    <row r="1064" spans="1:1" x14ac:dyDescent="0.15">
      <c r="A1064" t="s">
        <v>1026</v>
      </c>
    </row>
    <row r="1065" spans="1:1" x14ac:dyDescent="0.15">
      <c r="A1065" t="s">
        <v>1027</v>
      </c>
    </row>
    <row r="1066" spans="1:1" x14ac:dyDescent="0.15">
      <c r="A1066" t="s">
        <v>1028</v>
      </c>
    </row>
    <row r="1067" spans="1:1" x14ac:dyDescent="0.15">
      <c r="A1067" t="s">
        <v>1029</v>
      </c>
    </row>
    <row r="1068" spans="1:1" x14ac:dyDescent="0.15">
      <c r="A1068" t="s">
        <v>1030</v>
      </c>
    </row>
    <row r="1069" spans="1:1" x14ac:dyDescent="0.15">
      <c r="A1069" t="s">
        <v>1031</v>
      </c>
    </row>
    <row r="1070" spans="1:1" x14ac:dyDescent="0.15">
      <c r="A1070" t="s">
        <v>1032</v>
      </c>
    </row>
    <row r="1071" spans="1:1" x14ac:dyDescent="0.15">
      <c r="A1071" t="s">
        <v>1033</v>
      </c>
    </row>
    <row r="1072" spans="1:1" x14ac:dyDescent="0.15">
      <c r="A1072" t="s">
        <v>1034</v>
      </c>
    </row>
    <row r="1073" spans="1:1" x14ac:dyDescent="0.15">
      <c r="A1073" t="s">
        <v>1035</v>
      </c>
    </row>
    <row r="1074" spans="1:1" x14ac:dyDescent="0.15">
      <c r="A1074" t="s">
        <v>1036</v>
      </c>
    </row>
    <row r="1075" spans="1:1" x14ac:dyDescent="0.15">
      <c r="A1075" t="s">
        <v>1037</v>
      </c>
    </row>
    <row r="1076" spans="1:1" x14ac:dyDescent="0.15">
      <c r="A1076" t="s">
        <v>1038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213"/>
  <sheetViews>
    <sheetView topLeftCell="C7" workbookViewId="0">
      <selection activeCell="B7" sqref="B7"/>
    </sheetView>
  </sheetViews>
  <sheetFormatPr defaultRowHeight="13.5" x14ac:dyDescent="0.15"/>
  <cols>
    <col min="1" max="1" width="11.625" bestFit="1" customWidth="1"/>
    <col min="2" max="2" width="37.125" bestFit="1" customWidth="1"/>
    <col min="3" max="9" width="58.25" bestFit="1" customWidth="1"/>
  </cols>
  <sheetData>
    <row r="1" spans="1:15" x14ac:dyDescent="0.15">
      <c r="C1" t="s">
        <v>115</v>
      </c>
      <c r="D1" t="s">
        <v>116</v>
      </c>
      <c r="E1" t="s">
        <v>117</v>
      </c>
      <c r="F1" t="s">
        <v>118</v>
      </c>
      <c r="G1" t="s">
        <v>119</v>
      </c>
      <c r="H1" t="s">
        <v>120</v>
      </c>
      <c r="I1" t="s">
        <v>121</v>
      </c>
    </row>
    <row r="2" spans="1:15" x14ac:dyDescent="0.15">
      <c r="A2" s="61">
        <v>41137</v>
      </c>
      <c r="C2">
        <f t="array" aca="1" ref="C2:C213" ca="1">_xll.qlYieldTSZeroRate(C$1,$A$2:$A$213,"Bond Basis",,,TRUE)</f>
        <v>2.394583671150274E-2</v>
      </c>
      <c r="D2">
        <f t="array" aca="1" ref="D2:D213" ca="1">_xll.qlYieldTSZeroRate(D$1,$A$2:$A$213,"Bond Basis",,,TRUE)</f>
        <v>2.394583671150274E-2</v>
      </c>
      <c r="E2">
        <f t="array" aca="1" ref="E2:E213" ca="1">_xll.qlYieldTSZeroRate(E$1,$A$2:$A$213,"Bond Basis",,,TRUE)</f>
        <v>2.394583671150274E-2</v>
      </c>
      <c r="F2">
        <f t="array" aca="1" ref="F2:F213" ca="1">_xll.qlYieldTSZeroRate(F$1,$A$2:$A$213,"Bond Basis",,,TRUE)</f>
        <v>2.394583671150274E-2</v>
      </c>
      <c r="G2">
        <f t="array" aca="1" ref="G2:G213" ca="1">_xll.qlYieldTSZeroRate(G$1,$A$2:$A$213,"Bond Basis",,,TRUE)</f>
        <v>2.394583671150274E-2</v>
      </c>
      <c r="H2">
        <f t="array" aca="1" ref="H2:H213" ca="1">_xll.qlYieldTSZeroRate(H$1,$A$2:$A$213,"Bond Basis",,,TRUE)</f>
        <v>2.394583671150274E-2</v>
      </c>
      <c r="I2">
        <f t="array" aca="1" ref="I2:I213" ca="1">_xll.qlYieldTSZeroRate(I$1,$A$2:$A$213,"Bond Basis",,,TRUE)</f>
        <v>2.394583671150274E-2</v>
      </c>
      <c r="J2" t="e">
        <f t="array" aca="1" ref="J2:J213" ca="1">_xll.qlYieldTSZeroRate(J$1,$A$2:$A$213,"Bond Basis",,,TRUE)</f>
        <v>#NUM!</v>
      </c>
      <c r="K2" t="e">
        <f t="array" aca="1" ref="K2:K213" ca="1">_xll.qlYieldTSZeroRate(K$1,$A$2:$A$213,"Bond Basis",,,TRUE)</f>
        <v>#NUM!</v>
      </c>
      <c r="L2" t="e">
        <f t="array" aca="1" ref="L2:L213" ca="1">_xll.qlYieldTSZeroRate(L$1,$A$2:$A$213,"Bond Basis",,,TRUE)</f>
        <v>#NUM!</v>
      </c>
      <c r="M2" t="e">
        <f t="array" aca="1" ref="M2:M213" ca="1">_xll.qlYieldTSZeroRate(M$1,$A$2:$A$213,"Bond Basis",,,TRUE)</f>
        <v>#NUM!</v>
      </c>
      <c r="N2" t="e">
        <f t="array" aca="1" ref="N2:N213" ca="1">_xll.qlYieldTSZeroRate(N$1,$A$2:$A$213,"Bond Basis",,,TRUE)</f>
        <v>#NUM!</v>
      </c>
      <c r="O2" t="e">
        <f t="array" aca="1" ref="O2:O213" ca="1">_xll.qlYieldTSZeroRate(O$1,$A$2:$A$213,"Bond Basis",,,TRUE)</f>
        <v>#NUM!</v>
      </c>
    </row>
    <row r="3" spans="1:15" x14ac:dyDescent="0.15">
      <c r="A3" s="61">
        <f ca="1">A2+90</f>
        <v>41227</v>
      </c>
      <c r="C3">
        <f ca="1"/>
        <v>2.3945836710933446E-2</v>
      </c>
      <c r="D3">
        <f ca="1"/>
        <v>2.394583671093254E-2</v>
      </c>
      <c r="E3">
        <f ca="1"/>
        <v>2.394583671093254E-2</v>
      </c>
      <c r="F3">
        <f ca="1"/>
        <v>2.394583671093254E-2</v>
      </c>
      <c r="G3">
        <f ca="1"/>
        <v>2.394583671093254E-2</v>
      </c>
      <c r="H3">
        <f ca="1"/>
        <v>2.394583671093254E-2</v>
      </c>
      <c r="I3">
        <f ca="1"/>
        <v>2.394583671093254E-2</v>
      </c>
      <c r="J3" t="e">
        <f ca="1"/>
        <v>#NUM!</v>
      </c>
      <c r="K3" t="e">
        <f ca="1"/>
        <v>#NUM!</v>
      </c>
      <c r="L3" t="e">
        <f ca="1"/>
        <v>#NUM!</v>
      </c>
      <c r="M3" t="e">
        <f ca="1"/>
        <v>#NUM!</v>
      </c>
      <c r="N3" t="e">
        <f ca="1"/>
        <v>#NUM!</v>
      </c>
      <c r="O3" t="e">
        <f ca="1"/>
        <v>#NUM!</v>
      </c>
    </row>
    <row r="4" spans="1:15" x14ac:dyDescent="0.15">
      <c r="A4" s="61">
        <f t="shared" ref="A4:A67" ca="1" si="0">A3+90</f>
        <v>41317</v>
      </c>
      <c r="C4">
        <f ca="1"/>
        <v>2.3779705330843132E-2</v>
      </c>
      <c r="D4">
        <f ca="1"/>
        <v>2.3779705330843132E-2</v>
      </c>
      <c r="E4">
        <f ca="1"/>
        <v>2.3779705330843132E-2</v>
      </c>
      <c r="F4">
        <f ca="1"/>
        <v>2.3779705330843132E-2</v>
      </c>
      <c r="G4">
        <f ca="1"/>
        <v>2.3779705330843132E-2</v>
      </c>
      <c r="H4">
        <f ca="1"/>
        <v>2.3779705330843132E-2</v>
      </c>
      <c r="I4">
        <f ca="1"/>
        <v>2.3779705330843132E-2</v>
      </c>
      <c r="J4" t="e">
        <f ca="1"/>
        <v>#NUM!</v>
      </c>
      <c r="K4" t="e">
        <f ca="1"/>
        <v>#NUM!</v>
      </c>
      <c r="L4" t="e">
        <f ca="1"/>
        <v>#NUM!</v>
      </c>
      <c r="M4" t="e">
        <f ca="1"/>
        <v>#NUM!</v>
      </c>
      <c r="N4" t="e">
        <f ca="1"/>
        <v>#NUM!</v>
      </c>
      <c r="O4" t="e">
        <f ca="1"/>
        <v>#NUM!</v>
      </c>
    </row>
    <row r="5" spans="1:15" x14ac:dyDescent="0.15">
      <c r="A5" s="61">
        <f t="shared" ca="1" si="0"/>
        <v>41407</v>
      </c>
      <c r="C5">
        <f ca="1"/>
        <v>2.3095670925126089E-2</v>
      </c>
      <c r="D5">
        <f ca="1"/>
        <v>2.3095670925126089E-2</v>
      </c>
      <c r="E5">
        <f ca="1"/>
        <v>2.3095670925126089E-2</v>
      </c>
      <c r="F5">
        <f ca="1"/>
        <v>2.3095670925126089E-2</v>
      </c>
      <c r="G5">
        <f ca="1"/>
        <v>2.3095670925126089E-2</v>
      </c>
      <c r="H5">
        <f ca="1"/>
        <v>2.3095670925126089E-2</v>
      </c>
      <c r="I5">
        <f ca="1"/>
        <v>2.3095670925126089E-2</v>
      </c>
      <c r="J5" t="e">
        <f ca="1"/>
        <v>#NUM!</v>
      </c>
      <c r="K5" t="e">
        <f ca="1"/>
        <v>#NUM!</v>
      </c>
      <c r="L5" t="e">
        <f ca="1"/>
        <v>#NUM!</v>
      </c>
      <c r="M5" t="e">
        <f ca="1"/>
        <v>#NUM!</v>
      </c>
      <c r="N5" t="e">
        <f ca="1"/>
        <v>#NUM!</v>
      </c>
      <c r="O5" t="e">
        <f ca="1"/>
        <v>#NUM!</v>
      </c>
    </row>
    <row r="6" spans="1:15" x14ac:dyDescent="0.15">
      <c r="A6" s="61">
        <f t="shared" ca="1" si="0"/>
        <v>41497</v>
      </c>
      <c r="C6">
        <f ca="1"/>
        <v>2.7092194469756629E-2</v>
      </c>
      <c r="D6">
        <f ca="1"/>
        <v>2.7092194469756629E-2</v>
      </c>
      <c r="E6">
        <f ca="1"/>
        <v>2.7092194469756629E-2</v>
      </c>
      <c r="F6">
        <f ca="1"/>
        <v>2.7092194469756629E-2</v>
      </c>
      <c r="G6">
        <f ca="1"/>
        <v>2.7092194469756629E-2</v>
      </c>
      <c r="H6">
        <f ca="1"/>
        <v>2.7092194469756629E-2</v>
      </c>
      <c r="I6">
        <f ca="1"/>
        <v>2.7092194469756629E-2</v>
      </c>
      <c r="J6" t="e">
        <f ca="1"/>
        <v>#NUM!</v>
      </c>
      <c r="K6" t="e">
        <f ca="1"/>
        <v>#NUM!</v>
      </c>
      <c r="L6" t="e">
        <f ca="1"/>
        <v>#NUM!</v>
      </c>
      <c r="M6" t="e">
        <f ca="1"/>
        <v>#NUM!</v>
      </c>
      <c r="N6" t="e">
        <f ca="1"/>
        <v>#NUM!</v>
      </c>
      <c r="O6" t="e">
        <f ca="1"/>
        <v>#NUM!</v>
      </c>
    </row>
    <row r="7" spans="1:15" x14ac:dyDescent="0.15">
      <c r="A7" s="61">
        <f t="shared" ca="1" si="0"/>
        <v>41587</v>
      </c>
      <c r="C7">
        <f ca="1"/>
        <v>2.7001770595512477E-2</v>
      </c>
      <c r="D7">
        <f ca="1"/>
        <v>2.700177059588164E-2</v>
      </c>
      <c r="E7">
        <f ca="1"/>
        <v>2.700177059588164E-2</v>
      </c>
      <c r="F7">
        <f ca="1"/>
        <v>2.700177059588164E-2</v>
      </c>
      <c r="G7">
        <f ca="1"/>
        <v>2.700177059588164E-2</v>
      </c>
      <c r="H7">
        <f ca="1"/>
        <v>2.700177059588164E-2</v>
      </c>
      <c r="I7">
        <f ca="1"/>
        <v>2.700177059588164E-2</v>
      </c>
      <c r="J7" t="e">
        <f ca="1"/>
        <v>#NUM!</v>
      </c>
      <c r="K7" t="e">
        <f ca="1"/>
        <v>#NUM!</v>
      </c>
      <c r="L7" t="e">
        <f ca="1"/>
        <v>#NUM!</v>
      </c>
      <c r="M7" t="e">
        <f ca="1"/>
        <v>#NUM!</v>
      </c>
      <c r="N7" t="e">
        <f ca="1"/>
        <v>#NUM!</v>
      </c>
      <c r="O7" t="e">
        <f ca="1"/>
        <v>#NUM!</v>
      </c>
    </row>
    <row r="8" spans="1:15" x14ac:dyDescent="0.15">
      <c r="A8" s="61">
        <f t="shared" ca="1" si="0"/>
        <v>41677</v>
      </c>
      <c r="C8">
        <f ca="1"/>
        <v>2.6537663851553768E-2</v>
      </c>
      <c r="D8">
        <f ca="1"/>
        <v>2.6537663851604148E-2</v>
      </c>
      <c r="E8">
        <f ca="1"/>
        <v>2.6537663851604148E-2</v>
      </c>
      <c r="F8">
        <f ca="1"/>
        <v>2.6537663851604148E-2</v>
      </c>
      <c r="G8">
        <f ca="1"/>
        <v>2.6537663851604148E-2</v>
      </c>
      <c r="H8">
        <f ca="1"/>
        <v>2.6537663851604148E-2</v>
      </c>
      <c r="I8">
        <f ca="1"/>
        <v>2.6537663851604148E-2</v>
      </c>
      <c r="J8" t="e">
        <f ca="1"/>
        <v>#NUM!</v>
      </c>
      <c r="K8" t="e">
        <f ca="1"/>
        <v>#NUM!</v>
      </c>
      <c r="L8" t="e">
        <f ca="1"/>
        <v>#NUM!</v>
      </c>
      <c r="M8" t="e">
        <f ca="1"/>
        <v>#NUM!</v>
      </c>
      <c r="N8" t="e">
        <f ca="1"/>
        <v>#NUM!</v>
      </c>
      <c r="O8" t="e">
        <f ca="1"/>
        <v>#NUM!</v>
      </c>
    </row>
    <row r="9" spans="1:15" x14ac:dyDescent="0.15">
      <c r="A9" s="61">
        <f t="shared" ca="1" si="0"/>
        <v>41767</v>
      </c>
      <c r="C9">
        <f ca="1"/>
        <v>2.6178520374579007E-2</v>
      </c>
      <c r="D9">
        <f ca="1"/>
        <v>2.6178520374316148E-2</v>
      </c>
      <c r="E9">
        <f ca="1"/>
        <v>2.6178520374316148E-2</v>
      </c>
      <c r="F9">
        <f ca="1"/>
        <v>2.6178520374316148E-2</v>
      </c>
      <c r="G9">
        <f ca="1"/>
        <v>2.6178520374316148E-2</v>
      </c>
      <c r="H9">
        <f ca="1"/>
        <v>2.6178520374316148E-2</v>
      </c>
      <c r="I9">
        <f ca="1"/>
        <v>2.6178520374316148E-2</v>
      </c>
      <c r="J9" t="e">
        <f ca="1"/>
        <v>#NUM!</v>
      </c>
      <c r="K9" t="e">
        <f ca="1"/>
        <v>#NUM!</v>
      </c>
      <c r="L9" t="e">
        <f ca="1"/>
        <v>#NUM!</v>
      </c>
      <c r="M9" t="e">
        <f ca="1"/>
        <v>#NUM!</v>
      </c>
      <c r="N9" t="e">
        <f ca="1"/>
        <v>#NUM!</v>
      </c>
      <c r="O9" t="e">
        <f ca="1"/>
        <v>#NUM!</v>
      </c>
    </row>
    <row r="10" spans="1:15" x14ac:dyDescent="0.15">
      <c r="A10" s="61">
        <f t="shared" ca="1" si="0"/>
        <v>41857</v>
      </c>
      <c r="C10">
        <f ca="1"/>
        <v>2.4912240831741962E-2</v>
      </c>
      <c r="D10">
        <f ca="1"/>
        <v>2.4912240831925576E-2</v>
      </c>
      <c r="E10">
        <f ca="1"/>
        <v>2.4912240831925576E-2</v>
      </c>
      <c r="F10">
        <f ca="1"/>
        <v>2.4912240831925576E-2</v>
      </c>
      <c r="G10">
        <f ca="1"/>
        <v>2.4912240831925576E-2</v>
      </c>
      <c r="H10">
        <f ca="1"/>
        <v>2.4912240831925576E-2</v>
      </c>
      <c r="I10">
        <f ca="1"/>
        <v>2.4912240831925576E-2</v>
      </c>
      <c r="J10" t="e">
        <f ca="1"/>
        <v>#NUM!</v>
      </c>
      <c r="K10" t="e">
        <f ca="1"/>
        <v>#NUM!</v>
      </c>
      <c r="L10" t="e">
        <f ca="1"/>
        <v>#NUM!</v>
      </c>
      <c r="M10" t="e">
        <f ca="1"/>
        <v>#NUM!</v>
      </c>
      <c r="N10" t="e">
        <f ca="1"/>
        <v>#NUM!</v>
      </c>
      <c r="O10" t="e">
        <f ca="1"/>
        <v>#NUM!</v>
      </c>
    </row>
    <row r="11" spans="1:15" x14ac:dyDescent="0.15">
      <c r="A11" s="61">
        <f t="shared" ca="1" si="0"/>
        <v>41947</v>
      </c>
      <c r="C11">
        <f ca="1"/>
        <v>2.36496905836685E-2</v>
      </c>
      <c r="D11">
        <f ca="1"/>
        <v>2.3649690583706234E-2</v>
      </c>
      <c r="E11">
        <f ca="1"/>
        <v>2.3649690583706234E-2</v>
      </c>
      <c r="F11">
        <f ca="1"/>
        <v>2.3649690583706234E-2</v>
      </c>
      <c r="G11">
        <f ca="1"/>
        <v>2.3649690583706234E-2</v>
      </c>
      <c r="H11">
        <f ca="1"/>
        <v>2.3649690583706234E-2</v>
      </c>
      <c r="I11">
        <f ca="1"/>
        <v>2.3649690583706234E-2</v>
      </c>
      <c r="J11" t="e">
        <f ca="1"/>
        <v>#NUM!</v>
      </c>
      <c r="K11" t="e">
        <f ca="1"/>
        <v>#NUM!</v>
      </c>
      <c r="L11" t="e">
        <f ca="1"/>
        <v>#NUM!</v>
      </c>
      <c r="M11" t="e">
        <f ca="1"/>
        <v>#NUM!</v>
      </c>
      <c r="N11" t="e">
        <f ca="1"/>
        <v>#NUM!</v>
      </c>
      <c r="O11" t="e">
        <f ca="1"/>
        <v>#NUM!</v>
      </c>
    </row>
    <row r="12" spans="1:15" x14ac:dyDescent="0.15">
      <c r="A12" s="61">
        <f t="shared" ca="1" si="0"/>
        <v>42037</v>
      </c>
      <c r="C12">
        <f ca="1"/>
        <v>2.5108855197105991E-2</v>
      </c>
      <c r="D12">
        <f ca="1"/>
        <v>2.5108855197278249E-2</v>
      </c>
      <c r="E12">
        <f ca="1"/>
        <v>2.5108855197278249E-2</v>
      </c>
      <c r="F12">
        <f ca="1"/>
        <v>2.5108855197278249E-2</v>
      </c>
      <c r="G12">
        <f ca="1"/>
        <v>2.5108855197278249E-2</v>
      </c>
      <c r="H12">
        <f ca="1"/>
        <v>2.5108855197278249E-2</v>
      </c>
      <c r="I12">
        <f ca="1"/>
        <v>2.5108855197278249E-2</v>
      </c>
      <c r="J12" t="e">
        <f ca="1"/>
        <v>#NUM!</v>
      </c>
      <c r="K12" t="e">
        <f ca="1"/>
        <v>#NUM!</v>
      </c>
      <c r="L12" t="e">
        <f ca="1"/>
        <v>#NUM!</v>
      </c>
      <c r="M12" t="e">
        <f ca="1"/>
        <v>#NUM!</v>
      </c>
      <c r="N12" t="e">
        <f ca="1"/>
        <v>#NUM!</v>
      </c>
      <c r="O12" t="e">
        <f ca="1"/>
        <v>#NUM!</v>
      </c>
    </row>
    <row r="13" spans="1:15" x14ac:dyDescent="0.15">
      <c r="A13" s="61">
        <f t="shared" ca="1" si="0"/>
        <v>42127</v>
      </c>
      <c r="C13">
        <f ca="1"/>
        <v>2.6868108172447561E-2</v>
      </c>
      <c r="D13">
        <f ca="1"/>
        <v>2.6868108172488865E-2</v>
      </c>
      <c r="E13">
        <f ca="1"/>
        <v>2.6868108172488865E-2</v>
      </c>
      <c r="F13">
        <f ca="1"/>
        <v>2.6868108172488865E-2</v>
      </c>
      <c r="G13">
        <f ca="1"/>
        <v>2.6868108172488865E-2</v>
      </c>
      <c r="H13">
        <f ca="1"/>
        <v>2.6868108172488865E-2</v>
      </c>
      <c r="I13">
        <f ca="1"/>
        <v>2.6868108172488865E-2</v>
      </c>
      <c r="J13" t="e">
        <f ca="1"/>
        <v>#NUM!</v>
      </c>
      <c r="K13" t="e">
        <f ca="1"/>
        <v>#NUM!</v>
      </c>
      <c r="L13" t="e">
        <f ca="1"/>
        <v>#NUM!</v>
      </c>
      <c r="M13" t="e">
        <f ca="1"/>
        <v>#NUM!</v>
      </c>
      <c r="N13" t="e">
        <f ca="1"/>
        <v>#NUM!</v>
      </c>
      <c r="O13" t="e">
        <f ca="1"/>
        <v>#NUM!</v>
      </c>
    </row>
    <row r="14" spans="1:15" x14ac:dyDescent="0.15">
      <c r="A14" s="61">
        <f t="shared" ca="1" si="0"/>
        <v>42217</v>
      </c>
      <c r="C14">
        <f ca="1"/>
        <v>2.7310104900963018E-2</v>
      </c>
      <c r="D14">
        <f ca="1"/>
        <v>2.7310104901104942E-2</v>
      </c>
      <c r="E14">
        <f ca="1"/>
        <v>2.7310104901104942E-2</v>
      </c>
      <c r="F14">
        <f ca="1"/>
        <v>2.7310104901104942E-2</v>
      </c>
      <c r="G14">
        <f ca="1"/>
        <v>2.7310104901104942E-2</v>
      </c>
      <c r="H14">
        <f ca="1"/>
        <v>2.7310104901104942E-2</v>
      </c>
      <c r="I14">
        <f ca="1"/>
        <v>2.7310104901104942E-2</v>
      </c>
      <c r="J14" t="e">
        <f ca="1"/>
        <v>#NUM!</v>
      </c>
      <c r="K14" t="e">
        <f ca="1"/>
        <v>#NUM!</v>
      </c>
      <c r="L14" t="e">
        <f ca="1"/>
        <v>#NUM!</v>
      </c>
      <c r="M14" t="e">
        <f ca="1"/>
        <v>#NUM!</v>
      </c>
      <c r="N14" t="e">
        <f ca="1"/>
        <v>#NUM!</v>
      </c>
      <c r="O14" t="e">
        <f ca="1"/>
        <v>#NUM!</v>
      </c>
    </row>
    <row r="15" spans="1:15" x14ac:dyDescent="0.15">
      <c r="A15" s="61">
        <f t="shared" ca="1" si="0"/>
        <v>42307</v>
      </c>
      <c r="C15">
        <f ca="1"/>
        <v>2.7657114943575527E-2</v>
      </c>
      <c r="D15">
        <f ca="1"/>
        <v>2.7657114943608681E-2</v>
      </c>
      <c r="E15">
        <f ca="1"/>
        <v>2.7657114943608681E-2</v>
      </c>
      <c r="F15">
        <f ca="1"/>
        <v>2.7657114943608681E-2</v>
      </c>
      <c r="G15">
        <f ca="1"/>
        <v>2.7657114943608681E-2</v>
      </c>
      <c r="H15">
        <f ca="1"/>
        <v>2.7657114943608681E-2</v>
      </c>
      <c r="I15">
        <f ca="1"/>
        <v>2.7657114943608681E-2</v>
      </c>
      <c r="J15" t="e">
        <f ca="1"/>
        <v>#NUM!</v>
      </c>
      <c r="K15" t="e">
        <f ca="1"/>
        <v>#NUM!</v>
      </c>
      <c r="L15" t="e">
        <f ca="1"/>
        <v>#NUM!</v>
      </c>
      <c r="M15" t="e">
        <f ca="1"/>
        <v>#NUM!</v>
      </c>
      <c r="N15" t="e">
        <f ca="1"/>
        <v>#NUM!</v>
      </c>
      <c r="O15" t="e">
        <f ca="1"/>
        <v>#NUM!</v>
      </c>
    </row>
    <row r="16" spans="1:15" x14ac:dyDescent="0.15">
      <c r="A16" s="61">
        <f t="shared" ca="1" si="0"/>
        <v>42397</v>
      </c>
      <c r="C16">
        <f ca="1"/>
        <v>2.8021852486452996E-2</v>
      </c>
      <c r="D16">
        <f ca="1"/>
        <v>2.8021852486448905E-2</v>
      </c>
      <c r="E16">
        <f ca="1"/>
        <v>2.8021852486448905E-2</v>
      </c>
      <c r="F16">
        <f ca="1"/>
        <v>2.8021852486448905E-2</v>
      </c>
      <c r="G16">
        <f ca="1"/>
        <v>2.8021852486448905E-2</v>
      </c>
      <c r="H16">
        <f ca="1"/>
        <v>2.8021852486448905E-2</v>
      </c>
      <c r="I16">
        <f ca="1"/>
        <v>2.8021852486448905E-2</v>
      </c>
      <c r="J16" t="e">
        <f ca="1"/>
        <v>#NUM!</v>
      </c>
      <c r="K16" t="e">
        <f ca="1"/>
        <v>#NUM!</v>
      </c>
      <c r="L16" t="e">
        <f ca="1"/>
        <v>#NUM!</v>
      </c>
      <c r="M16" t="e">
        <f ca="1"/>
        <v>#NUM!</v>
      </c>
      <c r="N16" t="e">
        <f ca="1"/>
        <v>#NUM!</v>
      </c>
      <c r="O16" t="e">
        <f ca="1"/>
        <v>#NUM!</v>
      </c>
    </row>
    <row r="17" spans="1:15" x14ac:dyDescent="0.15">
      <c r="A17" s="61">
        <f t="shared" ca="1" si="0"/>
        <v>42487</v>
      </c>
      <c r="C17">
        <f ca="1"/>
        <v>2.8348351950792845E-2</v>
      </c>
      <c r="D17">
        <f ca="1"/>
        <v>2.8348351950901872E-2</v>
      </c>
      <c r="E17">
        <f ca="1"/>
        <v>2.8348351950901872E-2</v>
      </c>
      <c r="F17">
        <f ca="1"/>
        <v>2.8348351950901872E-2</v>
      </c>
      <c r="G17">
        <f ca="1"/>
        <v>2.8348351950901872E-2</v>
      </c>
      <c r="H17">
        <f ca="1"/>
        <v>2.8348351950901872E-2</v>
      </c>
      <c r="I17">
        <f ca="1"/>
        <v>2.8348351950901872E-2</v>
      </c>
      <c r="J17" t="e">
        <f ca="1"/>
        <v>#NUM!</v>
      </c>
      <c r="K17" t="e">
        <f ca="1"/>
        <v>#NUM!</v>
      </c>
      <c r="L17" t="e">
        <f ca="1"/>
        <v>#NUM!</v>
      </c>
      <c r="M17" t="e">
        <f ca="1"/>
        <v>#NUM!</v>
      </c>
      <c r="N17" t="e">
        <f ca="1"/>
        <v>#NUM!</v>
      </c>
      <c r="O17" t="e">
        <f ca="1"/>
        <v>#NUM!</v>
      </c>
    </row>
    <row r="18" spans="1:15" x14ac:dyDescent="0.15">
      <c r="A18" s="61">
        <f t="shared" ca="1" si="0"/>
        <v>42577</v>
      </c>
      <c r="C18">
        <f ca="1"/>
        <v>2.8633924063937371E-2</v>
      </c>
      <c r="D18">
        <f ca="1"/>
        <v>2.8633924063975334E-2</v>
      </c>
      <c r="E18">
        <f ca="1"/>
        <v>2.8633924063975334E-2</v>
      </c>
      <c r="F18">
        <f ca="1"/>
        <v>2.8633924063975334E-2</v>
      </c>
      <c r="G18">
        <f ca="1"/>
        <v>2.8633924063975334E-2</v>
      </c>
      <c r="H18">
        <f ca="1"/>
        <v>2.8633924063975334E-2</v>
      </c>
      <c r="I18">
        <f ca="1"/>
        <v>2.8633924063975334E-2</v>
      </c>
      <c r="J18" t="e">
        <f ca="1"/>
        <v>#NUM!</v>
      </c>
      <c r="K18" t="e">
        <f ca="1"/>
        <v>#NUM!</v>
      </c>
      <c r="L18" t="e">
        <f ca="1"/>
        <v>#NUM!</v>
      </c>
      <c r="M18" t="e">
        <f ca="1"/>
        <v>#NUM!</v>
      </c>
      <c r="N18" t="e">
        <f ca="1"/>
        <v>#NUM!</v>
      </c>
      <c r="O18" t="e">
        <f ca="1"/>
        <v>#NUM!</v>
      </c>
    </row>
    <row r="19" spans="1:15" x14ac:dyDescent="0.15">
      <c r="A19" s="61">
        <f t="shared" ca="1" si="0"/>
        <v>42667</v>
      </c>
      <c r="C19">
        <f ca="1"/>
        <v>2.8883145683368631E-2</v>
      </c>
      <c r="D19">
        <f ca="1"/>
        <v>2.8883145683363795E-2</v>
      </c>
      <c r="E19">
        <f ca="1"/>
        <v>2.8883145683363795E-2</v>
      </c>
      <c r="F19">
        <f ca="1"/>
        <v>2.8883145683363795E-2</v>
      </c>
      <c r="G19">
        <f ca="1"/>
        <v>2.8883145683363795E-2</v>
      </c>
      <c r="H19">
        <f ca="1"/>
        <v>2.8883145683363795E-2</v>
      </c>
      <c r="I19">
        <f ca="1"/>
        <v>2.8883145683363795E-2</v>
      </c>
      <c r="J19" t="e">
        <f ca="1"/>
        <v>#NUM!</v>
      </c>
      <c r="K19" t="e">
        <f ca="1"/>
        <v>#NUM!</v>
      </c>
      <c r="L19" t="e">
        <f ca="1"/>
        <v>#NUM!</v>
      </c>
      <c r="M19" t="e">
        <f ca="1"/>
        <v>#NUM!</v>
      </c>
      <c r="N19" t="e">
        <f ca="1"/>
        <v>#NUM!</v>
      </c>
      <c r="O19" t="e">
        <f ca="1"/>
        <v>#NUM!</v>
      </c>
    </row>
    <row r="20" spans="1:15" x14ac:dyDescent="0.15">
      <c r="A20" s="61">
        <f t="shared" ca="1" si="0"/>
        <v>42757</v>
      </c>
      <c r="C20">
        <f ca="1"/>
        <v>2.9112868828465727E-2</v>
      </c>
      <c r="D20">
        <f ca="1"/>
        <v>2.9112868828377953E-2</v>
      </c>
      <c r="E20">
        <f ca="1"/>
        <v>2.9112868828377953E-2</v>
      </c>
      <c r="F20">
        <f ca="1"/>
        <v>2.9112868828377953E-2</v>
      </c>
      <c r="G20">
        <f ca="1"/>
        <v>2.9112868828377953E-2</v>
      </c>
      <c r="H20">
        <f ca="1"/>
        <v>2.9112868828377953E-2</v>
      </c>
      <c r="I20">
        <f ca="1"/>
        <v>2.9112868828377953E-2</v>
      </c>
      <c r="J20" t="e">
        <f ca="1"/>
        <v>#NUM!</v>
      </c>
      <c r="K20" t="e">
        <f ca="1"/>
        <v>#NUM!</v>
      </c>
      <c r="L20" t="e">
        <f ca="1"/>
        <v>#NUM!</v>
      </c>
      <c r="M20" t="e">
        <f ca="1"/>
        <v>#NUM!</v>
      </c>
      <c r="N20" t="e">
        <f ca="1"/>
        <v>#NUM!</v>
      </c>
      <c r="O20" t="e">
        <f ca="1"/>
        <v>#NUM!</v>
      </c>
    </row>
    <row r="21" spans="1:15" x14ac:dyDescent="0.15">
      <c r="A21" s="61">
        <f t="shared" ca="1" si="0"/>
        <v>42847</v>
      </c>
      <c r="C21">
        <f ca="1"/>
        <v>2.9416434585532513E-2</v>
      </c>
      <c r="D21">
        <f ca="1"/>
        <v>2.9416434585489055E-2</v>
      </c>
      <c r="E21">
        <f ca="1"/>
        <v>2.9416434585489055E-2</v>
      </c>
      <c r="F21">
        <f ca="1"/>
        <v>2.9416434585489055E-2</v>
      </c>
      <c r="G21">
        <f ca="1"/>
        <v>2.9416434585489055E-2</v>
      </c>
      <c r="H21">
        <f ca="1"/>
        <v>2.9416434585489055E-2</v>
      </c>
      <c r="I21">
        <f ca="1"/>
        <v>2.9416434585489055E-2</v>
      </c>
      <c r="J21" t="e">
        <f ca="1"/>
        <v>#NUM!</v>
      </c>
      <c r="K21" t="e">
        <f ca="1"/>
        <v>#NUM!</v>
      </c>
      <c r="L21" t="e">
        <f ca="1"/>
        <v>#NUM!</v>
      </c>
      <c r="M21" t="e">
        <f ca="1"/>
        <v>#NUM!</v>
      </c>
      <c r="N21" t="e">
        <f ca="1"/>
        <v>#NUM!</v>
      </c>
      <c r="O21" t="e">
        <f ca="1"/>
        <v>#NUM!</v>
      </c>
    </row>
    <row r="22" spans="1:15" x14ac:dyDescent="0.15">
      <c r="A22" s="61">
        <f t="shared" ca="1" si="0"/>
        <v>42937</v>
      </c>
      <c r="C22">
        <f ca="1"/>
        <v>2.9730588054141759E-2</v>
      </c>
      <c r="D22">
        <f ca="1"/>
        <v>2.9730588054137402E-2</v>
      </c>
      <c r="E22">
        <f ca="1"/>
        <v>2.9730588054137402E-2</v>
      </c>
      <c r="F22">
        <f ca="1"/>
        <v>2.9730588054137402E-2</v>
      </c>
      <c r="G22">
        <f ca="1"/>
        <v>2.9730588054137402E-2</v>
      </c>
      <c r="H22">
        <f ca="1"/>
        <v>2.9730588054137402E-2</v>
      </c>
      <c r="I22">
        <f ca="1"/>
        <v>2.9730588054137402E-2</v>
      </c>
      <c r="J22" t="e">
        <f ca="1"/>
        <v>#NUM!</v>
      </c>
      <c r="K22" t="e">
        <f ca="1"/>
        <v>#NUM!</v>
      </c>
      <c r="L22" t="e">
        <f ca="1"/>
        <v>#NUM!</v>
      </c>
      <c r="M22" t="e">
        <f ca="1"/>
        <v>#NUM!</v>
      </c>
      <c r="N22" t="e">
        <f ca="1"/>
        <v>#NUM!</v>
      </c>
      <c r="O22" t="e">
        <f ca="1"/>
        <v>#NUM!</v>
      </c>
    </row>
    <row r="23" spans="1:15" x14ac:dyDescent="0.15">
      <c r="A23" s="61">
        <f t="shared" ca="1" si="0"/>
        <v>43027</v>
      </c>
      <c r="C23">
        <f ca="1"/>
        <v>3.0095605570774488E-2</v>
      </c>
      <c r="D23">
        <f ca="1"/>
        <v>3.0095605570770227E-2</v>
      </c>
      <c r="E23">
        <f ca="1"/>
        <v>3.0095605570770227E-2</v>
      </c>
      <c r="F23">
        <f ca="1"/>
        <v>3.0095605570770227E-2</v>
      </c>
      <c r="G23">
        <f ca="1"/>
        <v>3.0095605570770227E-2</v>
      </c>
      <c r="H23">
        <f ca="1"/>
        <v>3.0095605570770227E-2</v>
      </c>
      <c r="I23">
        <f ca="1"/>
        <v>3.0095605570770227E-2</v>
      </c>
      <c r="J23" t="e">
        <f ca="1"/>
        <v>#NUM!</v>
      </c>
      <c r="K23" t="e">
        <f ca="1"/>
        <v>#NUM!</v>
      </c>
      <c r="L23" t="e">
        <f ca="1"/>
        <v>#NUM!</v>
      </c>
      <c r="M23" t="e">
        <f ca="1"/>
        <v>#NUM!</v>
      </c>
      <c r="N23" t="e">
        <f ca="1"/>
        <v>#NUM!</v>
      </c>
      <c r="O23" t="e">
        <f ca="1"/>
        <v>#NUM!</v>
      </c>
    </row>
    <row r="24" spans="1:15" x14ac:dyDescent="0.15">
      <c r="A24" s="61">
        <f t="shared" ca="1" si="0"/>
        <v>43117</v>
      </c>
      <c r="C24">
        <f ca="1"/>
        <v>3.0584146585968107E-2</v>
      </c>
      <c r="D24">
        <f ca="1"/>
        <v>3.0584146585967208E-2</v>
      </c>
      <c r="E24">
        <f ca="1"/>
        <v>3.0584146585967208E-2</v>
      </c>
      <c r="F24">
        <f ca="1"/>
        <v>3.0584146585967208E-2</v>
      </c>
      <c r="G24">
        <f ca="1"/>
        <v>3.0584146585967208E-2</v>
      </c>
      <c r="H24">
        <f ca="1"/>
        <v>3.0584146585967208E-2</v>
      </c>
      <c r="I24">
        <f ca="1"/>
        <v>3.0584146585967208E-2</v>
      </c>
      <c r="J24" t="e">
        <f ca="1"/>
        <v>#NUM!</v>
      </c>
      <c r="K24" t="e">
        <f ca="1"/>
        <v>#NUM!</v>
      </c>
      <c r="L24" t="e">
        <f ca="1"/>
        <v>#NUM!</v>
      </c>
      <c r="M24" t="e">
        <f ca="1"/>
        <v>#NUM!</v>
      </c>
      <c r="N24" t="e">
        <f ca="1"/>
        <v>#NUM!</v>
      </c>
      <c r="O24" t="e">
        <f ca="1"/>
        <v>#NUM!</v>
      </c>
    </row>
    <row r="25" spans="1:15" x14ac:dyDescent="0.15">
      <c r="A25" s="61">
        <f t="shared" ca="1" si="0"/>
        <v>43207</v>
      </c>
      <c r="C25">
        <f ca="1"/>
        <v>3.101678392701392E-2</v>
      </c>
      <c r="D25">
        <f ca="1"/>
        <v>3.1016783927013757E-2</v>
      </c>
      <c r="E25">
        <f ca="1"/>
        <v>3.1016783927013757E-2</v>
      </c>
      <c r="F25">
        <f ca="1"/>
        <v>3.1016783927013757E-2</v>
      </c>
      <c r="G25">
        <f ca="1"/>
        <v>3.1016783927013757E-2</v>
      </c>
      <c r="H25">
        <f ca="1"/>
        <v>3.1016783927013757E-2</v>
      </c>
      <c r="I25">
        <f ca="1"/>
        <v>3.1016783927013757E-2</v>
      </c>
      <c r="J25" t="e">
        <f ca="1"/>
        <v>#NUM!</v>
      </c>
      <c r="K25" t="e">
        <f ca="1"/>
        <v>#NUM!</v>
      </c>
      <c r="L25" t="e">
        <f ca="1"/>
        <v>#NUM!</v>
      </c>
      <c r="M25" t="e">
        <f ca="1"/>
        <v>#NUM!</v>
      </c>
      <c r="N25" t="e">
        <f ca="1"/>
        <v>#NUM!</v>
      </c>
      <c r="O25" t="e">
        <f ca="1"/>
        <v>#NUM!</v>
      </c>
    </row>
    <row r="26" spans="1:15" x14ac:dyDescent="0.15">
      <c r="A26" s="61">
        <f t="shared" ca="1" si="0"/>
        <v>43297</v>
      </c>
      <c r="C26">
        <f ca="1"/>
        <v>3.1428931877998688E-2</v>
      </c>
      <c r="D26">
        <f ca="1"/>
        <v>3.142893187799517E-2</v>
      </c>
      <c r="E26">
        <f ca="1"/>
        <v>3.142893187799517E-2</v>
      </c>
      <c r="F26">
        <f ca="1"/>
        <v>3.142893187799517E-2</v>
      </c>
      <c r="G26">
        <f ca="1"/>
        <v>3.142893187799517E-2</v>
      </c>
      <c r="H26">
        <f ca="1"/>
        <v>3.142893187799517E-2</v>
      </c>
      <c r="I26">
        <f ca="1"/>
        <v>3.142893187799517E-2</v>
      </c>
      <c r="J26" t="e">
        <f ca="1"/>
        <v>#NUM!</v>
      </c>
      <c r="K26" t="e">
        <f ca="1"/>
        <v>#NUM!</v>
      </c>
      <c r="L26" t="e">
        <f ca="1"/>
        <v>#NUM!</v>
      </c>
      <c r="M26" t="e">
        <f ca="1"/>
        <v>#NUM!</v>
      </c>
      <c r="N26" t="e">
        <f ca="1"/>
        <v>#NUM!</v>
      </c>
      <c r="O26" t="e">
        <f ca="1"/>
        <v>#NUM!</v>
      </c>
    </row>
    <row r="27" spans="1:15" x14ac:dyDescent="0.15">
      <c r="A27" s="61">
        <f t="shared" ca="1" si="0"/>
        <v>43387</v>
      </c>
      <c r="C27">
        <f ca="1"/>
        <v>3.1736200370562198E-2</v>
      </c>
      <c r="D27">
        <f ca="1"/>
        <v>3.1736200370558312E-2</v>
      </c>
      <c r="E27">
        <f ca="1"/>
        <v>3.1736200370558312E-2</v>
      </c>
      <c r="F27">
        <f ca="1"/>
        <v>3.1736200370558312E-2</v>
      </c>
      <c r="G27">
        <f ca="1"/>
        <v>3.1736200370558312E-2</v>
      </c>
      <c r="H27">
        <f ca="1"/>
        <v>3.1736200370558312E-2</v>
      </c>
      <c r="I27">
        <f ca="1"/>
        <v>3.1736200370558312E-2</v>
      </c>
      <c r="J27" t="e">
        <f ca="1"/>
        <v>#NUM!</v>
      </c>
      <c r="K27" t="e">
        <f ca="1"/>
        <v>#NUM!</v>
      </c>
      <c r="L27" t="e">
        <f ca="1"/>
        <v>#NUM!</v>
      </c>
      <c r="M27" t="e">
        <f ca="1"/>
        <v>#NUM!</v>
      </c>
      <c r="N27" t="e">
        <f ca="1"/>
        <v>#NUM!</v>
      </c>
      <c r="O27" t="e">
        <f ca="1"/>
        <v>#NUM!</v>
      </c>
    </row>
    <row r="28" spans="1:15" x14ac:dyDescent="0.15">
      <c r="A28" s="61">
        <f t="shared" ca="1" si="0"/>
        <v>43477</v>
      </c>
      <c r="C28">
        <f ca="1"/>
        <v>3.1647744352673264E-2</v>
      </c>
      <c r="D28">
        <f ca="1"/>
        <v>3.1647744352723273E-2</v>
      </c>
      <c r="E28">
        <f ca="1"/>
        <v>3.1647744352723273E-2</v>
      </c>
      <c r="F28">
        <f ca="1"/>
        <v>3.1647744352723273E-2</v>
      </c>
      <c r="G28">
        <f ca="1"/>
        <v>3.1647744352723273E-2</v>
      </c>
      <c r="H28">
        <f ca="1"/>
        <v>3.1647744352723273E-2</v>
      </c>
      <c r="I28">
        <f ca="1"/>
        <v>3.1647744352723273E-2</v>
      </c>
      <c r="J28" t="e">
        <f ca="1"/>
        <v>#NUM!</v>
      </c>
      <c r="K28" t="e">
        <f ca="1"/>
        <v>#NUM!</v>
      </c>
      <c r="L28" t="e">
        <f ca="1"/>
        <v>#NUM!</v>
      </c>
      <c r="M28" t="e">
        <f ca="1"/>
        <v>#NUM!</v>
      </c>
      <c r="N28" t="e">
        <f ca="1"/>
        <v>#NUM!</v>
      </c>
      <c r="O28" t="e">
        <f ca="1"/>
        <v>#NUM!</v>
      </c>
    </row>
    <row r="29" spans="1:15" x14ac:dyDescent="0.15">
      <c r="A29" s="61">
        <f t="shared" ca="1" si="0"/>
        <v>43567</v>
      </c>
      <c r="C29">
        <f ca="1"/>
        <v>3.135052412480703E-2</v>
      </c>
      <c r="D29">
        <f ca="1"/>
        <v>3.1350524124852015E-2</v>
      </c>
      <c r="E29">
        <f ca="1"/>
        <v>3.1350524124852015E-2</v>
      </c>
      <c r="F29">
        <f ca="1"/>
        <v>3.1350524124852015E-2</v>
      </c>
      <c r="G29">
        <f ca="1"/>
        <v>3.1350524124852015E-2</v>
      </c>
      <c r="H29">
        <f ca="1"/>
        <v>3.1350524124852015E-2</v>
      </c>
      <c r="I29">
        <f ca="1"/>
        <v>3.1350524124852015E-2</v>
      </c>
      <c r="J29" t="e">
        <f ca="1"/>
        <v>#NUM!</v>
      </c>
      <c r="K29" t="e">
        <f ca="1"/>
        <v>#NUM!</v>
      </c>
      <c r="L29" t="e">
        <f ca="1"/>
        <v>#NUM!</v>
      </c>
      <c r="M29" t="e">
        <f ca="1"/>
        <v>#NUM!</v>
      </c>
      <c r="N29" t="e">
        <f ca="1"/>
        <v>#NUM!</v>
      </c>
      <c r="O29" t="e">
        <f ca="1"/>
        <v>#NUM!</v>
      </c>
    </row>
    <row r="30" spans="1:15" x14ac:dyDescent="0.15">
      <c r="A30" s="61">
        <f t="shared" ca="1" si="0"/>
        <v>43657</v>
      </c>
      <c r="C30">
        <f ca="1"/>
        <v>3.1423604829679423E-2</v>
      </c>
      <c r="D30">
        <f ca="1"/>
        <v>3.1423604829676807E-2</v>
      </c>
      <c r="E30">
        <f ca="1"/>
        <v>3.1423604829676807E-2</v>
      </c>
      <c r="F30">
        <f ca="1"/>
        <v>3.1423604829676807E-2</v>
      </c>
      <c r="G30">
        <f ca="1"/>
        <v>3.1423604829676807E-2</v>
      </c>
      <c r="H30">
        <f ca="1"/>
        <v>3.1423604829676807E-2</v>
      </c>
      <c r="I30">
        <f ca="1"/>
        <v>3.1423604829676807E-2</v>
      </c>
      <c r="J30" t="e">
        <f ca="1"/>
        <v>#NUM!</v>
      </c>
      <c r="K30" t="e">
        <f ca="1"/>
        <v>#NUM!</v>
      </c>
      <c r="L30" t="e">
        <f ca="1"/>
        <v>#NUM!</v>
      </c>
      <c r="M30" t="e">
        <f ca="1"/>
        <v>#NUM!</v>
      </c>
      <c r="N30" t="e">
        <f ca="1"/>
        <v>#NUM!</v>
      </c>
      <c r="O30" t="e">
        <f ca="1"/>
        <v>#NUM!</v>
      </c>
    </row>
    <row r="31" spans="1:15" x14ac:dyDescent="0.15">
      <c r="A31" s="61">
        <f t="shared" ca="1" si="0"/>
        <v>43747</v>
      </c>
      <c r="C31">
        <f ca="1"/>
        <v>3.1869974590956411E-2</v>
      </c>
      <c r="D31">
        <f ca="1"/>
        <v>3.18699745909529E-2</v>
      </c>
      <c r="E31">
        <f ca="1"/>
        <v>3.18699745909529E-2</v>
      </c>
      <c r="F31">
        <f ca="1"/>
        <v>3.18699745909529E-2</v>
      </c>
      <c r="G31">
        <f ca="1"/>
        <v>3.18699745909529E-2</v>
      </c>
      <c r="H31">
        <f ca="1"/>
        <v>3.18699745909529E-2</v>
      </c>
      <c r="I31">
        <f ca="1"/>
        <v>3.18699745909529E-2</v>
      </c>
      <c r="J31" t="e">
        <f ca="1"/>
        <v>#NUM!</v>
      </c>
      <c r="K31" t="e">
        <f ca="1"/>
        <v>#NUM!</v>
      </c>
      <c r="L31" t="e">
        <f ca="1"/>
        <v>#NUM!</v>
      </c>
      <c r="M31" t="e">
        <f ca="1"/>
        <v>#NUM!</v>
      </c>
      <c r="N31" t="e">
        <f ca="1"/>
        <v>#NUM!</v>
      </c>
      <c r="O31" t="e">
        <f ca="1"/>
        <v>#NUM!</v>
      </c>
    </row>
    <row r="32" spans="1:15" x14ac:dyDescent="0.15">
      <c r="A32" s="61">
        <f t="shared" ca="1" si="0"/>
        <v>43837</v>
      </c>
      <c r="C32">
        <f ca="1"/>
        <v>3.2342868366558884E-2</v>
      </c>
      <c r="D32">
        <f ca="1"/>
        <v>3.2342868366556518E-2</v>
      </c>
      <c r="E32">
        <f ca="1"/>
        <v>3.2342868366556518E-2</v>
      </c>
      <c r="F32">
        <f ca="1"/>
        <v>3.2342868366556518E-2</v>
      </c>
      <c r="G32">
        <f ca="1"/>
        <v>3.2342868366556518E-2</v>
      </c>
      <c r="H32">
        <f ca="1"/>
        <v>3.2342868366556518E-2</v>
      </c>
      <c r="I32">
        <f ca="1"/>
        <v>3.2342868366556518E-2</v>
      </c>
      <c r="J32" t="e">
        <f ca="1"/>
        <v>#NUM!</v>
      </c>
      <c r="K32" t="e">
        <f ca="1"/>
        <v>#NUM!</v>
      </c>
      <c r="L32" t="e">
        <f ca="1"/>
        <v>#NUM!</v>
      </c>
      <c r="M32" t="e">
        <f ca="1"/>
        <v>#NUM!</v>
      </c>
      <c r="N32" t="e">
        <f ca="1"/>
        <v>#NUM!</v>
      </c>
      <c r="O32" t="e">
        <f ca="1"/>
        <v>#NUM!</v>
      </c>
    </row>
    <row r="33" spans="1:15" x14ac:dyDescent="0.15">
      <c r="A33" s="61">
        <f t="shared" ca="1" si="0"/>
        <v>43927</v>
      </c>
      <c r="C33">
        <f ca="1"/>
        <v>3.2729956205065622E-2</v>
      </c>
      <c r="D33">
        <f ca="1"/>
        <v>3.2729956205064012E-2</v>
      </c>
      <c r="E33">
        <f ca="1"/>
        <v>3.2729956205064012E-2</v>
      </c>
      <c r="F33">
        <f ca="1"/>
        <v>3.2729956205064012E-2</v>
      </c>
      <c r="G33">
        <f ca="1"/>
        <v>3.2729956205064012E-2</v>
      </c>
      <c r="H33">
        <f ca="1"/>
        <v>3.2729956205064012E-2</v>
      </c>
      <c r="I33">
        <f ca="1"/>
        <v>3.2729956205064012E-2</v>
      </c>
      <c r="J33" t="e">
        <f ca="1"/>
        <v>#NUM!</v>
      </c>
      <c r="K33" t="e">
        <f ca="1"/>
        <v>#NUM!</v>
      </c>
      <c r="L33" t="e">
        <f ca="1"/>
        <v>#NUM!</v>
      </c>
      <c r="M33" t="e">
        <f ca="1"/>
        <v>#NUM!</v>
      </c>
      <c r="N33" t="e">
        <f ca="1"/>
        <v>#NUM!</v>
      </c>
      <c r="O33" t="e">
        <f ca="1"/>
        <v>#NUM!</v>
      </c>
    </row>
    <row r="34" spans="1:15" x14ac:dyDescent="0.15">
      <c r="A34" s="61">
        <f t="shared" ca="1" si="0"/>
        <v>44017</v>
      </c>
      <c r="C34">
        <f ca="1"/>
        <v>3.2992027787946458E-2</v>
      </c>
      <c r="D34">
        <f ca="1"/>
        <v>3.29920277879093E-2</v>
      </c>
      <c r="E34">
        <f ca="1"/>
        <v>3.29920277879093E-2</v>
      </c>
      <c r="F34">
        <f ca="1"/>
        <v>3.29920277879093E-2</v>
      </c>
      <c r="G34">
        <f ca="1"/>
        <v>3.29920277879093E-2</v>
      </c>
      <c r="H34">
        <f ca="1"/>
        <v>3.29920277879093E-2</v>
      </c>
      <c r="I34">
        <f ca="1"/>
        <v>3.29920277879093E-2</v>
      </c>
      <c r="J34" t="e">
        <f ca="1"/>
        <v>#NUM!</v>
      </c>
      <c r="K34" t="e">
        <f ca="1"/>
        <v>#NUM!</v>
      </c>
      <c r="L34" t="e">
        <f ca="1"/>
        <v>#NUM!</v>
      </c>
      <c r="M34" t="e">
        <f ca="1"/>
        <v>#NUM!</v>
      </c>
      <c r="N34" t="e">
        <f ca="1"/>
        <v>#NUM!</v>
      </c>
      <c r="O34" t="e">
        <f ca="1"/>
        <v>#NUM!</v>
      </c>
    </row>
    <row r="35" spans="1:15" x14ac:dyDescent="0.15">
      <c r="A35" s="61">
        <f t="shared" ca="1" si="0"/>
        <v>44107</v>
      </c>
      <c r="C35">
        <f ca="1"/>
        <v>3.3202350383030273E-2</v>
      </c>
      <c r="D35">
        <f ca="1"/>
        <v>3.3202350382978571E-2</v>
      </c>
      <c r="E35">
        <f ca="1"/>
        <v>3.3202350382978571E-2</v>
      </c>
      <c r="F35">
        <f ca="1"/>
        <v>3.3202350382978571E-2</v>
      </c>
      <c r="G35">
        <f ca="1"/>
        <v>3.3202350382978571E-2</v>
      </c>
      <c r="H35">
        <f ca="1"/>
        <v>3.3202350382978571E-2</v>
      </c>
      <c r="I35">
        <f ca="1"/>
        <v>3.3202350382978571E-2</v>
      </c>
      <c r="J35" t="e">
        <f ca="1"/>
        <v>#NUM!</v>
      </c>
      <c r="K35" t="e">
        <f ca="1"/>
        <v>#NUM!</v>
      </c>
      <c r="L35" t="e">
        <f ca="1"/>
        <v>#NUM!</v>
      </c>
      <c r="M35" t="e">
        <f ca="1"/>
        <v>#NUM!</v>
      </c>
      <c r="N35" t="e">
        <f ca="1"/>
        <v>#NUM!</v>
      </c>
      <c r="O35" t="e">
        <f ca="1"/>
        <v>#NUM!</v>
      </c>
    </row>
    <row r="36" spans="1:15" x14ac:dyDescent="0.15">
      <c r="A36" s="61">
        <f t="shared" ca="1" si="0"/>
        <v>44197</v>
      </c>
      <c r="C36">
        <f ca="1"/>
        <v>3.3371302699424378E-2</v>
      </c>
      <c r="D36">
        <f ca="1"/>
        <v>3.3371302699422296E-2</v>
      </c>
      <c r="E36">
        <f ca="1"/>
        <v>3.3371302699422296E-2</v>
      </c>
      <c r="F36">
        <f ca="1"/>
        <v>3.3371302699422296E-2</v>
      </c>
      <c r="G36">
        <f ca="1"/>
        <v>3.3371302699422296E-2</v>
      </c>
      <c r="H36">
        <f ca="1"/>
        <v>3.3371302699422296E-2</v>
      </c>
      <c r="I36">
        <f ca="1"/>
        <v>3.3371302699422296E-2</v>
      </c>
      <c r="J36" t="e">
        <f ca="1"/>
        <v>#NUM!</v>
      </c>
      <c r="K36" t="e">
        <f ca="1"/>
        <v>#NUM!</v>
      </c>
      <c r="L36" t="e">
        <f ca="1"/>
        <v>#NUM!</v>
      </c>
      <c r="M36" t="e">
        <f ca="1"/>
        <v>#NUM!</v>
      </c>
      <c r="N36" t="e">
        <f ca="1"/>
        <v>#NUM!</v>
      </c>
      <c r="O36" t="e">
        <f ca="1"/>
        <v>#NUM!</v>
      </c>
    </row>
    <row r="37" spans="1:15" x14ac:dyDescent="0.15">
      <c r="A37" s="61">
        <f t="shared" ca="1" si="0"/>
        <v>44287</v>
      </c>
      <c r="C37">
        <f ca="1"/>
        <v>3.3456081105942122E-2</v>
      </c>
      <c r="D37">
        <f ca="1"/>
        <v>3.3456081105940616E-2</v>
      </c>
      <c r="E37">
        <f ca="1"/>
        <v>3.3456081105940616E-2</v>
      </c>
      <c r="F37">
        <f ca="1"/>
        <v>3.3456081105940616E-2</v>
      </c>
      <c r="G37">
        <f ca="1"/>
        <v>3.3456081105940616E-2</v>
      </c>
      <c r="H37">
        <f ca="1"/>
        <v>3.3456081105940616E-2</v>
      </c>
      <c r="I37">
        <f ca="1"/>
        <v>3.3456081105940616E-2</v>
      </c>
      <c r="J37" t="e">
        <f ca="1"/>
        <v>#NUM!</v>
      </c>
      <c r="K37" t="e">
        <f ca="1"/>
        <v>#NUM!</v>
      </c>
      <c r="L37" t="e">
        <f ca="1"/>
        <v>#NUM!</v>
      </c>
      <c r="M37" t="e">
        <f ca="1"/>
        <v>#NUM!</v>
      </c>
      <c r="N37" t="e">
        <f ca="1"/>
        <v>#NUM!</v>
      </c>
      <c r="O37" t="e">
        <f ca="1"/>
        <v>#NUM!</v>
      </c>
    </row>
    <row r="38" spans="1:15" x14ac:dyDescent="0.15">
      <c r="A38" s="61">
        <f t="shared" ca="1" si="0"/>
        <v>44377</v>
      </c>
      <c r="C38">
        <f ca="1"/>
        <v>3.3473268736812417E-2</v>
      </c>
      <c r="D38">
        <f ca="1"/>
        <v>3.3473268736811446E-2</v>
      </c>
      <c r="E38">
        <f ca="1"/>
        <v>3.3473268736811446E-2</v>
      </c>
      <c r="F38">
        <f ca="1"/>
        <v>3.3473268736811446E-2</v>
      </c>
      <c r="G38">
        <f ca="1"/>
        <v>3.3473268736811446E-2</v>
      </c>
      <c r="H38">
        <f ca="1"/>
        <v>3.3473268736811446E-2</v>
      </c>
      <c r="I38">
        <f ca="1"/>
        <v>3.3473268736811446E-2</v>
      </c>
      <c r="J38" t="e">
        <f ca="1"/>
        <v>#NUM!</v>
      </c>
      <c r="K38" t="e">
        <f ca="1"/>
        <v>#NUM!</v>
      </c>
      <c r="L38" t="e">
        <f ca="1"/>
        <v>#NUM!</v>
      </c>
      <c r="M38" t="e">
        <f ca="1"/>
        <v>#NUM!</v>
      </c>
      <c r="N38" t="e">
        <f ca="1"/>
        <v>#NUM!</v>
      </c>
      <c r="O38" t="e">
        <f ca="1"/>
        <v>#NUM!</v>
      </c>
    </row>
    <row r="39" spans="1:15" x14ac:dyDescent="0.15">
      <c r="A39" s="61">
        <f t="shared" ca="1" si="0"/>
        <v>44467</v>
      </c>
      <c r="C39">
        <f ca="1"/>
        <v>3.348760400028325E-2</v>
      </c>
      <c r="D39">
        <f ca="1"/>
        <v>3.3487604000303983E-2</v>
      </c>
      <c r="E39">
        <f ca="1"/>
        <v>3.3487604000303983E-2</v>
      </c>
      <c r="F39">
        <f ca="1"/>
        <v>3.3487604000303983E-2</v>
      </c>
      <c r="G39">
        <f ca="1"/>
        <v>3.3487604000303983E-2</v>
      </c>
      <c r="H39">
        <f ca="1"/>
        <v>3.3487604000303983E-2</v>
      </c>
      <c r="I39">
        <f ca="1"/>
        <v>3.3487604000303983E-2</v>
      </c>
      <c r="J39" t="e">
        <f ca="1"/>
        <v>#NUM!</v>
      </c>
      <c r="K39" t="e">
        <f ca="1"/>
        <v>#NUM!</v>
      </c>
      <c r="L39" t="e">
        <f ca="1"/>
        <v>#NUM!</v>
      </c>
      <c r="M39" t="e">
        <f ca="1"/>
        <v>#NUM!</v>
      </c>
      <c r="N39" t="e">
        <f ca="1"/>
        <v>#NUM!</v>
      </c>
      <c r="O39" t="e">
        <f ca="1"/>
        <v>#NUM!</v>
      </c>
    </row>
    <row r="40" spans="1:15" x14ac:dyDescent="0.15">
      <c r="A40" s="61">
        <f t="shared" ca="1" si="0"/>
        <v>44557</v>
      </c>
      <c r="C40">
        <f ca="1"/>
        <v>3.3490175322072595E-2</v>
      </c>
      <c r="D40">
        <f ca="1"/>
        <v>3.3490175322122548E-2</v>
      </c>
      <c r="E40">
        <f ca="1"/>
        <v>3.3490175322122548E-2</v>
      </c>
      <c r="F40">
        <f ca="1"/>
        <v>3.3490175322122548E-2</v>
      </c>
      <c r="G40">
        <f ca="1"/>
        <v>3.3490175322122548E-2</v>
      </c>
      <c r="H40">
        <f ca="1"/>
        <v>3.3490175322122548E-2</v>
      </c>
      <c r="I40">
        <f ca="1"/>
        <v>3.3490175322122548E-2</v>
      </c>
      <c r="J40" t="e">
        <f ca="1"/>
        <v>#NUM!</v>
      </c>
      <c r="K40" t="e">
        <f ca="1"/>
        <v>#NUM!</v>
      </c>
      <c r="L40" t="e">
        <f ca="1"/>
        <v>#NUM!</v>
      </c>
      <c r="M40" t="e">
        <f ca="1"/>
        <v>#NUM!</v>
      </c>
      <c r="N40" t="e">
        <f ca="1"/>
        <v>#NUM!</v>
      </c>
      <c r="O40" t="e">
        <f ca="1"/>
        <v>#NUM!</v>
      </c>
    </row>
    <row r="41" spans="1:15" x14ac:dyDescent="0.15">
      <c r="A41" s="61">
        <f t="shared" ca="1" si="0"/>
        <v>44647</v>
      </c>
      <c r="C41">
        <f ca="1"/>
        <v>3.3488166581502658E-2</v>
      </c>
      <c r="D41">
        <f ca="1"/>
        <v>3.3488166581501271E-2</v>
      </c>
      <c r="E41">
        <f ca="1"/>
        <v>3.3488166581501271E-2</v>
      </c>
      <c r="F41">
        <f ca="1"/>
        <v>3.3488166581501271E-2</v>
      </c>
      <c r="G41">
        <f ca="1"/>
        <v>3.3488166581501271E-2</v>
      </c>
      <c r="H41">
        <f ca="1"/>
        <v>3.3488166581501271E-2</v>
      </c>
      <c r="I41">
        <f ca="1"/>
        <v>3.3488166581501271E-2</v>
      </c>
      <c r="J41" t="e">
        <f ca="1"/>
        <v>#NUM!</v>
      </c>
      <c r="K41" t="e">
        <f ca="1"/>
        <v>#NUM!</v>
      </c>
      <c r="L41" t="e">
        <f ca="1"/>
        <v>#NUM!</v>
      </c>
      <c r="M41" t="e">
        <f ca="1"/>
        <v>#NUM!</v>
      </c>
      <c r="N41" t="e">
        <f ca="1"/>
        <v>#NUM!</v>
      </c>
      <c r="O41" t="e">
        <f ca="1"/>
        <v>#NUM!</v>
      </c>
    </row>
    <row r="42" spans="1:15" x14ac:dyDescent="0.15">
      <c r="A42" s="61">
        <f t="shared" ca="1" si="0"/>
        <v>44737</v>
      </c>
      <c r="C42">
        <f ca="1"/>
        <v>3.3589521316535878E-2</v>
      </c>
      <c r="D42">
        <f ca="1"/>
        <v>3.358952131655403E-2</v>
      </c>
      <c r="E42">
        <f ca="1"/>
        <v>3.358952131655403E-2</v>
      </c>
      <c r="F42">
        <f ca="1"/>
        <v>3.358952131655403E-2</v>
      </c>
      <c r="G42">
        <f ca="1"/>
        <v>3.358952131655403E-2</v>
      </c>
      <c r="H42">
        <f ca="1"/>
        <v>3.358952131655403E-2</v>
      </c>
      <c r="I42">
        <f ca="1"/>
        <v>3.358952131655403E-2</v>
      </c>
      <c r="J42" t="e">
        <f ca="1"/>
        <v>#NUM!</v>
      </c>
      <c r="K42" t="e">
        <f ca="1"/>
        <v>#NUM!</v>
      </c>
      <c r="L42" t="e">
        <f ca="1"/>
        <v>#NUM!</v>
      </c>
      <c r="M42" t="e">
        <f ca="1"/>
        <v>#NUM!</v>
      </c>
      <c r="N42" t="e">
        <f ca="1"/>
        <v>#NUM!</v>
      </c>
      <c r="O42" t="e">
        <f ca="1"/>
        <v>#NUM!</v>
      </c>
    </row>
    <row r="43" spans="1:15" x14ac:dyDescent="0.15">
      <c r="A43" s="61">
        <f t="shared" ca="1" si="0"/>
        <v>44827</v>
      </c>
      <c r="C43">
        <f ca="1"/>
        <v>3.3879992494925792E-2</v>
      </c>
      <c r="D43">
        <f ca="1"/>
        <v>3.3879992494993356E-2</v>
      </c>
      <c r="E43">
        <f ca="1"/>
        <v>3.3879992494993356E-2</v>
      </c>
      <c r="F43">
        <f ca="1"/>
        <v>3.3879992494993356E-2</v>
      </c>
      <c r="G43">
        <f ca="1"/>
        <v>3.3879992494993356E-2</v>
      </c>
      <c r="H43">
        <f ca="1"/>
        <v>3.3879992494993356E-2</v>
      </c>
      <c r="I43">
        <f ca="1"/>
        <v>3.3879992494993356E-2</v>
      </c>
      <c r="J43" t="e">
        <f ca="1"/>
        <v>#NUM!</v>
      </c>
      <c r="K43" t="e">
        <f ca="1"/>
        <v>#NUM!</v>
      </c>
      <c r="L43" t="e">
        <f ca="1"/>
        <v>#NUM!</v>
      </c>
      <c r="M43" t="e">
        <f ca="1"/>
        <v>#NUM!</v>
      </c>
      <c r="N43" t="e">
        <f ca="1"/>
        <v>#NUM!</v>
      </c>
      <c r="O43" t="e">
        <f ca="1"/>
        <v>#NUM!</v>
      </c>
    </row>
    <row r="44" spans="1:15" x14ac:dyDescent="0.15">
      <c r="A44" s="61">
        <f t="shared" ca="1" si="0"/>
        <v>44917</v>
      </c>
      <c r="C44">
        <f ca="1"/>
        <v>3.4172661096878429E-2</v>
      </c>
      <c r="D44">
        <f ca="1"/>
        <v>3.4172661096927487E-2</v>
      </c>
      <c r="E44">
        <f ca="1"/>
        <v>3.4172661096927487E-2</v>
      </c>
      <c r="F44">
        <f ca="1"/>
        <v>3.4172661096927487E-2</v>
      </c>
      <c r="G44">
        <f ca="1"/>
        <v>3.4172661096927487E-2</v>
      </c>
      <c r="H44">
        <f ca="1"/>
        <v>3.4172661096927487E-2</v>
      </c>
      <c r="I44">
        <f ca="1"/>
        <v>3.4172661096927487E-2</v>
      </c>
      <c r="J44" t="e">
        <f ca="1"/>
        <v>#NUM!</v>
      </c>
      <c r="K44" t="e">
        <f ca="1"/>
        <v>#NUM!</v>
      </c>
      <c r="L44" t="e">
        <f ca="1"/>
        <v>#NUM!</v>
      </c>
      <c r="M44" t="e">
        <f ca="1"/>
        <v>#NUM!</v>
      </c>
      <c r="N44" t="e">
        <f ca="1"/>
        <v>#NUM!</v>
      </c>
      <c r="O44" t="e">
        <f ca="1"/>
        <v>#NUM!</v>
      </c>
    </row>
    <row r="45" spans="1:15" x14ac:dyDescent="0.15">
      <c r="A45" s="61">
        <f t="shared" ca="1" si="0"/>
        <v>45007</v>
      </c>
      <c r="C45">
        <f ca="1"/>
        <v>3.4454734172497274E-2</v>
      </c>
      <c r="D45">
        <f ca="1"/>
        <v>3.4454734172495921E-2</v>
      </c>
      <c r="E45">
        <f ca="1"/>
        <v>3.4454734172495921E-2</v>
      </c>
      <c r="F45">
        <f ca="1"/>
        <v>3.4454734172495921E-2</v>
      </c>
      <c r="G45">
        <f ca="1"/>
        <v>3.4454734172495921E-2</v>
      </c>
      <c r="H45">
        <f ca="1"/>
        <v>3.4454734172495921E-2</v>
      </c>
      <c r="I45">
        <f ca="1"/>
        <v>3.4454734172495921E-2</v>
      </c>
      <c r="J45" t="e">
        <f ca="1"/>
        <v>#NUM!</v>
      </c>
      <c r="K45" t="e">
        <f ca="1"/>
        <v>#NUM!</v>
      </c>
      <c r="L45" t="e">
        <f ca="1"/>
        <v>#NUM!</v>
      </c>
      <c r="M45" t="e">
        <f ca="1"/>
        <v>#NUM!</v>
      </c>
      <c r="N45" t="e">
        <f ca="1"/>
        <v>#NUM!</v>
      </c>
      <c r="O45" t="e">
        <f ca="1"/>
        <v>#NUM!</v>
      </c>
    </row>
    <row r="46" spans="1:15" x14ac:dyDescent="0.15">
      <c r="A46" s="61">
        <f t="shared" ca="1" si="0"/>
        <v>45097</v>
      </c>
      <c r="C46">
        <f ca="1"/>
        <v>3.4717964608461369E-2</v>
      </c>
      <c r="D46">
        <f ca="1"/>
        <v>3.4717964608445867E-2</v>
      </c>
      <c r="E46">
        <f ca="1"/>
        <v>3.4717964608445867E-2</v>
      </c>
      <c r="F46">
        <f ca="1"/>
        <v>3.4717964608445867E-2</v>
      </c>
      <c r="G46">
        <f ca="1"/>
        <v>3.4717964608445867E-2</v>
      </c>
      <c r="H46">
        <f ca="1"/>
        <v>3.4717964608445867E-2</v>
      </c>
      <c r="I46">
        <f ca="1"/>
        <v>3.4717964608445867E-2</v>
      </c>
      <c r="J46" t="e">
        <f ca="1"/>
        <v>#NUM!</v>
      </c>
      <c r="K46" t="e">
        <f ca="1"/>
        <v>#NUM!</v>
      </c>
      <c r="L46" t="e">
        <f ca="1"/>
        <v>#NUM!</v>
      </c>
      <c r="M46" t="e">
        <f ca="1"/>
        <v>#NUM!</v>
      </c>
      <c r="N46" t="e">
        <f ca="1"/>
        <v>#NUM!</v>
      </c>
      <c r="O46" t="e">
        <f ca="1"/>
        <v>#NUM!</v>
      </c>
    </row>
    <row r="47" spans="1:15" x14ac:dyDescent="0.15">
      <c r="A47" s="61">
        <f t="shared" ca="1" si="0"/>
        <v>45187</v>
      </c>
      <c r="C47">
        <f ca="1"/>
        <v>3.4969589919251205E-2</v>
      </c>
      <c r="D47">
        <f ca="1"/>
        <v>3.4969589919180651E-2</v>
      </c>
      <c r="E47">
        <f ca="1"/>
        <v>3.4969589919180651E-2</v>
      </c>
      <c r="F47">
        <f ca="1"/>
        <v>3.4969589919180651E-2</v>
      </c>
      <c r="G47">
        <f ca="1"/>
        <v>3.4969589919180651E-2</v>
      </c>
      <c r="H47">
        <f ca="1"/>
        <v>3.4969589919180651E-2</v>
      </c>
      <c r="I47">
        <f ca="1"/>
        <v>3.4969589919180651E-2</v>
      </c>
      <c r="J47" t="e">
        <f ca="1"/>
        <v>#NUM!</v>
      </c>
      <c r="K47" t="e">
        <f ca="1"/>
        <v>#NUM!</v>
      </c>
      <c r="L47" t="e">
        <f ca="1"/>
        <v>#NUM!</v>
      </c>
      <c r="M47" t="e">
        <f ca="1"/>
        <v>#NUM!</v>
      </c>
      <c r="N47" t="e">
        <f ca="1"/>
        <v>#NUM!</v>
      </c>
      <c r="O47" t="e">
        <f ca="1"/>
        <v>#NUM!</v>
      </c>
    </row>
    <row r="48" spans="1:15" x14ac:dyDescent="0.15">
      <c r="A48" s="61">
        <f t="shared" ca="1" si="0"/>
        <v>45277</v>
      </c>
      <c r="C48">
        <f ca="1"/>
        <v>3.5213037491399785E-2</v>
      </c>
      <c r="D48">
        <f ca="1"/>
        <v>3.5213037491340443E-2</v>
      </c>
      <c r="E48">
        <f ca="1"/>
        <v>3.5213037491340443E-2</v>
      </c>
      <c r="F48">
        <f ca="1"/>
        <v>3.5213037491340443E-2</v>
      </c>
      <c r="G48">
        <f ca="1"/>
        <v>3.5213037491340443E-2</v>
      </c>
      <c r="H48">
        <f ca="1"/>
        <v>3.5213037491340443E-2</v>
      </c>
      <c r="I48">
        <f ca="1"/>
        <v>3.5213037491340443E-2</v>
      </c>
      <c r="J48" t="e">
        <f ca="1"/>
        <v>#NUM!</v>
      </c>
      <c r="K48" t="e">
        <f ca="1"/>
        <v>#NUM!</v>
      </c>
      <c r="L48" t="e">
        <f ca="1"/>
        <v>#NUM!</v>
      </c>
      <c r="M48" t="e">
        <f ca="1"/>
        <v>#NUM!</v>
      </c>
      <c r="N48" t="e">
        <f ca="1"/>
        <v>#NUM!</v>
      </c>
      <c r="O48" t="e">
        <f ca="1"/>
        <v>#NUM!</v>
      </c>
    </row>
    <row r="49" spans="1:15" x14ac:dyDescent="0.15">
      <c r="A49" s="61">
        <f t="shared" ca="1" si="0"/>
        <v>45367</v>
      </c>
      <c r="C49">
        <f ca="1"/>
        <v>3.5446091947644726E-2</v>
      </c>
      <c r="D49">
        <f ca="1"/>
        <v>3.5446091947643303E-2</v>
      </c>
      <c r="E49">
        <f ca="1"/>
        <v>3.5446091947643303E-2</v>
      </c>
      <c r="F49">
        <f ca="1"/>
        <v>3.5446091947643303E-2</v>
      </c>
      <c r="G49">
        <f ca="1"/>
        <v>3.5446091947643303E-2</v>
      </c>
      <c r="H49">
        <f ca="1"/>
        <v>3.5446091947643303E-2</v>
      </c>
      <c r="I49">
        <f ca="1"/>
        <v>3.5446091947643303E-2</v>
      </c>
      <c r="J49" t="e">
        <f ca="1"/>
        <v>#NUM!</v>
      </c>
      <c r="K49" t="e">
        <f ca="1"/>
        <v>#NUM!</v>
      </c>
      <c r="L49" t="e">
        <f ca="1"/>
        <v>#NUM!</v>
      </c>
      <c r="M49" t="e">
        <f ca="1"/>
        <v>#NUM!</v>
      </c>
      <c r="N49" t="e">
        <f ca="1"/>
        <v>#NUM!</v>
      </c>
      <c r="O49" t="e">
        <f ca="1"/>
        <v>#NUM!</v>
      </c>
    </row>
    <row r="50" spans="1:15" x14ac:dyDescent="0.15">
      <c r="A50" s="61">
        <f t="shared" ca="1" si="0"/>
        <v>45457</v>
      </c>
      <c r="C50">
        <f ca="1"/>
        <v>3.5666949652132539E-2</v>
      </c>
      <c r="D50">
        <f ca="1"/>
        <v>3.5666949652140033E-2</v>
      </c>
      <c r="E50">
        <f ca="1"/>
        <v>3.5666949652140033E-2</v>
      </c>
      <c r="F50">
        <f ca="1"/>
        <v>3.5666949652140033E-2</v>
      </c>
      <c r="G50">
        <f ca="1"/>
        <v>3.5666949652140033E-2</v>
      </c>
      <c r="H50">
        <f ca="1"/>
        <v>3.5666949652140033E-2</v>
      </c>
      <c r="I50">
        <f ca="1"/>
        <v>3.5666949652140033E-2</v>
      </c>
      <c r="J50" t="e">
        <f ca="1"/>
        <v>#NUM!</v>
      </c>
      <c r="K50" t="e">
        <f ca="1"/>
        <v>#NUM!</v>
      </c>
      <c r="L50" t="e">
        <f ca="1"/>
        <v>#NUM!</v>
      </c>
      <c r="M50" t="e">
        <f ca="1"/>
        <v>#NUM!</v>
      </c>
      <c r="N50" t="e">
        <f ca="1"/>
        <v>#NUM!</v>
      </c>
      <c r="O50" t="e">
        <f ca="1"/>
        <v>#NUM!</v>
      </c>
    </row>
    <row r="51" spans="1:15" x14ac:dyDescent="0.15">
      <c r="A51" s="61">
        <f t="shared" ca="1" si="0"/>
        <v>45547</v>
      </c>
      <c r="C51">
        <f ca="1"/>
        <v>3.5878863427556286E-2</v>
      </c>
      <c r="D51">
        <f ca="1"/>
        <v>3.5878863427612297E-2</v>
      </c>
      <c r="E51">
        <f ca="1"/>
        <v>3.5878863427612297E-2</v>
      </c>
      <c r="F51">
        <f ca="1"/>
        <v>3.5878863427612297E-2</v>
      </c>
      <c r="G51">
        <f ca="1"/>
        <v>3.5878863427612297E-2</v>
      </c>
      <c r="H51">
        <f ca="1"/>
        <v>3.5878863427612297E-2</v>
      </c>
      <c r="I51">
        <f ca="1"/>
        <v>3.5878863427612297E-2</v>
      </c>
      <c r="J51" t="e">
        <f ca="1"/>
        <v>#NUM!</v>
      </c>
      <c r="K51" t="e">
        <f ca="1"/>
        <v>#NUM!</v>
      </c>
      <c r="L51" t="e">
        <f ca="1"/>
        <v>#NUM!</v>
      </c>
      <c r="M51" t="e">
        <f ca="1"/>
        <v>#NUM!</v>
      </c>
      <c r="N51" t="e">
        <f ca="1"/>
        <v>#NUM!</v>
      </c>
      <c r="O51" t="e">
        <f ca="1"/>
        <v>#NUM!</v>
      </c>
    </row>
    <row r="52" spans="1:15" x14ac:dyDescent="0.15">
      <c r="A52" s="61">
        <f t="shared" ca="1" si="0"/>
        <v>45637</v>
      </c>
      <c r="C52">
        <f ca="1"/>
        <v>3.6084632316849302E-2</v>
      </c>
      <c r="D52">
        <f ca="1"/>
        <v>3.608463231684593E-2</v>
      </c>
      <c r="E52">
        <f ca="1"/>
        <v>3.608463231684593E-2</v>
      </c>
      <c r="F52">
        <f ca="1"/>
        <v>3.608463231684593E-2</v>
      </c>
      <c r="G52">
        <f ca="1"/>
        <v>3.608463231684593E-2</v>
      </c>
      <c r="H52">
        <f ca="1"/>
        <v>3.608463231684593E-2</v>
      </c>
      <c r="I52">
        <f ca="1"/>
        <v>3.608463231684593E-2</v>
      </c>
      <c r="J52" t="e">
        <f ca="1"/>
        <v>#NUM!</v>
      </c>
      <c r="K52" t="e">
        <f ca="1"/>
        <v>#NUM!</v>
      </c>
      <c r="L52" t="e">
        <f ca="1"/>
        <v>#NUM!</v>
      </c>
      <c r="M52" t="e">
        <f ca="1"/>
        <v>#NUM!</v>
      </c>
      <c r="N52" t="e">
        <f ca="1"/>
        <v>#NUM!</v>
      </c>
      <c r="O52" t="e">
        <f ca="1"/>
        <v>#NUM!</v>
      </c>
    </row>
    <row r="53" spans="1:15" x14ac:dyDescent="0.15">
      <c r="A53" s="61">
        <f t="shared" ca="1" si="0"/>
        <v>45727</v>
      </c>
      <c r="C53">
        <f ca="1"/>
        <v>3.6284480405414432E-2</v>
      </c>
      <c r="D53">
        <f ca="1"/>
        <v>3.6284480405407431E-2</v>
      </c>
      <c r="E53">
        <f ca="1"/>
        <v>3.6284480405407431E-2</v>
      </c>
      <c r="F53">
        <f ca="1"/>
        <v>3.6284480405407431E-2</v>
      </c>
      <c r="G53">
        <f ca="1"/>
        <v>3.6284480405407431E-2</v>
      </c>
      <c r="H53">
        <f ca="1"/>
        <v>3.6284480405407431E-2</v>
      </c>
      <c r="I53">
        <f ca="1"/>
        <v>3.6284480405407431E-2</v>
      </c>
      <c r="J53" t="e">
        <f ca="1"/>
        <v>#NUM!</v>
      </c>
      <c r="K53" t="e">
        <f ca="1"/>
        <v>#NUM!</v>
      </c>
      <c r="L53" t="e">
        <f ca="1"/>
        <v>#NUM!</v>
      </c>
      <c r="M53" t="e">
        <f ca="1"/>
        <v>#NUM!</v>
      </c>
      <c r="N53" t="e">
        <f ca="1"/>
        <v>#NUM!</v>
      </c>
      <c r="O53" t="e">
        <f ca="1"/>
        <v>#NUM!</v>
      </c>
    </row>
    <row r="54" spans="1:15" x14ac:dyDescent="0.15">
      <c r="A54" s="61">
        <f t="shared" ca="1" si="0"/>
        <v>45817</v>
      </c>
      <c r="C54">
        <f ca="1"/>
        <v>3.6472348149488416E-2</v>
      </c>
      <c r="D54">
        <f ca="1"/>
        <v>3.6472348149429783E-2</v>
      </c>
      <c r="E54">
        <f ca="1"/>
        <v>3.6472348149429783E-2</v>
      </c>
      <c r="F54">
        <f ca="1"/>
        <v>3.6472348149429783E-2</v>
      </c>
      <c r="G54">
        <f ca="1"/>
        <v>3.6472348149429783E-2</v>
      </c>
      <c r="H54">
        <f ca="1"/>
        <v>3.6472348149429783E-2</v>
      </c>
      <c r="I54">
        <f ca="1"/>
        <v>3.6472348149429783E-2</v>
      </c>
      <c r="J54" t="e">
        <f ca="1"/>
        <v>#NUM!</v>
      </c>
      <c r="K54" t="e">
        <f ca="1"/>
        <v>#NUM!</v>
      </c>
      <c r="L54" t="e">
        <f ca="1"/>
        <v>#NUM!</v>
      </c>
      <c r="M54" t="e">
        <f ca="1"/>
        <v>#NUM!</v>
      </c>
      <c r="N54" t="e">
        <f ca="1"/>
        <v>#NUM!</v>
      </c>
      <c r="O54" t="e">
        <f ca="1"/>
        <v>#NUM!</v>
      </c>
    </row>
    <row r="55" spans="1:15" x14ac:dyDescent="0.15">
      <c r="A55" s="61">
        <f t="shared" ca="1" si="0"/>
        <v>45907</v>
      </c>
      <c r="C55">
        <f ca="1"/>
        <v>3.6653182443664729E-2</v>
      </c>
      <c r="D55">
        <f ca="1"/>
        <v>3.665318244365854E-2</v>
      </c>
      <c r="E55">
        <f ca="1"/>
        <v>3.665318244365854E-2</v>
      </c>
      <c r="F55">
        <f ca="1"/>
        <v>3.665318244365854E-2</v>
      </c>
      <c r="G55">
        <f ca="1"/>
        <v>3.665318244365854E-2</v>
      </c>
      <c r="H55">
        <f ca="1"/>
        <v>3.665318244365854E-2</v>
      </c>
      <c r="I55">
        <f ca="1"/>
        <v>3.665318244365854E-2</v>
      </c>
      <c r="J55" t="e">
        <f ca="1"/>
        <v>#NUM!</v>
      </c>
      <c r="K55" t="e">
        <f ca="1"/>
        <v>#NUM!</v>
      </c>
      <c r="L55" t="e">
        <f ca="1"/>
        <v>#NUM!</v>
      </c>
      <c r="M55" t="e">
        <f ca="1"/>
        <v>#NUM!</v>
      </c>
      <c r="N55" t="e">
        <f ca="1"/>
        <v>#NUM!</v>
      </c>
      <c r="O55" t="e">
        <f ca="1"/>
        <v>#NUM!</v>
      </c>
    </row>
    <row r="56" spans="1:15" x14ac:dyDescent="0.15">
      <c r="A56" s="61">
        <f t="shared" ca="1" si="0"/>
        <v>45997</v>
      </c>
      <c r="C56">
        <f ca="1"/>
        <v>3.6829314214659313E-2</v>
      </c>
      <c r="D56">
        <f ca="1"/>
        <v>3.6829314214596662E-2</v>
      </c>
      <c r="E56">
        <f ca="1"/>
        <v>3.6829314214596662E-2</v>
      </c>
      <c r="F56">
        <f ca="1"/>
        <v>3.6829314214596662E-2</v>
      </c>
      <c r="G56">
        <f ca="1"/>
        <v>3.6829314214596662E-2</v>
      </c>
      <c r="H56">
        <f ca="1"/>
        <v>3.6829314214596662E-2</v>
      </c>
      <c r="I56">
        <f ca="1"/>
        <v>3.6829314214596662E-2</v>
      </c>
      <c r="J56" t="e">
        <f ca="1"/>
        <v>#NUM!</v>
      </c>
      <c r="K56" t="e">
        <f ca="1"/>
        <v>#NUM!</v>
      </c>
      <c r="L56" t="e">
        <f ca="1"/>
        <v>#NUM!</v>
      </c>
      <c r="M56" t="e">
        <f ca="1"/>
        <v>#NUM!</v>
      </c>
      <c r="N56" t="e">
        <f ca="1"/>
        <v>#NUM!</v>
      </c>
      <c r="O56" t="e">
        <f ca="1"/>
        <v>#NUM!</v>
      </c>
    </row>
    <row r="57" spans="1:15" x14ac:dyDescent="0.15">
      <c r="A57" s="61">
        <f t="shared" ca="1" si="0"/>
        <v>46087</v>
      </c>
      <c r="C57">
        <f ca="1"/>
        <v>3.7000890214486409E-2</v>
      </c>
      <c r="D57">
        <f ca="1"/>
        <v>3.7000890214487089E-2</v>
      </c>
      <c r="E57">
        <f ca="1"/>
        <v>3.7000890214487089E-2</v>
      </c>
      <c r="F57">
        <f ca="1"/>
        <v>3.7000890214487089E-2</v>
      </c>
      <c r="G57">
        <f ca="1"/>
        <v>3.7000890214487089E-2</v>
      </c>
      <c r="H57">
        <f ca="1"/>
        <v>3.7000890214487089E-2</v>
      </c>
      <c r="I57">
        <f ca="1"/>
        <v>3.7000890214487089E-2</v>
      </c>
      <c r="J57" t="e">
        <f ca="1"/>
        <v>#NUM!</v>
      </c>
      <c r="K57" t="e">
        <f ca="1"/>
        <v>#NUM!</v>
      </c>
      <c r="L57" t="e">
        <f ca="1"/>
        <v>#NUM!</v>
      </c>
      <c r="M57" t="e">
        <f ca="1"/>
        <v>#NUM!</v>
      </c>
      <c r="N57" t="e">
        <f ca="1"/>
        <v>#NUM!</v>
      </c>
      <c r="O57" t="e">
        <f ca="1"/>
        <v>#NUM!</v>
      </c>
    </row>
    <row r="58" spans="1:15" x14ac:dyDescent="0.15">
      <c r="A58" s="61">
        <f t="shared" ca="1" si="0"/>
        <v>46177</v>
      </c>
      <c r="C58">
        <f ca="1"/>
        <v>3.7162643399046132E-2</v>
      </c>
      <c r="D58">
        <f ca="1"/>
        <v>3.716264339910768E-2</v>
      </c>
      <c r="E58">
        <f ca="1"/>
        <v>3.716264339910768E-2</v>
      </c>
      <c r="F58">
        <f ca="1"/>
        <v>3.716264339910768E-2</v>
      </c>
      <c r="G58">
        <f ca="1"/>
        <v>3.716264339910768E-2</v>
      </c>
      <c r="H58">
        <f ca="1"/>
        <v>3.716264339910768E-2</v>
      </c>
      <c r="I58">
        <f ca="1"/>
        <v>3.716264339910768E-2</v>
      </c>
      <c r="J58" t="e">
        <f ca="1"/>
        <v>#NUM!</v>
      </c>
      <c r="K58" t="e">
        <f ca="1"/>
        <v>#NUM!</v>
      </c>
      <c r="L58" t="e">
        <f ca="1"/>
        <v>#NUM!</v>
      </c>
      <c r="M58" t="e">
        <f ca="1"/>
        <v>#NUM!</v>
      </c>
      <c r="N58" t="e">
        <f ca="1"/>
        <v>#NUM!</v>
      </c>
      <c r="O58" t="e">
        <f ca="1"/>
        <v>#NUM!</v>
      </c>
    </row>
    <row r="59" spans="1:15" x14ac:dyDescent="0.15">
      <c r="A59" s="61">
        <f t="shared" ca="1" si="0"/>
        <v>46267</v>
      </c>
      <c r="C59">
        <f ca="1"/>
        <v>3.7318766002280714E-2</v>
      </c>
      <c r="D59">
        <f ca="1"/>
        <v>3.7318766002278278E-2</v>
      </c>
      <c r="E59">
        <f ca="1"/>
        <v>3.7318766002278278E-2</v>
      </c>
      <c r="F59">
        <f ca="1"/>
        <v>3.7318766002278278E-2</v>
      </c>
      <c r="G59">
        <f ca="1"/>
        <v>3.7318766002278278E-2</v>
      </c>
      <c r="H59">
        <f ca="1"/>
        <v>3.7318766002278278E-2</v>
      </c>
      <c r="I59">
        <f ca="1"/>
        <v>3.7318766002278278E-2</v>
      </c>
      <c r="J59" t="e">
        <f ca="1"/>
        <v>#NUM!</v>
      </c>
      <c r="K59" t="e">
        <f ca="1"/>
        <v>#NUM!</v>
      </c>
      <c r="L59" t="e">
        <f ca="1"/>
        <v>#NUM!</v>
      </c>
      <c r="M59" t="e">
        <f ca="1"/>
        <v>#NUM!</v>
      </c>
      <c r="N59" t="e">
        <f ca="1"/>
        <v>#NUM!</v>
      </c>
      <c r="O59" t="e">
        <f ca="1"/>
        <v>#NUM!</v>
      </c>
    </row>
    <row r="60" spans="1:15" x14ac:dyDescent="0.15">
      <c r="A60" s="61">
        <f t="shared" ca="1" si="0"/>
        <v>46357</v>
      </c>
      <c r="C60">
        <f ca="1"/>
        <v>3.7471231421316774E-2</v>
      </c>
      <c r="D60">
        <f ca="1"/>
        <v>3.7471231421257273E-2</v>
      </c>
      <c r="E60">
        <f ca="1"/>
        <v>3.7471231421257273E-2</v>
      </c>
      <c r="F60">
        <f ca="1"/>
        <v>3.7471231421257273E-2</v>
      </c>
      <c r="G60">
        <f ca="1"/>
        <v>3.7471231421257273E-2</v>
      </c>
      <c r="H60">
        <f ca="1"/>
        <v>3.7471231421257273E-2</v>
      </c>
      <c r="I60">
        <f ca="1"/>
        <v>3.7471231421257273E-2</v>
      </c>
      <c r="J60" t="e">
        <f ca="1"/>
        <v>#NUM!</v>
      </c>
      <c r="K60" t="e">
        <f ca="1"/>
        <v>#NUM!</v>
      </c>
      <c r="L60" t="e">
        <f ca="1"/>
        <v>#NUM!</v>
      </c>
      <c r="M60" t="e">
        <f ca="1"/>
        <v>#NUM!</v>
      </c>
      <c r="N60" t="e">
        <f ca="1"/>
        <v>#NUM!</v>
      </c>
      <c r="O60" t="e">
        <f ca="1"/>
        <v>#NUM!</v>
      </c>
    </row>
    <row r="61" spans="1:15" x14ac:dyDescent="0.15">
      <c r="A61" s="61">
        <f t="shared" ca="1" si="0"/>
        <v>46447</v>
      </c>
      <c r="C61">
        <f ca="1"/>
        <v>3.7620136534496237E-2</v>
      </c>
      <c r="D61">
        <f ca="1"/>
        <v>3.7620136534435487E-2</v>
      </c>
      <c r="E61">
        <f ca="1"/>
        <v>3.7620136534435487E-2</v>
      </c>
      <c r="F61">
        <f ca="1"/>
        <v>3.7620136534435487E-2</v>
      </c>
      <c r="G61">
        <f ca="1"/>
        <v>3.7620136534435487E-2</v>
      </c>
      <c r="H61">
        <f ca="1"/>
        <v>3.7620136534435487E-2</v>
      </c>
      <c r="I61">
        <f ca="1"/>
        <v>3.7620136534435487E-2</v>
      </c>
      <c r="J61" t="e">
        <f ca="1"/>
        <v>#NUM!</v>
      </c>
      <c r="K61" t="e">
        <f ca="1"/>
        <v>#NUM!</v>
      </c>
      <c r="L61" t="e">
        <f ca="1"/>
        <v>#NUM!</v>
      </c>
      <c r="M61" t="e">
        <f ca="1"/>
        <v>#NUM!</v>
      </c>
      <c r="N61" t="e">
        <f ca="1"/>
        <v>#NUM!</v>
      </c>
      <c r="O61" t="e">
        <f ca="1"/>
        <v>#NUM!</v>
      </c>
    </row>
    <row r="62" spans="1:15" x14ac:dyDescent="0.15">
      <c r="A62" s="61">
        <f t="shared" ca="1" si="0"/>
        <v>46537</v>
      </c>
      <c r="C62">
        <f ca="1"/>
        <v>3.7762437154018377E-2</v>
      </c>
      <c r="D62">
        <f ca="1"/>
        <v>3.776243715401599E-2</v>
      </c>
      <c r="E62">
        <f ca="1"/>
        <v>3.776243715401599E-2</v>
      </c>
      <c r="F62">
        <f ca="1"/>
        <v>3.776243715401599E-2</v>
      </c>
      <c r="G62">
        <f ca="1"/>
        <v>3.776243715401599E-2</v>
      </c>
      <c r="H62">
        <f ca="1"/>
        <v>3.776243715401599E-2</v>
      </c>
      <c r="I62">
        <f ca="1"/>
        <v>3.776243715401599E-2</v>
      </c>
      <c r="J62" t="e">
        <f ca="1"/>
        <v>#NUM!</v>
      </c>
      <c r="K62" t="e">
        <f ca="1"/>
        <v>#NUM!</v>
      </c>
      <c r="L62" t="e">
        <f ca="1"/>
        <v>#NUM!</v>
      </c>
      <c r="M62" t="e">
        <f ca="1"/>
        <v>#NUM!</v>
      </c>
      <c r="N62" t="e">
        <f ca="1"/>
        <v>#NUM!</v>
      </c>
      <c r="O62" t="e">
        <f ca="1"/>
        <v>#NUM!</v>
      </c>
    </row>
    <row r="63" spans="1:15" x14ac:dyDescent="0.15">
      <c r="A63" s="61">
        <f t="shared" ca="1" si="0"/>
        <v>46627</v>
      </c>
      <c r="C63">
        <f ca="1"/>
        <v>3.7888021553558075E-2</v>
      </c>
      <c r="D63">
        <f ca="1"/>
        <v>3.7888021553555196E-2</v>
      </c>
      <c r="E63">
        <f ca="1"/>
        <v>3.7888021553555196E-2</v>
      </c>
      <c r="F63">
        <f ca="1"/>
        <v>3.7888021553555196E-2</v>
      </c>
      <c r="G63">
        <f ca="1"/>
        <v>3.7888021553555196E-2</v>
      </c>
      <c r="H63">
        <f ca="1"/>
        <v>3.7888021553555196E-2</v>
      </c>
      <c r="I63">
        <f ca="1"/>
        <v>3.7888021553555196E-2</v>
      </c>
      <c r="J63" t="e">
        <f ca="1"/>
        <v>#NUM!</v>
      </c>
      <c r="K63" t="e">
        <f ca="1"/>
        <v>#NUM!</v>
      </c>
      <c r="L63" t="e">
        <f ca="1"/>
        <v>#NUM!</v>
      </c>
      <c r="M63" t="e">
        <f ca="1"/>
        <v>#NUM!</v>
      </c>
      <c r="N63" t="e">
        <f ca="1"/>
        <v>#NUM!</v>
      </c>
      <c r="O63" t="e">
        <f ca="1"/>
        <v>#NUM!</v>
      </c>
    </row>
    <row r="64" spans="1:15" x14ac:dyDescent="0.15">
      <c r="A64" s="61">
        <f t="shared" ca="1" si="0"/>
        <v>46717</v>
      </c>
      <c r="C64">
        <f ca="1"/>
        <v>3.796583479151143E-2</v>
      </c>
      <c r="D64">
        <f ca="1"/>
        <v>3.796583479156615E-2</v>
      </c>
      <c r="E64">
        <f ca="1"/>
        <v>3.796583479156615E-2</v>
      </c>
      <c r="F64">
        <f ca="1"/>
        <v>3.796583479156615E-2</v>
      </c>
      <c r="G64">
        <f ca="1"/>
        <v>3.796583479156615E-2</v>
      </c>
      <c r="H64">
        <f ca="1"/>
        <v>3.796583479156615E-2</v>
      </c>
      <c r="I64">
        <f ca="1"/>
        <v>3.796583479156615E-2</v>
      </c>
      <c r="J64" t="e">
        <f ca="1"/>
        <v>#NUM!</v>
      </c>
      <c r="K64" t="e">
        <f ca="1"/>
        <v>#NUM!</v>
      </c>
      <c r="L64" t="e">
        <f ca="1"/>
        <v>#NUM!</v>
      </c>
      <c r="M64" t="e">
        <f ca="1"/>
        <v>#NUM!</v>
      </c>
      <c r="N64" t="e">
        <f ca="1"/>
        <v>#NUM!</v>
      </c>
      <c r="O64" t="e">
        <f ca="1"/>
        <v>#NUM!</v>
      </c>
    </row>
    <row r="65" spans="1:15" x14ac:dyDescent="0.15">
      <c r="A65" s="61">
        <f t="shared" ca="1" si="0"/>
        <v>46807</v>
      </c>
      <c r="C65">
        <f ca="1"/>
        <v>3.8038623288457515E-2</v>
      </c>
      <c r="D65">
        <f ca="1"/>
        <v>3.8038623288516454E-2</v>
      </c>
      <c r="E65">
        <f ca="1"/>
        <v>3.8038623288516454E-2</v>
      </c>
      <c r="F65">
        <f ca="1"/>
        <v>3.8038623288516454E-2</v>
      </c>
      <c r="G65">
        <f ca="1"/>
        <v>3.8038623288516454E-2</v>
      </c>
      <c r="H65">
        <f ca="1"/>
        <v>3.8038623288516454E-2</v>
      </c>
      <c r="I65">
        <f ca="1"/>
        <v>3.8038623288516454E-2</v>
      </c>
      <c r="J65" t="e">
        <f ca="1"/>
        <v>#NUM!</v>
      </c>
      <c r="K65" t="e">
        <f ca="1"/>
        <v>#NUM!</v>
      </c>
      <c r="L65" t="e">
        <f ca="1"/>
        <v>#NUM!</v>
      </c>
      <c r="M65" t="e">
        <f ca="1"/>
        <v>#NUM!</v>
      </c>
      <c r="N65" t="e">
        <f ca="1"/>
        <v>#NUM!</v>
      </c>
      <c r="O65" t="e">
        <f ca="1"/>
        <v>#NUM!</v>
      </c>
    </row>
    <row r="66" spans="1:15" x14ac:dyDescent="0.15">
      <c r="A66" s="61">
        <f t="shared" ca="1" si="0"/>
        <v>46897</v>
      </c>
      <c r="C66">
        <f ca="1"/>
        <v>3.8110732952503078E-2</v>
      </c>
      <c r="D66">
        <f ca="1"/>
        <v>3.8110732952509482E-2</v>
      </c>
      <c r="E66">
        <f ca="1"/>
        <v>3.8110732952509482E-2</v>
      </c>
      <c r="F66">
        <f ca="1"/>
        <v>3.8110732952509482E-2</v>
      </c>
      <c r="G66">
        <f ca="1"/>
        <v>3.8110732952509482E-2</v>
      </c>
      <c r="H66">
        <f ca="1"/>
        <v>3.8110732952509482E-2</v>
      </c>
      <c r="I66">
        <f ca="1"/>
        <v>3.8110732952509482E-2</v>
      </c>
      <c r="J66" t="e">
        <f ca="1"/>
        <v>#NUM!</v>
      </c>
      <c r="K66" t="e">
        <f ca="1"/>
        <v>#NUM!</v>
      </c>
      <c r="L66" t="e">
        <f ca="1"/>
        <v>#NUM!</v>
      </c>
      <c r="M66" t="e">
        <f ca="1"/>
        <v>#NUM!</v>
      </c>
      <c r="N66" t="e">
        <f ca="1"/>
        <v>#NUM!</v>
      </c>
      <c r="O66" t="e">
        <f ca="1"/>
        <v>#NUM!</v>
      </c>
    </row>
    <row r="67" spans="1:15" x14ac:dyDescent="0.15">
      <c r="A67" s="61">
        <f t="shared" ca="1" si="0"/>
        <v>46987</v>
      </c>
      <c r="C67">
        <f ca="1"/>
        <v>3.8179063724977279E-2</v>
      </c>
      <c r="D67">
        <f ca="1"/>
        <v>3.8179063725024116E-2</v>
      </c>
      <c r="E67">
        <f ca="1"/>
        <v>3.8179063725024116E-2</v>
      </c>
      <c r="F67">
        <f ca="1"/>
        <v>3.8179063725024116E-2</v>
      </c>
      <c r="G67">
        <f ca="1"/>
        <v>3.8179063725024116E-2</v>
      </c>
      <c r="H67">
        <f ca="1"/>
        <v>3.8179063725024116E-2</v>
      </c>
      <c r="I67">
        <f ca="1"/>
        <v>3.8179063725024116E-2</v>
      </c>
      <c r="J67" t="e">
        <f ca="1"/>
        <v>#NUM!</v>
      </c>
      <c r="K67" t="e">
        <f ca="1"/>
        <v>#NUM!</v>
      </c>
      <c r="L67" t="e">
        <f ca="1"/>
        <v>#NUM!</v>
      </c>
      <c r="M67" t="e">
        <f ca="1"/>
        <v>#NUM!</v>
      </c>
      <c r="N67" t="e">
        <f ca="1"/>
        <v>#NUM!</v>
      </c>
      <c r="O67" t="e">
        <f ca="1"/>
        <v>#NUM!</v>
      </c>
    </row>
    <row r="68" spans="1:15" x14ac:dyDescent="0.15">
      <c r="A68" s="61">
        <f t="shared" ref="A68:A92" ca="1" si="1">A67+90</f>
        <v>47077</v>
      </c>
      <c r="C68">
        <f ca="1"/>
        <v>3.8245340817934889E-2</v>
      </c>
      <c r="D68">
        <f ca="1"/>
        <v>3.8245340817942994E-2</v>
      </c>
      <c r="E68">
        <f ca="1"/>
        <v>3.8245340817942994E-2</v>
      </c>
      <c r="F68">
        <f ca="1"/>
        <v>3.8245340817942994E-2</v>
      </c>
      <c r="G68">
        <f ca="1"/>
        <v>3.8245340817942994E-2</v>
      </c>
      <c r="H68">
        <f ca="1"/>
        <v>3.8245340817942994E-2</v>
      </c>
      <c r="I68">
        <f ca="1"/>
        <v>3.8245340817942994E-2</v>
      </c>
      <c r="J68" t="e">
        <f ca="1"/>
        <v>#NUM!</v>
      </c>
      <c r="K68" t="e">
        <f ca="1"/>
        <v>#NUM!</v>
      </c>
      <c r="L68" t="e">
        <f ca="1"/>
        <v>#NUM!</v>
      </c>
      <c r="M68" t="e">
        <f ca="1"/>
        <v>#NUM!</v>
      </c>
      <c r="N68" t="e">
        <f ca="1"/>
        <v>#NUM!</v>
      </c>
      <c r="O68" t="e">
        <f ca="1"/>
        <v>#NUM!</v>
      </c>
    </row>
    <row r="69" spans="1:15" x14ac:dyDescent="0.15">
      <c r="A69" s="61">
        <f t="shared" ca="1" si="1"/>
        <v>47167</v>
      </c>
      <c r="C69">
        <f ca="1"/>
        <v>3.8309653444976721E-2</v>
      </c>
      <c r="D69">
        <f ca="1"/>
        <v>3.8309653444975465E-2</v>
      </c>
      <c r="E69">
        <f ca="1"/>
        <v>3.8309653444975465E-2</v>
      </c>
      <c r="F69">
        <f ca="1"/>
        <v>3.8309653444975465E-2</v>
      </c>
      <c r="G69">
        <f ca="1"/>
        <v>3.8309653444975465E-2</v>
      </c>
      <c r="H69">
        <f ca="1"/>
        <v>3.8309653444975465E-2</v>
      </c>
      <c r="I69">
        <f ca="1"/>
        <v>3.8309653444975465E-2</v>
      </c>
      <c r="J69" t="e">
        <f ca="1"/>
        <v>#NUM!</v>
      </c>
      <c r="K69" t="e">
        <f ca="1"/>
        <v>#NUM!</v>
      </c>
      <c r="L69" t="e">
        <f ca="1"/>
        <v>#NUM!</v>
      </c>
      <c r="M69" t="e">
        <f ca="1"/>
        <v>#NUM!</v>
      </c>
      <c r="N69" t="e">
        <f ca="1"/>
        <v>#NUM!</v>
      </c>
      <c r="O69" t="e">
        <f ca="1"/>
        <v>#NUM!</v>
      </c>
    </row>
    <row r="70" spans="1:15" x14ac:dyDescent="0.15">
      <c r="A70" s="61">
        <f t="shared" ca="1" si="1"/>
        <v>47257</v>
      </c>
      <c r="C70">
        <f ca="1"/>
        <v>3.8374185790321043E-2</v>
      </c>
      <c r="D70">
        <f ca="1"/>
        <v>3.8374185790273629E-2</v>
      </c>
      <c r="E70">
        <f ca="1"/>
        <v>3.8374185790273629E-2</v>
      </c>
      <c r="F70">
        <f ca="1"/>
        <v>3.8374185790273629E-2</v>
      </c>
      <c r="G70">
        <f ca="1"/>
        <v>3.8374185790273629E-2</v>
      </c>
      <c r="H70">
        <f ca="1"/>
        <v>3.8374185790273629E-2</v>
      </c>
      <c r="I70">
        <f ca="1"/>
        <v>3.8374185790273629E-2</v>
      </c>
      <c r="J70" t="e">
        <f ca="1"/>
        <v>#NUM!</v>
      </c>
      <c r="K70" t="e">
        <f ca="1"/>
        <v>#NUM!</v>
      </c>
      <c r="L70" t="e">
        <f ca="1"/>
        <v>#NUM!</v>
      </c>
      <c r="M70" t="e">
        <f ca="1"/>
        <v>#NUM!</v>
      </c>
      <c r="N70" t="e">
        <f ca="1"/>
        <v>#NUM!</v>
      </c>
      <c r="O70" t="e">
        <f ca="1"/>
        <v>#NUM!</v>
      </c>
    </row>
    <row r="71" spans="1:15" x14ac:dyDescent="0.15">
      <c r="A71" s="61">
        <f t="shared" ca="1" si="1"/>
        <v>47347</v>
      </c>
      <c r="C71">
        <f ca="1"/>
        <v>3.8449793648141176E-2</v>
      </c>
      <c r="D71">
        <f ca="1"/>
        <v>3.8449793648125979E-2</v>
      </c>
      <c r="E71">
        <f ca="1"/>
        <v>3.8449793648125979E-2</v>
      </c>
      <c r="F71">
        <f ca="1"/>
        <v>3.8449793648125979E-2</v>
      </c>
      <c r="G71">
        <f ca="1"/>
        <v>3.8449793648125979E-2</v>
      </c>
      <c r="H71">
        <f ca="1"/>
        <v>3.8449793648125979E-2</v>
      </c>
      <c r="I71">
        <f ca="1"/>
        <v>3.8449793648125979E-2</v>
      </c>
      <c r="J71" t="e">
        <f ca="1"/>
        <v>#NUM!</v>
      </c>
      <c r="K71" t="e">
        <f ca="1"/>
        <v>#NUM!</v>
      </c>
      <c r="L71" t="e">
        <f ca="1"/>
        <v>#NUM!</v>
      </c>
      <c r="M71" t="e">
        <f ca="1"/>
        <v>#NUM!</v>
      </c>
      <c r="N71" t="e">
        <f ca="1"/>
        <v>#NUM!</v>
      </c>
      <c r="O71" t="e">
        <f ca="1"/>
        <v>#NUM!</v>
      </c>
    </row>
    <row r="72" spans="1:15" x14ac:dyDescent="0.15">
      <c r="A72" s="61">
        <f t="shared" ca="1" si="1"/>
        <v>47437</v>
      </c>
      <c r="C72">
        <f ca="1"/>
        <v>3.8612894241698351E-2</v>
      </c>
      <c r="D72">
        <f ca="1"/>
        <v>3.8612894241740532E-2</v>
      </c>
      <c r="E72">
        <f ca="1"/>
        <v>3.8612894241740532E-2</v>
      </c>
      <c r="F72">
        <f ca="1"/>
        <v>3.8612894241740532E-2</v>
      </c>
      <c r="G72">
        <f ca="1"/>
        <v>3.8612894241740532E-2</v>
      </c>
      <c r="H72">
        <f ca="1"/>
        <v>3.8612894241740532E-2</v>
      </c>
      <c r="I72">
        <f ca="1"/>
        <v>3.8612894241740532E-2</v>
      </c>
      <c r="J72" t="e">
        <f ca="1"/>
        <v>#NUM!</v>
      </c>
      <c r="K72" t="e">
        <f ca="1"/>
        <v>#NUM!</v>
      </c>
      <c r="L72" t="e">
        <f ca="1"/>
        <v>#NUM!</v>
      </c>
      <c r="M72" t="e">
        <f ca="1"/>
        <v>#NUM!</v>
      </c>
      <c r="N72" t="e">
        <f ca="1"/>
        <v>#NUM!</v>
      </c>
      <c r="O72" t="e">
        <f ca="1"/>
        <v>#NUM!</v>
      </c>
    </row>
    <row r="73" spans="1:15" x14ac:dyDescent="0.15">
      <c r="A73" s="61">
        <f t="shared" ca="1" si="1"/>
        <v>47527</v>
      </c>
      <c r="C73">
        <f ca="1"/>
        <v>3.879811961473232E-2</v>
      </c>
      <c r="D73">
        <f ca="1"/>
        <v>3.8798119614744671E-2</v>
      </c>
      <c r="E73">
        <f ca="1"/>
        <v>3.8798119614744671E-2</v>
      </c>
      <c r="F73">
        <f ca="1"/>
        <v>3.8798119614744671E-2</v>
      </c>
      <c r="G73">
        <f ca="1"/>
        <v>3.8798119614744671E-2</v>
      </c>
      <c r="H73">
        <f ca="1"/>
        <v>3.8798119614744671E-2</v>
      </c>
      <c r="I73">
        <f ca="1"/>
        <v>3.8798119614744671E-2</v>
      </c>
      <c r="J73" t="e">
        <f ca="1"/>
        <v>#NUM!</v>
      </c>
      <c r="K73" t="e">
        <f ca="1"/>
        <v>#NUM!</v>
      </c>
      <c r="L73" t="e">
        <f ca="1"/>
        <v>#NUM!</v>
      </c>
      <c r="M73" t="e">
        <f ca="1"/>
        <v>#NUM!</v>
      </c>
      <c r="N73" t="e">
        <f ca="1"/>
        <v>#NUM!</v>
      </c>
      <c r="O73" t="e">
        <f ca="1"/>
        <v>#NUM!</v>
      </c>
    </row>
    <row r="74" spans="1:15" x14ac:dyDescent="0.15">
      <c r="A74" s="61">
        <f t="shared" ca="1" si="1"/>
        <v>47617</v>
      </c>
      <c r="C74">
        <f ca="1"/>
        <v>3.8985729383813277E-2</v>
      </c>
      <c r="D74">
        <f ca="1"/>
        <v>3.898572938385747E-2</v>
      </c>
      <c r="E74">
        <f ca="1"/>
        <v>3.898572938385747E-2</v>
      </c>
      <c r="F74">
        <f ca="1"/>
        <v>3.898572938385747E-2</v>
      </c>
      <c r="G74">
        <f ca="1"/>
        <v>3.898572938385747E-2</v>
      </c>
      <c r="H74">
        <f ca="1"/>
        <v>3.898572938385747E-2</v>
      </c>
      <c r="I74">
        <f ca="1"/>
        <v>3.898572938385747E-2</v>
      </c>
      <c r="J74" t="e">
        <f ca="1"/>
        <v>#NUM!</v>
      </c>
      <c r="K74" t="e">
        <f ca="1"/>
        <v>#NUM!</v>
      </c>
      <c r="L74" t="e">
        <f ca="1"/>
        <v>#NUM!</v>
      </c>
      <c r="M74" t="e">
        <f ca="1"/>
        <v>#NUM!</v>
      </c>
      <c r="N74" t="e">
        <f ca="1"/>
        <v>#NUM!</v>
      </c>
      <c r="O74" t="e">
        <f ca="1"/>
        <v>#NUM!</v>
      </c>
    </row>
    <row r="75" spans="1:15" x14ac:dyDescent="0.15">
      <c r="A75" s="61">
        <f t="shared" ca="1" si="1"/>
        <v>47707</v>
      </c>
      <c r="C75">
        <f ca="1"/>
        <v>3.9162139804985702E-2</v>
      </c>
      <c r="D75">
        <f ca="1"/>
        <v>3.9162139804996901E-2</v>
      </c>
      <c r="E75">
        <f ca="1"/>
        <v>3.9162139804996901E-2</v>
      </c>
      <c r="F75">
        <f ca="1"/>
        <v>3.9162139804996901E-2</v>
      </c>
      <c r="G75">
        <f ca="1"/>
        <v>3.9162139804996901E-2</v>
      </c>
      <c r="H75">
        <f ca="1"/>
        <v>3.9162139804996901E-2</v>
      </c>
      <c r="I75">
        <f ca="1"/>
        <v>3.9162139804996901E-2</v>
      </c>
      <c r="J75" t="e">
        <f ca="1"/>
        <v>#NUM!</v>
      </c>
      <c r="K75" t="e">
        <f ca="1"/>
        <v>#NUM!</v>
      </c>
      <c r="L75" t="e">
        <f ca="1"/>
        <v>#NUM!</v>
      </c>
      <c r="M75" t="e">
        <f ca="1"/>
        <v>#NUM!</v>
      </c>
      <c r="N75" t="e">
        <f ca="1"/>
        <v>#NUM!</v>
      </c>
      <c r="O75" t="e">
        <f ca="1"/>
        <v>#NUM!</v>
      </c>
    </row>
    <row r="76" spans="1:15" x14ac:dyDescent="0.15">
      <c r="A76" s="61">
        <f t="shared" ca="1" si="1"/>
        <v>47797</v>
      </c>
      <c r="C76">
        <f ca="1"/>
        <v>3.9333820706988584E-2</v>
      </c>
      <c r="D76">
        <f ca="1"/>
        <v>3.9333820706985149E-2</v>
      </c>
      <c r="E76">
        <f ca="1"/>
        <v>3.9333820706985149E-2</v>
      </c>
      <c r="F76">
        <f ca="1"/>
        <v>3.9333820706985149E-2</v>
      </c>
      <c r="G76">
        <f ca="1"/>
        <v>3.9333820706985149E-2</v>
      </c>
      <c r="H76">
        <f ca="1"/>
        <v>3.9333820706985149E-2</v>
      </c>
      <c r="I76">
        <f ca="1"/>
        <v>3.9333820706985149E-2</v>
      </c>
      <c r="J76" t="e">
        <f ca="1"/>
        <v>#NUM!</v>
      </c>
      <c r="K76" t="e">
        <f ca="1"/>
        <v>#NUM!</v>
      </c>
      <c r="L76" t="e">
        <f ca="1"/>
        <v>#NUM!</v>
      </c>
      <c r="M76" t="e">
        <f ca="1"/>
        <v>#NUM!</v>
      </c>
      <c r="N76" t="e">
        <f ca="1"/>
        <v>#NUM!</v>
      </c>
      <c r="O76" t="e">
        <f ca="1"/>
        <v>#NUM!</v>
      </c>
    </row>
    <row r="77" spans="1:15" x14ac:dyDescent="0.15">
      <c r="A77" s="61">
        <f t="shared" ca="1" si="1"/>
        <v>47887</v>
      </c>
      <c r="C77">
        <f ca="1"/>
        <v>3.9500958239088023E-2</v>
      </c>
      <c r="D77">
        <f ca="1"/>
        <v>3.950095823908624E-2</v>
      </c>
      <c r="E77">
        <f ca="1"/>
        <v>3.950095823908624E-2</v>
      </c>
      <c r="F77">
        <f ca="1"/>
        <v>3.950095823908624E-2</v>
      </c>
      <c r="G77">
        <f ca="1"/>
        <v>3.950095823908624E-2</v>
      </c>
      <c r="H77">
        <f ca="1"/>
        <v>3.950095823908624E-2</v>
      </c>
      <c r="I77">
        <f ca="1"/>
        <v>3.950095823908624E-2</v>
      </c>
      <c r="J77" t="e">
        <f ca="1"/>
        <v>#NUM!</v>
      </c>
      <c r="K77" t="e">
        <f ca="1"/>
        <v>#NUM!</v>
      </c>
      <c r="L77" t="e">
        <f ca="1"/>
        <v>#NUM!</v>
      </c>
      <c r="M77" t="e">
        <f ca="1"/>
        <v>#NUM!</v>
      </c>
      <c r="N77" t="e">
        <f ca="1"/>
        <v>#NUM!</v>
      </c>
      <c r="O77" t="e">
        <f ca="1"/>
        <v>#NUM!</v>
      </c>
    </row>
    <row r="78" spans="1:15" x14ac:dyDescent="0.15">
      <c r="A78" s="61">
        <f t="shared" ca="1" si="1"/>
        <v>47977</v>
      </c>
      <c r="C78">
        <f ca="1"/>
        <v>3.9669205684184659E-2</v>
      </c>
      <c r="D78">
        <f ca="1"/>
        <v>3.9669205684143852E-2</v>
      </c>
      <c r="E78">
        <f ca="1"/>
        <v>3.9669205684143852E-2</v>
      </c>
      <c r="F78">
        <f ca="1"/>
        <v>3.9669205684143852E-2</v>
      </c>
      <c r="G78">
        <f ca="1"/>
        <v>3.9669205684143852E-2</v>
      </c>
      <c r="H78">
        <f ca="1"/>
        <v>3.9669205684143852E-2</v>
      </c>
      <c r="I78">
        <f ca="1"/>
        <v>3.9669205684143852E-2</v>
      </c>
      <c r="J78" t="e">
        <f ca="1"/>
        <v>#NUM!</v>
      </c>
      <c r="K78" t="e">
        <f ca="1"/>
        <v>#NUM!</v>
      </c>
      <c r="L78" t="e">
        <f ca="1"/>
        <v>#NUM!</v>
      </c>
      <c r="M78" t="e">
        <f ca="1"/>
        <v>#NUM!</v>
      </c>
      <c r="N78" t="e">
        <f ca="1"/>
        <v>#NUM!</v>
      </c>
      <c r="O78" t="e">
        <f ca="1"/>
        <v>#NUM!</v>
      </c>
    </row>
    <row r="79" spans="1:15" x14ac:dyDescent="0.15">
      <c r="A79" s="61">
        <f t="shared" ca="1" si="1"/>
        <v>48067</v>
      </c>
      <c r="C79">
        <f ca="1"/>
        <v>3.9827643387936831E-2</v>
      </c>
      <c r="D79">
        <f ca="1"/>
        <v>3.9827643387916251E-2</v>
      </c>
      <c r="E79">
        <f ca="1"/>
        <v>3.9827643387916251E-2</v>
      </c>
      <c r="F79">
        <f ca="1"/>
        <v>3.9827643387916251E-2</v>
      </c>
      <c r="G79">
        <f ca="1"/>
        <v>3.9827643387916251E-2</v>
      </c>
      <c r="H79">
        <f ca="1"/>
        <v>3.9827643387916251E-2</v>
      </c>
      <c r="I79">
        <f ca="1"/>
        <v>3.9827643387916251E-2</v>
      </c>
      <c r="J79" t="e">
        <f ca="1"/>
        <v>#NUM!</v>
      </c>
      <c r="K79" t="e">
        <f ca="1"/>
        <v>#NUM!</v>
      </c>
      <c r="L79" t="e">
        <f ca="1"/>
        <v>#NUM!</v>
      </c>
      <c r="M79" t="e">
        <f ca="1"/>
        <v>#NUM!</v>
      </c>
      <c r="N79" t="e">
        <f ca="1"/>
        <v>#NUM!</v>
      </c>
      <c r="O79" t="e">
        <f ca="1"/>
        <v>#NUM!</v>
      </c>
    </row>
    <row r="80" spans="1:15" x14ac:dyDescent="0.15">
      <c r="A80" s="61">
        <f t="shared" ca="1" si="1"/>
        <v>48157</v>
      </c>
      <c r="C80">
        <f ca="1"/>
        <v>3.9982051387887033E-2</v>
      </c>
      <c r="D80">
        <f ca="1"/>
        <v>3.9982051387846038E-2</v>
      </c>
      <c r="E80">
        <f ca="1"/>
        <v>3.9982051387846038E-2</v>
      </c>
      <c r="F80">
        <f ca="1"/>
        <v>3.9982051387846038E-2</v>
      </c>
      <c r="G80">
        <f ca="1"/>
        <v>3.9982051387846038E-2</v>
      </c>
      <c r="H80">
        <f ca="1"/>
        <v>3.9982051387846038E-2</v>
      </c>
      <c r="I80">
        <f ca="1"/>
        <v>3.9982051387846038E-2</v>
      </c>
      <c r="J80" t="e">
        <f ca="1"/>
        <v>#NUM!</v>
      </c>
      <c r="K80" t="e">
        <f ca="1"/>
        <v>#NUM!</v>
      </c>
      <c r="L80" t="e">
        <f ca="1"/>
        <v>#NUM!</v>
      </c>
      <c r="M80" t="e">
        <f ca="1"/>
        <v>#NUM!</v>
      </c>
      <c r="N80" t="e">
        <f ca="1"/>
        <v>#NUM!</v>
      </c>
      <c r="O80" t="e">
        <f ca="1"/>
        <v>#NUM!</v>
      </c>
    </row>
    <row r="81" spans="1:15" x14ac:dyDescent="0.15">
      <c r="A81" s="61">
        <f t="shared" ca="1" si="1"/>
        <v>48247</v>
      </c>
      <c r="C81">
        <f ca="1"/>
        <v>4.0132580164612498E-2</v>
      </c>
      <c r="D81">
        <f ca="1"/>
        <v>4.0132580164627146E-2</v>
      </c>
      <c r="E81">
        <f ca="1"/>
        <v>4.0132580164627146E-2</v>
      </c>
      <c r="F81">
        <f ca="1"/>
        <v>4.0132580164627146E-2</v>
      </c>
      <c r="G81">
        <f ca="1"/>
        <v>4.0132580164627146E-2</v>
      </c>
      <c r="H81">
        <f ca="1"/>
        <v>4.0132580164627146E-2</v>
      </c>
      <c r="I81">
        <f ca="1"/>
        <v>4.0132580164627146E-2</v>
      </c>
      <c r="J81" t="e">
        <f ca="1"/>
        <v>#NUM!</v>
      </c>
      <c r="K81" t="e">
        <f ca="1"/>
        <v>#NUM!</v>
      </c>
      <c r="L81" t="e">
        <f ca="1"/>
        <v>#NUM!</v>
      </c>
      <c r="M81" t="e">
        <f ca="1"/>
        <v>#NUM!</v>
      </c>
      <c r="N81" t="e">
        <f ca="1"/>
        <v>#NUM!</v>
      </c>
      <c r="O81" t="e">
        <f ca="1"/>
        <v>#NUM!</v>
      </c>
    </row>
    <row r="82" spans="1:15" x14ac:dyDescent="0.15">
      <c r="A82" s="61">
        <f t="shared" ca="1" si="1"/>
        <v>48337</v>
      </c>
      <c r="C82">
        <f ca="1"/>
        <v>4.0282668820715406E-2</v>
      </c>
      <c r="D82">
        <f ca="1"/>
        <v>4.0282668820771875E-2</v>
      </c>
      <c r="E82">
        <f ca="1"/>
        <v>4.0282668820771875E-2</v>
      </c>
      <c r="F82">
        <f ca="1"/>
        <v>4.0282668820771875E-2</v>
      </c>
      <c r="G82">
        <f ca="1"/>
        <v>4.0282668820771875E-2</v>
      </c>
      <c r="H82">
        <f ca="1"/>
        <v>4.0282668820771875E-2</v>
      </c>
      <c r="I82">
        <f ca="1"/>
        <v>4.0282668820771875E-2</v>
      </c>
      <c r="J82" t="e">
        <f ca="1"/>
        <v>#NUM!</v>
      </c>
      <c r="K82" t="e">
        <f ca="1"/>
        <v>#NUM!</v>
      </c>
      <c r="L82" t="e">
        <f ca="1"/>
        <v>#NUM!</v>
      </c>
      <c r="M82" t="e">
        <f ca="1"/>
        <v>#NUM!</v>
      </c>
      <c r="N82" t="e">
        <f ca="1"/>
        <v>#NUM!</v>
      </c>
      <c r="O82" t="e">
        <f ca="1"/>
        <v>#NUM!</v>
      </c>
    </row>
    <row r="83" spans="1:15" x14ac:dyDescent="0.15">
      <c r="A83" s="61">
        <f t="shared" ca="1" si="1"/>
        <v>48427</v>
      </c>
      <c r="C83">
        <f ca="1"/>
        <v>4.042578687799446E-2</v>
      </c>
      <c r="D83">
        <f ca="1"/>
        <v>4.0425786878014708E-2</v>
      </c>
      <c r="E83">
        <f ca="1"/>
        <v>4.0425786878014708E-2</v>
      </c>
      <c r="F83">
        <f ca="1"/>
        <v>4.0425786878014708E-2</v>
      </c>
      <c r="G83">
        <f ca="1"/>
        <v>4.0425786878014708E-2</v>
      </c>
      <c r="H83">
        <f ca="1"/>
        <v>4.0425786878014708E-2</v>
      </c>
      <c r="I83">
        <f ca="1"/>
        <v>4.0425786878014708E-2</v>
      </c>
      <c r="J83" t="e">
        <f ca="1"/>
        <v>#NUM!</v>
      </c>
      <c r="K83" t="e">
        <f ca="1"/>
        <v>#NUM!</v>
      </c>
      <c r="L83" t="e">
        <f ca="1"/>
        <v>#NUM!</v>
      </c>
      <c r="M83" t="e">
        <f ca="1"/>
        <v>#NUM!</v>
      </c>
      <c r="N83" t="e">
        <f ca="1"/>
        <v>#NUM!</v>
      </c>
      <c r="O83" t="e">
        <f ca="1"/>
        <v>#NUM!</v>
      </c>
    </row>
    <row r="84" spans="1:15" x14ac:dyDescent="0.15">
      <c r="A84" s="61">
        <f t="shared" ca="1" si="1"/>
        <v>48517</v>
      </c>
      <c r="C84">
        <f ca="1"/>
        <v>4.0567009723030373E-2</v>
      </c>
      <c r="D84">
        <f ca="1"/>
        <v>4.0567009723028048E-2</v>
      </c>
      <c r="E84">
        <f ca="1"/>
        <v>4.0567009723028048E-2</v>
      </c>
      <c r="F84">
        <f ca="1"/>
        <v>4.0567009723028048E-2</v>
      </c>
      <c r="G84">
        <f ca="1"/>
        <v>4.0567009723028048E-2</v>
      </c>
      <c r="H84">
        <f ca="1"/>
        <v>4.0567009723028048E-2</v>
      </c>
      <c r="I84">
        <f ca="1"/>
        <v>4.0567009723028048E-2</v>
      </c>
      <c r="J84" t="e">
        <f ca="1"/>
        <v>#NUM!</v>
      </c>
      <c r="K84" t="e">
        <f ca="1"/>
        <v>#NUM!</v>
      </c>
      <c r="L84" t="e">
        <f ca="1"/>
        <v>#NUM!</v>
      </c>
      <c r="M84" t="e">
        <f ca="1"/>
        <v>#NUM!</v>
      </c>
      <c r="N84" t="e">
        <f ca="1"/>
        <v>#NUM!</v>
      </c>
      <c r="O84" t="e">
        <f ca="1"/>
        <v>#NUM!</v>
      </c>
    </row>
    <row r="85" spans="1:15" x14ac:dyDescent="0.15">
      <c r="A85" s="61">
        <f t="shared" ca="1" si="1"/>
        <v>48607</v>
      </c>
      <c r="C85">
        <f ca="1"/>
        <v>4.0703287827495625E-2</v>
      </c>
      <c r="D85">
        <f ca="1"/>
        <v>4.0703287827493294E-2</v>
      </c>
      <c r="E85">
        <f ca="1"/>
        <v>4.0703287827493294E-2</v>
      </c>
      <c r="F85">
        <f ca="1"/>
        <v>4.0703287827493294E-2</v>
      </c>
      <c r="G85">
        <f ca="1"/>
        <v>4.0703287827493294E-2</v>
      </c>
      <c r="H85">
        <f ca="1"/>
        <v>4.0703287827493294E-2</v>
      </c>
      <c r="I85">
        <f ca="1"/>
        <v>4.0703287827493294E-2</v>
      </c>
      <c r="J85" t="e">
        <f ca="1"/>
        <v>#NUM!</v>
      </c>
      <c r="K85" t="e">
        <f ca="1"/>
        <v>#NUM!</v>
      </c>
      <c r="L85" t="e">
        <f ca="1"/>
        <v>#NUM!</v>
      </c>
      <c r="M85" t="e">
        <f ca="1"/>
        <v>#NUM!</v>
      </c>
      <c r="N85" t="e">
        <f ca="1"/>
        <v>#NUM!</v>
      </c>
      <c r="O85" t="e">
        <f ca="1"/>
        <v>#NUM!</v>
      </c>
    </row>
    <row r="86" spans="1:15" x14ac:dyDescent="0.15">
      <c r="A86" s="61">
        <f t="shared" ca="1" si="1"/>
        <v>48697</v>
      </c>
      <c r="C86">
        <f ca="1"/>
        <v>4.0839333768858434E-2</v>
      </c>
      <c r="D86">
        <f ca="1"/>
        <v>4.0839333768824454E-2</v>
      </c>
      <c r="E86">
        <f ca="1"/>
        <v>4.0839333768824454E-2</v>
      </c>
      <c r="F86">
        <f ca="1"/>
        <v>4.0839333768824454E-2</v>
      </c>
      <c r="G86">
        <f ca="1"/>
        <v>4.0839333768824454E-2</v>
      </c>
      <c r="H86">
        <f ca="1"/>
        <v>4.0839333768824454E-2</v>
      </c>
      <c r="I86">
        <f ca="1"/>
        <v>4.0839333768824454E-2</v>
      </c>
      <c r="J86" t="e">
        <f ca="1"/>
        <v>#NUM!</v>
      </c>
      <c r="K86" t="e">
        <f ca="1"/>
        <v>#NUM!</v>
      </c>
      <c r="L86" t="e">
        <f ca="1"/>
        <v>#NUM!</v>
      </c>
      <c r="M86" t="e">
        <f ca="1"/>
        <v>#NUM!</v>
      </c>
      <c r="N86" t="e">
        <f ca="1"/>
        <v>#NUM!</v>
      </c>
      <c r="O86" t="e">
        <f ca="1"/>
        <v>#NUM!</v>
      </c>
    </row>
    <row r="87" spans="1:15" x14ac:dyDescent="0.15">
      <c r="A87" s="61">
        <f t="shared" ca="1" si="1"/>
        <v>48787</v>
      </c>
      <c r="C87">
        <f ca="1"/>
        <v>4.0970675142553398E-2</v>
      </c>
      <c r="D87">
        <f ca="1"/>
        <v>4.0970675142525864E-2</v>
      </c>
      <c r="E87">
        <f ca="1"/>
        <v>4.0970675142525864E-2</v>
      </c>
      <c r="F87">
        <f ca="1"/>
        <v>4.0970675142525864E-2</v>
      </c>
      <c r="G87">
        <f ca="1"/>
        <v>4.0970675142525864E-2</v>
      </c>
      <c r="H87">
        <f ca="1"/>
        <v>4.0970675142525864E-2</v>
      </c>
      <c r="I87">
        <f ca="1"/>
        <v>4.0970675142525864E-2</v>
      </c>
      <c r="J87" t="e">
        <f ca="1"/>
        <v>#NUM!</v>
      </c>
      <c r="K87" t="e">
        <f ca="1"/>
        <v>#NUM!</v>
      </c>
      <c r="L87" t="e">
        <f ca="1"/>
        <v>#NUM!</v>
      </c>
      <c r="M87" t="e">
        <f ca="1"/>
        <v>#NUM!</v>
      </c>
      <c r="N87" t="e">
        <f ca="1"/>
        <v>#NUM!</v>
      </c>
      <c r="O87" t="e">
        <f ca="1"/>
        <v>#NUM!</v>
      </c>
    </row>
    <row r="88" spans="1:15" x14ac:dyDescent="0.15">
      <c r="A88" s="61">
        <f t="shared" ca="1" si="1"/>
        <v>48877</v>
      </c>
      <c r="C88">
        <f ca="1"/>
        <v>4.109752825549369E-2</v>
      </c>
      <c r="D88">
        <f ca="1"/>
        <v>4.1097528255491275E-2</v>
      </c>
      <c r="E88">
        <f ca="1"/>
        <v>4.1097528255491275E-2</v>
      </c>
      <c r="F88">
        <f ca="1"/>
        <v>4.1097528255491275E-2</v>
      </c>
      <c r="G88">
        <f ca="1"/>
        <v>4.1097528255491275E-2</v>
      </c>
      <c r="H88">
        <f ca="1"/>
        <v>4.1097528255491275E-2</v>
      </c>
      <c r="I88">
        <f ca="1"/>
        <v>4.1097528255491275E-2</v>
      </c>
      <c r="J88" t="e">
        <f ca="1"/>
        <v>#NUM!</v>
      </c>
      <c r="K88" t="e">
        <f ca="1"/>
        <v>#NUM!</v>
      </c>
      <c r="L88" t="e">
        <f ca="1"/>
        <v>#NUM!</v>
      </c>
      <c r="M88" t="e">
        <f ca="1"/>
        <v>#NUM!</v>
      </c>
      <c r="N88" t="e">
        <f ca="1"/>
        <v>#NUM!</v>
      </c>
      <c r="O88" t="e">
        <f ca="1"/>
        <v>#NUM!</v>
      </c>
    </row>
    <row r="89" spans="1:15" x14ac:dyDescent="0.15">
      <c r="A89" s="61">
        <f t="shared" ca="1" si="1"/>
        <v>48967</v>
      </c>
      <c r="C89">
        <f ca="1"/>
        <v>4.1221487640049265E-2</v>
      </c>
      <c r="D89">
        <f ca="1"/>
        <v>4.1221487640047162E-2</v>
      </c>
      <c r="E89">
        <f ca="1"/>
        <v>4.1221487640047162E-2</v>
      </c>
      <c r="F89">
        <f ca="1"/>
        <v>4.1221487640047162E-2</v>
      </c>
      <c r="G89">
        <f ca="1"/>
        <v>4.1221487640047162E-2</v>
      </c>
      <c r="H89">
        <f ca="1"/>
        <v>4.1221487640047162E-2</v>
      </c>
      <c r="I89">
        <f ca="1"/>
        <v>4.1221487640047162E-2</v>
      </c>
      <c r="J89" t="e">
        <f ca="1"/>
        <v>#NUM!</v>
      </c>
      <c r="K89" t="e">
        <f ca="1"/>
        <v>#NUM!</v>
      </c>
      <c r="L89" t="e">
        <f ca="1"/>
        <v>#NUM!</v>
      </c>
      <c r="M89" t="e">
        <f ca="1"/>
        <v>#NUM!</v>
      </c>
      <c r="N89" t="e">
        <f ca="1"/>
        <v>#NUM!</v>
      </c>
      <c r="O89" t="e">
        <f ca="1"/>
        <v>#NUM!</v>
      </c>
    </row>
    <row r="90" spans="1:15" x14ac:dyDescent="0.15">
      <c r="A90" s="61">
        <f t="shared" ca="1" si="1"/>
        <v>49057</v>
      </c>
      <c r="C90">
        <f ca="1"/>
        <v>4.1345373366222231E-2</v>
      </c>
      <c r="D90">
        <f ca="1"/>
        <v>4.1345373366221384E-2</v>
      </c>
      <c r="E90">
        <f ca="1"/>
        <v>4.1345373366221384E-2</v>
      </c>
      <c r="F90">
        <f ca="1"/>
        <v>4.1345373366221384E-2</v>
      </c>
      <c r="G90">
        <f ca="1"/>
        <v>4.1345373366221384E-2</v>
      </c>
      <c r="H90">
        <f ca="1"/>
        <v>4.1345373366221384E-2</v>
      </c>
      <c r="I90">
        <f ca="1"/>
        <v>4.1345373366221384E-2</v>
      </c>
      <c r="J90" t="e">
        <f ca="1"/>
        <v>#NUM!</v>
      </c>
      <c r="K90" t="e">
        <f ca="1"/>
        <v>#NUM!</v>
      </c>
      <c r="L90" t="e">
        <f ca="1"/>
        <v>#NUM!</v>
      </c>
      <c r="M90" t="e">
        <f ca="1"/>
        <v>#NUM!</v>
      </c>
      <c r="N90" t="e">
        <f ca="1"/>
        <v>#NUM!</v>
      </c>
      <c r="O90" t="e">
        <f ca="1"/>
        <v>#NUM!</v>
      </c>
    </row>
    <row r="91" spans="1:15" x14ac:dyDescent="0.15">
      <c r="A91" s="61">
        <f t="shared" ca="1" si="1"/>
        <v>49147</v>
      </c>
      <c r="C91">
        <f ca="1"/>
        <v>4.1465105856597004E-2</v>
      </c>
      <c r="D91">
        <f ca="1"/>
        <v>4.146510585659563E-2</v>
      </c>
      <c r="E91">
        <f ca="1"/>
        <v>4.146510585659563E-2</v>
      </c>
      <c r="F91">
        <f ca="1"/>
        <v>4.146510585659563E-2</v>
      </c>
      <c r="G91">
        <f ca="1"/>
        <v>4.146510585659563E-2</v>
      </c>
      <c r="H91">
        <f ca="1"/>
        <v>4.146510585659563E-2</v>
      </c>
      <c r="I91">
        <f ca="1"/>
        <v>4.146510585659563E-2</v>
      </c>
      <c r="J91" t="e">
        <f ca="1"/>
        <v>#NUM!</v>
      </c>
      <c r="K91" t="e">
        <f ca="1"/>
        <v>#NUM!</v>
      </c>
      <c r="L91" t="e">
        <f ca="1"/>
        <v>#NUM!</v>
      </c>
      <c r="M91" t="e">
        <f ca="1"/>
        <v>#NUM!</v>
      </c>
      <c r="N91" t="e">
        <f ca="1"/>
        <v>#NUM!</v>
      </c>
      <c r="O91" t="e">
        <f ca="1"/>
        <v>#NUM!</v>
      </c>
    </row>
    <row r="92" spans="1:15" x14ac:dyDescent="0.15">
      <c r="A92" s="61">
        <f t="shared" ca="1" si="1"/>
        <v>49237</v>
      </c>
      <c r="C92">
        <f ca="1"/>
        <v>4.158086890978286E-2</v>
      </c>
      <c r="D92">
        <f ca="1"/>
        <v>4.1580868909780369E-2</v>
      </c>
      <c r="E92">
        <f ca="1"/>
        <v>4.1580868909780369E-2</v>
      </c>
      <c r="F92">
        <f ca="1"/>
        <v>4.1580868909780369E-2</v>
      </c>
      <c r="G92">
        <f ca="1"/>
        <v>4.1580868909780369E-2</v>
      </c>
      <c r="H92">
        <f ca="1"/>
        <v>4.1580868909780369E-2</v>
      </c>
      <c r="I92">
        <f ca="1"/>
        <v>4.1580868909780369E-2</v>
      </c>
      <c r="J92" t="e">
        <f ca="1"/>
        <v>#NUM!</v>
      </c>
      <c r="K92" t="e">
        <f ca="1"/>
        <v>#NUM!</v>
      </c>
      <c r="L92" t="e">
        <f ca="1"/>
        <v>#NUM!</v>
      </c>
      <c r="M92" t="e">
        <f ca="1"/>
        <v>#NUM!</v>
      </c>
      <c r="N92" t="e">
        <f ca="1"/>
        <v>#NUM!</v>
      </c>
      <c r="O92" t="e">
        <f ca="1"/>
        <v>#NUM!</v>
      </c>
    </row>
    <row r="93" spans="1:15" x14ac:dyDescent="0.15">
      <c r="A93" s="61">
        <f ca="1">A92+90</f>
        <v>49327</v>
      </c>
      <c r="C93">
        <f ca="1"/>
        <v>4.1694107441193111E-2</v>
      </c>
      <c r="D93">
        <f ca="1"/>
        <v>4.1694107441191293E-2</v>
      </c>
      <c r="E93">
        <f ca="1"/>
        <v>4.1694107441191293E-2</v>
      </c>
      <c r="F93">
        <f ca="1"/>
        <v>4.1694107441191293E-2</v>
      </c>
      <c r="G93">
        <f ca="1"/>
        <v>4.1694107441191293E-2</v>
      </c>
      <c r="H93">
        <f ca="1"/>
        <v>4.1694107441191293E-2</v>
      </c>
      <c r="I93">
        <f ca="1"/>
        <v>4.1694107441191293E-2</v>
      </c>
      <c r="J93" t="e">
        <f ca="1"/>
        <v>#NUM!</v>
      </c>
      <c r="K93" t="e">
        <f ca="1"/>
        <v>#NUM!</v>
      </c>
      <c r="L93" t="e">
        <f ca="1"/>
        <v>#NUM!</v>
      </c>
      <c r="M93" t="e">
        <f ca="1"/>
        <v>#NUM!</v>
      </c>
      <c r="N93" t="e">
        <f ca="1"/>
        <v>#NUM!</v>
      </c>
      <c r="O93" t="e">
        <f ca="1"/>
        <v>#NUM!</v>
      </c>
    </row>
    <row r="94" spans="1:15" x14ac:dyDescent="0.15">
      <c r="A94" s="61">
        <f t="shared" ref="A94:A157" ca="1" si="2">A93+90</f>
        <v>49417</v>
      </c>
      <c r="C94">
        <f ca="1"/>
        <v>4.1807393346545561E-2</v>
      </c>
      <c r="D94">
        <f ca="1"/>
        <v>4.1807393346544486E-2</v>
      </c>
      <c r="E94">
        <f ca="1"/>
        <v>4.1807393346544486E-2</v>
      </c>
      <c r="F94">
        <f ca="1"/>
        <v>4.1807393346544486E-2</v>
      </c>
      <c r="G94">
        <f ca="1"/>
        <v>4.1807393346544486E-2</v>
      </c>
      <c r="H94">
        <f ca="1"/>
        <v>4.1807393346544486E-2</v>
      </c>
      <c r="I94">
        <f ca="1"/>
        <v>4.1807393346544486E-2</v>
      </c>
      <c r="J94" t="e">
        <f ca="1"/>
        <v>#NUM!</v>
      </c>
      <c r="K94" t="e">
        <f ca="1"/>
        <v>#NUM!</v>
      </c>
      <c r="L94" t="e">
        <f ca="1"/>
        <v>#NUM!</v>
      </c>
      <c r="M94" t="e">
        <f ca="1"/>
        <v>#NUM!</v>
      </c>
      <c r="N94" t="e">
        <f ca="1"/>
        <v>#NUM!</v>
      </c>
      <c r="O94" t="e">
        <f ca="1"/>
        <v>#NUM!</v>
      </c>
    </row>
    <row r="95" spans="1:15" x14ac:dyDescent="0.15">
      <c r="A95" s="61">
        <f t="shared" ca="1" si="2"/>
        <v>49507</v>
      </c>
      <c r="C95">
        <f ca="1"/>
        <v>4.1916990720606687E-2</v>
      </c>
      <c r="D95">
        <f ca="1"/>
        <v>4.1916990720605576E-2</v>
      </c>
      <c r="E95">
        <f ca="1"/>
        <v>4.1916990720605576E-2</v>
      </c>
      <c r="F95">
        <f ca="1"/>
        <v>4.1916990720605576E-2</v>
      </c>
      <c r="G95">
        <f ca="1"/>
        <v>4.1916990720605576E-2</v>
      </c>
      <c r="H95">
        <f ca="1"/>
        <v>4.1916990720605576E-2</v>
      </c>
      <c r="I95">
        <f ca="1"/>
        <v>4.1916990720605576E-2</v>
      </c>
      <c r="J95" t="e">
        <f ca="1"/>
        <v>#NUM!</v>
      </c>
      <c r="K95" t="e">
        <f ca="1"/>
        <v>#NUM!</v>
      </c>
      <c r="L95" t="e">
        <f ca="1"/>
        <v>#NUM!</v>
      </c>
      <c r="M95" t="e">
        <f ca="1"/>
        <v>#NUM!</v>
      </c>
      <c r="N95" t="e">
        <f ca="1"/>
        <v>#NUM!</v>
      </c>
      <c r="O95" t="e">
        <f ca="1"/>
        <v>#NUM!</v>
      </c>
    </row>
    <row r="96" spans="1:15" x14ac:dyDescent="0.15">
      <c r="A96" s="61">
        <f t="shared" ca="1" si="2"/>
        <v>49597</v>
      </c>
      <c r="C96">
        <f ca="1"/>
        <v>4.2023056921734595E-2</v>
      </c>
      <c r="D96">
        <f ca="1"/>
        <v>4.2023056921731916E-2</v>
      </c>
      <c r="E96">
        <f ca="1"/>
        <v>4.2023056921731916E-2</v>
      </c>
      <c r="F96">
        <f ca="1"/>
        <v>4.2023056921731916E-2</v>
      </c>
      <c r="G96">
        <f ca="1"/>
        <v>4.2023056921731916E-2</v>
      </c>
      <c r="H96">
        <f ca="1"/>
        <v>4.2023056921731916E-2</v>
      </c>
      <c r="I96">
        <f ca="1"/>
        <v>4.2023056921731916E-2</v>
      </c>
      <c r="J96" t="e">
        <f ca="1"/>
        <v>#NUM!</v>
      </c>
      <c r="K96" t="e">
        <f ca="1"/>
        <v>#NUM!</v>
      </c>
      <c r="L96" t="e">
        <f ca="1"/>
        <v>#NUM!</v>
      </c>
      <c r="M96" t="e">
        <f ca="1"/>
        <v>#NUM!</v>
      </c>
      <c r="N96" t="e">
        <f ca="1"/>
        <v>#NUM!</v>
      </c>
      <c r="O96" t="e">
        <f ca="1"/>
        <v>#NUM!</v>
      </c>
    </row>
    <row r="97" spans="1:15" x14ac:dyDescent="0.15">
      <c r="A97" s="61">
        <f t="shared" ca="1" si="2"/>
        <v>49687</v>
      </c>
      <c r="C97">
        <f ca="1"/>
        <v>4.2126907609730715E-2</v>
      </c>
      <c r="D97">
        <f ca="1"/>
        <v>4.2126907609728995E-2</v>
      </c>
      <c r="E97">
        <f ca="1"/>
        <v>4.2126907609728995E-2</v>
      </c>
      <c r="F97">
        <f ca="1"/>
        <v>4.2126907609728995E-2</v>
      </c>
      <c r="G97">
        <f ca="1"/>
        <v>4.2126907609728995E-2</v>
      </c>
      <c r="H97">
        <f ca="1"/>
        <v>4.2126907609728995E-2</v>
      </c>
      <c r="I97">
        <f ca="1"/>
        <v>4.2126907609728995E-2</v>
      </c>
      <c r="J97" t="e">
        <f ca="1"/>
        <v>#NUM!</v>
      </c>
      <c r="K97" t="e">
        <f ca="1"/>
        <v>#NUM!</v>
      </c>
      <c r="L97" t="e">
        <f ca="1"/>
        <v>#NUM!</v>
      </c>
      <c r="M97" t="e">
        <f ca="1"/>
        <v>#NUM!</v>
      </c>
      <c r="N97" t="e">
        <f ca="1"/>
        <v>#NUM!</v>
      </c>
      <c r="O97" t="e">
        <f ca="1"/>
        <v>#NUM!</v>
      </c>
    </row>
    <row r="98" spans="1:15" x14ac:dyDescent="0.15">
      <c r="A98" s="61">
        <f t="shared" ca="1" si="2"/>
        <v>49777</v>
      </c>
      <c r="C98">
        <f ca="1"/>
        <v>4.2229754719012205E-2</v>
      </c>
      <c r="D98">
        <f ca="1"/>
        <v>4.2229754719010824E-2</v>
      </c>
      <c r="E98">
        <f ca="1"/>
        <v>4.2229754719010824E-2</v>
      </c>
      <c r="F98">
        <f ca="1"/>
        <v>4.2229754719010824E-2</v>
      </c>
      <c r="G98">
        <f ca="1"/>
        <v>4.2229754719010824E-2</v>
      </c>
      <c r="H98">
        <f ca="1"/>
        <v>4.2229754719010824E-2</v>
      </c>
      <c r="I98">
        <f ca="1"/>
        <v>4.2229754719010824E-2</v>
      </c>
      <c r="J98" t="e">
        <f ca="1"/>
        <v>#NUM!</v>
      </c>
      <c r="K98" t="e">
        <f ca="1"/>
        <v>#NUM!</v>
      </c>
      <c r="L98" t="e">
        <f ca="1"/>
        <v>#NUM!</v>
      </c>
      <c r="M98" t="e">
        <f ca="1"/>
        <v>#NUM!</v>
      </c>
      <c r="N98" t="e">
        <f ca="1"/>
        <v>#NUM!</v>
      </c>
      <c r="O98" t="e">
        <f ca="1"/>
        <v>#NUM!</v>
      </c>
    </row>
    <row r="99" spans="1:15" x14ac:dyDescent="0.15">
      <c r="A99" s="61">
        <f t="shared" ca="1" si="2"/>
        <v>49867</v>
      </c>
      <c r="C99">
        <f ca="1"/>
        <v>4.2330474977433141E-2</v>
      </c>
      <c r="D99">
        <f ca="1"/>
        <v>4.2330474977411964E-2</v>
      </c>
      <c r="E99">
        <f ca="1"/>
        <v>4.2330474977411964E-2</v>
      </c>
      <c r="F99">
        <f ca="1"/>
        <v>4.2330474977411964E-2</v>
      </c>
      <c r="G99">
        <f ca="1"/>
        <v>4.2330474977411964E-2</v>
      </c>
      <c r="H99">
        <f ca="1"/>
        <v>4.2330474977411964E-2</v>
      </c>
      <c r="I99">
        <f ca="1"/>
        <v>4.2330474977411964E-2</v>
      </c>
      <c r="J99" t="e">
        <f ca="1"/>
        <v>#NUM!</v>
      </c>
      <c r="K99" t="e">
        <f ca="1"/>
        <v>#NUM!</v>
      </c>
      <c r="L99" t="e">
        <f ca="1"/>
        <v>#NUM!</v>
      </c>
      <c r="M99" t="e">
        <f ca="1"/>
        <v>#NUM!</v>
      </c>
      <c r="N99" t="e">
        <f ca="1"/>
        <v>#NUM!</v>
      </c>
      <c r="O99" t="e">
        <f ca="1"/>
        <v>#NUM!</v>
      </c>
    </row>
    <row r="100" spans="1:15" x14ac:dyDescent="0.15">
      <c r="A100" s="61">
        <f t="shared" ca="1" si="2"/>
        <v>49957</v>
      </c>
      <c r="C100">
        <f ca="1"/>
        <v>4.2428036225308947E-2</v>
      </c>
      <c r="D100">
        <f ca="1"/>
        <v>4.2428036225267869E-2</v>
      </c>
      <c r="E100">
        <f ca="1"/>
        <v>4.2428036225267869E-2</v>
      </c>
      <c r="F100">
        <f ca="1"/>
        <v>4.2428036225267869E-2</v>
      </c>
      <c r="G100">
        <f ca="1"/>
        <v>4.2428036225267869E-2</v>
      </c>
      <c r="H100">
        <f ca="1"/>
        <v>4.2428036225267869E-2</v>
      </c>
      <c r="I100">
        <f ca="1"/>
        <v>4.2428036225267869E-2</v>
      </c>
      <c r="J100" t="e">
        <f ca="1"/>
        <v>#NUM!</v>
      </c>
      <c r="K100" t="e">
        <f ca="1"/>
        <v>#NUM!</v>
      </c>
      <c r="L100" t="e">
        <f ca="1"/>
        <v>#NUM!</v>
      </c>
      <c r="M100" t="e">
        <f ca="1"/>
        <v>#NUM!</v>
      </c>
      <c r="N100" t="e">
        <f ca="1"/>
        <v>#NUM!</v>
      </c>
      <c r="O100" t="e">
        <f ca="1"/>
        <v>#NUM!</v>
      </c>
    </row>
    <row r="101" spans="1:15" x14ac:dyDescent="0.15">
      <c r="A101" s="61">
        <f t="shared" ca="1" si="2"/>
        <v>50047</v>
      </c>
      <c r="C101">
        <f ca="1"/>
        <v>4.2523641939330482E-2</v>
      </c>
      <c r="D101">
        <f ca="1"/>
        <v>4.2523641939329074E-2</v>
      </c>
      <c r="E101">
        <f ca="1"/>
        <v>4.2523641939329074E-2</v>
      </c>
      <c r="F101">
        <f ca="1"/>
        <v>4.2523641939329074E-2</v>
      </c>
      <c r="G101">
        <f ca="1"/>
        <v>4.2523641939329074E-2</v>
      </c>
      <c r="H101">
        <f ca="1"/>
        <v>4.2523641939329074E-2</v>
      </c>
      <c r="I101">
        <f ca="1"/>
        <v>4.2523641939329074E-2</v>
      </c>
      <c r="J101" t="e">
        <f ca="1"/>
        <v>#NUM!</v>
      </c>
      <c r="K101" t="e">
        <f ca="1"/>
        <v>#NUM!</v>
      </c>
      <c r="L101" t="e">
        <f ca="1"/>
        <v>#NUM!</v>
      </c>
      <c r="M101" t="e">
        <f ca="1"/>
        <v>#NUM!</v>
      </c>
      <c r="N101" t="e">
        <f ca="1"/>
        <v>#NUM!</v>
      </c>
      <c r="O101" t="e">
        <f ca="1"/>
        <v>#NUM!</v>
      </c>
    </row>
    <row r="102" spans="1:15" x14ac:dyDescent="0.15">
      <c r="A102" s="61">
        <f t="shared" ca="1" si="2"/>
        <v>50137</v>
      </c>
      <c r="C102">
        <f ca="1"/>
        <v>4.2619457311788116E-2</v>
      </c>
      <c r="D102">
        <f ca="1"/>
        <v>4.2619457311768381E-2</v>
      </c>
      <c r="E102">
        <f ca="1"/>
        <v>4.2619457311768381E-2</v>
      </c>
      <c r="F102">
        <f ca="1"/>
        <v>4.2619457311768381E-2</v>
      </c>
      <c r="G102">
        <f ca="1"/>
        <v>4.2619457311768381E-2</v>
      </c>
      <c r="H102">
        <f ca="1"/>
        <v>4.2619457311768381E-2</v>
      </c>
      <c r="I102">
        <f ca="1"/>
        <v>4.2619457311768381E-2</v>
      </c>
      <c r="J102" t="e">
        <f ca="1"/>
        <v>#NUM!</v>
      </c>
      <c r="K102" t="e">
        <f ca="1"/>
        <v>#NUM!</v>
      </c>
      <c r="L102" t="e">
        <f ca="1"/>
        <v>#NUM!</v>
      </c>
      <c r="M102" t="e">
        <f ca="1"/>
        <v>#NUM!</v>
      </c>
      <c r="N102" t="e">
        <f ca="1"/>
        <v>#NUM!</v>
      </c>
      <c r="O102" t="e">
        <f ca="1"/>
        <v>#NUM!</v>
      </c>
    </row>
    <row r="103" spans="1:15" x14ac:dyDescent="0.15">
      <c r="A103" s="61">
        <f t="shared" ca="1" si="2"/>
        <v>50227</v>
      </c>
      <c r="C103">
        <f ca="1"/>
        <v>4.2712316043834873E-2</v>
      </c>
      <c r="D103">
        <f ca="1"/>
        <v>4.2712316043777079E-2</v>
      </c>
      <c r="E103">
        <f ca="1"/>
        <v>4.2712316043777079E-2</v>
      </c>
      <c r="F103">
        <f ca="1"/>
        <v>4.2712316043777079E-2</v>
      </c>
      <c r="G103">
        <f ca="1"/>
        <v>4.2712316043777079E-2</v>
      </c>
      <c r="H103">
        <f ca="1"/>
        <v>4.2712316043777079E-2</v>
      </c>
      <c r="I103">
        <f ca="1"/>
        <v>4.2712316043777079E-2</v>
      </c>
      <c r="J103" t="e">
        <f ca="1"/>
        <v>#NUM!</v>
      </c>
      <c r="K103" t="e">
        <f ca="1"/>
        <v>#NUM!</v>
      </c>
      <c r="L103" t="e">
        <f ca="1"/>
        <v>#NUM!</v>
      </c>
      <c r="M103" t="e">
        <f ca="1"/>
        <v>#NUM!</v>
      </c>
      <c r="N103" t="e">
        <f ca="1"/>
        <v>#NUM!</v>
      </c>
      <c r="O103" t="e">
        <f ca="1"/>
        <v>#NUM!</v>
      </c>
    </row>
    <row r="104" spans="1:15" x14ac:dyDescent="0.15">
      <c r="A104" s="61">
        <f t="shared" ca="1" si="2"/>
        <v>50317</v>
      </c>
      <c r="C104">
        <f ca="1"/>
        <v>4.2802335658898565E-2</v>
      </c>
      <c r="D104">
        <f ca="1"/>
        <v>4.2802335658838897E-2</v>
      </c>
      <c r="E104">
        <f ca="1"/>
        <v>4.2802335658838897E-2</v>
      </c>
      <c r="F104">
        <f ca="1"/>
        <v>4.2802335658838897E-2</v>
      </c>
      <c r="G104">
        <f ca="1"/>
        <v>4.2802335658838897E-2</v>
      </c>
      <c r="H104">
        <f ca="1"/>
        <v>4.2802335658838897E-2</v>
      </c>
      <c r="I104">
        <f ca="1"/>
        <v>4.2802335658838897E-2</v>
      </c>
      <c r="J104" t="e">
        <f ca="1"/>
        <v>#NUM!</v>
      </c>
      <c r="K104" t="e">
        <f ca="1"/>
        <v>#NUM!</v>
      </c>
      <c r="L104" t="e">
        <f ca="1"/>
        <v>#NUM!</v>
      </c>
      <c r="M104" t="e">
        <f ca="1"/>
        <v>#NUM!</v>
      </c>
      <c r="N104" t="e">
        <f ca="1"/>
        <v>#NUM!</v>
      </c>
      <c r="O104" t="e">
        <f ca="1"/>
        <v>#NUM!</v>
      </c>
    </row>
    <row r="105" spans="1:15" x14ac:dyDescent="0.15">
      <c r="A105" s="61">
        <f t="shared" ca="1" si="2"/>
        <v>50407</v>
      </c>
      <c r="C105">
        <f ca="1"/>
        <v>4.289062119702293E-2</v>
      </c>
      <c r="D105">
        <f ca="1"/>
        <v>4.2890621196963102E-2</v>
      </c>
      <c r="E105">
        <f ca="1"/>
        <v>4.2890621196963102E-2</v>
      </c>
      <c r="F105">
        <f ca="1"/>
        <v>4.2890621196963102E-2</v>
      </c>
      <c r="G105">
        <f ca="1"/>
        <v>4.2890621196963102E-2</v>
      </c>
      <c r="H105">
        <f ca="1"/>
        <v>4.2890621196963102E-2</v>
      </c>
      <c r="I105">
        <f ca="1"/>
        <v>4.2890621196963102E-2</v>
      </c>
      <c r="J105" t="e">
        <f ca="1"/>
        <v>#NUM!</v>
      </c>
      <c r="K105" t="e">
        <f ca="1"/>
        <v>#NUM!</v>
      </c>
      <c r="L105" t="e">
        <f ca="1"/>
        <v>#NUM!</v>
      </c>
      <c r="M105" t="e">
        <f ca="1"/>
        <v>#NUM!</v>
      </c>
      <c r="N105" t="e">
        <f ca="1"/>
        <v>#NUM!</v>
      </c>
      <c r="O105" t="e">
        <f ca="1"/>
        <v>#NUM!</v>
      </c>
    </row>
    <row r="106" spans="1:15" x14ac:dyDescent="0.15">
      <c r="A106" s="61">
        <f t="shared" ca="1" si="2"/>
        <v>50497</v>
      </c>
      <c r="C106">
        <f ca="1"/>
        <v>4.2979169785226812E-2</v>
      </c>
      <c r="D106">
        <f ca="1"/>
        <v>4.2979169785167061E-2</v>
      </c>
      <c r="E106">
        <f ca="1"/>
        <v>4.2979169785167061E-2</v>
      </c>
      <c r="F106">
        <f ca="1"/>
        <v>4.2979169785167061E-2</v>
      </c>
      <c r="G106">
        <f ca="1"/>
        <v>4.2979169785167061E-2</v>
      </c>
      <c r="H106">
        <f ca="1"/>
        <v>4.2979169785167061E-2</v>
      </c>
      <c r="I106">
        <f ca="1"/>
        <v>4.2979169785167061E-2</v>
      </c>
      <c r="J106" t="e">
        <f ca="1"/>
        <v>#NUM!</v>
      </c>
      <c r="K106" t="e">
        <f ca="1"/>
        <v>#NUM!</v>
      </c>
      <c r="L106" t="e">
        <f ca="1"/>
        <v>#NUM!</v>
      </c>
      <c r="M106" t="e">
        <f ca="1"/>
        <v>#NUM!</v>
      </c>
      <c r="N106" t="e">
        <f ca="1"/>
        <v>#NUM!</v>
      </c>
      <c r="O106" t="e">
        <f ca="1"/>
        <v>#NUM!</v>
      </c>
    </row>
    <row r="107" spans="1:15" x14ac:dyDescent="0.15">
      <c r="A107" s="61">
        <f t="shared" ca="1" si="2"/>
        <v>50587</v>
      </c>
      <c r="C107">
        <f ca="1"/>
        <v>4.3065052745265189E-2</v>
      </c>
      <c r="D107">
        <f ca="1"/>
        <v>4.306505274520922E-2</v>
      </c>
      <c r="E107">
        <f ca="1"/>
        <v>4.306505274520922E-2</v>
      </c>
      <c r="F107">
        <f ca="1"/>
        <v>4.306505274520922E-2</v>
      </c>
      <c r="G107">
        <f ca="1"/>
        <v>4.306505274520922E-2</v>
      </c>
      <c r="H107">
        <f ca="1"/>
        <v>4.306505274520922E-2</v>
      </c>
      <c r="I107">
        <f ca="1"/>
        <v>4.306505274520922E-2</v>
      </c>
      <c r="J107" t="e">
        <f ca="1"/>
        <v>#NUM!</v>
      </c>
      <c r="K107" t="e">
        <f ca="1"/>
        <v>#NUM!</v>
      </c>
      <c r="L107" t="e">
        <f ca="1"/>
        <v>#NUM!</v>
      </c>
      <c r="M107" t="e">
        <f ca="1"/>
        <v>#NUM!</v>
      </c>
      <c r="N107" t="e">
        <f ca="1"/>
        <v>#NUM!</v>
      </c>
      <c r="O107" t="e">
        <f ca="1"/>
        <v>#NUM!</v>
      </c>
    </row>
    <row r="108" spans="1:15" x14ac:dyDescent="0.15">
      <c r="A108" s="61">
        <f t="shared" ca="1" si="2"/>
        <v>50677</v>
      </c>
      <c r="C108">
        <f ca="1"/>
        <v>4.3148372557150053E-2</v>
      </c>
      <c r="D108">
        <f ca="1"/>
        <v>4.3148372557118606E-2</v>
      </c>
      <c r="E108">
        <f ca="1"/>
        <v>4.3148372557118606E-2</v>
      </c>
      <c r="F108">
        <f ca="1"/>
        <v>4.3148372557118606E-2</v>
      </c>
      <c r="G108">
        <f ca="1"/>
        <v>4.3148372557118606E-2</v>
      </c>
      <c r="H108">
        <f ca="1"/>
        <v>4.3148372557118606E-2</v>
      </c>
      <c r="I108">
        <f ca="1"/>
        <v>4.3148372557118606E-2</v>
      </c>
      <c r="J108" t="e">
        <f ca="1"/>
        <v>#NUM!</v>
      </c>
      <c r="K108" t="e">
        <f ca="1"/>
        <v>#NUM!</v>
      </c>
      <c r="L108" t="e">
        <f ca="1"/>
        <v>#NUM!</v>
      </c>
      <c r="M108" t="e">
        <f ca="1"/>
        <v>#NUM!</v>
      </c>
      <c r="N108" t="e">
        <f ca="1"/>
        <v>#NUM!</v>
      </c>
      <c r="O108" t="e">
        <f ca="1"/>
        <v>#NUM!</v>
      </c>
    </row>
    <row r="109" spans="1:15" x14ac:dyDescent="0.15">
      <c r="A109" s="61">
        <f t="shared" ca="1" si="2"/>
        <v>50767</v>
      </c>
      <c r="C109">
        <f ca="1"/>
        <v>4.3231068105870588E-2</v>
      </c>
      <c r="D109">
        <f ca="1"/>
        <v>4.3231068105905705E-2</v>
      </c>
      <c r="E109">
        <f ca="1"/>
        <v>4.3231068105905705E-2</v>
      </c>
      <c r="F109">
        <f ca="1"/>
        <v>4.3231068105905705E-2</v>
      </c>
      <c r="G109">
        <f ca="1"/>
        <v>4.3231068105905705E-2</v>
      </c>
      <c r="H109">
        <f ca="1"/>
        <v>4.3231068105905705E-2</v>
      </c>
      <c r="I109">
        <f ca="1"/>
        <v>4.3231068105905705E-2</v>
      </c>
      <c r="J109" t="e">
        <f ca="1"/>
        <v>#NUM!</v>
      </c>
      <c r="K109" t="e">
        <f ca="1"/>
        <v>#NUM!</v>
      </c>
      <c r="L109" t="e">
        <f ca="1"/>
        <v>#NUM!</v>
      </c>
      <c r="M109" t="e">
        <f ca="1"/>
        <v>#NUM!</v>
      </c>
      <c r="N109" t="e">
        <f ca="1"/>
        <v>#NUM!</v>
      </c>
      <c r="O109" t="e">
        <f ca="1"/>
        <v>#NUM!</v>
      </c>
    </row>
    <row r="110" spans="1:15" x14ac:dyDescent="0.15">
      <c r="A110" s="61">
        <f t="shared" ca="1" si="2"/>
        <v>50857</v>
      </c>
      <c r="C110">
        <f ca="1"/>
        <v>4.3313129095381174E-2</v>
      </c>
      <c r="D110">
        <f ca="1"/>
        <v>4.3313129095348214E-2</v>
      </c>
      <c r="E110">
        <f ca="1"/>
        <v>4.3313129095348214E-2</v>
      </c>
      <c r="F110">
        <f ca="1"/>
        <v>4.3313129095348214E-2</v>
      </c>
      <c r="G110">
        <f ca="1"/>
        <v>4.3313129095348214E-2</v>
      </c>
      <c r="H110">
        <f ca="1"/>
        <v>4.3313129095348214E-2</v>
      </c>
      <c r="I110">
        <f ca="1"/>
        <v>4.3313129095348214E-2</v>
      </c>
      <c r="J110" t="e">
        <f ca="1"/>
        <v>#NUM!</v>
      </c>
      <c r="K110" t="e">
        <f ca="1"/>
        <v>#NUM!</v>
      </c>
      <c r="L110" t="e">
        <f ca="1"/>
        <v>#NUM!</v>
      </c>
      <c r="M110" t="e">
        <f ca="1"/>
        <v>#NUM!</v>
      </c>
      <c r="N110" t="e">
        <f ca="1"/>
        <v>#NUM!</v>
      </c>
      <c r="O110" t="e">
        <f ca="1"/>
        <v>#NUM!</v>
      </c>
    </row>
    <row r="111" spans="1:15" x14ac:dyDescent="0.15">
      <c r="A111" s="61">
        <f t="shared" ca="1" si="2"/>
        <v>50947</v>
      </c>
      <c r="C111">
        <f ca="1"/>
        <v>4.339189047453107E-2</v>
      </c>
      <c r="D111">
        <f ca="1"/>
        <v>4.3391890474596143E-2</v>
      </c>
      <c r="E111">
        <f ca="1"/>
        <v>4.3391890474596143E-2</v>
      </c>
      <c r="F111">
        <f ca="1"/>
        <v>4.3391890474596143E-2</v>
      </c>
      <c r="G111">
        <f ca="1"/>
        <v>4.3391890474596143E-2</v>
      </c>
      <c r="H111">
        <f ca="1"/>
        <v>4.3391890474596143E-2</v>
      </c>
      <c r="I111">
        <f ca="1"/>
        <v>4.3391890474596143E-2</v>
      </c>
      <c r="J111" t="e">
        <f ca="1"/>
        <v>#NUM!</v>
      </c>
      <c r="K111" t="e">
        <f ca="1"/>
        <v>#NUM!</v>
      </c>
      <c r="L111" t="e">
        <f ca="1"/>
        <v>#NUM!</v>
      </c>
      <c r="M111" t="e">
        <f ca="1"/>
        <v>#NUM!</v>
      </c>
      <c r="N111" t="e">
        <f ca="1"/>
        <v>#NUM!</v>
      </c>
      <c r="O111" t="e">
        <f ca="1"/>
        <v>#NUM!</v>
      </c>
    </row>
    <row r="112" spans="1:15" x14ac:dyDescent="0.15">
      <c r="A112" s="61">
        <f t="shared" ca="1" si="2"/>
        <v>51037</v>
      </c>
      <c r="C112">
        <f ca="1"/>
        <v>4.3469231527624962E-2</v>
      </c>
      <c r="D112">
        <f ca="1"/>
        <v>4.3469231527667414E-2</v>
      </c>
      <c r="E112">
        <f ca="1"/>
        <v>4.3469231527667414E-2</v>
      </c>
      <c r="F112">
        <f ca="1"/>
        <v>4.3469231527667414E-2</v>
      </c>
      <c r="G112">
        <f ca="1"/>
        <v>4.3469231527667414E-2</v>
      </c>
      <c r="H112">
        <f ca="1"/>
        <v>4.3469231527667414E-2</v>
      </c>
      <c r="I112">
        <f ca="1"/>
        <v>4.3469231527667414E-2</v>
      </c>
      <c r="J112" t="e">
        <f ca="1"/>
        <v>#NUM!</v>
      </c>
      <c r="K112" t="e">
        <f ca="1"/>
        <v>#NUM!</v>
      </c>
      <c r="L112" t="e">
        <f ca="1"/>
        <v>#NUM!</v>
      </c>
      <c r="M112" t="e">
        <f ca="1"/>
        <v>#NUM!</v>
      </c>
      <c r="N112" t="e">
        <f ca="1"/>
        <v>#NUM!</v>
      </c>
      <c r="O112" t="e">
        <f ca="1"/>
        <v>#NUM!</v>
      </c>
    </row>
    <row r="113" spans="1:15" x14ac:dyDescent="0.15">
      <c r="A113" s="61">
        <f t="shared" ca="1" si="2"/>
        <v>51127</v>
      </c>
      <c r="C113">
        <f ca="1"/>
        <v>4.354604589015957E-2</v>
      </c>
      <c r="D113">
        <f ca="1"/>
        <v>4.3546045890108499E-2</v>
      </c>
      <c r="E113">
        <f ca="1"/>
        <v>4.3546045890108499E-2</v>
      </c>
      <c r="F113">
        <f ca="1"/>
        <v>4.3546045890108499E-2</v>
      </c>
      <c r="G113">
        <f ca="1"/>
        <v>4.3546045890108499E-2</v>
      </c>
      <c r="H113">
        <f ca="1"/>
        <v>4.3546045890108499E-2</v>
      </c>
      <c r="I113">
        <f ca="1"/>
        <v>4.3546045890108499E-2</v>
      </c>
      <c r="J113" t="e">
        <f ca="1"/>
        <v>#NUM!</v>
      </c>
      <c r="K113" t="e">
        <f ca="1"/>
        <v>#NUM!</v>
      </c>
      <c r="L113" t="e">
        <f ca="1"/>
        <v>#NUM!</v>
      </c>
      <c r="M113" t="e">
        <f ca="1"/>
        <v>#NUM!</v>
      </c>
      <c r="N113" t="e">
        <f ca="1"/>
        <v>#NUM!</v>
      </c>
      <c r="O113" t="e">
        <f ca="1"/>
        <v>#NUM!</v>
      </c>
    </row>
    <row r="114" spans="1:15" x14ac:dyDescent="0.15">
      <c r="A114" s="61">
        <f t="shared" ca="1" si="2"/>
        <v>51217</v>
      </c>
      <c r="C114">
        <f ca="1"/>
        <v>4.3621482456388118E-2</v>
      </c>
      <c r="D114">
        <f ca="1"/>
        <v>4.3621482456390595E-2</v>
      </c>
      <c r="E114">
        <f ca="1"/>
        <v>4.3621482456390595E-2</v>
      </c>
      <c r="F114">
        <f ca="1"/>
        <v>4.3621482456390595E-2</v>
      </c>
      <c r="G114">
        <f ca="1"/>
        <v>4.3621482456390595E-2</v>
      </c>
      <c r="H114">
        <f ca="1"/>
        <v>4.3621482456390595E-2</v>
      </c>
      <c r="I114">
        <f ca="1"/>
        <v>4.3621482456390595E-2</v>
      </c>
      <c r="J114" t="e">
        <f ca="1"/>
        <v>#NUM!</v>
      </c>
      <c r="K114" t="e">
        <f ca="1"/>
        <v>#NUM!</v>
      </c>
      <c r="L114" t="e">
        <f ca="1"/>
        <v>#NUM!</v>
      </c>
      <c r="M114" t="e">
        <f ca="1"/>
        <v>#NUM!</v>
      </c>
      <c r="N114" t="e">
        <f ca="1"/>
        <v>#NUM!</v>
      </c>
      <c r="O114" t="e">
        <f ca="1"/>
        <v>#NUM!</v>
      </c>
    </row>
    <row r="115" spans="1:15" x14ac:dyDescent="0.15">
      <c r="A115" s="61">
        <f t="shared" ca="1" si="2"/>
        <v>51307</v>
      </c>
      <c r="C115">
        <f ca="1"/>
        <v>4.3694755334530419E-2</v>
      </c>
      <c r="D115">
        <f ca="1"/>
        <v>4.369475533453332E-2</v>
      </c>
      <c r="E115">
        <f ca="1"/>
        <v>4.369475533453332E-2</v>
      </c>
      <c r="F115">
        <f ca="1"/>
        <v>4.369475533453332E-2</v>
      </c>
      <c r="G115">
        <f ca="1"/>
        <v>4.369475533453332E-2</v>
      </c>
      <c r="H115">
        <f ca="1"/>
        <v>4.369475533453332E-2</v>
      </c>
      <c r="I115">
        <f ca="1"/>
        <v>4.369475533453332E-2</v>
      </c>
      <c r="J115" t="e">
        <f ca="1"/>
        <v>#NUM!</v>
      </c>
      <c r="K115" t="e">
        <f ca="1"/>
        <v>#NUM!</v>
      </c>
      <c r="L115" t="e">
        <f ca="1"/>
        <v>#NUM!</v>
      </c>
      <c r="M115" t="e">
        <f ca="1"/>
        <v>#NUM!</v>
      </c>
      <c r="N115" t="e">
        <f ca="1"/>
        <v>#NUM!</v>
      </c>
      <c r="O115" t="e">
        <f ca="1"/>
        <v>#NUM!</v>
      </c>
    </row>
    <row r="116" spans="1:15" x14ac:dyDescent="0.15">
      <c r="A116" s="61">
        <f t="shared" ca="1" si="2"/>
        <v>51397</v>
      </c>
      <c r="C116">
        <f ca="1"/>
        <v>4.3766753080105032E-2</v>
      </c>
      <c r="D116">
        <f ca="1"/>
        <v>4.3766753080105893E-2</v>
      </c>
      <c r="E116">
        <f ca="1"/>
        <v>4.3766753080105893E-2</v>
      </c>
      <c r="F116">
        <f ca="1"/>
        <v>4.3766753080105893E-2</v>
      </c>
      <c r="G116">
        <f ca="1"/>
        <v>4.3766753080105893E-2</v>
      </c>
      <c r="H116">
        <f ca="1"/>
        <v>4.3766753080105893E-2</v>
      </c>
      <c r="I116">
        <f ca="1"/>
        <v>4.3766753080105893E-2</v>
      </c>
      <c r="J116" t="e">
        <f ca="1"/>
        <v>#NUM!</v>
      </c>
      <c r="K116" t="e">
        <f ca="1"/>
        <v>#NUM!</v>
      </c>
      <c r="L116" t="e">
        <f ca="1"/>
        <v>#NUM!</v>
      </c>
      <c r="M116" t="e">
        <f ca="1"/>
        <v>#NUM!</v>
      </c>
      <c r="N116" t="e">
        <f ca="1"/>
        <v>#NUM!</v>
      </c>
      <c r="O116" t="e">
        <f ca="1"/>
        <v>#NUM!</v>
      </c>
    </row>
    <row r="117" spans="1:15" x14ac:dyDescent="0.15">
      <c r="A117" s="61">
        <f t="shared" ca="1" si="2"/>
        <v>51487</v>
      </c>
      <c r="C117">
        <f ca="1"/>
        <v>4.3838306347672766E-2</v>
      </c>
      <c r="D117">
        <f ca="1"/>
        <v>4.3838306347670525E-2</v>
      </c>
      <c r="E117">
        <f ca="1"/>
        <v>4.3838306347670525E-2</v>
      </c>
      <c r="F117">
        <f ca="1"/>
        <v>4.3838306347670525E-2</v>
      </c>
      <c r="G117">
        <f ca="1"/>
        <v>4.3838306347670525E-2</v>
      </c>
      <c r="H117">
        <f ca="1"/>
        <v>4.3838306347670525E-2</v>
      </c>
      <c r="I117">
        <f ca="1"/>
        <v>4.3838306347670525E-2</v>
      </c>
      <c r="J117" t="e">
        <f ca="1"/>
        <v>#NUM!</v>
      </c>
      <c r="K117" t="e">
        <f ca="1"/>
        <v>#NUM!</v>
      </c>
      <c r="L117" t="e">
        <f ca="1"/>
        <v>#NUM!</v>
      </c>
      <c r="M117" t="e">
        <f ca="1"/>
        <v>#NUM!</v>
      </c>
      <c r="N117" t="e">
        <f ca="1"/>
        <v>#NUM!</v>
      </c>
      <c r="O117" t="e">
        <f ca="1"/>
        <v>#NUM!</v>
      </c>
    </row>
    <row r="118" spans="1:15" x14ac:dyDescent="0.15">
      <c r="A118" s="61">
        <f t="shared" ca="1" si="2"/>
        <v>51577</v>
      </c>
      <c r="C118">
        <f ca="1"/>
        <v>4.3909402809655322E-2</v>
      </c>
      <c r="D118">
        <f ca="1"/>
        <v>4.3909402809600324E-2</v>
      </c>
      <c r="E118">
        <f ca="1"/>
        <v>4.3909402809600324E-2</v>
      </c>
      <c r="F118">
        <f ca="1"/>
        <v>4.3909402809600324E-2</v>
      </c>
      <c r="G118">
        <f ca="1"/>
        <v>4.3909402809600324E-2</v>
      </c>
      <c r="H118">
        <f ca="1"/>
        <v>4.3909402809600324E-2</v>
      </c>
      <c r="I118">
        <f ca="1"/>
        <v>4.3909402809600324E-2</v>
      </c>
      <c r="J118" t="e">
        <f ca="1"/>
        <v>#NUM!</v>
      </c>
      <c r="K118" t="e">
        <f ca="1"/>
        <v>#NUM!</v>
      </c>
      <c r="L118" t="e">
        <f ca="1"/>
        <v>#NUM!</v>
      </c>
      <c r="M118" t="e">
        <f ca="1"/>
        <v>#NUM!</v>
      </c>
      <c r="N118" t="e">
        <f ca="1"/>
        <v>#NUM!</v>
      </c>
      <c r="O118" t="e">
        <f ca="1"/>
        <v>#NUM!</v>
      </c>
    </row>
    <row r="119" spans="1:15" x14ac:dyDescent="0.15">
      <c r="A119" s="61">
        <f t="shared" ca="1" si="2"/>
        <v>51667</v>
      </c>
      <c r="C119">
        <f ca="1"/>
        <v>4.397772830083916E-2</v>
      </c>
      <c r="D119">
        <f ca="1"/>
        <v>4.3977728300842026E-2</v>
      </c>
      <c r="E119">
        <f ca="1"/>
        <v>4.3977728300842026E-2</v>
      </c>
      <c r="F119">
        <f ca="1"/>
        <v>4.3977728300842026E-2</v>
      </c>
      <c r="G119">
        <f ca="1"/>
        <v>4.3977728300842026E-2</v>
      </c>
      <c r="H119">
        <f ca="1"/>
        <v>4.3977728300842026E-2</v>
      </c>
      <c r="I119">
        <f ca="1"/>
        <v>4.3977728300842026E-2</v>
      </c>
      <c r="J119" t="e">
        <f ca="1"/>
        <v>#NUM!</v>
      </c>
      <c r="K119" t="e">
        <f ca="1"/>
        <v>#NUM!</v>
      </c>
      <c r="L119" t="e">
        <f ca="1"/>
        <v>#NUM!</v>
      </c>
      <c r="M119" t="e">
        <f ca="1"/>
        <v>#NUM!</v>
      </c>
      <c r="N119" t="e">
        <f ca="1"/>
        <v>#NUM!</v>
      </c>
      <c r="O119" t="e">
        <f ca="1"/>
        <v>#NUM!</v>
      </c>
    </row>
    <row r="120" spans="1:15" x14ac:dyDescent="0.15">
      <c r="A120" s="61">
        <f t="shared" ca="1" si="2"/>
        <v>51757</v>
      </c>
      <c r="C120">
        <f ca="1"/>
        <v>4.4044905046341357E-2</v>
      </c>
      <c r="D120">
        <f ca="1"/>
        <v>4.4044905046343417E-2</v>
      </c>
      <c r="E120">
        <f ca="1"/>
        <v>4.4044905046343417E-2</v>
      </c>
      <c r="F120">
        <f ca="1"/>
        <v>4.4044905046343417E-2</v>
      </c>
      <c r="G120">
        <f ca="1"/>
        <v>4.4044905046343417E-2</v>
      </c>
      <c r="H120">
        <f ca="1"/>
        <v>4.4044905046343417E-2</v>
      </c>
      <c r="I120">
        <f ca="1"/>
        <v>4.4044905046343417E-2</v>
      </c>
      <c r="J120" t="e">
        <f ca="1"/>
        <v>#NUM!</v>
      </c>
      <c r="K120" t="e">
        <f ca="1"/>
        <v>#NUM!</v>
      </c>
      <c r="L120" t="e">
        <f ca="1"/>
        <v>#NUM!</v>
      </c>
      <c r="M120" t="e">
        <f ca="1"/>
        <v>#NUM!</v>
      </c>
      <c r="N120" t="e">
        <f ca="1"/>
        <v>#NUM!</v>
      </c>
      <c r="O120" t="e">
        <f ca="1"/>
        <v>#NUM!</v>
      </c>
    </row>
    <row r="121" spans="1:15" x14ac:dyDescent="0.15">
      <c r="A121" s="61">
        <f t="shared" ca="1" si="2"/>
        <v>51847</v>
      </c>
      <c r="C121">
        <f ca="1"/>
        <v>4.4111706954048875E-2</v>
      </c>
      <c r="D121">
        <f ca="1"/>
        <v>4.4111706954112026E-2</v>
      </c>
      <c r="E121">
        <f ca="1"/>
        <v>4.4111706954112026E-2</v>
      </c>
      <c r="F121">
        <f ca="1"/>
        <v>4.4111706954112026E-2</v>
      </c>
      <c r="G121">
        <f ca="1"/>
        <v>4.4111706954112026E-2</v>
      </c>
      <c r="H121">
        <f ca="1"/>
        <v>4.4111706954112026E-2</v>
      </c>
      <c r="I121">
        <f ca="1"/>
        <v>4.4111706954112026E-2</v>
      </c>
      <c r="J121" t="e">
        <f ca="1"/>
        <v>#NUM!</v>
      </c>
      <c r="K121" t="e">
        <f ca="1"/>
        <v>#NUM!</v>
      </c>
      <c r="L121" t="e">
        <f ca="1"/>
        <v>#NUM!</v>
      </c>
      <c r="M121" t="e">
        <f ca="1"/>
        <v>#NUM!</v>
      </c>
      <c r="N121" t="e">
        <f ca="1"/>
        <v>#NUM!</v>
      </c>
      <c r="O121" t="e">
        <f ca="1"/>
        <v>#NUM!</v>
      </c>
    </row>
    <row r="122" spans="1:15" x14ac:dyDescent="0.15">
      <c r="A122" s="61">
        <f t="shared" ca="1" si="2"/>
        <v>51937</v>
      </c>
      <c r="C122">
        <f ca="1"/>
        <v>4.4178121260567346E-2</v>
      </c>
      <c r="D122">
        <f ca="1"/>
        <v>4.4178121260571968E-2</v>
      </c>
      <c r="E122">
        <f ca="1"/>
        <v>4.4178121260571968E-2</v>
      </c>
      <c r="F122">
        <f ca="1"/>
        <v>4.4178121260571968E-2</v>
      </c>
      <c r="G122">
        <f ca="1"/>
        <v>4.4178121260571968E-2</v>
      </c>
      <c r="H122">
        <f ca="1"/>
        <v>4.4178121260571968E-2</v>
      </c>
      <c r="I122">
        <f ca="1"/>
        <v>4.4178121260571968E-2</v>
      </c>
      <c r="J122" t="e">
        <f ca="1"/>
        <v>#NUM!</v>
      </c>
      <c r="K122" t="e">
        <f ca="1"/>
        <v>#NUM!</v>
      </c>
      <c r="L122" t="e">
        <f ca="1"/>
        <v>#NUM!</v>
      </c>
      <c r="M122" t="e">
        <f ca="1"/>
        <v>#NUM!</v>
      </c>
      <c r="N122" t="e">
        <f ca="1"/>
        <v>#NUM!</v>
      </c>
      <c r="O122" t="e">
        <f ca="1"/>
        <v>#NUM!</v>
      </c>
    </row>
    <row r="123" spans="1:15" x14ac:dyDescent="0.15">
      <c r="A123" s="61">
        <f t="shared" ca="1" si="2"/>
        <v>52027</v>
      </c>
      <c r="C123">
        <f ca="1"/>
        <v>4.4241984032700424E-2</v>
      </c>
      <c r="D123">
        <f ca="1"/>
        <v>4.4241984032703609E-2</v>
      </c>
      <c r="E123">
        <f ca="1"/>
        <v>4.4241984032703609E-2</v>
      </c>
      <c r="F123">
        <f ca="1"/>
        <v>4.4241984032703609E-2</v>
      </c>
      <c r="G123">
        <f ca="1"/>
        <v>4.4241984032703609E-2</v>
      </c>
      <c r="H123">
        <f ca="1"/>
        <v>4.4241984032703609E-2</v>
      </c>
      <c r="I123">
        <f ca="1"/>
        <v>4.4241984032703609E-2</v>
      </c>
      <c r="J123" t="e">
        <f ca="1"/>
        <v>#NUM!</v>
      </c>
      <c r="K123" t="e">
        <f ca="1"/>
        <v>#NUM!</v>
      </c>
      <c r="L123" t="e">
        <f ca="1"/>
        <v>#NUM!</v>
      </c>
      <c r="M123" t="e">
        <f ca="1"/>
        <v>#NUM!</v>
      </c>
      <c r="N123" t="e">
        <f ca="1"/>
        <v>#NUM!</v>
      </c>
      <c r="O123" t="e">
        <f ca="1"/>
        <v>#NUM!</v>
      </c>
    </row>
    <row r="124" spans="1:15" x14ac:dyDescent="0.15">
      <c r="A124" s="61">
        <f t="shared" ca="1" si="2"/>
        <v>52117</v>
      </c>
      <c r="C124">
        <f ca="1"/>
        <v>4.4304808302362414E-2</v>
      </c>
      <c r="D124">
        <f ca="1"/>
        <v>4.4304808302363045E-2</v>
      </c>
      <c r="E124">
        <f ca="1"/>
        <v>4.4304808302363045E-2</v>
      </c>
      <c r="F124">
        <f ca="1"/>
        <v>4.4304808302363045E-2</v>
      </c>
      <c r="G124">
        <f ca="1"/>
        <v>4.4304808302363045E-2</v>
      </c>
      <c r="H124">
        <f ca="1"/>
        <v>4.4304808302363045E-2</v>
      </c>
      <c r="I124">
        <f ca="1"/>
        <v>4.4304808302363045E-2</v>
      </c>
      <c r="J124" t="e">
        <f ca="1"/>
        <v>#NUM!</v>
      </c>
      <c r="K124" t="e">
        <f ca="1"/>
        <v>#NUM!</v>
      </c>
      <c r="L124" t="e">
        <f ca="1"/>
        <v>#NUM!</v>
      </c>
      <c r="M124" t="e">
        <f ca="1"/>
        <v>#NUM!</v>
      </c>
      <c r="N124" t="e">
        <f ca="1"/>
        <v>#NUM!</v>
      </c>
      <c r="O124" t="e">
        <f ca="1"/>
        <v>#NUM!</v>
      </c>
    </row>
    <row r="125" spans="1:15" x14ac:dyDescent="0.15">
      <c r="A125" s="61">
        <f t="shared" ca="1" si="2"/>
        <v>52207</v>
      </c>
      <c r="C125">
        <f ca="1"/>
        <v>4.4367316746692753E-2</v>
      </c>
      <c r="D125">
        <f ca="1"/>
        <v>4.4367316746570913E-2</v>
      </c>
      <c r="E125">
        <f ca="1"/>
        <v>4.4367316746570913E-2</v>
      </c>
      <c r="F125">
        <f ca="1"/>
        <v>4.4367316746570913E-2</v>
      </c>
      <c r="G125">
        <f ca="1"/>
        <v>4.4367316746570913E-2</v>
      </c>
      <c r="H125">
        <f ca="1"/>
        <v>4.4367316746570913E-2</v>
      </c>
      <c r="I125">
        <f ca="1"/>
        <v>4.4367316746570913E-2</v>
      </c>
      <c r="J125" t="e">
        <f ca="1"/>
        <v>#NUM!</v>
      </c>
      <c r="K125" t="e">
        <f ca="1"/>
        <v>#NUM!</v>
      </c>
      <c r="L125" t="e">
        <f ca="1"/>
        <v>#NUM!</v>
      </c>
      <c r="M125" t="e">
        <f ca="1"/>
        <v>#NUM!</v>
      </c>
      <c r="N125" t="e">
        <f ca="1"/>
        <v>#NUM!</v>
      </c>
      <c r="O125" t="e">
        <f ca="1"/>
        <v>#NUM!</v>
      </c>
    </row>
    <row r="126" spans="1:15" x14ac:dyDescent="0.15">
      <c r="A126" s="61">
        <f t="shared" ca="1" si="2"/>
        <v>52297</v>
      </c>
      <c r="C126">
        <f ca="1"/>
        <v>4.4429496788296712E-2</v>
      </c>
      <c r="D126">
        <f ca="1"/>
        <v>4.4429496788295428E-2</v>
      </c>
      <c r="E126">
        <f ca="1"/>
        <v>4.4429496788295428E-2</v>
      </c>
      <c r="F126">
        <f ca="1"/>
        <v>4.4429496788295428E-2</v>
      </c>
      <c r="G126">
        <f ca="1"/>
        <v>4.4429496788295428E-2</v>
      </c>
      <c r="H126">
        <f ca="1"/>
        <v>4.4429496788295428E-2</v>
      </c>
      <c r="I126">
        <f ca="1"/>
        <v>4.4429496788295428E-2</v>
      </c>
      <c r="J126" t="e">
        <f ca="1"/>
        <v>#NUM!</v>
      </c>
      <c r="K126" t="e">
        <f ca="1"/>
        <v>#NUM!</v>
      </c>
      <c r="L126" t="e">
        <f ca="1"/>
        <v>#NUM!</v>
      </c>
      <c r="M126" t="e">
        <f ca="1"/>
        <v>#NUM!</v>
      </c>
      <c r="N126" t="e">
        <f ca="1"/>
        <v>#NUM!</v>
      </c>
      <c r="O126" t="e">
        <f ca="1"/>
        <v>#NUM!</v>
      </c>
    </row>
    <row r="127" spans="1:15" x14ac:dyDescent="0.15">
      <c r="A127" s="61">
        <f t="shared" ca="1" si="2"/>
        <v>52387</v>
      </c>
      <c r="C127">
        <f ca="1"/>
        <v>4.4489320158076807E-2</v>
      </c>
      <c r="D127">
        <f ca="1"/>
        <v>4.4489320158079868E-2</v>
      </c>
      <c r="E127">
        <f ca="1"/>
        <v>4.4489320158079868E-2</v>
      </c>
      <c r="F127">
        <f ca="1"/>
        <v>4.4489320158079868E-2</v>
      </c>
      <c r="G127">
        <f ca="1"/>
        <v>4.4489320158079868E-2</v>
      </c>
      <c r="H127">
        <f ca="1"/>
        <v>4.4489320158079868E-2</v>
      </c>
      <c r="I127">
        <f ca="1"/>
        <v>4.4489320158079868E-2</v>
      </c>
      <c r="J127" t="e">
        <f ca="1"/>
        <v>#NUM!</v>
      </c>
      <c r="K127" t="e">
        <f ca="1"/>
        <v>#NUM!</v>
      </c>
      <c r="L127" t="e">
        <f ca="1"/>
        <v>#NUM!</v>
      </c>
      <c r="M127" t="e">
        <f ca="1"/>
        <v>#NUM!</v>
      </c>
      <c r="N127" t="e">
        <f ca="1"/>
        <v>#NUM!</v>
      </c>
      <c r="O127" t="e">
        <f ca="1"/>
        <v>#NUM!</v>
      </c>
    </row>
    <row r="128" spans="1:15" x14ac:dyDescent="0.15">
      <c r="A128" s="61">
        <f t="shared" ca="1" si="2"/>
        <v>52477</v>
      </c>
      <c r="C128">
        <f ca="1"/>
        <v>4.4548201666082206E-2</v>
      </c>
      <c r="D128">
        <f ca="1"/>
        <v>4.4548201666083011E-2</v>
      </c>
      <c r="E128">
        <f ca="1"/>
        <v>4.4548201666083011E-2</v>
      </c>
      <c r="F128">
        <f ca="1"/>
        <v>4.4548201666083011E-2</v>
      </c>
      <c r="G128">
        <f ca="1"/>
        <v>4.4548201666083011E-2</v>
      </c>
      <c r="H128">
        <f ca="1"/>
        <v>4.4548201666083011E-2</v>
      </c>
      <c r="I128">
        <f ca="1"/>
        <v>4.4548201666083011E-2</v>
      </c>
      <c r="J128" t="e">
        <f ca="1"/>
        <v>#NUM!</v>
      </c>
      <c r="K128" t="e">
        <f ca="1"/>
        <v>#NUM!</v>
      </c>
      <c r="L128" t="e">
        <f ca="1"/>
        <v>#NUM!</v>
      </c>
      <c r="M128" t="e">
        <f ca="1"/>
        <v>#NUM!</v>
      </c>
      <c r="N128" t="e">
        <f ca="1"/>
        <v>#NUM!</v>
      </c>
      <c r="O128" t="e">
        <f ca="1"/>
        <v>#NUM!</v>
      </c>
    </row>
    <row r="129" spans="1:15" x14ac:dyDescent="0.15">
      <c r="A129" s="61">
        <f t="shared" ca="1" si="2"/>
        <v>52567</v>
      </c>
      <c r="C129">
        <f ca="1"/>
        <v>4.4606817604216475E-2</v>
      </c>
      <c r="D129">
        <f ca="1"/>
        <v>4.4606817604220465E-2</v>
      </c>
      <c r="E129">
        <f ca="1"/>
        <v>4.4606817604220465E-2</v>
      </c>
      <c r="F129">
        <f ca="1"/>
        <v>4.4606817604220465E-2</v>
      </c>
      <c r="G129">
        <f ca="1"/>
        <v>4.4606817604220465E-2</v>
      </c>
      <c r="H129">
        <f ca="1"/>
        <v>4.4606817604220465E-2</v>
      </c>
      <c r="I129">
        <f ca="1"/>
        <v>4.4606817604220465E-2</v>
      </c>
      <c r="J129" t="e">
        <f ca="1"/>
        <v>#NUM!</v>
      </c>
      <c r="K129" t="e">
        <f ca="1"/>
        <v>#NUM!</v>
      </c>
      <c r="L129" t="e">
        <f ca="1"/>
        <v>#NUM!</v>
      </c>
      <c r="M129" t="e">
        <f ca="1"/>
        <v>#NUM!</v>
      </c>
      <c r="N129" t="e">
        <f ca="1"/>
        <v>#NUM!</v>
      </c>
      <c r="O129" t="e">
        <f ca="1"/>
        <v>#NUM!</v>
      </c>
    </row>
    <row r="130" spans="1:15" x14ac:dyDescent="0.15">
      <c r="A130" s="61">
        <f t="shared" ca="1" si="2"/>
        <v>52657</v>
      </c>
      <c r="C130">
        <f ca="1"/>
        <v>4.4664512707184738E-2</v>
      </c>
      <c r="D130">
        <f ca="1"/>
        <v>4.4664512707131385E-2</v>
      </c>
      <c r="E130">
        <f ca="1"/>
        <v>4.4664512707131385E-2</v>
      </c>
      <c r="F130">
        <f ca="1"/>
        <v>4.4664512707131385E-2</v>
      </c>
      <c r="G130">
        <f ca="1"/>
        <v>4.4664512707131385E-2</v>
      </c>
      <c r="H130">
        <f ca="1"/>
        <v>4.4664512707131385E-2</v>
      </c>
      <c r="I130">
        <f ca="1"/>
        <v>4.4664512707131385E-2</v>
      </c>
      <c r="J130" t="e">
        <f ca="1"/>
        <v>#NUM!</v>
      </c>
      <c r="K130" t="e">
        <f ca="1"/>
        <v>#NUM!</v>
      </c>
      <c r="L130" t="e">
        <f ca="1"/>
        <v>#NUM!</v>
      </c>
      <c r="M130" t="e">
        <f ca="1"/>
        <v>#NUM!</v>
      </c>
      <c r="N130" t="e">
        <f ca="1"/>
        <v>#NUM!</v>
      </c>
      <c r="O130" t="e">
        <f ca="1"/>
        <v>#NUM!</v>
      </c>
    </row>
    <row r="131" spans="1:15" x14ac:dyDescent="0.15">
      <c r="A131" s="61">
        <f t="shared" ca="1" si="2"/>
        <v>52747</v>
      </c>
      <c r="C131">
        <f ca="1"/>
        <v>4.4721311240549289E-2</v>
      </c>
      <c r="D131">
        <f ca="1"/>
        <v>4.4721311240599387E-2</v>
      </c>
      <c r="E131">
        <f ca="1"/>
        <v>4.4721311240599387E-2</v>
      </c>
      <c r="F131">
        <f ca="1"/>
        <v>4.4721311240599387E-2</v>
      </c>
      <c r="G131">
        <f ca="1"/>
        <v>4.4721311240599387E-2</v>
      </c>
      <c r="H131">
        <f ca="1"/>
        <v>4.4721311240599387E-2</v>
      </c>
      <c r="I131">
        <f ca="1"/>
        <v>4.4721311240599387E-2</v>
      </c>
      <c r="J131" t="e">
        <f ca="1"/>
        <v>#NUM!</v>
      </c>
      <c r="K131" t="e">
        <f ca="1"/>
        <v>#NUM!</v>
      </c>
      <c r="L131" t="e">
        <f ca="1"/>
        <v>#NUM!</v>
      </c>
      <c r="M131" t="e">
        <f ca="1"/>
        <v>#NUM!</v>
      </c>
      <c r="N131" t="e">
        <f ca="1"/>
        <v>#NUM!</v>
      </c>
      <c r="O131" t="e">
        <f ca="1"/>
        <v>#NUM!</v>
      </c>
    </row>
    <row r="132" spans="1:15" x14ac:dyDescent="0.15">
      <c r="A132" s="61">
        <f t="shared" ca="1" si="2"/>
        <v>52837</v>
      </c>
      <c r="C132">
        <f ca="1"/>
        <v>4.4776609848263794E-2</v>
      </c>
      <c r="D132">
        <f ca="1"/>
        <v>4.4776609848276069E-2</v>
      </c>
      <c r="E132">
        <f ca="1"/>
        <v>4.4776609848276069E-2</v>
      </c>
      <c r="F132">
        <f ca="1"/>
        <v>4.4776609848276069E-2</v>
      </c>
      <c r="G132">
        <f ca="1"/>
        <v>4.4776609848276069E-2</v>
      </c>
      <c r="H132">
        <f ca="1"/>
        <v>4.4776609848276069E-2</v>
      </c>
      <c r="I132">
        <f ca="1"/>
        <v>4.4776609848276069E-2</v>
      </c>
      <c r="J132" t="e">
        <f ca="1"/>
        <v>#NUM!</v>
      </c>
      <c r="K132" t="e">
        <f ca="1"/>
        <v>#NUM!</v>
      </c>
      <c r="L132" t="e">
        <f ca="1"/>
        <v>#NUM!</v>
      </c>
      <c r="M132" t="e">
        <f ca="1"/>
        <v>#NUM!</v>
      </c>
      <c r="N132" t="e">
        <f ca="1"/>
        <v>#NUM!</v>
      </c>
      <c r="O132" t="e">
        <f ca="1"/>
        <v>#NUM!</v>
      </c>
    </row>
    <row r="133" spans="1:15" x14ac:dyDescent="0.15">
      <c r="A133" s="61">
        <f t="shared" ca="1" si="2"/>
        <v>52927</v>
      </c>
      <c r="C133">
        <f ca="1"/>
        <v>4.4831071905041396E-2</v>
      </c>
      <c r="D133">
        <f ca="1"/>
        <v>4.4831071905098337E-2</v>
      </c>
      <c r="E133">
        <f ca="1"/>
        <v>4.4831071905098337E-2</v>
      </c>
      <c r="F133">
        <f ca="1"/>
        <v>4.4831071905098337E-2</v>
      </c>
      <c r="G133">
        <f ca="1"/>
        <v>4.4831071905098337E-2</v>
      </c>
      <c r="H133">
        <f ca="1"/>
        <v>4.4831071905098337E-2</v>
      </c>
      <c r="I133">
        <f ca="1"/>
        <v>4.4831071905098337E-2</v>
      </c>
      <c r="J133" t="e">
        <f ca="1"/>
        <v>#NUM!</v>
      </c>
      <c r="K133" t="e">
        <f ca="1"/>
        <v>#NUM!</v>
      </c>
      <c r="L133" t="e">
        <f ca="1"/>
        <v>#NUM!</v>
      </c>
      <c r="M133" t="e">
        <f ca="1"/>
        <v>#NUM!</v>
      </c>
      <c r="N133" t="e">
        <f ca="1"/>
        <v>#NUM!</v>
      </c>
      <c r="O133" t="e">
        <f ca="1"/>
        <v>#NUM!</v>
      </c>
    </row>
    <row r="134" spans="1:15" x14ac:dyDescent="0.15">
      <c r="A134" s="61">
        <f t="shared" ca="1" si="2"/>
        <v>53017</v>
      </c>
      <c r="C134">
        <f ca="1"/>
        <v>4.4884713243866246E-2</v>
      </c>
      <c r="D134">
        <f ca="1"/>
        <v>4.4884713243886216E-2</v>
      </c>
      <c r="E134">
        <f ca="1"/>
        <v>4.4884713243886216E-2</v>
      </c>
      <c r="F134">
        <f ca="1"/>
        <v>4.4884713243886216E-2</v>
      </c>
      <c r="G134">
        <f ca="1"/>
        <v>4.4884713243886216E-2</v>
      </c>
      <c r="H134">
        <f ca="1"/>
        <v>4.4884713243886216E-2</v>
      </c>
      <c r="I134">
        <f ca="1"/>
        <v>4.4884713243886216E-2</v>
      </c>
      <c r="J134" t="e">
        <f ca="1"/>
        <v>#NUM!</v>
      </c>
      <c r="K134" t="e">
        <f ca="1"/>
        <v>#NUM!</v>
      </c>
      <c r="L134" t="e">
        <f ca="1"/>
        <v>#NUM!</v>
      </c>
      <c r="M134" t="e">
        <f ca="1"/>
        <v>#NUM!</v>
      </c>
      <c r="N134" t="e">
        <f ca="1"/>
        <v>#NUM!</v>
      </c>
      <c r="O134" t="e">
        <f ca="1"/>
        <v>#NUM!</v>
      </c>
    </row>
    <row r="135" spans="1:15" x14ac:dyDescent="0.15">
      <c r="A135" s="61">
        <f t="shared" ca="1" si="2"/>
        <v>53107</v>
      </c>
      <c r="C135">
        <f ca="1"/>
        <v>4.4939342356616535E-2</v>
      </c>
      <c r="D135">
        <f ca="1"/>
        <v>4.4939342356511168E-2</v>
      </c>
      <c r="E135">
        <f ca="1"/>
        <v>4.4939342356511168E-2</v>
      </c>
      <c r="F135">
        <f ca="1"/>
        <v>4.4939342356511168E-2</v>
      </c>
      <c r="G135">
        <f ca="1"/>
        <v>4.4939342356511168E-2</v>
      </c>
      <c r="H135">
        <f ca="1"/>
        <v>4.4939342356511168E-2</v>
      </c>
      <c r="I135">
        <f ca="1"/>
        <v>4.4939342356511168E-2</v>
      </c>
      <c r="J135" t="e">
        <f ca="1"/>
        <v>#NUM!</v>
      </c>
      <c r="K135" t="e">
        <f ca="1"/>
        <v>#NUM!</v>
      </c>
      <c r="L135" t="e">
        <f ca="1"/>
        <v>#NUM!</v>
      </c>
      <c r="M135" t="e">
        <f ca="1"/>
        <v>#NUM!</v>
      </c>
      <c r="N135" t="e">
        <f ca="1"/>
        <v>#NUM!</v>
      </c>
      <c r="O135" t="e">
        <f ca="1"/>
        <v>#NUM!</v>
      </c>
    </row>
    <row r="136" spans="1:15" x14ac:dyDescent="0.15">
      <c r="A136" s="61">
        <f t="shared" ca="1" si="2"/>
        <v>53197</v>
      </c>
      <c r="C136">
        <f ca="1"/>
        <v>4.4991375395598714E-2</v>
      </c>
      <c r="D136">
        <f ca="1"/>
        <v>4.4991375395465702E-2</v>
      </c>
      <c r="E136">
        <f ca="1"/>
        <v>4.4991375395465702E-2</v>
      </c>
      <c r="F136">
        <f ca="1"/>
        <v>4.4991375395465702E-2</v>
      </c>
      <c r="G136">
        <f ca="1"/>
        <v>4.4991375395465702E-2</v>
      </c>
      <c r="H136">
        <f ca="1"/>
        <v>4.4991375395465702E-2</v>
      </c>
      <c r="I136">
        <f ca="1"/>
        <v>4.4991375395465702E-2</v>
      </c>
      <c r="J136" t="e">
        <f ca="1"/>
        <v>#NUM!</v>
      </c>
      <c r="K136" t="e">
        <f ca="1"/>
        <v>#NUM!</v>
      </c>
      <c r="L136" t="e">
        <f ca="1"/>
        <v>#NUM!</v>
      </c>
      <c r="M136" t="e">
        <f ca="1"/>
        <v>#NUM!</v>
      </c>
      <c r="N136" t="e">
        <f ca="1"/>
        <v>#NUM!</v>
      </c>
      <c r="O136" t="e">
        <f ca="1"/>
        <v>#NUM!</v>
      </c>
    </row>
    <row r="137" spans="1:15" x14ac:dyDescent="0.15">
      <c r="A137" s="61">
        <f t="shared" ca="1" si="2"/>
        <v>53287</v>
      </c>
      <c r="C137">
        <f ca="1"/>
        <v>4.5042644631503648E-2</v>
      </c>
      <c r="D137">
        <f ca="1"/>
        <v>4.5042644631472152E-2</v>
      </c>
      <c r="E137">
        <f ca="1"/>
        <v>4.5042644631472152E-2</v>
      </c>
      <c r="F137">
        <f ca="1"/>
        <v>4.5042644631472152E-2</v>
      </c>
      <c r="G137">
        <f ca="1"/>
        <v>4.5042644631472152E-2</v>
      </c>
      <c r="H137">
        <f ca="1"/>
        <v>4.5042644631472152E-2</v>
      </c>
      <c r="I137">
        <f ca="1"/>
        <v>4.5042644631472152E-2</v>
      </c>
      <c r="J137" t="e">
        <f ca="1"/>
        <v>#NUM!</v>
      </c>
      <c r="K137" t="e">
        <f ca="1"/>
        <v>#NUM!</v>
      </c>
      <c r="L137" t="e">
        <f ca="1"/>
        <v>#NUM!</v>
      </c>
      <c r="M137" t="e">
        <f ca="1"/>
        <v>#NUM!</v>
      </c>
      <c r="N137" t="e">
        <f ca="1"/>
        <v>#NUM!</v>
      </c>
      <c r="O137" t="e">
        <f ca="1"/>
        <v>#NUM!</v>
      </c>
    </row>
    <row r="138" spans="1:15" x14ac:dyDescent="0.15">
      <c r="A138" s="61">
        <f t="shared" ca="1" si="2"/>
        <v>53377</v>
      </c>
      <c r="C138">
        <f ca="1"/>
        <v>4.5093164080277241E-2</v>
      </c>
      <c r="D138">
        <f ca="1"/>
        <v>4.5093164080282293E-2</v>
      </c>
      <c r="E138">
        <f ca="1"/>
        <v>4.5093164080282293E-2</v>
      </c>
      <c r="F138">
        <f ca="1"/>
        <v>4.5093164080282293E-2</v>
      </c>
      <c r="G138">
        <f ca="1"/>
        <v>4.5093164080282293E-2</v>
      </c>
      <c r="H138">
        <f ca="1"/>
        <v>4.5093164080282293E-2</v>
      </c>
      <c r="I138">
        <f ca="1"/>
        <v>4.5093164080282293E-2</v>
      </c>
      <c r="J138" t="e">
        <f ca="1"/>
        <v>#NUM!</v>
      </c>
      <c r="K138" t="e">
        <f ca="1"/>
        <v>#NUM!</v>
      </c>
      <c r="L138" t="e">
        <f ca="1"/>
        <v>#NUM!</v>
      </c>
      <c r="M138" t="e">
        <f ca="1"/>
        <v>#NUM!</v>
      </c>
      <c r="N138" t="e">
        <f ca="1"/>
        <v>#NUM!</v>
      </c>
      <c r="O138" t="e">
        <f ca="1"/>
        <v>#NUM!</v>
      </c>
    </row>
    <row r="139" spans="1:15" x14ac:dyDescent="0.15">
      <c r="A139" s="61">
        <f t="shared" ca="1" si="2"/>
        <v>53467</v>
      </c>
      <c r="C139">
        <f ca="1"/>
        <v>4.514463675271102E-2</v>
      </c>
      <c r="D139">
        <f ca="1"/>
        <v>4.5144636752767933E-2</v>
      </c>
      <c r="E139">
        <f ca="1"/>
        <v>4.5144636752767933E-2</v>
      </c>
      <c r="F139">
        <f ca="1"/>
        <v>4.5144636752767933E-2</v>
      </c>
      <c r="G139">
        <f ca="1"/>
        <v>4.5144636752767933E-2</v>
      </c>
      <c r="H139">
        <f ca="1"/>
        <v>4.5144636752767933E-2</v>
      </c>
      <c r="I139">
        <f ca="1"/>
        <v>4.5144636752767933E-2</v>
      </c>
      <c r="J139" t="e">
        <f ca="1"/>
        <v>#NUM!</v>
      </c>
      <c r="K139" t="e">
        <f ca="1"/>
        <v>#NUM!</v>
      </c>
      <c r="L139" t="e">
        <f ca="1"/>
        <v>#NUM!</v>
      </c>
      <c r="M139" t="e">
        <f ca="1"/>
        <v>#NUM!</v>
      </c>
      <c r="N139" t="e">
        <f ca="1"/>
        <v>#NUM!</v>
      </c>
      <c r="O139" t="e">
        <f ca="1"/>
        <v>#NUM!</v>
      </c>
    </row>
    <row r="140" spans="1:15" x14ac:dyDescent="0.15">
      <c r="A140" s="61">
        <f t="shared" ca="1" si="2"/>
        <v>53557</v>
      </c>
      <c r="C140">
        <f ca="1"/>
        <v>4.5193685172409064E-2</v>
      </c>
      <c r="D140">
        <f ca="1"/>
        <v>4.519368517243446E-2</v>
      </c>
      <c r="E140">
        <f ca="1"/>
        <v>4.519368517243446E-2</v>
      </c>
      <c r="F140">
        <f ca="1"/>
        <v>4.519368517243446E-2</v>
      </c>
      <c r="G140">
        <f ca="1"/>
        <v>4.519368517243446E-2</v>
      </c>
      <c r="H140">
        <f ca="1"/>
        <v>4.519368517243446E-2</v>
      </c>
      <c r="I140">
        <f ca="1"/>
        <v>4.519368517243446E-2</v>
      </c>
      <c r="J140" t="e">
        <f ca="1"/>
        <v>#NUM!</v>
      </c>
      <c r="K140" t="e">
        <f ca="1"/>
        <v>#NUM!</v>
      </c>
      <c r="L140" t="e">
        <f ca="1"/>
        <v>#NUM!</v>
      </c>
      <c r="M140" t="e">
        <f ca="1"/>
        <v>#NUM!</v>
      </c>
      <c r="N140" t="e">
        <f ca="1"/>
        <v>#NUM!</v>
      </c>
      <c r="O140" t="e">
        <f ca="1"/>
        <v>#NUM!</v>
      </c>
    </row>
    <row r="141" spans="1:15" x14ac:dyDescent="0.15">
      <c r="A141" s="61">
        <f t="shared" ca="1" si="2"/>
        <v>53647</v>
      </c>
      <c r="C141">
        <f ca="1"/>
        <v>4.5242034335813419E-2</v>
      </c>
      <c r="D141">
        <f ca="1"/>
        <v>4.5242034335912756E-2</v>
      </c>
      <c r="E141">
        <f ca="1"/>
        <v>4.5242034335912756E-2</v>
      </c>
      <c r="F141">
        <f ca="1"/>
        <v>4.5242034335912756E-2</v>
      </c>
      <c r="G141">
        <f ca="1"/>
        <v>4.5242034335912756E-2</v>
      </c>
      <c r="H141">
        <f ca="1"/>
        <v>4.5242034335912756E-2</v>
      </c>
      <c r="I141">
        <f ca="1"/>
        <v>4.5242034335912756E-2</v>
      </c>
      <c r="J141" t="e">
        <f ca="1"/>
        <v>#NUM!</v>
      </c>
      <c r="K141" t="e">
        <f ca="1"/>
        <v>#NUM!</v>
      </c>
      <c r="L141" t="e">
        <f ca="1"/>
        <v>#NUM!</v>
      </c>
      <c r="M141" t="e">
        <f ca="1"/>
        <v>#NUM!</v>
      </c>
      <c r="N141" t="e">
        <f ca="1"/>
        <v>#NUM!</v>
      </c>
      <c r="O141" t="e">
        <f ca="1"/>
        <v>#NUM!</v>
      </c>
    </row>
    <row r="142" spans="1:15" x14ac:dyDescent="0.15">
      <c r="A142" s="61">
        <f t="shared" ca="1" si="2"/>
        <v>53737</v>
      </c>
      <c r="C142">
        <f ca="1"/>
        <v>4.528969672778612E-2</v>
      </c>
      <c r="D142">
        <f ca="1"/>
        <v>4.5289696727835033E-2</v>
      </c>
      <c r="E142">
        <f ca="1"/>
        <v>4.5289696727835033E-2</v>
      </c>
      <c r="F142">
        <f ca="1"/>
        <v>4.5289696727835033E-2</v>
      </c>
      <c r="G142">
        <f ca="1"/>
        <v>4.5289696727835033E-2</v>
      </c>
      <c r="H142">
        <f ca="1"/>
        <v>4.5289696727835033E-2</v>
      </c>
      <c r="I142">
        <f ca="1"/>
        <v>4.5289696727835033E-2</v>
      </c>
      <c r="J142" t="e">
        <f ca="1"/>
        <v>#NUM!</v>
      </c>
      <c r="K142" t="e">
        <f ca="1"/>
        <v>#NUM!</v>
      </c>
      <c r="L142" t="e">
        <f ca="1"/>
        <v>#NUM!</v>
      </c>
      <c r="M142" t="e">
        <f ca="1"/>
        <v>#NUM!</v>
      </c>
      <c r="N142" t="e">
        <f ca="1"/>
        <v>#NUM!</v>
      </c>
      <c r="O142" t="e">
        <f ca="1"/>
        <v>#NUM!</v>
      </c>
    </row>
    <row r="143" spans="1:15" x14ac:dyDescent="0.15">
      <c r="A143" s="61">
        <f t="shared" ca="1" si="2"/>
        <v>53827</v>
      </c>
      <c r="C143">
        <f ca="1"/>
        <v>4.5338278816896109E-2</v>
      </c>
      <c r="D143">
        <f ca="1"/>
        <v>4.5338278816900057E-2</v>
      </c>
      <c r="E143">
        <f ca="1"/>
        <v>4.5338278816900057E-2</v>
      </c>
      <c r="F143">
        <f ca="1"/>
        <v>4.5338278816900057E-2</v>
      </c>
      <c r="G143">
        <f ca="1"/>
        <v>4.5338278816900057E-2</v>
      </c>
      <c r="H143">
        <f ca="1"/>
        <v>4.5338278816900057E-2</v>
      </c>
      <c r="I143">
        <f ca="1"/>
        <v>4.5338278816900057E-2</v>
      </c>
      <c r="J143" t="e">
        <f ca="1"/>
        <v>#NUM!</v>
      </c>
      <c r="K143" t="e">
        <f ca="1"/>
        <v>#NUM!</v>
      </c>
      <c r="L143" t="e">
        <f ca="1"/>
        <v>#NUM!</v>
      </c>
      <c r="M143" t="e">
        <f ca="1"/>
        <v>#NUM!</v>
      </c>
      <c r="N143" t="e">
        <f ca="1"/>
        <v>#NUM!</v>
      </c>
      <c r="O143" t="e">
        <f ca="1"/>
        <v>#NUM!</v>
      </c>
    </row>
    <row r="144" spans="1:15" x14ac:dyDescent="0.15">
      <c r="A144" s="61">
        <f t="shared" ca="1" si="2"/>
        <v>53917</v>
      </c>
      <c r="C144">
        <f ca="1"/>
        <v>4.5384592238878863E-2</v>
      </c>
      <c r="D144">
        <f ca="1"/>
        <v>4.5384592238884289E-2</v>
      </c>
      <c r="E144">
        <f ca="1"/>
        <v>4.5384592238884289E-2</v>
      </c>
      <c r="F144">
        <f ca="1"/>
        <v>4.5384592238884289E-2</v>
      </c>
      <c r="G144">
        <f ca="1"/>
        <v>4.5384592238884289E-2</v>
      </c>
      <c r="H144">
        <f ca="1"/>
        <v>4.5384592238884289E-2</v>
      </c>
      <c r="I144">
        <f ca="1"/>
        <v>4.5384592238884289E-2</v>
      </c>
      <c r="J144" t="e">
        <f ca="1"/>
        <v>#NUM!</v>
      </c>
      <c r="K144" t="e">
        <f ca="1"/>
        <v>#NUM!</v>
      </c>
      <c r="L144" t="e">
        <f ca="1"/>
        <v>#NUM!</v>
      </c>
      <c r="M144" t="e">
        <f ca="1"/>
        <v>#NUM!</v>
      </c>
      <c r="N144" t="e">
        <f ca="1"/>
        <v>#NUM!</v>
      </c>
      <c r="O144" t="e">
        <f ca="1"/>
        <v>#NUM!</v>
      </c>
    </row>
    <row r="145" spans="1:15" x14ac:dyDescent="0.15">
      <c r="A145" s="61">
        <f t="shared" ca="1" si="2"/>
        <v>54007</v>
      </c>
      <c r="C145">
        <f ca="1"/>
        <v>4.5430263873523252E-2</v>
      </c>
      <c r="D145">
        <f ca="1"/>
        <v>4.5430263873522676E-2</v>
      </c>
      <c r="E145">
        <f ca="1"/>
        <v>4.5430263873522676E-2</v>
      </c>
      <c r="F145">
        <f ca="1"/>
        <v>4.5430263873522676E-2</v>
      </c>
      <c r="G145">
        <f ca="1"/>
        <v>4.5430263873522676E-2</v>
      </c>
      <c r="H145">
        <f ca="1"/>
        <v>4.5430263873522676E-2</v>
      </c>
      <c r="I145">
        <f ca="1"/>
        <v>4.5430263873522676E-2</v>
      </c>
      <c r="J145" t="e">
        <f ca="1"/>
        <v>#NUM!</v>
      </c>
      <c r="K145" t="e">
        <f ca="1"/>
        <v>#NUM!</v>
      </c>
      <c r="L145" t="e">
        <f ca="1"/>
        <v>#NUM!</v>
      </c>
      <c r="M145" t="e">
        <f ca="1"/>
        <v>#NUM!</v>
      </c>
      <c r="N145" t="e">
        <f ca="1"/>
        <v>#NUM!</v>
      </c>
      <c r="O145" t="e">
        <f ca="1"/>
        <v>#NUM!</v>
      </c>
    </row>
    <row r="146" spans="1:15" x14ac:dyDescent="0.15">
      <c r="A146" s="61">
        <f t="shared" ca="1" si="2"/>
        <v>54097</v>
      </c>
      <c r="C146">
        <f ca="1"/>
        <v>4.5475304913143999E-2</v>
      </c>
      <c r="D146">
        <f ca="1"/>
        <v>4.5475304913146115E-2</v>
      </c>
      <c r="E146">
        <f ca="1"/>
        <v>4.5475304913146115E-2</v>
      </c>
      <c r="F146">
        <f ca="1"/>
        <v>4.5475304913146115E-2</v>
      </c>
      <c r="G146">
        <f ca="1"/>
        <v>4.5475304913146115E-2</v>
      </c>
      <c r="H146">
        <f ca="1"/>
        <v>4.5475304913146115E-2</v>
      </c>
      <c r="I146">
        <f ca="1"/>
        <v>4.5475304913146115E-2</v>
      </c>
      <c r="J146" t="e">
        <f ca="1"/>
        <v>#NUM!</v>
      </c>
      <c r="K146" t="e">
        <f ca="1"/>
        <v>#NUM!</v>
      </c>
      <c r="L146" t="e">
        <f ca="1"/>
        <v>#NUM!</v>
      </c>
      <c r="M146" t="e">
        <f ca="1"/>
        <v>#NUM!</v>
      </c>
      <c r="N146" t="e">
        <f ca="1"/>
        <v>#NUM!</v>
      </c>
      <c r="O146" t="e">
        <f ca="1"/>
        <v>#NUM!</v>
      </c>
    </row>
    <row r="147" spans="1:15" x14ac:dyDescent="0.15">
      <c r="A147" s="61">
        <f t="shared" ca="1" si="2"/>
        <v>54187</v>
      </c>
      <c r="C147">
        <f ca="1"/>
        <v>4.5520732052965023E-2</v>
      </c>
      <c r="D147">
        <f ca="1"/>
        <v>4.5520732052969096E-2</v>
      </c>
      <c r="E147">
        <f ca="1"/>
        <v>4.5520732052969096E-2</v>
      </c>
      <c r="F147">
        <f ca="1"/>
        <v>4.5520732052969096E-2</v>
      </c>
      <c r="G147">
        <f ca="1"/>
        <v>4.5520732052969096E-2</v>
      </c>
      <c r="H147">
        <f ca="1"/>
        <v>4.5520732052969096E-2</v>
      </c>
      <c r="I147">
        <f ca="1"/>
        <v>4.5520732052969096E-2</v>
      </c>
      <c r="J147" t="e">
        <f ca="1"/>
        <v>#NUM!</v>
      </c>
      <c r="K147" t="e">
        <f ca="1"/>
        <v>#NUM!</v>
      </c>
      <c r="L147" t="e">
        <f ca="1"/>
        <v>#NUM!</v>
      </c>
      <c r="M147" t="e">
        <f ca="1"/>
        <v>#NUM!</v>
      </c>
      <c r="N147" t="e">
        <f ca="1"/>
        <v>#NUM!</v>
      </c>
      <c r="O147" t="e">
        <f ca="1"/>
        <v>#NUM!</v>
      </c>
    </row>
    <row r="148" spans="1:15" x14ac:dyDescent="0.15">
      <c r="A148" s="61">
        <f t="shared" ca="1" si="2"/>
        <v>54277</v>
      </c>
      <c r="C148">
        <f ca="1"/>
        <v>4.5564539849752408E-2</v>
      </c>
      <c r="D148">
        <f ca="1"/>
        <v>4.5564539849715313E-2</v>
      </c>
      <c r="E148">
        <f ca="1"/>
        <v>4.5564539849715313E-2</v>
      </c>
      <c r="F148">
        <f ca="1"/>
        <v>4.5564539849715313E-2</v>
      </c>
      <c r="G148">
        <f ca="1"/>
        <v>4.5564539849715313E-2</v>
      </c>
      <c r="H148">
        <f ca="1"/>
        <v>4.5564539849715313E-2</v>
      </c>
      <c r="I148">
        <f ca="1"/>
        <v>4.5564539849715313E-2</v>
      </c>
      <c r="J148" t="e">
        <f ca="1"/>
        <v>#NUM!</v>
      </c>
      <c r="K148" t="e">
        <f ca="1"/>
        <v>#NUM!</v>
      </c>
      <c r="L148" t="e">
        <f ca="1"/>
        <v>#NUM!</v>
      </c>
      <c r="M148" t="e">
        <f ca="1"/>
        <v>#NUM!</v>
      </c>
      <c r="N148" t="e">
        <f ca="1"/>
        <v>#NUM!</v>
      </c>
      <c r="O148" t="e">
        <f ca="1"/>
        <v>#NUM!</v>
      </c>
    </row>
    <row r="149" spans="1:15" x14ac:dyDescent="0.15">
      <c r="A149" s="61">
        <f t="shared" ca="1" si="2"/>
        <v>54367</v>
      </c>
      <c r="C149">
        <f ca="1"/>
        <v>4.5607757309496171E-2</v>
      </c>
      <c r="D149">
        <f ca="1"/>
        <v>4.5607757309424457E-2</v>
      </c>
      <c r="E149">
        <f ca="1"/>
        <v>4.5607757309424457E-2</v>
      </c>
      <c r="F149">
        <f ca="1"/>
        <v>4.5607757309424457E-2</v>
      </c>
      <c r="G149">
        <f ca="1"/>
        <v>4.5607757309424457E-2</v>
      </c>
      <c r="H149">
        <f ca="1"/>
        <v>4.5607757309424457E-2</v>
      </c>
      <c r="I149">
        <f ca="1"/>
        <v>4.5607757309424457E-2</v>
      </c>
      <c r="J149" t="e">
        <f ca="1"/>
        <v>#NUM!</v>
      </c>
      <c r="K149" t="e">
        <f ca="1"/>
        <v>#NUM!</v>
      </c>
      <c r="L149" t="e">
        <f ca="1"/>
        <v>#NUM!</v>
      </c>
      <c r="M149" t="e">
        <f ca="1"/>
        <v>#NUM!</v>
      </c>
      <c r="N149" t="e">
        <f ca="1"/>
        <v>#NUM!</v>
      </c>
      <c r="O149" t="e">
        <f ca="1"/>
        <v>#NUM!</v>
      </c>
    </row>
    <row r="150" spans="1:15" x14ac:dyDescent="0.15">
      <c r="A150" s="61">
        <f t="shared" ca="1" si="2"/>
        <v>54457</v>
      </c>
      <c r="C150">
        <f ca="1"/>
        <v>4.5650393982886749E-2</v>
      </c>
      <c r="D150">
        <f ca="1"/>
        <v>4.5650393982932712E-2</v>
      </c>
      <c r="E150">
        <f ca="1"/>
        <v>4.5650393982932712E-2</v>
      </c>
      <c r="F150">
        <f ca="1"/>
        <v>4.5650393982932712E-2</v>
      </c>
      <c r="G150">
        <f ca="1"/>
        <v>4.5650393982932712E-2</v>
      </c>
      <c r="H150">
        <f ca="1"/>
        <v>4.5650393982932712E-2</v>
      </c>
      <c r="I150">
        <f ca="1"/>
        <v>4.5650393982932712E-2</v>
      </c>
      <c r="J150" t="e">
        <f ca="1"/>
        <v>#NUM!</v>
      </c>
      <c r="K150" t="e">
        <f ca="1"/>
        <v>#NUM!</v>
      </c>
      <c r="L150" t="e">
        <f ca="1"/>
        <v>#NUM!</v>
      </c>
      <c r="M150" t="e">
        <f ca="1"/>
        <v>#NUM!</v>
      </c>
      <c r="N150" t="e">
        <f ca="1"/>
        <v>#NUM!</v>
      </c>
      <c r="O150" t="e">
        <f ca="1"/>
        <v>#NUM!</v>
      </c>
    </row>
    <row r="151" spans="1:15" x14ac:dyDescent="0.15">
      <c r="A151" s="61">
        <f t="shared" ca="1" si="2"/>
        <v>54547</v>
      </c>
      <c r="C151">
        <f ca="1"/>
        <v>4.5693886444847162E-2</v>
      </c>
      <c r="D151">
        <f ca="1"/>
        <v>4.5693886444917592E-2</v>
      </c>
      <c r="E151">
        <f ca="1"/>
        <v>4.5693886444917592E-2</v>
      </c>
      <c r="F151">
        <f ca="1"/>
        <v>4.5693886444917592E-2</v>
      </c>
      <c r="G151">
        <f ca="1"/>
        <v>4.5693886444917592E-2</v>
      </c>
      <c r="H151">
        <f ca="1"/>
        <v>4.5693886444917592E-2</v>
      </c>
      <c r="I151">
        <f ca="1"/>
        <v>4.5693886444917592E-2</v>
      </c>
      <c r="J151" t="e">
        <f ca="1"/>
        <v>#NUM!</v>
      </c>
      <c r="K151" t="e">
        <f ca="1"/>
        <v>#NUM!</v>
      </c>
      <c r="L151" t="e">
        <f ca="1"/>
        <v>#NUM!</v>
      </c>
      <c r="M151" t="e">
        <f ca="1"/>
        <v>#NUM!</v>
      </c>
      <c r="N151" t="e">
        <f ca="1"/>
        <v>#NUM!</v>
      </c>
      <c r="O151" t="e">
        <f ca="1"/>
        <v>#NUM!</v>
      </c>
    </row>
    <row r="152" spans="1:15" x14ac:dyDescent="0.15">
      <c r="A152" s="61">
        <f t="shared" ca="1" si="2"/>
        <v>54637</v>
      </c>
      <c r="C152">
        <f ca="1"/>
        <v>4.5735380286026202E-2</v>
      </c>
      <c r="D152">
        <f ca="1"/>
        <v>4.5735380286070569E-2</v>
      </c>
      <c r="E152">
        <f ca="1"/>
        <v>4.5735380286070569E-2</v>
      </c>
      <c r="F152">
        <f ca="1"/>
        <v>4.5735380286070569E-2</v>
      </c>
      <c r="G152">
        <f ca="1"/>
        <v>4.5735380286070569E-2</v>
      </c>
      <c r="H152">
        <f ca="1"/>
        <v>4.5735380286070569E-2</v>
      </c>
      <c r="I152">
        <f ca="1"/>
        <v>4.5735380286070569E-2</v>
      </c>
      <c r="J152" t="e">
        <f ca="1"/>
        <v>#NUM!</v>
      </c>
      <c r="K152" t="e">
        <f ca="1"/>
        <v>#NUM!</v>
      </c>
      <c r="L152" t="e">
        <f ca="1"/>
        <v>#NUM!</v>
      </c>
      <c r="M152" t="e">
        <f ca="1"/>
        <v>#NUM!</v>
      </c>
      <c r="N152" t="e">
        <f ca="1"/>
        <v>#NUM!</v>
      </c>
      <c r="O152" t="e">
        <f ca="1"/>
        <v>#NUM!</v>
      </c>
    </row>
    <row r="153" spans="1:15" x14ac:dyDescent="0.15">
      <c r="A153" s="61">
        <f t="shared" ca="1" si="2"/>
        <v>54727</v>
      </c>
      <c r="C153">
        <f ca="1"/>
        <v>4.5776792029585109E-2</v>
      </c>
      <c r="D153">
        <f ca="1"/>
        <v>4.5776792029624869E-2</v>
      </c>
      <c r="E153">
        <f ca="1"/>
        <v>4.5776792029624869E-2</v>
      </c>
      <c r="F153">
        <f ca="1"/>
        <v>4.5776792029624869E-2</v>
      </c>
      <c r="G153">
        <f ca="1"/>
        <v>4.5776792029624869E-2</v>
      </c>
      <c r="H153">
        <f ca="1"/>
        <v>4.5776792029624869E-2</v>
      </c>
      <c r="I153">
        <f ca="1"/>
        <v>4.5776792029624869E-2</v>
      </c>
      <c r="J153" t="e">
        <f ca="1"/>
        <v>#NUM!</v>
      </c>
      <c r="K153" t="e">
        <f ca="1"/>
        <v>#NUM!</v>
      </c>
      <c r="L153" t="e">
        <f ca="1"/>
        <v>#NUM!</v>
      </c>
      <c r="M153" t="e">
        <f ca="1"/>
        <v>#NUM!</v>
      </c>
      <c r="N153" t="e">
        <f ca="1"/>
        <v>#NUM!</v>
      </c>
      <c r="O153" t="e">
        <f ca="1"/>
        <v>#NUM!</v>
      </c>
    </row>
    <row r="154" spans="1:15" x14ac:dyDescent="0.15">
      <c r="A154" s="61">
        <f t="shared" ca="1" si="2"/>
        <v>54817</v>
      </c>
      <c r="C154">
        <f ca="1"/>
        <v>4.5817199858446747E-2</v>
      </c>
      <c r="D154">
        <f ca="1"/>
        <v>4.5817199858410027E-2</v>
      </c>
      <c r="E154">
        <f ca="1"/>
        <v>4.5817199858410027E-2</v>
      </c>
      <c r="F154">
        <f ca="1"/>
        <v>4.5817199858410027E-2</v>
      </c>
      <c r="G154">
        <f ca="1"/>
        <v>4.5817199858410027E-2</v>
      </c>
      <c r="H154">
        <f ca="1"/>
        <v>4.5817199858410027E-2</v>
      </c>
      <c r="I154">
        <f ca="1"/>
        <v>4.5817199858410027E-2</v>
      </c>
      <c r="J154" t="e">
        <f ca="1"/>
        <v>#NUM!</v>
      </c>
      <c r="K154" t="e">
        <f ca="1"/>
        <v>#NUM!</v>
      </c>
      <c r="L154" t="e">
        <f ca="1"/>
        <v>#NUM!</v>
      </c>
      <c r="M154" t="e">
        <f ca="1"/>
        <v>#NUM!</v>
      </c>
      <c r="N154" t="e">
        <f ca="1"/>
        <v>#NUM!</v>
      </c>
      <c r="O154" t="e">
        <f ca="1"/>
        <v>#NUM!</v>
      </c>
    </row>
    <row r="155" spans="1:15" x14ac:dyDescent="0.15">
      <c r="A155" s="61">
        <f t="shared" ca="1" si="2"/>
        <v>54907</v>
      </c>
      <c r="C155">
        <f ca="1"/>
        <v>4.5857983176771887E-2</v>
      </c>
      <c r="D155">
        <f ca="1"/>
        <v>4.5857983176772185E-2</v>
      </c>
      <c r="E155">
        <f ca="1"/>
        <v>4.5857983176772185E-2</v>
      </c>
      <c r="F155">
        <f ca="1"/>
        <v>4.5857983176772185E-2</v>
      </c>
      <c r="G155">
        <f ca="1"/>
        <v>4.5857983176772185E-2</v>
      </c>
      <c r="H155">
        <f ca="1"/>
        <v>4.5857983176772185E-2</v>
      </c>
      <c r="I155">
        <f ca="1"/>
        <v>4.5857983176772185E-2</v>
      </c>
      <c r="J155" t="e">
        <f ca="1"/>
        <v>#NUM!</v>
      </c>
      <c r="K155" t="e">
        <f ca="1"/>
        <v>#NUM!</v>
      </c>
      <c r="L155" t="e">
        <f ca="1"/>
        <v>#NUM!</v>
      </c>
      <c r="M155" t="e">
        <f ca="1"/>
        <v>#NUM!</v>
      </c>
      <c r="N155" t="e">
        <f ca="1"/>
        <v>#NUM!</v>
      </c>
      <c r="O155" t="e">
        <f ca="1"/>
        <v>#NUM!</v>
      </c>
    </row>
    <row r="156" spans="1:15" x14ac:dyDescent="0.15">
      <c r="A156" s="61">
        <f t="shared" ca="1" si="2"/>
        <v>54997</v>
      </c>
      <c r="C156">
        <f ca="1"/>
        <v>4.5897786014721116E-2</v>
      </c>
      <c r="D156">
        <f ca="1"/>
        <v>4.5897786014764054E-2</v>
      </c>
      <c r="E156">
        <f ca="1"/>
        <v>4.5897786014764054E-2</v>
      </c>
      <c r="F156">
        <f ca="1"/>
        <v>4.5897786014764054E-2</v>
      </c>
      <c r="G156">
        <f ca="1"/>
        <v>4.5897786014764054E-2</v>
      </c>
      <c r="H156">
        <f ca="1"/>
        <v>4.5897786014764054E-2</v>
      </c>
      <c r="I156">
        <f ca="1"/>
        <v>4.5897786014764054E-2</v>
      </c>
      <c r="J156" t="e">
        <f ca="1"/>
        <v>#NUM!</v>
      </c>
      <c r="K156" t="e">
        <f ca="1"/>
        <v>#NUM!</v>
      </c>
      <c r="L156" t="e">
        <f ca="1"/>
        <v>#NUM!</v>
      </c>
      <c r="M156" t="e">
        <f ca="1"/>
        <v>#NUM!</v>
      </c>
      <c r="N156" t="e">
        <f ca="1"/>
        <v>#NUM!</v>
      </c>
      <c r="O156" t="e">
        <f ca="1"/>
        <v>#NUM!</v>
      </c>
    </row>
    <row r="157" spans="1:15" x14ac:dyDescent="0.15">
      <c r="A157" s="61">
        <f t="shared" ca="1" si="2"/>
        <v>55087</v>
      </c>
      <c r="C157">
        <f ca="1"/>
        <v>4.5936635832079298E-2</v>
      </c>
      <c r="D157">
        <f ca="1"/>
        <v>4.5936635832047129E-2</v>
      </c>
      <c r="E157">
        <f ca="1"/>
        <v>4.5936635832047129E-2</v>
      </c>
      <c r="F157">
        <f ca="1"/>
        <v>4.5936635832047129E-2</v>
      </c>
      <c r="G157">
        <f ca="1"/>
        <v>4.5936635832047129E-2</v>
      </c>
      <c r="H157">
        <f ca="1"/>
        <v>4.5936635832047129E-2</v>
      </c>
      <c r="I157">
        <f ca="1"/>
        <v>4.5936635832047129E-2</v>
      </c>
      <c r="J157" t="e">
        <f ca="1"/>
        <v>#NUM!</v>
      </c>
      <c r="K157" t="e">
        <f ca="1"/>
        <v>#NUM!</v>
      </c>
      <c r="L157" t="e">
        <f ca="1"/>
        <v>#NUM!</v>
      </c>
      <c r="M157" t="e">
        <f ca="1"/>
        <v>#NUM!</v>
      </c>
      <c r="N157" t="e">
        <f ca="1"/>
        <v>#NUM!</v>
      </c>
      <c r="O157" t="e">
        <f ca="1"/>
        <v>#NUM!</v>
      </c>
    </row>
    <row r="158" spans="1:15" x14ac:dyDescent="0.15">
      <c r="A158" s="61">
        <f t="shared" ref="A158:A213" ca="1" si="3">A157+90</f>
        <v>55177</v>
      </c>
      <c r="C158">
        <f ca="1"/>
        <v>4.5974990747651351E-2</v>
      </c>
      <c r="D158">
        <f ca="1"/>
        <v>4.5974990747609509E-2</v>
      </c>
      <c r="E158">
        <f ca="1"/>
        <v>4.5974990747609509E-2</v>
      </c>
      <c r="F158">
        <f ca="1"/>
        <v>4.5974990747609509E-2</v>
      </c>
      <c r="G158">
        <f ca="1"/>
        <v>4.5974990747609509E-2</v>
      </c>
      <c r="H158">
        <f ca="1"/>
        <v>4.5974990747609509E-2</v>
      </c>
      <c r="I158">
        <f ca="1"/>
        <v>4.5974990747609509E-2</v>
      </c>
      <c r="J158" t="e">
        <f ca="1"/>
        <v>#NUM!</v>
      </c>
      <c r="K158" t="e">
        <f ca="1"/>
        <v>#NUM!</v>
      </c>
      <c r="L158" t="e">
        <f ca="1"/>
        <v>#NUM!</v>
      </c>
      <c r="M158" t="e">
        <f ca="1"/>
        <v>#NUM!</v>
      </c>
      <c r="N158" t="e">
        <f ca="1"/>
        <v>#NUM!</v>
      </c>
      <c r="O158" t="e">
        <f ca="1"/>
        <v>#NUM!</v>
      </c>
    </row>
    <row r="159" spans="1:15" x14ac:dyDescent="0.15">
      <c r="A159" s="61">
        <f t="shared" ca="1" si="3"/>
        <v>55267</v>
      </c>
      <c r="C159">
        <f ca="1"/>
        <v>4.6013714839773442E-2</v>
      </c>
      <c r="D159">
        <f ca="1"/>
        <v>4.6013714839775177E-2</v>
      </c>
      <c r="E159">
        <f ca="1"/>
        <v>4.6013714839775177E-2</v>
      </c>
      <c r="F159">
        <f ca="1"/>
        <v>4.6013714839775177E-2</v>
      </c>
      <c r="G159">
        <f ca="1"/>
        <v>4.6013714839775177E-2</v>
      </c>
      <c r="H159">
        <f ca="1"/>
        <v>4.6013714839775177E-2</v>
      </c>
      <c r="I159">
        <f ca="1"/>
        <v>4.6013714839775177E-2</v>
      </c>
      <c r="J159" t="e">
        <f ca="1"/>
        <v>#NUM!</v>
      </c>
      <c r="K159" t="e">
        <f ca="1"/>
        <v>#NUM!</v>
      </c>
      <c r="L159" t="e">
        <f ca="1"/>
        <v>#NUM!</v>
      </c>
      <c r="M159" t="e">
        <f ca="1"/>
        <v>#NUM!</v>
      </c>
      <c r="N159" t="e">
        <f ca="1"/>
        <v>#NUM!</v>
      </c>
      <c r="O159" t="e">
        <f ca="1"/>
        <v>#NUM!</v>
      </c>
    </row>
    <row r="160" spans="1:15" x14ac:dyDescent="0.15">
      <c r="A160" s="61">
        <f t="shared" ca="1" si="3"/>
        <v>55357</v>
      </c>
      <c r="C160">
        <f ca="1"/>
        <v>4.605152079752195E-2</v>
      </c>
      <c r="D160">
        <f ca="1"/>
        <v>4.6051520797491037E-2</v>
      </c>
      <c r="E160">
        <f ca="1"/>
        <v>4.6051520797491037E-2</v>
      </c>
      <c r="F160">
        <f ca="1"/>
        <v>4.6051520797491037E-2</v>
      </c>
      <c r="G160">
        <f ca="1"/>
        <v>4.6051520797491037E-2</v>
      </c>
      <c r="H160">
        <f ca="1"/>
        <v>4.6051520797491037E-2</v>
      </c>
      <c r="I160">
        <f ca="1"/>
        <v>4.6051520797491037E-2</v>
      </c>
      <c r="J160" t="e">
        <f ca="1"/>
        <v>#NUM!</v>
      </c>
      <c r="K160" t="e">
        <f ca="1"/>
        <v>#NUM!</v>
      </c>
      <c r="L160" t="e">
        <f ca="1"/>
        <v>#NUM!</v>
      </c>
      <c r="M160" t="e">
        <f ca="1"/>
        <v>#NUM!</v>
      </c>
      <c r="N160" t="e">
        <f ca="1"/>
        <v>#NUM!</v>
      </c>
      <c r="O160" t="e">
        <f ca="1"/>
        <v>#NUM!</v>
      </c>
    </row>
    <row r="161" spans="1:15" x14ac:dyDescent="0.15">
      <c r="A161" s="61">
        <f t="shared" ca="1" si="3"/>
        <v>55447</v>
      </c>
      <c r="C161">
        <f ca="1"/>
        <v>4.6088433613111948E-2</v>
      </c>
      <c r="D161">
        <f ca="1"/>
        <v>4.6088433613069663E-2</v>
      </c>
      <c r="E161">
        <f ca="1"/>
        <v>4.6088433613069663E-2</v>
      </c>
      <c r="F161">
        <f ca="1"/>
        <v>4.6088433613069663E-2</v>
      </c>
      <c r="G161">
        <f ca="1"/>
        <v>4.6088433613069663E-2</v>
      </c>
      <c r="H161">
        <f ca="1"/>
        <v>4.6088433613069663E-2</v>
      </c>
      <c r="I161">
        <f ca="1"/>
        <v>4.6088433613069663E-2</v>
      </c>
      <c r="J161" t="e">
        <f ca="1"/>
        <v>#NUM!</v>
      </c>
      <c r="K161" t="e">
        <f ca="1"/>
        <v>#NUM!</v>
      </c>
      <c r="L161" t="e">
        <f ca="1"/>
        <v>#NUM!</v>
      </c>
      <c r="M161" t="e">
        <f ca="1"/>
        <v>#NUM!</v>
      </c>
      <c r="N161" t="e">
        <f ca="1"/>
        <v>#NUM!</v>
      </c>
      <c r="O161" t="e">
        <f ca="1"/>
        <v>#NUM!</v>
      </c>
    </row>
    <row r="162" spans="1:15" x14ac:dyDescent="0.15">
      <c r="A162" s="61">
        <f t="shared" ca="1" si="3"/>
        <v>55537</v>
      </c>
      <c r="C162">
        <f ca="1"/>
        <v>4.6124888203529349E-2</v>
      </c>
      <c r="D162">
        <f ca="1"/>
        <v>4.6124888203532124E-2</v>
      </c>
      <c r="E162">
        <f ca="1"/>
        <v>4.6124888203532124E-2</v>
      </c>
      <c r="F162">
        <f ca="1"/>
        <v>4.6124888203532124E-2</v>
      </c>
      <c r="G162">
        <f ca="1"/>
        <v>4.6124888203532124E-2</v>
      </c>
      <c r="H162">
        <f ca="1"/>
        <v>4.6124888203532124E-2</v>
      </c>
      <c r="I162">
        <f ca="1"/>
        <v>4.6124888203532124E-2</v>
      </c>
      <c r="J162" t="e">
        <f ca="1"/>
        <v>#NUM!</v>
      </c>
      <c r="K162" t="e">
        <f ca="1"/>
        <v>#NUM!</v>
      </c>
      <c r="L162" t="e">
        <f ca="1"/>
        <v>#NUM!</v>
      </c>
      <c r="M162" t="e">
        <f ca="1"/>
        <v>#NUM!</v>
      </c>
      <c r="N162" t="e">
        <f ca="1"/>
        <v>#NUM!</v>
      </c>
      <c r="O162" t="e">
        <f ca="1"/>
        <v>#NUM!</v>
      </c>
    </row>
    <row r="163" spans="1:15" x14ac:dyDescent="0.15">
      <c r="A163" s="61">
        <f t="shared" ca="1" si="3"/>
        <v>55627</v>
      </c>
      <c r="C163">
        <f ca="1"/>
        <v>4.6161298625616874E-2</v>
      </c>
      <c r="D163">
        <f ca="1"/>
        <v>4.6161298625619095E-2</v>
      </c>
      <c r="E163">
        <f ca="1"/>
        <v>4.6161298625619095E-2</v>
      </c>
      <c r="F163">
        <f ca="1"/>
        <v>4.6161298625619095E-2</v>
      </c>
      <c r="G163">
        <f ca="1"/>
        <v>4.6161298625619095E-2</v>
      </c>
      <c r="H163">
        <f ca="1"/>
        <v>4.6161298625619095E-2</v>
      </c>
      <c r="I163">
        <f ca="1"/>
        <v>4.6161298625619095E-2</v>
      </c>
      <c r="J163" t="e">
        <f ca="1"/>
        <v>#NUM!</v>
      </c>
      <c r="K163" t="e">
        <f ca="1"/>
        <v>#NUM!</v>
      </c>
      <c r="L163" t="e">
        <f ca="1"/>
        <v>#NUM!</v>
      </c>
      <c r="M163" t="e">
        <f ca="1"/>
        <v>#NUM!</v>
      </c>
      <c r="N163" t="e">
        <f ca="1"/>
        <v>#NUM!</v>
      </c>
      <c r="O163" t="e">
        <f ca="1"/>
        <v>#NUM!</v>
      </c>
    </row>
    <row r="164" spans="1:15" x14ac:dyDescent="0.15">
      <c r="A164" s="61">
        <f t="shared" ca="1" si="3"/>
        <v>55717</v>
      </c>
      <c r="C164">
        <f ca="1"/>
        <v>4.6197259287810571E-2</v>
      </c>
      <c r="D164">
        <f ca="1"/>
        <v>4.6197259287813285E-2</v>
      </c>
      <c r="E164">
        <f ca="1"/>
        <v>4.6197259287813285E-2</v>
      </c>
      <c r="F164">
        <f ca="1"/>
        <v>4.6197259287813285E-2</v>
      </c>
      <c r="G164">
        <f ca="1"/>
        <v>4.6197259287813285E-2</v>
      </c>
      <c r="H164">
        <f ca="1"/>
        <v>4.6197259287813285E-2</v>
      </c>
      <c r="I164">
        <f ca="1"/>
        <v>4.6197259287813285E-2</v>
      </c>
      <c r="J164" t="e">
        <f ca="1"/>
        <v>#NUM!</v>
      </c>
      <c r="K164" t="e">
        <f ca="1"/>
        <v>#NUM!</v>
      </c>
      <c r="L164" t="e">
        <f ca="1"/>
        <v>#NUM!</v>
      </c>
      <c r="M164" t="e">
        <f ca="1"/>
        <v>#NUM!</v>
      </c>
      <c r="N164" t="e">
        <f ca="1"/>
        <v>#NUM!</v>
      </c>
      <c r="O164" t="e">
        <f ca="1"/>
        <v>#NUM!</v>
      </c>
    </row>
    <row r="165" spans="1:15" x14ac:dyDescent="0.15">
      <c r="A165" s="61">
        <f t="shared" ca="1" si="3"/>
        <v>55807</v>
      </c>
      <c r="C165">
        <f ca="1"/>
        <v>4.623238125237316E-2</v>
      </c>
      <c r="D165">
        <f ca="1"/>
        <v>4.6232381252354779E-2</v>
      </c>
      <c r="E165">
        <f ca="1"/>
        <v>4.6232381252354779E-2</v>
      </c>
      <c r="F165">
        <f ca="1"/>
        <v>4.6232381252354779E-2</v>
      </c>
      <c r="G165">
        <f ca="1"/>
        <v>4.6232381252354779E-2</v>
      </c>
      <c r="H165">
        <f ca="1"/>
        <v>4.6232381252354779E-2</v>
      </c>
      <c r="I165">
        <f ca="1"/>
        <v>4.6232381252354779E-2</v>
      </c>
      <c r="J165" t="e">
        <f ca="1"/>
        <v>#NUM!</v>
      </c>
      <c r="K165" t="e">
        <f ca="1"/>
        <v>#NUM!</v>
      </c>
      <c r="L165" t="e">
        <f ca="1"/>
        <v>#NUM!</v>
      </c>
      <c r="M165" t="e">
        <f ca="1"/>
        <v>#NUM!</v>
      </c>
      <c r="N165" t="e">
        <f ca="1"/>
        <v>#NUM!</v>
      </c>
      <c r="O165" t="e">
        <f ca="1"/>
        <v>#NUM!</v>
      </c>
    </row>
    <row r="166" spans="1:15" x14ac:dyDescent="0.15">
      <c r="A166" s="61">
        <f t="shared" ca="1" si="3"/>
        <v>55897</v>
      </c>
      <c r="C166">
        <f ca="1"/>
        <v>4.6267078305504396E-2</v>
      </c>
      <c r="D166">
        <f ca="1"/>
        <v>4.6267078305450085E-2</v>
      </c>
      <c r="E166">
        <f ca="1"/>
        <v>4.6267078305450085E-2</v>
      </c>
      <c r="F166">
        <f ca="1"/>
        <v>4.6267078305450085E-2</v>
      </c>
      <c r="G166">
        <f ca="1"/>
        <v>4.6267078305450085E-2</v>
      </c>
      <c r="H166">
        <f ca="1"/>
        <v>4.6267078305450085E-2</v>
      </c>
      <c r="I166">
        <f ca="1"/>
        <v>4.6267078305450085E-2</v>
      </c>
      <c r="J166" t="e">
        <f ca="1"/>
        <v>#NUM!</v>
      </c>
      <c r="K166" t="e">
        <f ca="1"/>
        <v>#NUM!</v>
      </c>
      <c r="L166" t="e">
        <f ca="1"/>
        <v>#NUM!</v>
      </c>
      <c r="M166" t="e">
        <f ca="1"/>
        <v>#NUM!</v>
      </c>
      <c r="N166" t="e">
        <f ca="1"/>
        <v>#NUM!</v>
      </c>
      <c r="O166" t="e">
        <f ca="1"/>
        <v>#NUM!</v>
      </c>
    </row>
    <row r="167" spans="1:15" x14ac:dyDescent="0.15">
      <c r="A167" s="61">
        <f t="shared" ca="1" si="3"/>
        <v>55987</v>
      </c>
      <c r="C167">
        <f ca="1"/>
        <v>4.6302130327810317E-2</v>
      </c>
      <c r="D167">
        <f ca="1"/>
        <v>4.63021303278126E-2</v>
      </c>
      <c r="E167">
        <f ca="1"/>
        <v>4.63021303278126E-2</v>
      </c>
      <c r="F167">
        <f ca="1"/>
        <v>4.63021303278126E-2</v>
      </c>
      <c r="G167">
        <f ca="1"/>
        <v>4.63021303278126E-2</v>
      </c>
      <c r="H167">
        <f ca="1"/>
        <v>4.63021303278126E-2</v>
      </c>
      <c r="I167">
        <f ca="1"/>
        <v>4.63021303278126E-2</v>
      </c>
      <c r="J167" t="e">
        <f ca="1"/>
        <v>#NUM!</v>
      </c>
      <c r="K167" t="e">
        <f ca="1"/>
        <v>#NUM!</v>
      </c>
      <c r="L167" t="e">
        <f ca="1"/>
        <v>#NUM!</v>
      </c>
      <c r="M167" t="e">
        <f ca="1"/>
        <v>#NUM!</v>
      </c>
      <c r="N167" t="e">
        <f ca="1"/>
        <v>#NUM!</v>
      </c>
      <c r="O167" t="e">
        <f ca="1"/>
        <v>#NUM!</v>
      </c>
    </row>
    <row r="168" spans="1:15" x14ac:dyDescent="0.15">
      <c r="A168" s="61">
        <f t="shared" ca="1" si="3"/>
        <v>56077</v>
      </c>
      <c r="C168">
        <f ca="1"/>
        <v>4.6336372927540184E-2</v>
      </c>
      <c r="D168">
        <f ca="1"/>
        <v>4.6336372927542259E-2</v>
      </c>
      <c r="E168">
        <f ca="1"/>
        <v>4.6336372927542259E-2</v>
      </c>
      <c r="F168">
        <f ca="1"/>
        <v>4.6336372927542259E-2</v>
      </c>
      <c r="G168">
        <f ca="1"/>
        <v>4.6336372927542259E-2</v>
      </c>
      <c r="H168">
        <f ca="1"/>
        <v>4.6336372927542259E-2</v>
      </c>
      <c r="I168">
        <f ca="1"/>
        <v>4.6336372927542259E-2</v>
      </c>
      <c r="J168" t="e">
        <f ca="1"/>
        <v>#NUM!</v>
      </c>
      <c r="K168" t="e">
        <f ca="1"/>
        <v>#NUM!</v>
      </c>
      <c r="L168" t="e">
        <f ca="1"/>
        <v>#NUM!</v>
      </c>
      <c r="M168" t="e">
        <f ca="1"/>
        <v>#NUM!</v>
      </c>
      <c r="N168" t="e">
        <f ca="1"/>
        <v>#NUM!</v>
      </c>
      <c r="O168" t="e">
        <f ca="1"/>
        <v>#NUM!</v>
      </c>
    </row>
    <row r="169" spans="1:15" x14ac:dyDescent="0.15">
      <c r="A169" s="61">
        <f t="shared" ca="1" si="3"/>
        <v>56167</v>
      </c>
      <c r="C169">
        <f ca="1"/>
        <v>4.6369826771779366E-2</v>
      </c>
      <c r="D169">
        <f ca="1"/>
        <v>4.6369826771766022E-2</v>
      </c>
      <c r="E169">
        <f ca="1"/>
        <v>4.6369826771766022E-2</v>
      </c>
      <c r="F169">
        <f ca="1"/>
        <v>4.6369826771766022E-2</v>
      </c>
      <c r="G169">
        <f ca="1"/>
        <v>4.6369826771766022E-2</v>
      </c>
      <c r="H169">
        <f ca="1"/>
        <v>4.6369826771766022E-2</v>
      </c>
      <c r="I169">
        <f ca="1"/>
        <v>4.6369826771766022E-2</v>
      </c>
      <c r="J169" t="e">
        <f ca="1"/>
        <v>#NUM!</v>
      </c>
      <c r="K169" t="e">
        <f ca="1"/>
        <v>#NUM!</v>
      </c>
      <c r="L169" t="e">
        <f ca="1"/>
        <v>#NUM!</v>
      </c>
      <c r="M169" t="e">
        <f ca="1"/>
        <v>#NUM!</v>
      </c>
      <c r="N169" t="e">
        <f ca="1"/>
        <v>#NUM!</v>
      </c>
      <c r="O169" t="e">
        <f ca="1"/>
        <v>#NUM!</v>
      </c>
    </row>
    <row r="170" spans="1:15" x14ac:dyDescent="0.15">
      <c r="A170" s="61">
        <f t="shared" ca="1" si="3"/>
        <v>56257</v>
      </c>
      <c r="C170">
        <f ca="1"/>
        <v>4.6402885823409762E-2</v>
      </c>
      <c r="D170">
        <f ca="1"/>
        <v>4.6402885823390569E-2</v>
      </c>
      <c r="E170">
        <f ca="1"/>
        <v>4.6402885823390569E-2</v>
      </c>
      <c r="F170">
        <f ca="1"/>
        <v>4.6402885823390569E-2</v>
      </c>
      <c r="G170">
        <f ca="1"/>
        <v>4.6402885823390569E-2</v>
      </c>
      <c r="H170">
        <f ca="1"/>
        <v>4.6402885823390569E-2</v>
      </c>
      <c r="I170">
        <f ca="1"/>
        <v>4.6402885823390569E-2</v>
      </c>
      <c r="J170" t="e">
        <f ca="1"/>
        <v>#NUM!</v>
      </c>
      <c r="K170" t="e">
        <f ca="1"/>
        <v>#NUM!</v>
      </c>
      <c r="L170" t="e">
        <f ca="1"/>
        <v>#NUM!</v>
      </c>
      <c r="M170" t="e">
        <f ca="1"/>
        <v>#NUM!</v>
      </c>
      <c r="N170" t="e">
        <f ca="1"/>
        <v>#NUM!</v>
      </c>
      <c r="O170" t="e">
        <f ca="1"/>
        <v>#NUM!</v>
      </c>
    </row>
    <row r="171" spans="1:15" x14ac:dyDescent="0.15">
      <c r="A171" s="61">
        <f t="shared" ca="1" si="3"/>
        <v>56347</v>
      </c>
      <c r="C171">
        <f ca="1"/>
        <v>4.6436292438728564E-2</v>
      </c>
      <c r="D171">
        <f ca="1"/>
        <v>4.6436292438838137E-2</v>
      </c>
      <c r="E171">
        <f ca="1"/>
        <v>4.6436292438838137E-2</v>
      </c>
      <c r="F171">
        <f ca="1"/>
        <v>4.6436292438838137E-2</v>
      </c>
      <c r="G171">
        <f ca="1"/>
        <v>4.6436292438838137E-2</v>
      </c>
      <c r="H171">
        <f ca="1"/>
        <v>4.6436292438838137E-2</v>
      </c>
      <c r="I171">
        <f ca="1"/>
        <v>4.6436292438838137E-2</v>
      </c>
      <c r="J171" t="e">
        <f ca="1"/>
        <v>#NUM!</v>
      </c>
      <c r="K171" t="e">
        <f ca="1"/>
        <v>#NUM!</v>
      </c>
      <c r="L171" t="e">
        <f ca="1"/>
        <v>#NUM!</v>
      </c>
      <c r="M171" t="e">
        <f ca="1"/>
        <v>#NUM!</v>
      </c>
      <c r="N171" t="e">
        <f ca="1"/>
        <v>#NUM!</v>
      </c>
      <c r="O171" t="e">
        <f ca="1"/>
        <v>#NUM!</v>
      </c>
    </row>
    <row r="172" spans="1:15" x14ac:dyDescent="0.15">
      <c r="A172" s="61">
        <f t="shared" ca="1" si="3"/>
        <v>56437</v>
      </c>
      <c r="C172">
        <f ca="1"/>
        <v>4.6468937221435823E-2</v>
      </c>
      <c r="D172">
        <f ca="1"/>
        <v>4.6468937221372686E-2</v>
      </c>
      <c r="E172">
        <f ca="1"/>
        <v>4.6468937221372686E-2</v>
      </c>
      <c r="F172">
        <f ca="1"/>
        <v>4.6468937221372686E-2</v>
      </c>
      <c r="G172">
        <f ca="1"/>
        <v>4.6468937221372686E-2</v>
      </c>
      <c r="H172">
        <f ca="1"/>
        <v>4.6468937221372686E-2</v>
      </c>
      <c r="I172">
        <f ca="1"/>
        <v>4.6468937221372686E-2</v>
      </c>
      <c r="J172" t="e">
        <f ca="1"/>
        <v>#NUM!</v>
      </c>
      <c r="K172" t="e">
        <f ca="1"/>
        <v>#NUM!</v>
      </c>
      <c r="L172" t="e">
        <f ca="1"/>
        <v>#NUM!</v>
      </c>
      <c r="M172" t="e">
        <f ca="1"/>
        <v>#NUM!</v>
      </c>
      <c r="N172" t="e">
        <f ca="1"/>
        <v>#NUM!</v>
      </c>
      <c r="O172" t="e">
        <f ca="1"/>
        <v>#NUM!</v>
      </c>
    </row>
    <row r="173" spans="1:15" x14ac:dyDescent="0.15">
      <c r="A173" s="61">
        <f t="shared" ca="1" si="3"/>
        <v>56527</v>
      </c>
      <c r="C173">
        <f ca="1"/>
        <v>4.6500839016049934E-2</v>
      </c>
      <c r="D173">
        <f ca="1"/>
        <v>4.6500839016058504E-2</v>
      </c>
      <c r="E173">
        <f ca="1"/>
        <v>4.6500839016058504E-2</v>
      </c>
      <c r="F173">
        <f ca="1"/>
        <v>4.6500839016058504E-2</v>
      </c>
      <c r="G173">
        <f ca="1"/>
        <v>4.6500839016058504E-2</v>
      </c>
      <c r="H173">
        <f ca="1"/>
        <v>4.6500839016058504E-2</v>
      </c>
      <c r="I173">
        <f ca="1"/>
        <v>4.6500839016058504E-2</v>
      </c>
      <c r="J173" t="e">
        <f ca="1"/>
        <v>#NUM!</v>
      </c>
      <c r="K173" t="e">
        <f ca="1"/>
        <v>#NUM!</v>
      </c>
      <c r="L173" t="e">
        <f ca="1"/>
        <v>#NUM!</v>
      </c>
      <c r="M173" t="e">
        <f ca="1"/>
        <v>#NUM!</v>
      </c>
      <c r="N173" t="e">
        <f ca="1"/>
        <v>#NUM!</v>
      </c>
      <c r="O173" t="e">
        <f ca="1"/>
        <v>#NUM!</v>
      </c>
    </row>
    <row r="174" spans="1:15" x14ac:dyDescent="0.15">
      <c r="A174" s="61">
        <f t="shared" ca="1" si="3"/>
        <v>56617</v>
      </c>
      <c r="C174">
        <f ca="1"/>
        <v>4.6532373402575419E-2</v>
      </c>
      <c r="D174">
        <f ca="1"/>
        <v>4.6532373402582129E-2</v>
      </c>
      <c r="E174">
        <f ca="1"/>
        <v>4.6532373402582129E-2</v>
      </c>
      <c r="F174">
        <f ca="1"/>
        <v>4.6532373402582129E-2</v>
      </c>
      <c r="G174">
        <f ca="1"/>
        <v>4.6532373402582129E-2</v>
      </c>
      <c r="H174">
        <f ca="1"/>
        <v>4.6532373402582129E-2</v>
      </c>
      <c r="I174">
        <f ca="1"/>
        <v>4.6532373402582129E-2</v>
      </c>
      <c r="J174" t="e">
        <f ca="1"/>
        <v>#NUM!</v>
      </c>
      <c r="K174" t="e">
        <f ca="1"/>
        <v>#NUM!</v>
      </c>
      <c r="L174" t="e">
        <f ca="1"/>
        <v>#NUM!</v>
      </c>
      <c r="M174" t="e">
        <f ca="1"/>
        <v>#NUM!</v>
      </c>
      <c r="N174" t="e">
        <f ca="1"/>
        <v>#NUM!</v>
      </c>
      <c r="O174" t="e">
        <f ca="1"/>
        <v>#NUM!</v>
      </c>
    </row>
    <row r="175" spans="1:15" x14ac:dyDescent="0.15">
      <c r="A175" s="61">
        <f t="shared" ca="1" si="3"/>
        <v>56707</v>
      </c>
      <c r="C175">
        <f ca="1"/>
        <v>4.6564247792810175E-2</v>
      </c>
      <c r="D175">
        <f ca="1"/>
        <v>4.6564247792807614E-2</v>
      </c>
      <c r="E175">
        <f ca="1"/>
        <v>4.6564247792807614E-2</v>
      </c>
      <c r="F175">
        <f ca="1"/>
        <v>4.6564247792807614E-2</v>
      </c>
      <c r="G175">
        <f ca="1"/>
        <v>4.6564247792807614E-2</v>
      </c>
      <c r="H175">
        <f ca="1"/>
        <v>4.6564247792807614E-2</v>
      </c>
      <c r="I175">
        <f ca="1"/>
        <v>4.6564247792807614E-2</v>
      </c>
      <c r="J175" t="e">
        <f ca="1"/>
        <v>#NUM!</v>
      </c>
      <c r="K175" t="e">
        <f ca="1"/>
        <v>#NUM!</v>
      </c>
      <c r="L175" t="e">
        <f ca="1"/>
        <v>#NUM!</v>
      </c>
      <c r="M175" t="e">
        <f ca="1"/>
        <v>#NUM!</v>
      </c>
      <c r="N175" t="e">
        <f ca="1"/>
        <v>#NUM!</v>
      </c>
      <c r="O175" t="e">
        <f ca="1"/>
        <v>#NUM!</v>
      </c>
    </row>
    <row r="176" spans="1:15" x14ac:dyDescent="0.15">
      <c r="A176" s="61">
        <f t="shared" ca="1" si="3"/>
        <v>56797</v>
      </c>
      <c r="C176">
        <f ca="1"/>
        <v>4.6595404038410226E-2</v>
      </c>
      <c r="D176">
        <f ca="1"/>
        <v>4.6595404038428802E-2</v>
      </c>
      <c r="E176">
        <f ca="1"/>
        <v>4.6595404038428802E-2</v>
      </c>
      <c r="F176">
        <f ca="1"/>
        <v>4.6595404038428802E-2</v>
      </c>
      <c r="G176">
        <f ca="1"/>
        <v>4.6595404038428802E-2</v>
      </c>
      <c r="H176">
        <f ca="1"/>
        <v>4.6595404038428802E-2</v>
      </c>
      <c r="I176">
        <f ca="1"/>
        <v>4.6595404038428802E-2</v>
      </c>
      <c r="J176" t="e">
        <f ca="1"/>
        <v>#NUM!</v>
      </c>
      <c r="K176" t="e">
        <f ca="1"/>
        <v>#NUM!</v>
      </c>
      <c r="L176" t="e">
        <f ca="1"/>
        <v>#NUM!</v>
      </c>
      <c r="M176" t="e">
        <f ca="1"/>
        <v>#NUM!</v>
      </c>
      <c r="N176" t="e">
        <f ca="1"/>
        <v>#NUM!</v>
      </c>
      <c r="O176" t="e">
        <f ca="1"/>
        <v>#NUM!</v>
      </c>
    </row>
    <row r="177" spans="1:15" x14ac:dyDescent="0.15">
      <c r="A177" s="61">
        <f t="shared" ca="1" si="3"/>
        <v>56887</v>
      </c>
      <c r="C177">
        <f ca="1"/>
        <v>4.6625859329974012E-2</v>
      </c>
      <c r="D177">
        <f ca="1"/>
        <v>4.662585933006913E-2</v>
      </c>
      <c r="E177">
        <f ca="1"/>
        <v>4.662585933006913E-2</v>
      </c>
      <c r="F177">
        <f ca="1"/>
        <v>4.662585933006913E-2</v>
      </c>
      <c r="G177">
        <f ca="1"/>
        <v>4.662585933006913E-2</v>
      </c>
      <c r="H177">
        <f ca="1"/>
        <v>4.662585933006913E-2</v>
      </c>
      <c r="I177">
        <f ca="1"/>
        <v>4.662585933006913E-2</v>
      </c>
      <c r="J177" t="e">
        <f ca="1"/>
        <v>#NUM!</v>
      </c>
      <c r="K177" t="e">
        <f ca="1"/>
        <v>#NUM!</v>
      </c>
      <c r="L177" t="e">
        <f ca="1"/>
        <v>#NUM!</v>
      </c>
      <c r="M177" t="e">
        <f ca="1"/>
        <v>#NUM!</v>
      </c>
      <c r="N177" t="e">
        <f ca="1"/>
        <v>#NUM!</v>
      </c>
      <c r="O177" t="e">
        <f ca="1"/>
        <v>#NUM!</v>
      </c>
    </row>
    <row r="178" spans="1:15" x14ac:dyDescent="0.15">
      <c r="A178" s="61">
        <f t="shared" ca="1" si="3"/>
        <v>56977</v>
      </c>
      <c r="C178">
        <f ca="1"/>
        <v>4.6656312374659198E-2</v>
      </c>
      <c r="D178">
        <f ca="1"/>
        <v>4.6656312374741847E-2</v>
      </c>
      <c r="E178">
        <f ca="1"/>
        <v>4.6656312374741847E-2</v>
      </c>
      <c r="F178">
        <f ca="1"/>
        <v>4.6656312374741847E-2</v>
      </c>
      <c r="G178">
        <f ca="1"/>
        <v>4.6656312374741847E-2</v>
      </c>
      <c r="H178">
        <f ca="1"/>
        <v>4.6656312374741847E-2</v>
      </c>
      <c r="I178">
        <f ca="1"/>
        <v>4.6656312374741847E-2</v>
      </c>
      <c r="J178" t="e">
        <f ca="1"/>
        <v>#NUM!</v>
      </c>
      <c r="K178" t="e">
        <f ca="1"/>
        <v>#NUM!</v>
      </c>
      <c r="L178" t="e">
        <f ca="1"/>
        <v>#NUM!</v>
      </c>
      <c r="M178" t="e">
        <f ca="1"/>
        <v>#NUM!</v>
      </c>
      <c r="N178" t="e">
        <f ca="1"/>
        <v>#NUM!</v>
      </c>
      <c r="O178" t="e">
        <f ca="1"/>
        <v>#NUM!</v>
      </c>
    </row>
    <row r="179" spans="1:15" x14ac:dyDescent="0.15">
      <c r="A179" s="61">
        <f t="shared" ca="1" si="3"/>
        <v>57067</v>
      </c>
      <c r="C179">
        <f ca="1"/>
        <v>4.6686417367342151E-2</v>
      </c>
      <c r="D179">
        <f ca="1"/>
        <v>4.6686417367349776E-2</v>
      </c>
      <c r="E179">
        <f ca="1"/>
        <v>4.6686417367349776E-2</v>
      </c>
      <c r="F179">
        <f ca="1"/>
        <v>4.6686417367349776E-2</v>
      </c>
      <c r="G179">
        <f ca="1"/>
        <v>4.6686417367349776E-2</v>
      </c>
      <c r="H179">
        <f ca="1"/>
        <v>4.6686417367349776E-2</v>
      </c>
      <c r="I179">
        <f ca="1"/>
        <v>4.6686417367349776E-2</v>
      </c>
      <c r="J179" t="e">
        <f ca="1"/>
        <v>#NUM!</v>
      </c>
      <c r="K179" t="e">
        <f ca="1"/>
        <v>#NUM!</v>
      </c>
      <c r="L179" t="e">
        <f ca="1"/>
        <v>#NUM!</v>
      </c>
      <c r="M179" t="e">
        <f ca="1"/>
        <v>#NUM!</v>
      </c>
      <c r="N179" t="e">
        <f ca="1"/>
        <v>#NUM!</v>
      </c>
      <c r="O179" t="e">
        <f ca="1"/>
        <v>#NUM!</v>
      </c>
    </row>
    <row r="180" spans="1:15" x14ac:dyDescent="0.15">
      <c r="A180" s="61">
        <f t="shared" ca="1" si="3"/>
        <v>57157</v>
      </c>
      <c r="C180">
        <f ca="1"/>
        <v>4.6715852006291671E-2</v>
      </c>
      <c r="D180">
        <f ca="1"/>
        <v>4.6715852006383472E-2</v>
      </c>
      <c r="E180">
        <f ca="1"/>
        <v>4.6715852006383472E-2</v>
      </c>
      <c r="F180">
        <f ca="1"/>
        <v>4.6715852006383472E-2</v>
      </c>
      <c r="G180">
        <f ca="1"/>
        <v>4.6715852006383472E-2</v>
      </c>
      <c r="H180">
        <f ca="1"/>
        <v>4.6715852006383472E-2</v>
      </c>
      <c r="I180">
        <f ca="1"/>
        <v>4.6715852006383472E-2</v>
      </c>
      <c r="J180" t="e">
        <f ca="1"/>
        <v>#NUM!</v>
      </c>
      <c r="K180" t="e">
        <f ca="1"/>
        <v>#NUM!</v>
      </c>
      <c r="L180" t="e">
        <f ca="1"/>
        <v>#NUM!</v>
      </c>
      <c r="M180" t="e">
        <f ca="1"/>
        <v>#NUM!</v>
      </c>
      <c r="N180" t="e">
        <f ca="1"/>
        <v>#NUM!</v>
      </c>
      <c r="O180" t="e">
        <f ca="1"/>
        <v>#NUM!</v>
      </c>
    </row>
    <row r="181" spans="1:15" x14ac:dyDescent="0.15">
      <c r="A181" s="61">
        <f t="shared" ca="1" si="3"/>
        <v>57247</v>
      </c>
      <c r="C181">
        <f ca="1"/>
        <v>4.6744960657001018E-2</v>
      </c>
      <c r="D181">
        <f ca="1"/>
        <v>4.6744960657084902E-2</v>
      </c>
      <c r="E181">
        <f ca="1"/>
        <v>4.6744960657084902E-2</v>
      </c>
      <c r="F181">
        <f ca="1"/>
        <v>4.6744960657084902E-2</v>
      </c>
      <c r="G181">
        <f ca="1"/>
        <v>4.6744960657084902E-2</v>
      </c>
      <c r="H181">
        <f ca="1"/>
        <v>4.6744960657084902E-2</v>
      </c>
      <c r="I181">
        <f ca="1"/>
        <v>4.6744960657084902E-2</v>
      </c>
      <c r="J181" t="e">
        <f ca="1"/>
        <v>#NUM!</v>
      </c>
      <c r="K181" t="e">
        <f ca="1"/>
        <v>#NUM!</v>
      </c>
      <c r="L181" t="e">
        <f ca="1"/>
        <v>#NUM!</v>
      </c>
      <c r="M181" t="e">
        <f ca="1"/>
        <v>#NUM!</v>
      </c>
      <c r="N181" t="e">
        <f ca="1"/>
        <v>#NUM!</v>
      </c>
      <c r="O181" t="e">
        <f ca="1"/>
        <v>#NUM!</v>
      </c>
    </row>
    <row r="182" spans="1:15" x14ac:dyDescent="0.15">
      <c r="A182" s="61">
        <f t="shared" ca="1" si="3"/>
        <v>57337</v>
      </c>
      <c r="C182">
        <f ca="1"/>
        <v>4.6774075371252347E-2</v>
      </c>
      <c r="D182">
        <f ca="1"/>
        <v>4.6774075371171286E-2</v>
      </c>
      <c r="E182">
        <f ca="1"/>
        <v>4.6774075371171286E-2</v>
      </c>
      <c r="F182">
        <f ca="1"/>
        <v>4.6774075371171286E-2</v>
      </c>
      <c r="G182">
        <f ca="1"/>
        <v>4.6774075371171286E-2</v>
      </c>
      <c r="H182">
        <f ca="1"/>
        <v>4.6774075371171286E-2</v>
      </c>
      <c r="I182">
        <f ca="1"/>
        <v>4.6774075371171286E-2</v>
      </c>
      <c r="J182" t="e">
        <f ca="1"/>
        <v>#NUM!</v>
      </c>
      <c r="K182" t="e">
        <f ca="1"/>
        <v>#NUM!</v>
      </c>
      <c r="L182" t="e">
        <f ca="1"/>
        <v>#NUM!</v>
      </c>
      <c r="M182" t="e">
        <f ca="1"/>
        <v>#NUM!</v>
      </c>
      <c r="N182" t="e">
        <f ca="1"/>
        <v>#NUM!</v>
      </c>
      <c r="O182" t="e">
        <f ca="1"/>
        <v>#NUM!</v>
      </c>
    </row>
    <row r="183" spans="1:15" x14ac:dyDescent="0.15">
      <c r="A183" s="61">
        <f t="shared" ca="1" si="3"/>
        <v>57427</v>
      </c>
      <c r="C183">
        <f ca="1"/>
        <v>4.6803184913048933E-2</v>
      </c>
      <c r="D183">
        <f ca="1"/>
        <v>4.6803184913040814E-2</v>
      </c>
      <c r="E183">
        <f ca="1"/>
        <v>4.6803184913040814E-2</v>
      </c>
      <c r="F183">
        <f ca="1"/>
        <v>4.6803184913040814E-2</v>
      </c>
      <c r="G183">
        <f ca="1"/>
        <v>4.6803184913040814E-2</v>
      </c>
      <c r="H183">
        <f ca="1"/>
        <v>4.6803184913040814E-2</v>
      </c>
      <c r="I183">
        <f ca="1"/>
        <v>4.6803184913040814E-2</v>
      </c>
      <c r="J183" t="e">
        <f ca="1"/>
        <v>#NUM!</v>
      </c>
      <c r="K183" t="e">
        <f ca="1"/>
        <v>#NUM!</v>
      </c>
      <c r="L183" t="e">
        <f ca="1"/>
        <v>#NUM!</v>
      </c>
      <c r="M183" t="e">
        <f ca="1"/>
        <v>#NUM!</v>
      </c>
      <c r="N183" t="e">
        <f ca="1"/>
        <v>#NUM!</v>
      </c>
      <c r="O183" t="e">
        <f ca="1"/>
        <v>#NUM!</v>
      </c>
    </row>
    <row r="184" spans="1:15" x14ac:dyDescent="0.15">
      <c r="A184" s="61">
        <f t="shared" ca="1" si="3"/>
        <v>57517</v>
      </c>
      <c r="C184">
        <f ca="1"/>
        <v>4.6831335871788206E-2</v>
      </c>
      <c r="D184">
        <f ca="1"/>
        <v>4.6831335871700297E-2</v>
      </c>
      <c r="E184">
        <f ca="1"/>
        <v>4.6831335871700297E-2</v>
      </c>
      <c r="F184">
        <f ca="1"/>
        <v>4.6831335871700297E-2</v>
      </c>
      <c r="G184">
        <f ca="1"/>
        <v>4.6831335871700297E-2</v>
      </c>
      <c r="H184">
        <f ca="1"/>
        <v>4.6831335871700297E-2</v>
      </c>
      <c r="I184">
        <f ca="1"/>
        <v>4.6831335871700297E-2</v>
      </c>
      <c r="J184" t="e">
        <f ca="1"/>
        <v>#NUM!</v>
      </c>
      <c r="K184" t="e">
        <f ca="1"/>
        <v>#NUM!</v>
      </c>
      <c r="L184" t="e">
        <f ca="1"/>
        <v>#NUM!</v>
      </c>
      <c r="M184" t="e">
        <f ca="1"/>
        <v>#NUM!</v>
      </c>
      <c r="N184" t="e">
        <f ca="1"/>
        <v>#NUM!</v>
      </c>
      <c r="O184" t="e">
        <f ca="1"/>
        <v>#NUM!</v>
      </c>
    </row>
    <row r="185" spans="1:15" x14ac:dyDescent="0.15">
      <c r="A185" s="61">
        <f t="shared" ca="1" si="3"/>
        <v>57607</v>
      </c>
      <c r="C185">
        <f ca="1"/>
        <v>4.685918179473561E-2</v>
      </c>
      <c r="D185">
        <f ca="1"/>
        <v>4.6859181794828085E-2</v>
      </c>
      <c r="E185">
        <f ca="1"/>
        <v>4.6859181794828085E-2</v>
      </c>
      <c r="F185">
        <f ca="1"/>
        <v>4.6859181794828085E-2</v>
      </c>
      <c r="G185">
        <f ca="1"/>
        <v>4.6859181794828085E-2</v>
      </c>
      <c r="H185">
        <f ca="1"/>
        <v>4.6859181794828085E-2</v>
      </c>
      <c r="I185">
        <f ca="1"/>
        <v>4.6859181794828085E-2</v>
      </c>
      <c r="J185" t="e">
        <f ca="1"/>
        <v>#NUM!</v>
      </c>
      <c r="K185" t="e">
        <f ca="1"/>
        <v>#NUM!</v>
      </c>
      <c r="L185" t="e">
        <f ca="1"/>
        <v>#NUM!</v>
      </c>
      <c r="M185" t="e">
        <f ca="1"/>
        <v>#NUM!</v>
      </c>
      <c r="N185" t="e">
        <f ca="1"/>
        <v>#NUM!</v>
      </c>
      <c r="O185" t="e">
        <f ca="1"/>
        <v>#NUM!</v>
      </c>
    </row>
    <row r="186" spans="1:15" x14ac:dyDescent="0.15">
      <c r="A186" s="61">
        <f t="shared" ca="1" si="3"/>
        <v>57697</v>
      </c>
      <c r="C186">
        <f ca="1"/>
        <v>4.6887040662897221E-2</v>
      </c>
      <c r="D186">
        <f ca="1"/>
        <v>4.6887040662907171E-2</v>
      </c>
      <c r="E186">
        <f ca="1"/>
        <v>4.6887040662907171E-2</v>
      </c>
      <c r="F186">
        <f ca="1"/>
        <v>4.6887040662907171E-2</v>
      </c>
      <c r="G186">
        <f ca="1"/>
        <v>4.6887040662907171E-2</v>
      </c>
      <c r="H186">
        <f ca="1"/>
        <v>4.6887040662907171E-2</v>
      </c>
      <c r="I186">
        <f ca="1"/>
        <v>4.6887040662907171E-2</v>
      </c>
      <c r="J186" t="e">
        <f ca="1"/>
        <v>#NUM!</v>
      </c>
      <c r="K186" t="e">
        <f ca="1"/>
        <v>#NUM!</v>
      </c>
      <c r="L186" t="e">
        <f ca="1"/>
        <v>#NUM!</v>
      </c>
      <c r="M186" t="e">
        <f ca="1"/>
        <v>#NUM!</v>
      </c>
      <c r="N186" t="e">
        <f ca="1"/>
        <v>#NUM!</v>
      </c>
      <c r="O186" t="e">
        <f ca="1"/>
        <v>#NUM!</v>
      </c>
    </row>
    <row r="187" spans="1:15" x14ac:dyDescent="0.15">
      <c r="A187" s="61">
        <f t="shared" ca="1" si="3"/>
        <v>57787</v>
      </c>
      <c r="C187">
        <f ca="1"/>
        <v>4.6914900998971838E-2</v>
      </c>
      <c r="D187">
        <f ca="1"/>
        <v>4.691490099905974E-2</v>
      </c>
      <c r="E187">
        <f ca="1"/>
        <v>4.691490099905974E-2</v>
      </c>
      <c r="F187">
        <f ca="1"/>
        <v>4.691490099905974E-2</v>
      </c>
      <c r="G187">
        <f ca="1"/>
        <v>4.691490099905974E-2</v>
      </c>
      <c r="H187">
        <f ca="1"/>
        <v>4.691490099905974E-2</v>
      </c>
      <c r="I187">
        <f ca="1"/>
        <v>4.691490099905974E-2</v>
      </c>
      <c r="J187" t="e">
        <f ca="1"/>
        <v>#NUM!</v>
      </c>
      <c r="K187" t="e">
        <f ca="1"/>
        <v>#NUM!</v>
      </c>
      <c r="L187" t="e">
        <f ca="1"/>
        <v>#NUM!</v>
      </c>
      <c r="M187" t="e">
        <f ca="1"/>
        <v>#NUM!</v>
      </c>
      <c r="N187" t="e">
        <f ca="1"/>
        <v>#NUM!</v>
      </c>
      <c r="O187" t="e">
        <f ca="1"/>
        <v>#NUM!</v>
      </c>
    </row>
    <row r="188" spans="1:15" x14ac:dyDescent="0.15">
      <c r="A188" s="61">
        <f t="shared" ca="1" si="3"/>
        <v>57877</v>
      </c>
      <c r="C188">
        <f ca="1"/>
        <v>4.6941850437517217E-2</v>
      </c>
      <c r="D188">
        <f ca="1"/>
        <v>4.6941850437613925E-2</v>
      </c>
      <c r="E188">
        <f ca="1"/>
        <v>4.6941850437613925E-2</v>
      </c>
      <c r="F188">
        <f ca="1"/>
        <v>4.6941850437613925E-2</v>
      </c>
      <c r="G188">
        <f ca="1"/>
        <v>4.6941850437613925E-2</v>
      </c>
      <c r="H188">
        <f ca="1"/>
        <v>4.6941850437613925E-2</v>
      </c>
      <c r="I188">
        <f ca="1"/>
        <v>4.6941850437613925E-2</v>
      </c>
      <c r="J188" t="e">
        <f ca="1"/>
        <v>#NUM!</v>
      </c>
      <c r="K188" t="e">
        <f ca="1"/>
        <v>#NUM!</v>
      </c>
      <c r="L188" t="e">
        <f ca="1"/>
        <v>#NUM!</v>
      </c>
      <c r="M188" t="e">
        <f ca="1"/>
        <v>#NUM!</v>
      </c>
      <c r="N188" t="e">
        <f ca="1"/>
        <v>#NUM!</v>
      </c>
      <c r="O188" t="e">
        <f ca="1"/>
        <v>#NUM!</v>
      </c>
    </row>
    <row r="189" spans="1:15" x14ac:dyDescent="0.15">
      <c r="A189" s="61">
        <f t="shared" ca="1" si="3"/>
        <v>57967</v>
      </c>
      <c r="C189">
        <f ca="1"/>
        <v>4.696851414093204E-2</v>
      </c>
      <c r="D189">
        <f ca="1"/>
        <v>4.6968514140844908E-2</v>
      </c>
      <c r="E189">
        <f ca="1"/>
        <v>4.6968514140844908E-2</v>
      </c>
      <c r="F189">
        <f ca="1"/>
        <v>4.6968514140844908E-2</v>
      </c>
      <c r="G189">
        <f ca="1"/>
        <v>4.6968514140844908E-2</v>
      </c>
      <c r="H189">
        <f ca="1"/>
        <v>4.6968514140844908E-2</v>
      </c>
      <c r="I189">
        <f ca="1"/>
        <v>4.6968514140844908E-2</v>
      </c>
      <c r="J189" t="e">
        <f ca="1"/>
        <v>#NUM!</v>
      </c>
      <c r="K189" t="e">
        <f ca="1"/>
        <v>#NUM!</v>
      </c>
      <c r="L189" t="e">
        <f ca="1"/>
        <v>#NUM!</v>
      </c>
      <c r="M189" t="e">
        <f ca="1"/>
        <v>#NUM!</v>
      </c>
      <c r="N189" t="e">
        <f ca="1"/>
        <v>#NUM!</v>
      </c>
      <c r="O189" t="e">
        <f ca="1"/>
        <v>#NUM!</v>
      </c>
    </row>
    <row r="190" spans="1:15" x14ac:dyDescent="0.15">
      <c r="A190" s="61">
        <f t="shared" ca="1" si="3"/>
        <v>58057</v>
      </c>
      <c r="C190">
        <f ca="1"/>
        <v>4.6995196424793141E-2</v>
      </c>
      <c r="D190">
        <f ca="1"/>
        <v>4.6995196424795042E-2</v>
      </c>
      <c r="E190">
        <f ca="1"/>
        <v>4.6995196424795042E-2</v>
      </c>
      <c r="F190">
        <f ca="1"/>
        <v>4.6995196424795042E-2</v>
      </c>
      <c r="G190">
        <f ca="1"/>
        <v>4.6995196424795042E-2</v>
      </c>
      <c r="H190">
        <f ca="1"/>
        <v>4.6995196424795042E-2</v>
      </c>
      <c r="I190">
        <f ca="1"/>
        <v>4.6995196424795042E-2</v>
      </c>
      <c r="J190" t="e">
        <f ca="1"/>
        <v>#NUM!</v>
      </c>
      <c r="K190" t="e">
        <f ca="1"/>
        <v>#NUM!</v>
      </c>
      <c r="L190" t="e">
        <f ca="1"/>
        <v>#NUM!</v>
      </c>
      <c r="M190" t="e">
        <f ca="1"/>
        <v>#NUM!</v>
      </c>
      <c r="N190" t="e">
        <f ca="1"/>
        <v>#NUM!</v>
      </c>
      <c r="O190" t="e">
        <f ca="1"/>
        <v>#NUM!</v>
      </c>
    </row>
    <row r="191" spans="1:15" x14ac:dyDescent="0.15">
      <c r="A191" s="61">
        <f t="shared" ca="1" si="3"/>
        <v>58147</v>
      </c>
      <c r="C191">
        <f ca="1"/>
        <v>4.702188655659427E-2</v>
      </c>
      <c r="D191">
        <f ca="1"/>
        <v>4.7021886556497763E-2</v>
      </c>
      <c r="E191">
        <f ca="1"/>
        <v>4.7021886556497763E-2</v>
      </c>
      <c r="F191">
        <f ca="1"/>
        <v>4.7021886556497763E-2</v>
      </c>
      <c r="G191">
        <f ca="1"/>
        <v>4.7021886556497763E-2</v>
      </c>
      <c r="H191">
        <f ca="1"/>
        <v>4.7021886556497763E-2</v>
      </c>
      <c r="I191">
        <f ca="1"/>
        <v>4.7021886556497763E-2</v>
      </c>
      <c r="J191" t="e">
        <f ca="1"/>
        <v>#NUM!</v>
      </c>
      <c r="K191" t="e">
        <f ca="1"/>
        <v>#NUM!</v>
      </c>
      <c r="L191" t="e">
        <f ca="1"/>
        <v>#NUM!</v>
      </c>
      <c r="M191" t="e">
        <f ca="1"/>
        <v>#NUM!</v>
      </c>
      <c r="N191" t="e">
        <f ca="1"/>
        <v>#NUM!</v>
      </c>
      <c r="O191" t="e">
        <f ca="1"/>
        <v>#NUM!</v>
      </c>
    </row>
    <row r="192" spans="1:15" x14ac:dyDescent="0.15">
      <c r="A192" s="61">
        <f t="shared" ca="1" si="3"/>
        <v>58237</v>
      </c>
      <c r="C192">
        <f ca="1"/>
        <v>4.7047709691871907E-2</v>
      </c>
      <c r="D192">
        <f ca="1"/>
        <v>4.7047709691862005E-2</v>
      </c>
      <c r="E192">
        <f ca="1"/>
        <v>4.7047709691862005E-2</v>
      </c>
      <c r="F192">
        <f ca="1"/>
        <v>4.7047709691862005E-2</v>
      </c>
      <c r="G192">
        <f ca="1"/>
        <v>4.7047709691862005E-2</v>
      </c>
      <c r="H192">
        <f ca="1"/>
        <v>4.7047709691862005E-2</v>
      </c>
      <c r="I192">
        <f ca="1"/>
        <v>4.7047709691862005E-2</v>
      </c>
      <c r="J192" t="e">
        <f ca="1"/>
        <v>#NUM!</v>
      </c>
      <c r="K192" t="e">
        <f ca="1"/>
        <v>#NUM!</v>
      </c>
      <c r="L192" t="e">
        <f ca="1"/>
        <v>#NUM!</v>
      </c>
      <c r="M192" t="e">
        <f ca="1"/>
        <v>#NUM!</v>
      </c>
      <c r="N192" t="e">
        <f ca="1"/>
        <v>#NUM!</v>
      </c>
      <c r="O192" t="e">
        <f ca="1"/>
        <v>#NUM!</v>
      </c>
    </row>
    <row r="193" spans="1:15" x14ac:dyDescent="0.15">
      <c r="A193" s="61">
        <f t="shared" ca="1" si="3"/>
        <v>58327</v>
      </c>
      <c r="C193">
        <f ca="1"/>
        <v>4.7073264891655919E-2</v>
      </c>
      <c r="D193">
        <f ca="1"/>
        <v>4.7073264891743474E-2</v>
      </c>
      <c r="E193">
        <f ca="1"/>
        <v>4.7073264891743474E-2</v>
      </c>
      <c r="F193">
        <f ca="1"/>
        <v>4.7073264891743474E-2</v>
      </c>
      <c r="G193">
        <f ca="1"/>
        <v>4.7073264891743474E-2</v>
      </c>
      <c r="H193">
        <f ca="1"/>
        <v>4.7073264891743474E-2</v>
      </c>
      <c r="I193">
        <f ca="1"/>
        <v>4.7073264891743474E-2</v>
      </c>
      <c r="J193" t="e">
        <f ca="1"/>
        <v>#NUM!</v>
      </c>
      <c r="K193" t="e">
        <f ca="1"/>
        <v>#NUM!</v>
      </c>
      <c r="L193" t="e">
        <f ca="1"/>
        <v>#NUM!</v>
      </c>
      <c r="M193" t="e">
        <f ca="1"/>
        <v>#NUM!</v>
      </c>
      <c r="N193" t="e">
        <f ca="1"/>
        <v>#NUM!</v>
      </c>
      <c r="O193" t="e">
        <f ca="1"/>
        <v>#NUM!</v>
      </c>
    </row>
    <row r="194" spans="1:15" x14ac:dyDescent="0.15">
      <c r="A194" s="61">
        <f t="shared" ca="1" si="3"/>
        <v>58417</v>
      </c>
      <c r="C194">
        <f ca="1"/>
        <v>4.709884357733115E-2</v>
      </c>
      <c r="D194">
        <f ca="1"/>
        <v>4.7098843577436877E-2</v>
      </c>
      <c r="E194">
        <f ca="1"/>
        <v>4.7098843577436877E-2</v>
      </c>
      <c r="F194">
        <f ca="1"/>
        <v>4.7098843577436877E-2</v>
      </c>
      <c r="G194">
        <f ca="1"/>
        <v>4.7098843577436877E-2</v>
      </c>
      <c r="H194">
        <f ca="1"/>
        <v>4.7098843577436877E-2</v>
      </c>
      <c r="I194">
        <f ca="1"/>
        <v>4.7098843577436877E-2</v>
      </c>
      <c r="J194" t="e">
        <f ca="1"/>
        <v>#NUM!</v>
      </c>
      <c r="K194" t="e">
        <f ca="1"/>
        <v>#NUM!</v>
      </c>
      <c r="L194" t="e">
        <f ca="1"/>
        <v>#NUM!</v>
      </c>
      <c r="M194" t="e">
        <f ca="1"/>
        <v>#NUM!</v>
      </c>
      <c r="N194" t="e">
        <f ca="1"/>
        <v>#NUM!</v>
      </c>
      <c r="O194" t="e">
        <f ca="1"/>
        <v>#NUM!</v>
      </c>
    </row>
    <row r="195" spans="1:15" x14ac:dyDescent="0.15">
      <c r="A195" s="61">
        <f t="shared" ca="1" si="3"/>
        <v>58507</v>
      </c>
      <c r="C195">
        <f ca="1"/>
        <v>4.7124152860467679E-2</v>
      </c>
      <c r="D195">
        <f ca="1"/>
        <v>4.7124152860478268E-2</v>
      </c>
      <c r="E195">
        <f ca="1"/>
        <v>4.7124152860478268E-2</v>
      </c>
      <c r="F195">
        <f ca="1"/>
        <v>4.7124152860478268E-2</v>
      </c>
      <c r="G195">
        <f ca="1"/>
        <v>4.7124152860478268E-2</v>
      </c>
      <c r="H195">
        <f ca="1"/>
        <v>4.7124152860478268E-2</v>
      </c>
      <c r="I195">
        <f ca="1"/>
        <v>4.7124152860478268E-2</v>
      </c>
      <c r="J195" t="e">
        <f ca="1"/>
        <v>#NUM!</v>
      </c>
      <c r="K195" t="e">
        <f ca="1"/>
        <v>#NUM!</v>
      </c>
      <c r="L195" t="e">
        <f ca="1"/>
        <v>#NUM!</v>
      </c>
      <c r="M195" t="e">
        <f ca="1"/>
        <v>#NUM!</v>
      </c>
      <c r="N195" t="e">
        <f ca="1"/>
        <v>#NUM!</v>
      </c>
      <c r="O195" t="e">
        <f ca="1"/>
        <v>#NUM!</v>
      </c>
    </row>
    <row r="196" spans="1:15" x14ac:dyDescent="0.15">
      <c r="A196" s="61">
        <f t="shared" ca="1" si="3"/>
        <v>58597</v>
      </c>
      <c r="C196">
        <f ca="1"/>
        <v>4.7148921696820528E-2</v>
      </c>
      <c r="D196">
        <f ca="1"/>
        <v>4.7148921696901332E-2</v>
      </c>
      <c r="E196">
        <f ca="1"/>
        <v>4.7148921696901332E-2</v>
      </c>
      <c r="F196">
        <f ca="1"/>
        <v>4.7148921696901332E-2</v>
      </c>
      <c r="G196">
        <f ca="1"/>
        <v>4.7148921696901332E-2</v>
      </c>
      <c r="H196">
        <f ca="1"/>
        <v>4.7148921696901332E-2</v>
      </c>
      <c r="I196">
        <f ca="1"/>
        <v>4.7148921696901332E-2</v>
      </c>
      <c r="J196" t="e">
        <f ca="1"/>
        <v>#NUM!</v>
      </c>
      <c r="K196" t="e">
        <f ca="1"/>
        <v>#NUM!</v>
      </c>
      <c r="L196" t="e">
        <f ca="1"/>
        <v>#NUM!</v>
      </c>
      <c r="M196" t="e">
        <f ca="1"/>
        <v>#NUM!</v>
      </c>
      <c r="N196" t="e">
        <f ca="1"/>
        <v>#NUM!</v>
      </c>
      <c r="O196" t="e">
        <f ca="1"/>
        <v>#NUM!</v>
      </c>
    </row>
    <row r="197" spans="1:15" x14ac:dyDescent="0.15">
      <c r="A197" s="61">
        <f t="shared" ca="1" si="3"/>
        <v>58687</v>
      </c>
      <c r="C197">
        <f ca="1"/>
        <v>4.7173438967871115E-2</v>
      </c>
      <c r="D197">
        <f ca="1"/>
        <v>4.7173438967888275E-2</v>
      </c>
      <c r="E197">
        <f ca="1"/>
        <v>4.7173438967888275E-2</v>
      </c>
      <c r="F197">
        <f ca="1"/>
        <v>4.7173438967888275E-2</v>
      </c>
      <c r="G197">
        <f ca="1"/>
        <v>4.7173438967888275E-2</v>
      </c>
      <c r="H197">
        <f ca="1"/>
        <v>4.7173438967888275E-2</v>
      </c>
      <c r="I197">
        <f ca="1"/>
        <v>4.7173438967888275E-2</v>
      </c>
      <c r="J197" t="e">
        <f ca="1"/>
        <v>#NUM!</v>
      </c>
      <c r="K197" t="e">
        <f ca="1"/>
        <v>#NUM!</v>
      </c>
      <c r="L197" t="e">
        <f ca="1"/>
        <v>#NUM!</v>
      </c>
      <c r="M197" t="e">
        <f ca="1"/>
        <v>#NUM!</v>
      </c>
      <c r="N197" t="e">
        <f ca="1"/>
        <v>#NUM!</v>
      </c>
      <c r="O197" t="e">
        <f ca="1"/>
        <v>#NUM!</v>
      </c>
    </row>
    <row r="198" spans="1:15" x14ac:dyDescent="0.15">
      <c r="A198" s="61">
        <f t="shared" ca="1" si="3"/>
        <v>58777</v>
      </c>
      <c r="C198">
        <f ca="1"/>
        <v>4.7197984295816411E-2</v>
      </c>
      <c r="D198">
        <f ca="1"/>
        <v>4.7197984295898505E-2</v>
      </c>
      <c r="E198">
        <f ca="1"/>
        <v>4.7197984295898505E-2</v>
      </c>
      <c r="F198">
        <f ca="1"/>
        <v>4.7197984295898505E-2</v>
      </c>
      <c r="G198">
        <f ca="1"/>
        <v>4.7197984295898505E-2</v>
      </c>
      <c r="H198">
        <f ca="1"/>
        <v>4.7197984295898505E-2</v>
      </c>
      <c r="I198">
        <f ca="1"/>
        <v>4.7197984295898505E-2</v>
      </c>
      <c r="J198" t="e">
        <f ca="1"/>
        <v>#NUM!</v>
      </c>
      <c r="K198" t="e">
        <f ca="1"/>
        <v>#NUM!</v>
      </c>
      <c r="L198" t="e">
        <f ca="1"/>
        <v>#NUM!</v>
      </c>
      <c r="M198" t="e">
        <f ca="1"/>
        <v>#NUM!</v>
      </c>
      <c r="N198" t="e">
        <f ca="1"/>
        <v>#NUM!</v>
      </c>
      <c r="O198" t="e">
        <f ca="1"/>
        <v>#NUM!</v>
      </c>
    </row>
    <row r="199" spans="1:15" x14ac:dyDescent="0.15">
      <c r="A199" s="61">
        <f t="shared" ca="1" si="3"/>
        <v>58867</v>
      </c>
      <c r="C199">
        <f ca="1"/>
        <v>4.7222547532728663E-2</v>
      </c>
      <c r="D199">
        <f ca="1"/>
        <v>4.7222547532829E-2</v>
      </c>
      <c r="E199">
        <f ca="1"/>
        <v>4.7222547532829E-2</v>
      </c>
      <c r="F199">
        <f ca="1"/>
        <v>4.7222547532829E-2</v>
      </c>
      <c r="G199">
        <f ca="1"/>
        <v>4.7222547532829E-2</v>
      </c>
      <c r="H199">
        <f ca="1"/>
        <v>4.7222547532829E-2</v>
      </c>
      <c r="I199">
        <f ca="1"/>
        <v>4.7222547532829E-2</v>
      </c>
      <c r="J199" t="e">
        <f ca="1"/>
        <v>#NUM!</v>
      </c>
      <c r="K199" t="e">
        <f ca="1"/>
        <v>#NUM!</v>
      </c>
      <c r="L199" t="e">
        <f ca="1"/>
        <v>#NUM!</v>
      </c>
      <c r="M199" t="e">
        <f ca="1"/>
        <v>#NUM!</v>
      </c>
      <c r="N199" t="e">
        <f ca="1"/>
        <v>#NUM!</v>
      </c>
      <c r="O199" t="e">
        <f ca="1"/>
        <v>#NUM!</v>
      </c>
    </row>
    <row r="200" spans="1:15" x14ac:dyDescent="0.15">
      <c r="A200" s="61">
        <f t="shared" ca="1" si="3"/>
        <v>58957</v>
      </c>
      <c r="C200">
        <f ca="1"/>
        <v>4.7246591292533578E-2</v>
      </c>
      <c r="D200">
        <f ca="1"/>
        <v>4.7246591292470767E-2</v>
      </c>
      <c r="E200">
        <f ca="1"/>
        <v>4.7246591292470767E-2</v>
      </c>
      <c r="F200">
        <f ca="1"/>
        <v>4.7246591292470767E-2</v>
      </c>
      <c r="G200">
        <f ca="1"/>
        <v>4.7246591292470767E-2</v>
      </c>
      <c r="H200">
        <f ca="1"/>
        <v>4.7246591292470767E-2</v>
      </c>
      <c r="I200">
        <f ca="1"/>
        <v>4.7246591292470767E-2</v>
      </c>
      <c r="J200" t="e">
        <f ca="1"/>
        <v>#NUM!</v>
      </c>
      <c r="K200" t="e">
        <f ca="1"/>
        <v>#NUM!</v>
      </c>
      <c r="L200" t="e">
        <f ca="1"/>
        <v>#NUM!</v>
      </c>
      <c r="M200" t="e">
        <f ca="1"/>
        <v>#NUM!</v>
      </c>
      <c r="N200" t="e">
        <f ca="1"/>
        <v>#NUM!</v>
      </c>
      <c r="O200" t="e">
        <f ca="1"/>
        <v>#NUM!</v>
      </c>
    </row>
    <row r="201" spans="1:15" x14ac:dyDescent="0.15">
      <c r="A201" s="61">
        <f t="shared" ca="1" si="3"/>
        <v>59047</v>
      </c>
      <c r="C201">
        <f ca="1"/>
        <v>4.7270127244700907E-2</v>
      </c>
      <c r="D201">
        <f ca="1"/>
        <v>4.7270127244828958E-2</v>
      </c>
      <c r="E201">
        <f ca="1"/>
        <v>4.7270127244828958E-2</v>
      </c>
      <c r="F201">
        <f ca="1"/>
        <v>4.7270127244828958E-2</v>
      </c>
      <c r="G201">
        <f ca="1"/>
        <v>4.7270127244828958E-2</v>
      </c>
      <c r="H201">
        <f ca="1"/>
        <v>4.7270127244828958E-2</v>
      </c>
      <c r="I201">
        <f ca="1"/>
        <v>4.7270127244828958E-2</v>
      </c>
      <c r="J201" t="e">
        <f ca="1"/>
        <v>#NUM!</v>
      </c>
      <c r="K201" t="e">
        <f ca="1"/>
        <v>#NUM!</v>
      </c>
      <c r="L201" t="e">
        <f ca="1"/>
        <v>#NUM!</v>
      </c>
      <c r="M201" t="e">
        <f ca="1"/>
        <v>#NUM!</v>
      </c>
      <c r="N201" t="e">
        <f ca="1"/>
        <v>#NUM!</v>
      </c>
      <c r="O201" t="e">
        <f ca="1"/>
        <v>#NUM!</v>
      </c>
    </row>
    <row r="202" spans="1:15" x14ac:dyDescent="0.15">
      <c r="A202" s="61">
        <f t="shared" ca="1" si="3"/>
        <v>59137</v>
      </c>
      <c r="C202">
        <f ca="1"/>
        <v>4.7293431457868677E-2</v>
      </c>
      <c r="D202">
        <f ca="1"/>
        <v>4.7293431457999302E-2</v>
      </c>
      <c r="E202">
        <f ca="1"/>
        <v>4.7293431457999302E-2</v>
      </c>
      <c r="F202">
        <f ca="1"/>
        <v>4.7293431457999302E-2</v>
      </c>
      <c r="G202">
        <f ca="1"/>
        <v>4.7293431457999302E-2</v>
      </c>
      <c r="H202">
        <f ca="1"/>
        <v>4.7293431457999302E-2</v>
      </c>
      <c r="I202">
        <f ca="1"/>
        <v>4.7293431457999302E-2</v>
      </c>
      <c r="J202" t="e">
        <f ca="1"/>
        <v>#NUM!</v>
      </c>
      <c r="K202" t="e">
        <f ca="1"/>
        <v>#NUM!</v>
      </c>
      <c r="L202" t="e">
        <f ca="1"/>
        <v>#NUM!</v>
      </c>
      <c r="M202" t="e">
        <f ca="1"/>
        <v>#NUM!</v>
      </c>
      <c r="N202" t="e">
        <f ca="1"/>
        <v>#NUM!</v>
      </c>
      <c r="O202" t="e">
        <f ca="1"/>
        <v>#NUM!</v>
      </c>
    </row>
    <row r="203" spans="1:15" x14ac:dyDescent="0.15">
      <c r="A203" s="61">
        <f t="shared" ca="1" si="3"/>
        <v>59227</v>
      </c>
      <c r="C203">
        <f ca="1"/>
        <v>4.7316502510003876E-2</v>
      </c>
      <c r="D203">
        <f ca="1"/>
        <v>4.7316502510028481E-2</v>
      </c>
      <c r="E203">
        <f ca="1"/>
        <v>4.7316502510028481E-2</v>
      </c>
      <c r="F203">
        <f ca="1"/>
        <v>4.7316502510028481E-2</v>
      </c>
      <c r="G203">
        <f ca="1"/>
        <v>4.7316502510028481E-2</v>
      </c>
      <c r="H203">
        <f ca="1"/>
        <v>4.7316502510028481E-2</v>
      </c>
      <c r="I203">
        <f ca="1"/>
        <v>4.7316502510028481E-2</v>
      </c>
      <c r="J203" t="e">
        <f ca="1"/>
        <v>#NUM!</v>
      </c>
      <c r="K203" t="e">
        <f ca="1"/>
        <v>#NUM!</v>
      </c>
      <c r="L203" t="e">
        <f ca="1"/>
        <v>#NUM!</v>
      </c>
      <c r="M203" t="e">
        <f ca="1"/>
        <v>#NUM!</v>
      </c>
      <c r="N203" t="e">
        <f ca="1"/>
        <v>#NUM!</v>
      </c>
      <c r="O203" t="e">
        <f ca="1"/>
        <v>#NUM!</v>
      </c>
    </row>
    <row r="204" spans="1:15" x14ac:dyDescent="0.15">
      <c r="A204" s="61">
        <f t="shared" ca="1" si="3"/>
        <v>59317</v>
      </c>
      <c r="C204">
        <f ca="1"/>
        <v>4.7340122248662325E-2</v>
      </c>
      <c r="D204">
        <f ca="1"/>
        <v>4.7340122248659557E-2</v>
      </c>
      <c r="E204">
        <f ca="1"/>
        <v>4.7340122248659557E-2</v>
      </c>
      <c r="F204">
        <f ca="1"/>
        <v>4.7340122248659557E-2</v>
      </c>
      <c r="G204">
        <f ca="1"/>
        <v>4.7340122248659557E-2</v>
      </c>
      <c r="H204">
        <f ca="1"/>
        <v>4.7340122248659557E-2</v>
      </c>
      <c r="I204">
        <f ca="1"/>
        <v>4.7340122248659557E-2</v>
      </c>
      <c r="J204" t="e">
        <f ca="1"/>
        <v>#NUM!</v>
      </c>
      <c r="K204" t="e">
        <f ca="1"/>
        <v>#NUM!</v>
      </c>
      <c r="L204" t="e">
        <f ca="1"/>
        <v>#NUM!</v>
      </c>
      <c r="M204" t="e">
        <f ca="1"/>
        <v>#NUM!</v>
      </c>
      <c r="N204" t="e">
        <f ca="1"/>
        <v>#NUM!</v>
      </c>
      <c r="O204" t="e">
        <f ca="1"/>
        <v>#NUM!</v>
      </c>
    </row>
    <row r="205" spans="1:15" x14ac:dyDescent="0.15">
      <c r="A205" s="61">
        <f t="shared" ca="1" si="3"/>
        <v>59407</v>
      </c>
      <c r="C205">
        <f ca="1"/>
        <v>4.7362737156105221E-2</v>
      </c>
      <c r="D205">
        <f ca="1"/>
        <v>4.7362737156021378E-2</v>
      </c>
      <c r="E205">
        <f ca="1"/>
        <v>4.7362737156021378E-2</v>
      </c>
      <c r="F205">
        <f ca="1"/>
        <v>4.7362737156021378E-2</v>
      </c>
      <c r="G205">
        <f ca="1"/>
        <v>4.7362737156021378E-2</v>
      </c>
      <c r="H205">
        <f ca="1"/>
        <v>4.7362737156021378E-2</v>
      </c>
      <c r="I205">
        <f ca="1"/>
        <v>4.7362737156021378E-2</v>
      </c>
      <c r="J205" t="e">
        <f ca="1"/>
        <v>#NUM!</v>
      </c>
      <c r="K205" t="e">
        <f ca="1"/>
        <v>#NUM!</v>
      </c>
      <c r="L205" t="e">
        <f ca="1"/>
        <v>#NUM!</v>
      </c>
      <c r="M205" t="e">
        <f ca="1"/>
        <v>#NUM!</v>
      </c>
      <c r="N205" t="e">
        <f ca="1"/>
        <v>#NUM!</v>
      </c>
      <c r="O205" t="e">
        <f ca="1"/>
        <v>#NUM!</v>
      </c>
    </row>
    <row r="206" spans="1:15" x14ac:dyDescent="0.15">
      <c r="A206" s="61">
        <f t="shared" ca="1" si="3"/>
        <v>59497</v>
      </c>
      <c r="C206">
        <f ca="1"/>
        <v>4.738513372973191E-2</v>
      </c>
      <c r="D206">
        <f ca="1"/>
        <v>4.7385133729763378E-2</v>
      </c>
      <c r="E206">
        <f ca="1"/>
        <v>4.7385133729763378E-2</v>
      </c>
      <c r="F206">
        <f ca="1"/>
        <v>4.7385133729763378E-2</v>
      </c>
      <c r="G206">
        <f ca="1"/>
        <v>4.7385133729763378E-2</v>
      </c>
      <c r="H206">
        <f ca="1"/>
        <v>4.7385133729763378E-2</v>
      </c>
      <c r="I206">
        <f ca="1"/>
        <v>4.7385133729763378E-2</v>
      </c>
      <c r="J206" t="e">
        <f ca="1"/>
        <v>#NUM!</v>
      </c>
      <c r="K206" t="e">
        <f ca="1"/>
        <v>#NUM!</v>
      </c>
      <c r="L206" t="e">
        <f ca="1"/>
        <v>#NUM!</v>
      </c>
      <c r="M206" t="e">
        <f ca="1"/>
        <v>#NUM!</v>
      </c>
      <c r="N206" t="e">
        <f ca="1"/>
        <v>#NUM!</v>
      </c>
      <c r="O206" t="e">
        <f ca="1"/>
        <v>#NUM!</v>
      </c>
    </row>
    <row r="207" spans="1:15" x14ac:dyDescent="0.15">
      <c r="A207" s="61">
        <f t="shared" ca="1" si="3"/>
        <v>59587</v>
      </c>
      <c r="C207">
        <f ca="1"/>
        <v>4.7407310860227002E-2</v>
      </c>
      <c r="D207">
        <f ca="1"/>
        <v>4.7407310860328698E-2</v>
      </c>
      <c r="E207">
        <f ca="1"/>
        <v>4.7407310860328698E-2</v>
      </c>
      <c r="F207">
        <f ca="1"/>
        <v>4.7407310860328698E-2</v>
      </c>
      <c r="G207">
        <f ca="1"/>
        <v>4.7407310860328698E-2</v>
      </c>
      <c r="H207">
        <f ca="1"/>
        <v>4.7407310860328698E-2</v>
      </c>
      <c r="I207">
        <f ca="1"/>
        <v>4.7407310860328698E-2</v>
      </c>
      <c r="J207" t="e">
        <f ca="1"/>
        <v>#NUM!</v>
      </c>
      <c r="K207" t="e">
        <f ca="1"/>
        <v>#NUM!</v>
      </c>
      <c r="L207" t="e">
        <f ca="1"/>
        <v>#NUM!</v>
      </c>
      <c r="M207" t="e">
        <f ca="1"/>
        <v>#NUM!</v>
      </c>
      <c r="N207" t="e">
        <f ca="1"/>
        <v>#NUM!</v>
      </c>
      <c r="O207" t="e">
        <f ca="1"/>
        <v>#NUM!</v>
      </c>
    </row>
    <row r="208" spans="1:15" x14ac:dyDescent="0.15">
      <c r="A208" s="61">
        <f t="shared" ca="1" si="3"/>
        <v>59677</v>
      </c>
      <c r="C208">
        <f ca="1"/>
        <v>4.74300194440841E-2</v>
      </c>
      <c r="D208">
        <f ca="1"/>
        <v>4.7430019444190397E-2</v>
      </c>
      <c r="E208">
        <f ca="1"/>
        <v>4.7430019444190397E-2</v>
      </c>
      <c r="F208">
        <f ca="1"/>
        <v>4.7430019444190397E-2</v>
      </c>
      <c r="G208">
        <f ca="1"/>
        <v>4.7430019444190397E-2</v>
      </c>
      <c r="H208">
        <f ca="1"/>
        <v>4.7430019444190397E-2</v>
      </c>
      <c r="I208">
        <f ca="1"/>
        <v>4.7430019444190397E-2</v>
      </c>
      <c r="J208" t="e">
        <f ca="1"/>
        <v>#NUM!</v>
      </c>
      <c r="K208" t="e">
        <f ca="1"/>
        <v>#NUM!</v>
      </c>
      <c r="L208" t="e">
        <f ca="1"/>
        <v>#NUM!</v>
      </c>
      <c r="M208" t="e">
        <f ca="1"/>
        <v>#NUM!</v>
      </c>
      <c r="N208" t="e">
        <f ca="1"/>
        <v>#NUM!</v>
      </c>
      <c r="O208" t="e">
        <f ca="1"/>
        <v>#NUM!</v>
      </c>
    </row>
    <row r="209" spans="1:15" x14ac:dyDescent="0.15">
      <c r="A209" s="61">
        <f t="shared" ca="1" si="3"/>
        <v>59767</v>
      </c>
      <c r="C209">
        <f ca="1"/>
        <v>4.7451766332083693E-2</v>
      </c>
      <c r="D209">
        <f ca="1"/>
        <v>4.7451766332117715E-2</v>
      </c>
      <c r="E209">
        <f ca="1"/>
        <v>4.7451766332117715E-2</v>
      </c>
      <c r="F209">
        <f ca="1"/>
        <v>4.7451766332117715E-2</v>
      </c>
      <c r="G209">
        <f ca="1"/>
        <v>4.7451766332117715E-2</v>
      </c>
      <c r="H209">
        <f ca="1"/>
        <v>4.7451766332117715E-2</v>
      </c>
      <c r="I209">
        <f ca="1"/>
        <v>4.7451766332117715E-2</v>
      </c>
      <c r="J209" t="e">
        <f ca="1"/>
        <v>#NUM!</v>
      </c>
      <c r="K209" t="e">
        <f ca="1"/>
        <v>#NUM!</v>
      </c>
      <c r="L209" t="e">
        <f ca="1"/>
        <v>#NUM!</v>
      </c>
      <c r="M209" t="e">
        <f ca="1"/>
        <v>#NUM!</v>
      </c>
      <c r="N209" t="e">
        <f ca="1"/>
        <v>#NUM!</v>
      </c>
      <c r="O209" t="e">
        <f ca="1"/>
        <v>#NUM!</v>
      </c>
    </row>
    <row r="210" spans="1:15" x14ac:dyDescent="0.15">
      <c r="A210" s="61">
        <f t="shared" ca="1" si="3"/>
        <v>59857</v>
      </c>
      <c r="C210">
        <f ca="1"/>
        <v>4.7473307267972234E-2</v>
      </c>
      <c r="D210">
        <f ca="1"/>
        <v>4.7473307267963269E-2</v>
      </c>
      <c r="E210">
        <f ca="1"/>
        <v>4.7473307267963269E-2</v>
      </c>
      <c r="F210">
        <f ca="1"/>
        <v>4.7473307267963269E-2</v>
      </c>
      <c r="G210">
        <f ca="1"/>
        <v>4.7473307267963269E-2</v>
      </c>
      <c r="H210">
        <f ca="1"/>
        <v>4.7473307267963269E-2</v>
      </c>
      <c r="I210">
        <f ca="1"/>
        <v>4.7473307267963269E-2</v>
      </c>
      <c r="J210" t="e">
        <f ca="1"/>
        <v>#NUM!</v>
      </c>
      <c r="K210" t="e">
        <f ca="1"/>
        <v>#NUM!</v>
      </c>
      <c r="L210" t="e">
        <f ca="1"/>
        <v>#NUM!</v>
      </c>
      <c r="M210" t="e">
        <f ca="1"/>
        <v>#NUM!</v>
      </c>
      <c r="N210" t="e">
        <f ca="1"/>
        <v>#NUM!</v>
      </c>
      <c r="O210" t="e">
        <f ca="1"/>
        <v>#NUM!</v>
      </c>
    </row>
    <row r="211" spans="1:15" x14ac:dyDescent="0.15">
      <c r="A211" s="61">
        <f t="shared" ca="1" si="3"/>
        <v>59947</v>
      </c>
      <c r="C211">
        <f ca="1"/>
        <v>4.7494641467532871E-2</v>
      </c>
      <c r="D211">
        <f ca="1"/>
        <v>4.7494641467588986E-2</v>
      </c>
      <c r="E211">
        <f ca="1"/>
        <v>4.7494641467588986E-2</v>
      </c>
      <c r="F211">
        <f ca="1"/>
        <v>4.7494641467588986E-2</v>
      </c>
      <c r="G211">
        <f ca="1"/>
        <v>4.7494641467588986E-2</v>
      </c>
      <c r="H211">
        <f ca="1"/>
        <v>4.7494641467588986E-2</v>
      </c>
      <c r="I211">
        <f ca="1"/>
        <v>4.7494641467588986E-2</v>
      </c>
      <c r="J211" t="e">
        <f ca="1"/>
        <v>#NUM!</v>
      </c>
      <c r="K211" t="e">
        <f ca="1"/>
        <v>#NUM!</v>
      </c>
      <c r="L211" t="e">
        <f ca="1"/>
        <v>#NUM!</v>
      </c>
      <c r="M211" t="e">
        <f ca="1"/>
        <v>#NUM!</v>
      </c>
      <c r="N211" t="e">
        <f ca="1"/>
        <v>#NUM!</v>
      </c>
      <c r="O211" t="e">
        <f ca="1"/>
        <v>#NUM!</v>
      </c>
    </row>
    <row r="212" spans="1:15" x14ac:dyDescent="0.15">
      <c r="A212" s="61">
        <f t="shared" ca="1" si="3"/>
        <v>60037</v>
      </c>
      <c r="C212">
        <f ca="1"/>
        <v>4.75162516494698E-2</v>
      </c>
      <c r="D212">
        <f ca="1"/>
        <v>4.7516251649507742E-2</v>
      </c>
      <c r="E212">
        <f ca="1"/>
        <v>4.7516251649507742E-2</v>
      </c>
      <c r="F212">
        <f ca="1"/>
        <v>4.7516251649507742E-2</v>
      </c>
      <c r="G212">
        <f ca="1"/>
        <v>4.7516251649507742E-2</v>
      </c>
      <c r="H212">
        <f ca="1"/>
        <v>4.7516251649507742E-2</v>
      </c>
      <c r="I212">
        <f ca="1"/>
        <v>4.7516251649507742E-2</v>
      </c>
      <c r="J212" t="e">
        <f ca="1"/>
        <v>#NUM!</v>
      </c>
      <c r="K212" t="e">
        <f ca="1"/>
        <v>#NUM!</v>
      </c>
      <c r="L212" t="e">
        <f ca="1"/>
        <v>#NUM!</v>
      </c>
      <c r="M212" t="e">
        <f ca="1"/>
        <v>#NUM!</v>
      </c>
      <c r="N212" t="e">
        <f ca="1"/>
        <v>#NUM!</v>
      </c>
      <c r="O212" t="e">
        <f ca="1"/>
        <v>#NUM!</v>
      </c>
    </row>
    <row r="213" spans="1:15" x14ac:dyDescent="0.15">
      <c r="A213" s="61">
        <f t="shared" ca="1" si="3"/>
        <v>60127</v>
      </c>
      <c r="C213">
        <f ca="1"/>
        <v>4.7537181832040552E-2</v>
      </c>
      <c r="D213">
        <f ca="1"/>
        <v>4.75371818320975E-2</v>
      </c>
      <c r="E213">
        <f ca="1"/>
        <v>4.75371818320975E-2</v>
      </c>
      <c r="F213">
        <f ca="1"/>
        <v>4.75371818320975E-2</v>
      </c>
      <c r="G213">
        <f ca="1"/>
        <v>4.75371818320975E-2</v>
      </c>
      <c r="H213">
        <f ca="1"/>
        <v>4.75371818320975E-2</v>
      </c>
      <c r="I213">
        <f ca="1"/>
        <v>4.75371818320975E-2</v>
      </c>
      <c r="J213" t="e">
        <f ca="1"/>
        <v>#NUM!</v>
      </c>
      <c r="K213" t="e">
        <f ca="1"/>
        <v>#NUM!</v>
      </c>
      <c r="L213" t="e">
        <f ca="1"/>
        <v>#NUM!</v>
      </c>
      <c r="M213" t="e">
        <f ca="1"/>
        <v>#NUM!</v>
      </c>
      <c r="N213" t="e">
        <f ca="1"/>
        <v>#NUM!</v>
      </c>
      <c r="O213" t="e">
        <f ca="1"/>
        <v>#NUM!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</vt:i4>
      </vt:variant>
    </vt:vector>
  </HeadingPairs>
  <TitlesOfParts>
    <vt:vector size="8" baseType="lpstr">
      <vt:lpstr>中大 &amp; 中债</vt:lpstr>
      <vt:lpstr>历史收益率比较</vt:lpstr>
      <vt:lpstr>中债收益率曲线（银行间）</vt:lpstr>
      <vt:lpstr>Sheet1</vt:lpstr>
      <vt:lpstr>test</vt:lpstr>
      <vt:lpstr>Bumped Curves</vt:lpstr>
      <vt:lpstr>Sheet3</vt:lpstr>
      <vt:lpstr>curveStart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2012-08-21T09:20:39Z</dcterms:modified>
</cp:coreProperties>
</file>